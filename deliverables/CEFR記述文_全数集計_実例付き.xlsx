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範型_苦情クレーム" sheetId="1" state="visible" r:id="rId3"/>
    <sheet name="範型_挨拶別れ安否" sheetId="2" state="visible" r:id="rId4"/>
    <sheet name="範型_事実質問応答" sheetId="3" state="visible" r:id="rId5"/>
    <sheet name="範型_意見表明" sheetId="4" state="visible" r:id="rId6"/>
    <sheet name="類型別点検軸" sheetId="5" state="visible" r:id="rId7"/>
    <sheet name="発語内行為インベントリ" sheetId="6" state="visible" r:id="rId8"/>
    <sheet name="サマリー" sheetId="7" state="visible" r:id="rId9"/>
    <sheet name="Data" sheetId="8" state="visible" r:id="rId10"/>
    <sheet name="対訳マスタ" sheetId="9" state="visible" r:id="rId11"/>
    <sheet name="スケール別集計" sheetId="10" state="visible" r:id="rId12"/>
    <sheet name="スケール別実例" sheetId="11" state="visible" r:id="rId13"/>
    <sheet name="Data（日本語訳）" sheetId="12" state="visible" r:id="rId14"/>
  </sheets>
  <definedNames>
    <definedName function="false" hidden="true" localSheetId="11" name="_xlnm._FilterDatabase" vbProcedure="false">'Data（日本語訳）'!$A$1:$I$1833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<sst xmlns="http://schemas.openxmlformats.org/spreadsheetml/2006/main" count="21340" uniqueCount="3627">
  <si>
    <t xml:space="preserve">第1カタログ 範型 ── 発語内行為「苦情・クレーム（Complaining）」</t>
  </si>
  <si>
    <t xml:space="preserve">類型：指示的（directive）＋表出的要素　／　本質：相手（店・機関・個人）に、現状が期待に反することを伝え、是正を求める。非難と要求の二面を持ち、両者のバランスが行為の成否を決める。</t>
  </si>
  <si>
    <t xml:space="preserve">モード</t>
  </si>
  <si>
    <t xml:space="preserve">レベル</t>
  </si>
  <si>
    <t xml:space="preserve">No.</t>
  </si>
  <si>
    <r>
      <rPr>
        <b val="true"/>
        <sz val="10"/>
        <color rgb="FFFFFFFF"/>
        <rFont val="Arial"/>
        <family val="0"/>
        <charset val="1"/>
      </rPr>
      <t xml:space="preserve">CEFR</t>
    </r>
    <r>
      <rPr>
        <b val="true"/>
        <sz val="10"/>
        <color rgb="FFFFFFFF"/>
        <rFont val="Noto Sans CJK SC"/>
        <family val="2"/>
      </rPr>
      <t xml:space="preserve">記述文（原文）</t>
    </r>
  </si>
  <si>
    <t xml:space="preserve">記述文（作業訳）</t>
  </si>
  <si>
    <t xml:space="preserve">実例（exponent）</t>
  </si>
  <si>
    <t xml:space="preserve">場面</t>
  </si>
  <si>
    <t xml:space="preserve">効くhow well軸</t>
  </si>
  <si>
    <t xml:space="preserve">日本語話者へのL1語用論注意</t>
  </si>
  <si>
    <t xml:space="preserve">隣接レベルとの差分</t>
  </si>
  <si>
    <t xml:space="preserve">口頭</t>
  </si>
  <si>
    <t xml:space="preserve">A2</t>
  </si>
  <si>
    <t xml:space="preserve">Can point out when something is wrong (e.g. “The food is cold” or “There is no light in my room”).</t>
  </si>
  <si>
    <t xml:space="preserve">何かがおかしいときに指摘できる（「料理が冷たい」「部屋の電気がつかない」など）。</t>
  </si>
  <si>
    <t xml:space="preserve">• Excuse me, the food is cold.
• Sorry, there is no light in my room.
• Excuse me, this is not what I ordered.</t>
  </si>
  <si>
    <t xml:space="preserve">レストランやホテルで、出されたもの・状態が違うとき、その事実を一言告げる。</t>
  </si>
  <si>
    <t xml:space="preserve">社会言語的適切さ（最小）：Excuse me / Sorry を頭に置けるか。</t>
  </si>
  <si>
    <t xml:space="preserve">日本語話者は「事実の指摘」を非難と感じて言い出せない傾向。英語では The food is cold. と現状を述べること自体は失礼でなく、むしろ必要な情報提供。黙って我慢する方が不自然。ただし頭に Excuse me を欠くと唐突。</t>
  </si>
  <si>
    <t xml:space="preserve">（起点）行為の最小形。まだ是正要求は含まず、問題の存在を告げるだけ。</t>
  </si>
  <si>
    <t xml:space="preserve">B1</t>
  </si>
  <si>
    <t xml:space="preserve">Can make a complaint.</t>
  </si>
  <si>
    <t xml:space="preserve">苦情を言える。</t>
  </si>
  <si>
    <t xml:space="preserve">• Excuse me, I ordered the pasta but this is a pizza. Could you change it, please?
• I'm sorry, but the room is really noisy. Would it be possible to move to another one?
• There seems to be a problem with the bill — I think we've been charged twice.</t>
  </si>
  <si>
    <t xml:space="preserve">注文違い・部屋の問題・請求の誤りなど、具体的な不都合について、是正を求めるところまで言う。</t>
  </si>
  <si>
    <t xml:space="preserve">社会言語的適切さ＋叙述の正確さ：問題の describe と要求の request を一続きにできるか。</t>
  </si>
  <si>
    <t xml:space="preserve">日本語の「すみません、これ頼んでないんですけど……」は語尾を濁して相手に察してもらう構造。英語では Could you change it? まで言い切らないと要求が伝わらず、問題提起だけで終わると「ただ不機嫌な人」になる。緩衝（I'm sorry but / There seems to be）＋明示的要求、の二点セットが鍵。</t>
  </si>
  <si>
    <r>
      <rPr>
        <sz val="9"/>
        <rFont val="Arial"/>
        <family val="0"/>
        <charset val="1"/>
      </rPr>
      <t xml:space="preserve">A2</t>
    </r>
    <r>
      <rPr>
        <sz val="9"/>
        <rFont val="Noto Sans CJK SC"/>
        <family val="2"/>
      </rPr>
      <t xml:space="preserve">からの飛躍：問題の指摘に「是正の要求」が加わる。行為が完結する最初のレベル。</t>
    </r>
  </si>
  <si>
    <t xml:space="preserve">Can cope with less routine situations in shops, post offices, banks, e.g. returning an unsatisfactory purchase.</t>
  </si>
  <si>
    <t xml:space="preserve">満足できない買い物の返品など、店・郵便局・銀行でのあまり日常的でない状況に対処できる。</t>
  </si>
  <si>
    <t xml:space="preserve">• I bought this shirt yesterday, but there's a hole in the sleeve. I'd like to return it, please.
• This isn't working properly — can I get a refund or an exchange?
• I'd like to return this. Do you need the receipt?</t>
  </si>
  <si>
    <t xml:space="preserve">店で不良品を返品する、想定外のやりとり（理由の説明・レシートの授受）に対応する。</t>
  </si>
  <si>
    <t xml:space="preserve">柔軟さ：相手の反応（レシートは？交換か返金か）に応じて言い足せるか。</t>
  </si>
  <si>
    <t xml:space="preserve">返品は日本でも増えたが、英語圏では「正当な権利の行使」であり、過度に低姿勢だと逆に不審。I'd like to return this と平叙で切り出してよい。「返品してもらえますか」を Can I possibly...? と過剰に婉曲化すると、かえって要領を得ない。</t>
  </si>
  <si>
    <t xml:space="preserve">同じB1でも、単発の苦情から「一連のやりとりへの対処」へ。相手の応答を捌く柔軟さが問われる。</t>
  </si>
  <si>
    <t xml:space="preserve">B2+</t>
  </si>
  <si>
    <t xml:space="preserve">Can cope linguistically to negotiate a solution to a dispute like an undeserved traffic ticket, financial responsibility for damage in a flat, or blame regarding an accident.</t>
  </si>
  <si>
    <t xml:space="preserve">不当な交通違反切符、住居の損傷の金銭的責任、事故の責めなど、争いの解決を交渉する言語的能力がある。</t>
  </si>
  <si>
    <t xml:space="preserve">• I understand your position, but I don't think I'm liable for this. The damage was already there when I moved in.
• I'd like to contest this. Could you tell me exactly which regulation I'm supposed to have broken?
• I'm willing to cover part of it, but not the full amount — let me explain why.</t>
  </si>
  <si>
    <t xml:space="preserve">責任の所在が争われる場面で、相手の主張を受けつつ自分の立場を通し、着地点を探る。</t>
  </si>
  <si>
    <t xml:space="preserve">叙述の正確さ＋柔軟さ＋社会言語的適切さ：反論しつつ関係を壊さない語調の制御。</t>
  </si>
  <si>
    <t xml:space="preserve">日本語話者は対立局面で沈黙するか、逆に感情的に強く出るかの両極に振れやすい。英語の交渉苦情は I understand X, but Y（相手の承認→自分の主張）という型が定石で、冷静に but でつなぐ。謝罪の I'm sorry を安易に挟むと責任を認めた含意になり不利。</t>
  </si>
  <si>
    <t xml:space="preserve">苦情から「交渉」へ。一方的要求ではなく、相手の立場の承認と自分の譲歩限度の提示が入る。</t>
  </si>
  <si>
    <t xml:space="preserve">Can outline a case for compensation, using persuasive language to demand satisfaction and state clearly the limits to any concession they are prepared to make.</t>
  </si>
  <si>
    <t xml:space="preserve">説得力のある言葉で補償を求める主張を組み立て、満足を要求し、譲歩できる限度を明確に述べられる。</t>
  </si>
  <si>
    <t xml:space="preserve">• Given the inconvenience caused, I believe a full refund plus compensation for the extra costs is reasonable.
• I'm prepared to accept a replacement, but only if it's delivered by Friday — otherwise I'll expect a refund.
• This has cost me two days of work. I'd like that reflected in whatever you're offering.</t>
  </si>
  <si>
    <t xml:space="preserve">実害が生じた案件で、補償の根拠を筋道立てて示し、受け入れ条件と限度を明言する。</t>
  </si>
  <si>
    <t xml:space="preserve">叙述の正確さ（最大）＋話題の展開：根拠→要求→条件を論理的に積む構成力。</t>
  </si>
  <si>
    <t xml:space="preserve">「譲歩の限度を明示する」は日本語の交渉文化と最も遠い。日本語では限度をあえて曖昧にして含みで交渉するが、英語では but only if... / otherwise I'll... と条件と帰結を言語化するのが誠実で強い。曖昧なままだと足元を見られる。</t>
  </si>
  <si>
    <t xml:space="preserve">交渉に「論理的な根拠づけ」と「条件の明示的言語化」が加わる。口頭系列の到達点。</t>
  </si>
  <si>
    <t xml:space="preserve">書面</t>
  </si>
  <si>
    <t xml:space="preserve">B1+</t>
  </si>
  <si>
    <t xml:space="preserve">Can compose basic formal e-mails/letters (e.g. to make a complaint and request action).</t>
  </si>
  <si>
    <t xml:space="preserve">基本的な公式のメールや手紙（苦情を述べ対応を求めるなど）を書ける。</t>
  </si>
  <si>
    <t xml:space="preserve">• Dear Sir or Madam, I am writing to complain about the delayed delivery of my order (#12345). I would like to request a full refund.
• I ordered the item on 3 May, but it has still not arrived. Please let me know how you intend to resolve this.</t>
  </si>
  <si>
    <t xml:space="preserve">遅延・不良・誤請求について、公式メールで苦情と対応要求を伝える。</t>
  </si>
  <si>
    <t xml:space="preserve">社会言語的適切さ（書面レジスター）：I am writing to... の定型と Dear/Yours の枠を守れるか。</t>
  </si>
  <si>
    <t xml:space="preserve">日本語のビジネス苦情メールは長い前置き（お世話になっております＋クッション）から入るが、英語は I am writing to complain about... と冒頭で用件を明示するのが正しい作法。前置きを長くすると要領を得ない印象。</t>
  </si>
  <si>
    <t xml:space="preserve">口頭B1と並行して、書面系列が独立に立ち上がる。定型（I am writing to）とレジスターの獲得が核。</t>
  </si>
  <si>
    <t xml:space="preserve">Can compose a forceful but polite letter of complaint, including supporting details and a statement of the desired outcome.</t>
  </si>
  <si>
    <t xml:space="preserve">裏づけの詳細と望む結果を明記した、力強くも丁寧な苦情の手紙を書ける。</t>
  </si>
  <si>
    <t xml:space="preserve">• Despite my email of 3 May, the issue remains unresolved. I have now been waiting three weeks for a replacement.
• I trust you will appreciate my frustration and arrange a full refund within seven days.</t>
  </si>
  <si>
    <t xml:space="preserve">一度目の苦情が解決されない案件で、経緯を裏づけつつ、丁寧さを保って強く要求する。</t>
  </si>
  <si>
    <t xml:space="preserve">話題の展開＋社会言語的適切さ：forceful と polite を両立させる語調設計。</t>
  </si>
  <si>
    <t xml:space="preserve">「力強くも丁寧に」の両立が難所。日本語話者は polite に振れすぎて要求が弱まるか、直訳的に強く書いて無礼になるか。英語は I trust you will... / I would appreciate it if... で、丁寧な形式のまま圧をかける定型がある。この「丁寧な強さ」の語彙庫を持つことが鍵。</t>
  </si>
  <si>
    <t xml:space="preserve">書面B1+からの飛躍：単発の苦情から、経緯の裏づけ・望む結果の明記・語調の制御へ。</t>
  </si>
  <si>
    <t xml:space="preserve">Can compose formal correspondence such as letters of enquiry, request, application and complaint using appropriate register, structure and conventions.</t>
  </si>
  <si>
    <t xml:space="preserve">適切な言語使用域・構成・慣習を使って、問い合わせ・依頼・応募・苦情などの公式の通信文を書ける。</t>
  </si>
  <si>
    <t xml:space="preserve">• I am writing with reference to invoice #789, which appears to contain an error.
• I would be grateful if you could look into this matter and respond at your earliest convenience.</t>
  </si>
  <si>
    <t xml:space="preserve">苦情を含む各種公式通信を、型・レジスター・慣習に則って書き分ける。</t>
  </si>
  <si>
    <t xml:space="preserve">社会言語的適切さ（慣習の体系）：with reference to / at your earliest convenience 等の定型群の運用。</t>
  </si>
  <si>
    <t xml:space="preserve">英語の公式通信は定型表現の体系（with reference to, I would be grateful if, at your earliest convenience）で動く。日本語の敬語体系とは別物なので、日本語敬語を英語に写そうとせず、英語独自の formal 定型を丸ごと語彙として習得する必要がある。</t>
  </si>
  <si>
    <t xml:space="preserve">個別の苦情から「公式通信文一般の型」への一般化。苦情が他の書面行為（依頼・応募）と型を共有すると気づく段。</t>
  </si>
  <si>
    <t xml:space="preserve">C1</t>
  </si>
  <si>
    <t xml:space="preserve">Can, with good expression and accuracy, compose formal correspondence such as letters of clarification, application, recommendation, reference, complaint, sympathy and condolence.</t>
  </si>
  <si>
    <t xml:space="preserve">明確化・応募・推薦・照会・苦情・見舞い・弔慰の手紙など、公式の通信文を、うまい表現と正確さで書ける。</t>
  </si>
  <si>
    <t xml:space="preserve">• While I appreciate that delays can occur, a three-week silence following my formal complaint is difficult to justify.
• I would ask that you treat this as a matter of urgency and confirm your proposed resolution in writing.</t>
  </si>
  <si>
    <t xml:space="preserve">洗練を要する公式通信で、含意・語調・正確さを制御して苦情を述べる。</t>
  </si>
  <si>
    <t xml:space="preserve">叙述の正確さ＋柔軟さ（最大）：含意・皮肉・緩衝を精密に制御する表現力。</t>
  </si>
  <si>
    <r>
      <rPr>
        <sz val="9"/>
        <rFont val="Arial"/>
        <family val="0"/>
        <charset val="1"/>
      </rPr>
      <t xml:space="preserve">C1</t>
    </r>
    <r>
      <rPr>
        <sz val="9"/>
        <rFont val="Noto Sans CJK SC"/>
        <family val="2"/>
      </rPr>
      <t xml:space="preserve">では </t>
    </r>
    <r>
      <rPr>
        <sz val="9"/>
        <rFont val="Arial"/>
        <family val="0"/>
        <charset val="1"/>
      </rPr>
      <t xml:space="preserve">While I appreciate that..., ... is difficult to justify </t>
    </r>
    <r>
      <rPr>
        <sz val="9"/>
        <rFont val="Noto Sans CJK SC"/>
        <family val="2"/>
      </rPr>
      <t xml:space="preserve">のような、譲歩節で相手を立てつつ論理で追い込む高度な緩衝が要る。日本語の高等な苦情（慇懃な圧）に感覚は近いが、英語独自のレトリックなので、日本語の語感からの類推は危険。個別の表現を範例で覚える段階。</t>
    </r>
  </si>
  <si>
    <r>
      <rPr>
        <sz val="9"/>
        <rFont val="Arial"/>
        <family val="0"/>
        <charset val="1"/>
      </rPr>
      <t xml:space="preserve">B2+</t>
    </r>
    <r>
      <rPr>
        <sz val="9"/>
        <rFont val="Noto Sans CJK SC"/>
        <family val="2"/>
      </rPr>
      <t xml:space="preserve">からの到達点：正確さに加え「うまい表現（</t>
    </r>
    <r>
      <rPr>
        <sz val="9"/>
        <rFont val="Arial"/>
        <family val="0"/>
        <charset val="1"/>
      </rPr>
      <t xml:space="preserve">good expression</t>
    </r>
    <r>
      <rPr>
        <sz val="9"/>
        <rFont val="Noto Sans CJK SC"/>
        <family val="2"/>
      </rPr>
      <t xml:space="preserve">）」＝含意と語調の精密制御。書面系列の頂点。</t>
    </r>
  </si>
  <si>
    <r>
      <rPr>
        <b val="true"/>
        <sz val="11"/>
        <color rgb="FFFFFFFF"/>
        <rFont val="Arial"/>
        <family val="0"/>
        <charset val="1"/>
      </rPr>
      <t xml:space="preserve">DISCUSSION ── </t>
    </r>
    <r>
      <rPr>
        <b val="true"/>
        <sz val="11"/>
        <color rgb="FFFFFFFF"/>
        <rFont val="Noto Sans CJK SC"/>
        <family val="2"/>
      </rPr>
      <t xml:space="preserve">この行為をパターンとして読む（アレグザンダー式・行為全体への散文）</t>
    </r>
  </si>
  <si>
    <t xml:space="preserve">【緩衝（mitigation）が行為の背骨である】
英語の苦情を貫く原理は「非難性の緩衝」である。同じ事実（料理が冷たい）を、A2では Excuse me を頭に置くだけ、B1では There seems to be... で事実を非人称化し、B2+では I understand your position, but... で相手を立て、C1では While I appreciate that... と譲歩節で包む——レベルが上がるとは、緩衝の技法が精緻化することにほかならない。この行為において how well の主軸は一貫して社会言語的適切さであり、文法的正確さではない。文法的に完璧な The food is cold and I want a new one now. は、B1の緩衝された表現より「下手」なのである。
【日本語話者にとっての二重の壁】
第一の壁は「言い出せない」こと。日本語文化では苦情＝関係を損なう行為とされ、我慢が美徳になりやすい。だが英語圏では、正当な苦情は消費者の権利であり情報提供でもあって、黙る方が不自然に映る。第二の壁は、言い出せた場合に「振れすぎる」こと——過度に低姿勢で要求が伝わらないか、直訳的に強く出て無礼になるかの両極。英語の苦情は「丁寧な形式を保ったまま要求を明示する」ことを求めるが、これは日本語の「察してもらう」構造とも「けんか腰」とも異なる第三の様式であり、明示的に学ぶしかない。
【苦情は依頼と背中合わせである】
「部屋が寒い」（苦情）は「暖房を入れてほしい」（依頼）と表裏一体で、多くの苦情は是正の依頼を含意する。25行為インベントリで苦情と依頼を別立てにしたが、実運用では連続する。苦情を教えるとき、是正要求（依頼）まで一続きで示さないと、行為が完結しない——日本語話者が問題提起だけで止まりがちなのは、この連続性が母語で言語化されないためでもある。
【口頭と書面は別の行為に近い】
CEFRが苦情を口頭スケール（Obtaining goods and services）と書面スケール（Correspondence）に分けて記述しているのは示唆的である。口頭の苦情は即時・対面で、緩衝も即興的（Excuse me, sorry）。書面の苦情は経緯の裏づけ・構成・レジスターが前面に出て、定型表現の体系（I am writing to, I would be grateful if）で動く。学習者にとっては習得順序も異なり、口頭A2から始まる系列と、書面B1+から始まる系列は、並行して別々に登らせるのが自然である。
【なぜこの行為が範型に適するか】
苦情は、発語内行為25種の中でも、L1語用論的転移が最も激しく、かつレベル差分が最も明瞭に観察できる。緩衝技法の精緻化としてA2→C1が一直線に読め、how wellの主軸（社会言語的適切さ）が行為全体を貫く。他の24行為を作り込む際、この「緩衝の精緻化」「言い出せない／振れすぎるの二重の壁」「隣接行為との連続」「口頭・書面の分岐」という4つの観察軸が、そのまま点検リストになる。</t>
  </si>
  <si>
    <t xml:space="preserve">第1カタログ 範型 ── 発語内行為「挨拶・別れ・安否（Greeting, Leave-taking &amp; Phatic exchange）」</t>
  </si>
  <si>
    <t xml:space="preserve">類型：交話的（phatic）── 情報伝達より関係の確立・維持が目的　／　本質：出会いと別れの区切りに定型表現を交わし、相手との社会的接触を開き・保ち・閉じる。内容の正しさより、型の適切さとテンポが行為の成否を決める。</t>
  </si>
  <si>
    <t xml:space="preserve">Pre-A1</t>
  </si>
  <si>
    <t xml:space="preserve">Can understand and use basic, formulaic expressions such as “Yes”, “No”, “Excuse me”, “Please”, “Thank you”, “No thank you”, “Sorry”.</t>
  </si>
  <si>
    <t xml:space="preserve">「はい」「いいえ」「すみません」「お願いします」「ありがとう」「けっこうです」「ごめんなさい」などの基本的な決まり文句を理解し、使える。</t>
  </si>
  <si>
    <t xml:space="preserve">• Yes. / No.
• Thank you. / No thank you.
• Excuse me. / Sorry.
• Please.</t>
  </si>
  <si>
    <t xml:space="preserve">あらゆる接触の潤滑油となる最小の定型語を、適切な場面で口にする。</t>
  </si>
  <si>
    <t xml:space="preserve">社会言語的適切さ（最小単位）：型を型として口に出せるか。</t>
  </si>
  <si>
    <r>
      <rPr>
        <sz val="9"/>
        <rFont val="Arial"/>
        <family val="0"/>
        <charset val="1"/>
      </rPr>
      <t xml:space="preserve">No thank you </t>
    </r>
    <r>
      <rPr>
        <sz val="9"/>
        <rFont val="Noto Sans CJK SC"/>
        <family val="2"/>
      </rPr>
      <t xml:space="preserve">を「いいえ、結構です」の丁寧な断りとして使えず、単に </t>
    </r>
    <r>
      <rPr>
        <sz val="9"/>
        <rFont val="Arial"/>
        <family val="0"/>
        <charset val="1"/>
      </rPr>
      <t xml:space="preserve">No </t>
    </r>
    <r>
      <rPr>
        <sz val="9"/>
        <rFont val="Noto Sans CJK SC"/>
        <family val="2"/>
      </rPr>
      <t xml:space="preserve">と言って冷たく響くことがある。また </t>
    </r>
    <r>
      <rPr>
        <sz val="9"/>
        <rFont val="Arial"/>
        <family val="0"/>
        <charset val="1"/>
      </rPr>
      <t xml:space="preserve">Sorry </t>
    </r>
    <r>
      <rPr>
        <sz val="9"/>
        <rFont val="Noto Sans CJK SC"/>
        <family val="2"/>
      </rPr>
      <t xml:space="preserve">と </t>
    </r>
    <r>
      <rPr>
        <sz val="9"/>
        <rFont val="Arial"/>
        <family val="0"/>
        <charset val="1"/>
      </rPr>
      <t xml:space="preserve">Excuse me </t>
    </r>
    <r>
      <rPr>
        <sz val="9"/>
        <rFont val="Noto Sans CJK SC"/>
        <family val="2"/>
      </rPr>
      <t xml:space="preserve">の使い分け（謝罪／呼びかけ・断り）が日本語の「すみません」に一括されるため混同しやすい。</t>
    </r>
  </si>
  <si>
    <t xml:space="preserve">（起点）語彙ですらなく「機能語の塊」。関係の潤滑油の最小部品。</t>
  </si>
  <si>
    <t xml:space="preserve">Can greet people, state their name and take leave in a simple way.</t>
  </si>
  <si>
    <t xml:space="preserve">挨拶し、名前を名乗り、簡単な方法で別れを告げられる。</t>
  </si>
  <si>
    <t xml:space="preserve">• Hello. / Hi.
• I'm Kenji.
• Goodbye. / Bye.
• See you.</t>
  </si>
  <si>
    <t xml:space="preserve">初対面や店・受付で、挨拶し名乗り、辞去する。会話の開閉の枠。</t>
  </si>
  <si>
    <t xml:space="preserve">社会言語的適切さ：出会いと別れの型をペアで押さえられるか。</t>
  </si>
  <si>
    <t xml:space="preserve">別れ際の See you. や Bye. を言わずに立ち去る、あるいは Goodbye だけで済ませて素っ気なくなる。日本語の「じゃあ」「どうも」に当たる軽い辞去表現の層が薄い。</t>
  </si>
  <si>
    <t xml:space="preserve">定型語から「会話の開閉」へ。挨拶と別れは対で機能する。</t>
  </si>
  <si>
    <t xml:space="preserve">A1</t>
  </si>
  <si>
    <t xml:space="preserve">Can make an introduction and use basic greeting and leave-taking expressions.</t>
  </si>
  <si>
    <t xml:space="preserve">紹介をし、基本的な挨拶や別れの表現を使える。</t>
  </si>
  <si>
    <t xml:space="preserve">• Good morning. / Good afternoon.
• This is my friend, Aya.
• Nice to meet you.
• Have a nice day!</t>
  </si>
  <si>
    <t xml:space="preserve">他者を紹介し、時間帯に応じた挨拶と、別れ際の一言を添える。</t>
  </si>
  <si>
    <t xml:space="preserve">社会言語的適切さ：時間帯・相手による型の選択。</t>
  </si>
  <si>
    <r>
      <rPr>
        <sz val="9"/>
        <rFont val="Arial"/>
        <family val="0"/>
        <charset val="1"/>
      </rPr>
      <t xml:space="preserve">Nice to meet you.</t>
    </r>
    <r>
      <rPr>
        <sz val="9"/>
        <rFont val="Noto Sans CJK SC"/>
        <family val="2"/>
      </rPr>
      <t xml:space="preserve">（初対面）と </t>
    </r>
    <r>
      <rPr>
        <sz val="9"/>
        <rFont val="Arial"/>
        <family val="0"/>
        <charset val="1"/>
      </rPr>
      <t xml:space="preserve">Nice to see you.</t>
    </r>
    <r>
      <rPr>
        <sz val="9"/>
        <rFont val="Noto Sans CJK SC"/>
        <family val="2"/>
      </rPr>
      <t xml:space="preserve">（再会）の別を知らず、再会でも </t>
    </r>
    <r>
      <rPr>
        <sz val="9"/>
        <rFont val="Arial"/>
        <family val="0"/>
        <charset val="1"/>
      </rPr>
      <t xml:space="preserve">meet </t>
    </r>
    <r>
      <rPr>
        <sz val="9"/>
        <rFont val="Noto Sans CJK SC"/>
        <family val="2"/>
      </rPr>
      <t xml:space="preserve">を使ってしまう。</t>
    </r>
    <r>
      <rPr>
        <sz val="9"/>
        <rFont val="Arial"/>
        <family val="0"/>
        <charset val="1"/>
      </rPr>
      <t xml:space="preserve">Have a nice day! </t>
    </r>
    <r>
      <rPr>
        <sz val="9"/>
        <rFont val="Noto Sans CJK SC"/>
        <family val="2"/>
      </rPr>
      <t xml:space="preserve">のような別れ際の「気遣いの一言」を添える習慣が乏しく、挨拶が短く切れる。</t>
    </r>
  </si>
  <si>
    <r>
      <rPr>
        <sz val="9"/>
        <rFont val="Arial"/>
        <family val="0"/>
        <charset val="1"/>
      </rPr>
      <t xml:space="preserve">Pre-A1</t>
    </r>
    <r>
      <rPr>
        <sz val="9"/>
        <rFont val="Noto Sans CJK SC"/>
        <family val="2"/>
      </rPr>
      <t xml:space="preserve">からの差分：時間帯別（</t>
    </r>
    <r>
      <rPr>
        <sz val="9"/>
        <rFont val="Arial"/>
        <family val="0"/>
        <charset val="1"/>
      </rPr>
      <t xml:space="preserve">morning/afternoon</t>
    </r>
    <r>
      <rPr>
        <sz val="9"/>
        <rFont val="Noto Sans CJK SC"/>
        <family val="2"/>
      </rPr>
      <t xml:space="preserve">）と紹介（</t>
    </r>
    <r>
      <rPr>
        <sz val="9"/>
        <rFont val="Arial"/>
        <family val="0"/>
        <charset val="1"/>
      </rPr>
      <t xml:space="preserve">This is...</t>
    </r>
    <r>
      <rPr>
        <sz val="9"/>
        <rFont val="Noto Sans CJK SC"/>
        <family val="2"/>
      </rPr>
      <t xml:space="preserve">）が加わり、型が場面分化する。</t>
    </r>
  </si>
  <si>
    <t xml:space="preserve">Can ask how people are and react to news.</t>
  </si>
  <si>
    <t xml:space="preserve">人の調子を尋ね、知らせに反応できる。</t>
  </si>
  <si>
    <t xml:space="preserve">• How are you? — Fine, thanks. And you?
• How's it going?
• That's great! / Oh, I'm sorry to hear that.</t>
  </si>
  <si>
    <t xml:space="preserve">相手の近況・体調を尋ね、返ってきた知らせに感情で応じる。</t>
  </si>
  <si>
    <t xml:space="preserve">社会言語的適切さ＋テンポ：定型的な問い返し（And you?）の即応。</t>
  </si>
  <si>
    <r>
      <rPr>
        <sz val="9"/>
        <rFont val="Arial"/>
        <family val="0"/>
        <charset val="1"/>
      </rPr>
      <t xml:space="preserve">How are you? </t>
    </r>
    <r>
      <rPr>
        <sz val="9"/>
        <rFont val="Noto Sans CJK SC"/>
        <family val="2"/>
      </rPr>
      <t xml:space="preserve">を「本当に体調を訊く質問」と受け取り、長々と実際の状態を答えてしまう。英語では儀礼的な往復（</t>
    </r>
    <r>
      <rPr>
        <sz val="9"/>
        <rFont val="Arial"/>
        <family val="0"/>
        <charset val="1"/>
      </rPr>
      <t xml:space="preserve">Fine, thanks. And you?</t>
    </r>
    <r>
      <rPr>
        <sz val="9"/>
        <rFont val="Noto Sans CJK SC"/>
        <family val="2"/>
      </rPr>
      <t xml:space="preserve">）が基本で、中身より往復のテンポが大事。この </t>
    </r>
    <r>
      <rPr>
        <sz val="9"/>
        <rFont val="Arial"/>
        <family val="0"/>
        <charset val="1"/>
      </rPr>
      <t xml:space="preserve">phatic </t>
    </r>
    <r>
      <rPr>
        <sz val="9"/>
        <rFont val="Noto Sans CJK SC"/>
        <family val="2"/>
      </rPr>
      <t xml:space="preserve">な性質が日本語話者に最も伝わりにくい。</t>
    </r>
  </si>
  <si>
    <t xml:space="preserve">一方向の挨拶から「往復」へ。相手の応答に反応する対話性が入る。</t>
  </si>
  <si>
    <t xml:space="preserve">Can use simple, everyday, polite forms of greeting and address.</t>
  </si>
  <si>
    <t xml:space="preserve">簡単な日常の丁寧な挨拶や呼びかけの表現形式を使える。</t>
  </si>
  <si>
    <r>
      <rPr>
        <sz val="9"/>
        <rFont val="Arial"/>
        <family val="0"/>
        <charset val="1"/>
      </rPr>
      <t xml:space="preserve">• Good evening, Mr. Tanaka.
• Excuse me, sir. / Excuse me, madam.
• How do you do?</t>
    </r>
    <r>
      <rPr>
        <sz val="9"/>
        <rFont val="Noto Sans CJK SC"/>
        <family val="2"/>
      </rPr>
      <t xml:space="preserve">（改まった初対面）</t>
    </r>
  </si>
  <si>
    <t xml:space="preserve">目上や公的な相手に、丁寧なレジスターで挨拶し呼びかける。</t>
  </si>
  <si>
    <t xml:space="preserve">社会言語的適切さ（レジスター）：親しさ／改まりで型を選び分けられるか。</t>
  </si>
  <si>
    <t xml:space="preserve">英語の呼びかけには sir/madam や Mr./Ms.＋姓があるが、日本語の「〜さん」を万能に使う感覚で first name を使い、目上に馴れ馴れしく響く。逆に過度に Mr. を連発して不自然になることも。相手との距離に応じた呼称選択は明示的な学習を要する。</t>
  </si>
  <si>
    <r>
      <rPr>
        <sz val="9"/>
        <rFont val="Arial"/>
        <family val="0"/>
        <charset val="1"/>
      </rPr>
      <t xml:space="preserve">A1</t>
    </r>
    <r>
      <rPr>
        <sz val="9"/>
        <rFont val="Noto Sans CJK SC"/>
        <family val="2"/>
      </rPr>
      <t xml:space="preserve">からの差分：中立な挨拶から「丁寧なレジスター」の選択へ。呼びかけ（</t>
    </r>
    <r>
      <rPr>
        <sz val="9"/>
        <rFont val="Arial"/>
        <family val="0"/>
        <charset val="1"/>
      </rPr>
      <t xml:space="preserve">address</t>
    </r>
    <r>
      <rPr>
        <sz val="9"/>
        <rFont val="Noto Sans CJK SC"/>
        <family val="2"/>
      </rPr>
      <t xml:space="preserve">）が加わる。</t>
    </r>
  </si>
  <si>
    <t xml:space="preserve">A2+</t>
  </si>
  <si>
    <t xml:space="preserve">Can establish social contact (e.g. greetings and farewells, introductions, giving thanks).</t>
  </si>
  <si>
    <t xml:space="preserve">社交的接触（挨拶と別れ、紹介、感謝など）を確立できる。</t>
  </si>
  <si>
    <t xml:space="preserve">• Hi, I don't think we've met — I'm Kenji.
• It was really nice talking to you.
• Thanks so much for having me. / Let's keep in touch.</t>
  </si>
  <si>
    <t xml:space="preserve">パーティや職場で、自ら関係を開き、会話を交わし、良い印象で閉じる一連。</t>
  </si>
  <si>
    <t xml:space="preserve">社会言語的適切さ＋柔軟さ：開始・維持・終了を状況に合わせて束ねる。</t>
  </si>
  <si>
    <t xml:space="preserve">関係を自分から「開く」定型（I don't think we've met）や、良い印象で「閉じる」定型（It was nice talking to you / keep in touch）の層が薄く、挨拶が入口だけで終わりがち。日本語では別れの挨拶が定型的に厚いのに、英語ではその機能表現を別途習得しないと使えない。</t>
  </si>
  <si>
    <t xml:space="preserve">個別の挨拶から「社交的接触の確立」へ。開始〜維持〜終了を一続きの営みとして統合する到達点。</t>
  </si>
  <si>
    <t xml:space="preserve">Can post simple online greetings, using basic formulaic expressions and emoticons.</t>
  </si>
  <si>
    <t xml:space="preserve">基本的な決まり文句と絵文字を使って、簡単なオンラインの挨拶を投稿できる。</t>
  </si>
  <si>
    <t xml:space="preserve">• Happy birthday! 🎉
• Good luck! 😊
• Congrats!</t>
  </si>
  <si>
    <r>
      <rPr>
        <sz val="9"/>
        <rFont val="Arial"/>
        <family val="0"/>
        <charset val="1"/>
      </rPr>
      <t xml:space="preserve">SNS</t>
    </r>
    <r>
      <rPr>
        <sz val="9"/>
        <rFont val="Noto Sans CJK SC"/>
        <family val="2"/>
      </rPr>
      <t xml:space="preserve">やチャットで、定型句＋絵文字の短い挨拶を投稿する。</t>
    </r>
  </si>
  <si>
    <t xml:space="preserve">社会言語的適切さ（オンライン・レジスター）：くだけた場の型と絵文字の運用。</t>
  </si>
  <si>
    <t xml:space="preserve">日本語のオンライン儀礼（「おめでとう🎊」）の感覚は近いが、英語の Congrats! / Happy belated birthday!（遅れた誕生日祝い）のような口語省略形を知らず、硬い Congratulations に留まる。絵文字の使用も控えめすぎることがある。</t>
  </si>
  <si>
    <t xml:space="preserve">（書面起点）口頭の定型語が、オンラインでは絵文字と結んで機能する。</t>
  </si>
  <si>
    <t xml:space="preserve">Can compose a short, simple postcard.</t>
  </si>
  <si>
    <t xml:space="preserve">短く簡単なはがきを書ける。</t>
  </si>
  <si>
    <t xml:space="preserve">• Dear Aya, Greetings from Kyoto! The temples are beautiful. See you soon, Kenji
• Hi Mom, Having a great time here. Weather is lovely. Love, Kenji</t>
  </si>
  <si>
    <t xml:space="preserve">旅先などから、近況の一言を添えた短いはがきを書く。</t>
  </si>
  <si>
    <t xml:space="preserve">社会言語的適切さ（書面枠）：Dear... と結び（Love/See you soon）の枠を守れるか。</t>
  </si>
  <si>
    <t xml:space="preserve">はがき・手紙の結びの語（Love, / Best, / See you soon,）の層が薄く、日本語の「それでは」を直訳して不自然になる。宛名の Dear は日本語の「親愛なる」より軽く日常的、という温度感も掴みにくい。</t>
  </si>
  <si>
    <t xml:space="preserve">オンライン挨拶からの差分：書面の「枠」（宛名・本文・結び）が加わる。</t>
  </si>
  <si>
    <t xml:space="preserve">Can engage in basic social communication online (e.g. a simple message on a virtual card for special occasions, sharing news and making/confirming arrangements to meet).</t>
  </si>
  <si>
    <t xml:space="preserve">オンラインで基本的な社交（特別な機会のカードへの一言、近況共有、会う約束の設定・確認など）ができる。</t>
  </si>
  <si>
    <t xml:space="preserve">• Congratulations on your new job! So happy for you.
• Long time no see! How have you been?
• Shall we meet around 7? — Sounds good, see you then!</t>
  </si>
  <si>
    <t xml:space="preserve">オンラインで、祝い・近況・約束の確認まで含む社交的なやりとりをする。</t>
  </si>
  <si>
    <t xml:space="preserve">社会言語的適切さ＋テンポ：非同期のやりとりで型と応答を回す。</t>
  </si>
  <si>
    <r>
      <rPr>
        <sz val="9"/>
        <rFont val="Arial"/>
        <family val="0"/>
        <charset val="1"/>
      </rPr>
      <t xml:space="preserve">Long time no see! </t>
    </r>
    <r>
      <rPr>
        <sz val="9"/>
        <rFont val="Noto Sans CJK SC"/>
        <family val="2"/>
      </rPr>
      <t xml:space="preserve">のような口語定型や、約束確認の </t>
    </r>
    <r>
      <rPr>
        <sz val="9"/>
        <rFont val="Arial"/>
        <family val="0"/>
        <charset val="1"/>
      </rPr>
      <t xml:space="preserve">Sounds good, see you then! </t>
    </r>
    <r>
      <rPr>
        <sz val="9"/>
        <rFont val="Noto Sans CJK SC"/>
        <family val="2"/>
      </rPr>
      <t xml:space="preserve">のテンポある応答が出てこず、事務的な確認に終始しがち。日本語のオンライン社交の「クッション」を英語の口語定型に置き換える必要がある。</t>
    </r>
  </si>
  <si>
    <t xml:space="preserve">はがきの一方向から、オンラインの「往復する社交」へ。約束の設定・確認まで機能が広がる書面系列の到達点。</t>
  </si>
  <si>
    <t xml:space="preserve">【この行為に「上級」は無い ── 儀礼型の本質】
苦情がA2からC1まで長い梯子を持つのに対し、挨拶・別れ・安否はPre-A1からA2+に完全に収まり、B1以上に記述文が一つも無い。これは欠落ではなく、交話的（phatic）行為の本質である。挨拶に高度な熟達は存在しない ── C2話者も "Hi, how are you?" と言う。CEFRがこの行為を初級だけで記述し尽くしているのは、関係の潤滑という機能が、初級の定型表現でほぼ充足されるからである。したがってこの行為のカタログは「レベルを上る」構造ではなく、「初級の型を、いかに場に合わせて選ぶか」という水平の広がりを持つ。
【難しさは「レベル」ではなく「レジスターとテンポ」にある】
では日本語話者にとって易しいかというと逆で、難所がレベル軸と直交する二つの次元に潜む。第一はレジスター（親しさ・改まりの選択）。sir/madam、Mr.＋姓、first name、ニックネームの使い分けは、日本語の「〜さん」一括感覚では捌けず、相手との距離を英語の呼称体系で測り直す必要がある。第二はテンポ。How are you? — Fine, thanks. And you? の往復は、中身ではなく「間髪入れず型を返す」ことに意味がある。この二つは文法でも語彙でもなく、how well の軸でいえば社会言語的適切さに全面的に属する。
【How are you? は質問ではない ── phatic の核心的誤解】
日本語話者が最もつまずくのは、儀礼的な問いを情報要求と受け取ることである。How are you? に実際の体調を長々答える、How's it going? に詰まる ── これは英語力ではなく、phatic communion（意味の交換ではなく接触の確認そのものが目的の発話）という概念が母語で意識されないために起こる。この行為を教えるとき、「中身より往復」「型は型として回す」という phatic の性質そのものを明示的に伝えることが、どの実例よりも効く。
【開始は言えるが、維持と終了が言えない】
日本語話者の挨拶は入口（Hello, Nice to meet you）に偏り、関係を「閉じる」定型（It was nice talking to you / Let's keep in touch / Have a nice day）の層が決定的に薄い。日本語では別れの挨拶がむしろ厚い（「それでは失礼します」「お世話になりました」）のに英語で出てこないのは、機能が同じでも表現が一対一で写らず、英語側の閉じる定型を別個の語彙として持っていないためである。カタログでは開始・維持・終了を必ず三点セットで示し、とりわけ終了の定型を厚くする。
【範型としての検証 ── 苦情型との対比で見えたこと】
苦情（指示型）では「緩衝の精緻化」がレベル軸を貫いたが、挨拶（儀礼型）ではレベル軸がほぼ消え、代わりに「レジスター選択」「テンポ」「phaticの理解」という水平の難しさが前面に出た。これは範型が行為の類型ごとに異なる顔を持つことを示す。指示型の点検軸（緩衝・二重の壁・隣接行為・口頭書面）はそのままでは効かず、儀礼型には「レベルの梯子が短い／無い」「難所がレジスターとテンポに移る」「phatic性の明示的説明が要る」という別の点検軸が要る。25行為を作り込む際は、まず各行為が指示型・儀礼型・主張型・表出型のどれに属するかを見極め、類型ごとの点検軸を当てるのが正しい ── 単一のテンプレートを全行為に機械適用してはならない。</t>
  </si>
  <si>
    <r>
      <rPr>
        <b val="true"/>
        <sz val="13"/>
        <color rgb="FFFFFFFF"/>
        <rFont val="Noto Sans CJK SC"/>
        <family val="2"/>
      </rPr>
      <t xml:space="preserve">第</t>
    </r>
    <r>
      <rPr>
        <b val="true"/>
        <sz val="13"/>
        <color rgb="FFFFFFFF"/>
        <rFont val="Arial"/>
        <family val="0"/>
        <charset val="1"/>
      </rPr>
      <t xml:space="preserve">1</t>
    </r>
    <r>
      <rPr>
        <b val="true"/>
        <sz val="13"/>
        <color rgb="FFFFFFFF"/>
        <rFont val="Noto Sans CJK SC"/>
        <family val="2"/>
      </rPr>
      <t xml:space="preserve">カタログ 範型 ── 発語内行為「事実情報の質問と応答（</t>
    </r>
    <r>
      <rPr>
        <b val="true"/>
        <sz val="13"/>
        <color rgb="FFFFFFFF"/>
        <rFont val="Arial"/>
        <family val="0"/>
        <charset val="1"/>
      </rPr>
      <t xml:space="preserve">Asking &amp; answering factual questions</t>
    </r>
    <r>
      <rPr>
        <b val="true"/>
        <sz val="13"/>
        <color rgb="FFFFFFFF"/>
        <rFont val="Noto Sans CJK SC"/>
        <family val="2"/>
      </rPr>
      <t xml:space="preserve">）」</t>
    </r>
  </si>
  <si>
    <r>
      <rPr>
        <i val="true"/>
        <sz val="9"/>
        <rFont val="Noto Sans CJK SC"/>
        <family val="2"/>
      </rPr>
      <t xml:space="preserve">類型：主張的（</t>
    </r>
    <r>
      <rPr>
        <i val="true"/>
        <sz val="9"/>
        <rFont val="Arial"/>
        <family val="0"/>
        <charset val="1"/>
      </rPr>
      <t xml:space="preserve">assertive</t>
    </r>
    <r>
      <rPr>
        <i val="true"/>
        <sz val="9"/>
        <rFont val="Noto Sans CJK SC"/>
        <family val="2"/>
      </rPr>
      <t xml:space="preserve">）── 世界の事実を尋ね、真偽の判断を伴って答える　／　本質：名前・時刻・場所・予定などの事実情報を、質問と応答のペアで往復させる。行為の核は情報の正確な授受であり、緩衝もレジスターも二次的。疑問文の構造そのものが遂行の要となる。</t>
    </r>
  </si>
  <si>
    <r>
      <rPr>
        <b val="true"/>
        <sz val="10"/>
        <color rgb="FFFFFFFF"/>
        <rFont val="Noto Sans CJK SC"/>
        <family val="2"/>
      </rPr>
      <t xml:space="preserve">実例（</t>
    </r>
    <r>
      <rPr>
        <b val="true"/>
        <sz val="10"/>
        <color rgb="FFFFFFFF"/>
        <rFont val="Arial"/>
        <family val="0"/>
        <charset val="1"/>
      </rPr>
      <t xml:space="preserve">exponent</t>
    </r>
    <r>
      <rPr>
        <b val="true"/>
        <sz val="10"/>
        <color rgb="FFFFFFFF"/>
        <rFont val="Noto Sans CJK SC"/>
        <family val="2"/>
      </rPr>
      <t xml:space="preserve">）</t>
    </r>
  </si>
  <si>
    <r>
      <rPr>
        <b val="true"/>
        <sz val="10"/>
        <color rgb="FFFFFFFF"/>
        <rFont val="Noto Sans CJK SC"/>
        <family val="2"/>
      </rPr>
      <t xml:space="preserve">効く</t>
    </r>
    <r>
      <rPr>
        <b val="true"/>
        <sz val="10"/>
        <color rgb="FFFFFFFF"/>
        <rFont val="Arial"/>
        <family val="0"/>
        <charset val="1"/>
      </rPr>
      <t xml:space="preserve">how well</t>
    </r>
    <r>
      <rPr>
        <b val="true"/>
        <sz val="10"/>
        <color rgb="FFFFFFFF"/>
        <rFont val="Noto Sans CJK SC"/>
        <family val="2"/>
      </rPr>
      <t xml:space="preserve">軸</t>
    </r>
  </si>
  <si>
    <r>
      <rPr>
        <b val="true"/>
        <sz val="10"/>
        <color rgb="FFFFFFFF"/>
        <rFont val="Noto Sans CJK SC"/>
        <family val="2"/>
      </rPr>
      <t xml:space="preserve">日本語話者への</t>
    </r>
    <r>
      <rPr>
        <b val="true"/>
        <sz val="10"/>
        <color rgb="FFFFFFFF"/>
        <rFont val="Arial"/>
        <family val="0"/>
        <charset val="1"/>
      </rPr>
      <t xml:space="preserve">L1</t>
    </r>
    <r>
      <rPr>
        <b val="true"/>
        <sz val="10"/>
        <color rgb="FFFFFFFF"/>
        <rFont val="Noto Sans CJK SC"/>
        <family val="2"/>
      </rPr>
      <t xml:space="preserve">語用論注意</t>
    </r>
  </si>
  <si>
    <t xml:space="preserve">Can tell people their name and ask other people their names.</t>
  </si>
  <si>
    <t xml:space="preserve">自分の名前を名乗り、他の人に名前を尋ねられる。</t>
  </si>
  <si>
    <t xml:space="preserve">• What's your name? — My name is Kenji. / I'm Kenji.
• And you? What's your name?</t>
  </si>
  <si>
    <t xml:space="preserve">初対面で名前を尋ね合う、最も基本的な情報交換。</t>
  </si>
  <si>
    <r>
      <rPr>
        <sz val="9"/>
        <rFont val="Noto Sans CJK SC"/>
        <family val="2"/>
      </rPr>
      <t xml:space="preserve">文法的正確さ（疑問文の骨格）：</t>
    </r>
    <r>
      <rPr>
        <sz val="9"/>
        <rFont val="Arial"/>
        <family val="0"/>
        <charset val="1"/>
      </rPr>
      <t xml:space="preserve">What's your name? </t>
    </r>
    <r>
      <rPr>
        <sz val="9"/>
        <rFont val="Noto Sans CJK SC"/>
        <family val="2"/>
      </rPr>
      <t xml:space="preserve">の語順を作れるか。</t>
    </r>
  </si>
  <si>
    <r>
      <rPr>
        <sz val="9"/>
        <rFont val="Noto Sans CJK SC"/>
        <family val="2"/>
      </rPr>
      <t xml:space="preserve">日本語は「お名前は？」と述語を略しても成立するが、英語は </t>
    </r>
    <r>
      <rPr>
        <sz val="9"/>
        <rFont val="Arial"/>
        <family val="0"/>
        <charset val="1"/>
      </rPr>
      <t xml:space="preserve">What is your name? </t>
    </r>
    <r>
      <rPr>
        <sz val="9"/>
        <rFont val="Noto Sans CJK SC"/>
        <family val="2"/>
      </rPr>
      <t xml:space="preserve">と疑問詞＋</t>
    </r>
    <r>
      <rPr>
        <sz val="9"/>
        <rFont val="Arial"/>
        <family val="0"/>
        <charset val="1"/>
      </rPr>
      <t xml:space="preserve">be</t>
    </r>
    <r>
      <rPr>
        <sz val="9"/>
        <rFont val="Noto Sans CJK SC"/>
        <family val="2"/>
      </rPr>
      <t xml:space="preserve">動詞＋主語の語順が必須。主語を落として </t>
    </r>
    <r>
      <rPr>
        <sz val="9"/>
        <rFont val="Arial"/>
        <family val="0"/>
        <charset val="1"/>
      </rPr>
      <t xml:space="preserve">Name? </t>
    </r>
    <r>
      <rPr>
        <sz val="9"/>
        <rFont val="Noto Sans CJK SC"/>
        <family val="2"/>
      </rPr>
      <t xml:space="preserve">だけだと幼稚か無礼に響く。疑問文の骨格そのものが最初の壁。</t>
    </r>
  </si>
  <si>
    <t xml:space="preserve">（起点）疑問文の最小形。事実の授受の最小単位。</t>
  </si>
  <si>
    <t xml:space="preserve">Can ask very simple questions for information, such as “What is this?” and understand one- or two-word/sign answers.</t>
  </si>
  <si>
    <r>
      <rPr>
        <sz val="9"/>
        <rFont val="Noto Sans CJK SC"/>
        <family val="2"/>
      </rPr>
      <t xml:space="preserve">「これは何</t>
    </r>
    <r>
      <rPr>
        <sz val="9"/>
        <rFont val="Arial"/>
        <family val="0"/>
        <charset val="1"/>
      </rPr>
      <t xml:space="preserve">?</t>
    </r>
    <r>
      <rPr>
        <sz val="9"/>
        <rFont val="Noto Sans CJK SC"/>
        <family val="2"/>
      </rPr>
      <t xml:space="preserve">」等の簡単な情報の質問をし、</t>
    </r>
    <r>
      <rPr>
        <sz val="9"/>
        <rFont val="Arial"/>
        <family val="0"/>
        <charset val="1"/>
      </rPr>
      <t xml:space="preserve">1</t>
    </r>
    <r>
      <rPr>
        <sz val="9"/>
        <rFont val="Noto Sans CJK SC"/>
        <family val="2"/>
      </rPr>
      <t xml:space="preserve">〜</t>
    </r>
    <r>
      <rPr>
        <sz val="9"/>
        <rFont val="Arial"/>
        <family val="0"/>
        <charset val="1"/>
      </rPr>
      <t xml:space="preserve">2</t>
    </r>
    <r>
      <rPr>
        <sz val="9"/>
        <rFont val="Noto Sans CJK SC"/>
        <family val="2"/>
      </rPr>
      <t xml:space="preserve">語の答えを理解できる。</t>
    </r>
  </si>
  <si>
    <t xml:space="preserve">• What is this? — It's a key.
• What's that in English?</t>
  </si>
  <si>
    <t xml:space="preserve">物を指して名称を尋ね、短い答えを受け取る。</t>
  </si>
  <si>
    <r>
      <rPr>
        <sz val="9"/>
        <rFont val="Noto Sans CJK SC"/>
        <family val="2"/>
      </rPr>
      <t xml:space="preserve">文法的正確さ＋受容：</t>
    </r>
    <r>
      <rPr>
        <sz val="9"/>
        <rFont val="Arial"/>
        <family val="0"/>
        <charset val="1"/>
      </rPr>
      <t xml:space="preserve">What</t>
    </r>
    <r>
      <rPr>
        <sz val="9"/>
        <rFont val="Noto Sans CJK SC"/>
        <family val="2"/>
      </rPr>
      <t xml:space="preserve">疑問文と一語応答の理解。</t>
    </r>
  </si>
  <si>
    <r>
      <rPr>
        <sz val="9"/>
        <rFont val="Noto Sans CJK SC"/>
        <family val="2"/>
      </rPr>
      <t xml:space="preserve">答えの </t>
    </r>
    <r>
      <rPr>
        <sz val="9"/>
        <rFont val="Arial"/>
        <family val="0"/>
        <charset val="1"/>
      </rPr>
      <t xml:space="preserve">It's a key. </t>
    </r>
    <r>
      <rPr>
        <sz val="9"/>
        <rFont val="Noto Sans CJK SC"/>
        <family val="2"/>
      </rPr>
      <t xml:space="preserve">の </t>
    </r>
    <r>
      <rPr>
        <sz val="9"/>
        <rFont val="Arial"/>
        <family val="0"/>
        <charset val="1"/>
      </rPr>
      <t xml:space="preserve">It's </t>
    </r>
    <r>
      <rPr>
        <sz val="9"/>
        <rFont val="Noto Sans CJK SC"/>
        <family val="2"/>
      </rPr>
      <t xml:space="preserve">を省いて </t>
    </r>
    <r>
      <rPr>
        <sz val="9"/>
        <rFont val="Arial"/>
        <family val="0"/>
        <charset val="1"/>
      </rPr>
      <t xml:space="preserve">A key </t>
    </r>
    <r>
      <rPr>
        <sz val="9"/>
        <rFont val="Noto Sans CJK SC"/>
        <family val="2"/>
      </rPr>
      <t xml:space="preserve">と答えるのは英語でも自然だが、日本語話者は逆に「これはキーです」に引きずられ </t>
    </r>
    <r>
      <rPr>
        <sz val="9"/>
        <rFont val="Arial"/>
        <family val="0"/>
        <charset val="1"/>
      </rPr>
      <t xml:space="preserve">This is key.</t>
    </r>
    <r>
      <rPr>
        <sz val="9"/>
        <rFont val="Noto Sans CJK SC"/>
        <family val="2"/>
      </rPr>
      <t xml:space="preserve">（冠詞落ち）としがち。冠詞は日本語に無い範疇なので、事実応答のたびに落ちる。</t>
    </r>
  </si>
  <si>
    <r>
      <rPr>
        <sz val="9"/>
        <rFont val="Noto Sans CJK SC"/>
        <family val="2"/>
      </rPr>
      <t xml:space="preserve">名前から一般の事物へ。</t>
    </r>
    <r>
      <rPr>
        <sz val="9"/>
        <rFont val="Arial"/>
        <family val="0"/>
        <charset val="1"/>
      </rPr>
      <t xml:space="preserve">What+be</t>
    </r>
    <r>
      <rPr>
        <sz val="9"/>
        <rFont val="Noto Sans CJK SC"/>
        <family val="2"/>
      </rPr>
      <t xml:space="preserve">動詞の疑問を汎用化。</t>
    </r>
  </si>
  <si>
    <t xml:space="preserve">Can ask and tell what day, time of day and date it is.</t>
  </si>
  <si>
    <t xml:space="preserve">何曜日か、一日のうちのいつか、何日かを尋ね、言える。</t>
  </si>
  <si>
    <t xml:space="preserve">• What day is it today? — It's Monday.
• What time is it? — It's half past three.
• What's the date today? — It's the 5th of July.</t>
  </si>
  <si>
    <t xml:space="preserve">曜日・時刻・日付という定型的事実を尋ね合う。</t>
  </si>
  <si>
    <r>
      <rPr>
        <sz val="9"/>
        <rFont val="Noto Sans CJK SC"/>
        <family val="2"/>
      </rPr>
      <t xml:space="preserve">文法的正確さ（非人称の </t>
    </r>
    <r>
      <rPr>
        <sz val="9"/>
        <rFont val="Arial"/>
        <family val="0"/>
        <charset val="1"/>
      </rPr>
      <t xml:space="preserve">it</t>
    </r>
    <r>
      <rPr>
        <sz val="9"/>
        <rFont val="Noto Sans CJK SC"/>
        <family val="2"/>
      </rPr>
      <t xml:space="preserve">）：時刻・日付の </t>
    </r>
    <r>
      <rPr>
        <sz val="9"/>
        <rFont val="Arial"/>
        <family val="0"/>
        <charset val="1"/>
      </rPr>
      <t xml:space="preserve">it is </t>
    </r>
    <r>
      <rPr>
        <sz val="9"/>
        <rFont val="Noto Sans CJK SC"/>
        <family val="2"/>
      </rPr>
      <t xml:space="preserve">構文。</t>
    </r>
  </si>
  <si>
    <r>
      <rPr>
        <sz val="9"/>
        <rFont val="Noto Sans CJK SC"/>
        <family val="2"/>
      </rPr>
      <t xml:space="preserve">時刻・曜日の主語 </t>
    </r>
    <r>
      <rPr>
        <sz val="9"/>
        <rFont val="Arial"/>
        <family val="0"/>
        <charset val="1"/>
      </rPr>
      <t xml:space="preserve">it</t>
    </r>
    <r>
      <rPr>
        <sz val="9"/>
        <rFont val="Noto Sans CJK SC"/>
        <family val="2"/>
      </rPr>
      <t xml:space="preserve">（</t>
    </r>
    <r>
      <rPr>
        <sz val="9"/>
        <rFont val="Arial"/>
        <family val="0"/>
        <charset val="1"/>
      </rPr>
      <t xml:space="preserve">It's Monday</t>
    </r>
    <r>
      <rPr>
        <sz val="9"/>
        <rFont val="Noto Sans CJK SC"/>
        <family val="2"/>
      </rPr>
      <t xml:space="preserve">）は日本語に対応物が無く、主語を落として </t>
    </r>
    <r>
      <rPr>
        <sz val="9"/>
        <rFont val="Arial"/>
        <family val="0"/>
        <charset val="1"/>
      </rPr>
      <t xml:space="preserve">Monday. </t>
    </r>
    <r>
      <rPr>
        <sz val="9"/>
        <rFont val="Noto Sans CJK SC"/>
        <family val="2"/>
      </rPr>
      <t xml:space="preserve">とだけ答えがち。また </t>
    </r>
    <r>
      <rPr>
        <sz val="9"/>
        <rFont val="Arial"/>
        <family val="0"/>
        <charset val="1"/>
      </rPr>
      <t xml:space="preserve">half past three</t>
    </r>
    <r>
      <rPr>
        <sz val="9"/>
        <rFont val="Noto Sans CJK SC"/>
        <family val="2"/>
      </rPr>
      <t xml:space="preserve">（</t>
    </r>
    <r>
      <rPr>
        <sz val="9"/>
        <rFont val="Arial"/>
        <family val="0"/>
        <charset val="1"/>
      </rPr>
      <t xml:space="preserve">3</t>
    </r>
    <r>
      <rPr>
        <sz val="9"/>
        <rFont val="Noto Sans CJK SC"/>
        <family val="2"/>
      </rPr>
      <t xml:space="preserve">時半）</t>
    </r>
    <r>
      <rPr>
        <sz val="9"/>
        <rFont val="Arial"/>
        <family val="0"/>
        <charset val="1"/>
      </rPr>
      <t xml:space="preserve">like </t>
    </r>
    <r>
      <rPr>
        <sz val="9"/>
        <rFont val="Noto Sans CJK SC"/>
        <family val="2"/>
      </rPr>
      <t xml:space="preserve">の英語独特の時刻表現は、日本語の「</t>
    </r>
    <r>
      <rPr>
        <sz val="9"/>
        <rFont val="Arial"/>
        <family val="0"/>
        <charset val="1"/>
      </rPr>
      <t xml:space="preserve">3</t>
    </r>
    <r>
      <rPr>
        <sz val="9"/>
        <rFont val="Noto Sans CJK SC"/>
        <family val="2"/>
      </rPr>
      <t xml:space="preserve">時半」から直訳できず、型として覚える必要がある。</t>
    </r>
  </si>
  <si>
    <r>
      <rPr>
        <sz val="9"/>
        <rFont val="Noto Sans CJK SC"/>
        <family val="2"/>
      </rPr>
      <t xml:space="preserve">事物から「定型的事実（時・日付）」へ。非人称</t>
    </r>
    <r>
      <rPr>
        <sz val="9"/>
        <rFont val="Arial"/>
        <family val="0"/>
        <charset val="1"/>
      </rPr>
      <t xml:space="preserve">it</t>
    </r>
    <r>
      <rPr>
        <sz val="9"/>
        <rFont val="Noto Sans CJK SC"/>
        <family val="2"/>
      </rPr>
      <t xml:space="preserve">の構文が加わる。</t>
    </r>
  </si>
  <si>
    <t xml:space="preserve">Can ask and answer questions about themselves and other people, where they live, people they know, things they have.</t>
  </si>
  <si>
    <t xml:space="preserve">自分や他の人、住んでいる場所、知っている人、持っているものについて質問し、答えられる。</t>
  </si>
  <si>
    <t xml:space="preserve">• Where do you live? — I live in Osaka.
• Do you have any brothers or sisters? — Yes, I have one sister.
• Who's that? — That's my friend Aya.</t>
  </si>
  <si>
    <t xml:space="preserve">居住地・家族・所有物など、身辺の事実を双方向に尋ね合う。</t>
  </si>
  <si>
    <r>
      <rPr>
        <sz val="9"/>
        <rFont val="Noto Sans CJK SC"/>
        <family val="2"/>
      </rPr>
      <t xml:space="preserve">文法的正確さ（一般動詞の疑問）：</t>
    </r>
    <r>
      <rPr>
        <sz val="9"/>
        <rFont val="Arial"/>
        <family val="0"/>
        <charset val="1"/>
      </rPr>
      <t xml:space="preserve">do/does </t>
    </r>
    <r>
      <rPr>
        <sz val="9"/>
        <rFont val="Noto Sans CJK SC"/>
        <family val="2"/>
      </rPr>
      <t xml:space="preserve">を使った疑問文の構築。</t>
    </r>
  </si>
  <si>
    <r>
      <rPr>
        <sz val="9"/>
        <rFont val="Arial"/>
        <family val="0"/>
        <charset val="1"/>
      </rPr>
      <t xml:space="preserve">Where do you live? </t>
    </r>
    <r>
      <rPr>
        <sz val="9"/>
        <rFont val="Noto Sans CJK SC"/>
        <family val="2"/>
      </rPr>
      <t xml:space="preserve">の </t>
    </r>
    <r>
      <rPr>
        <sz val="9"/>
        <rFont val="Arial"/>
        <family val="0"/>
        <charset val="1"/>
      </rPr>
      <t xml:space="preserve">do </t>
    </r>
    <r>
      <rPr>
        <sz val="9"/>
        <rFont val="Noto Sans CJK SC"/>
        <family val="2"/>
      </rPr>
      <t xml:space="preserve">は日本語に対応が無く、</t>
    </r>
    <r>
      <rPr>
        <sz val="9"/>
        <rFont val="Arial"/>
        <family val="0"/>
        <charset val="1"/>
      </rPr>
      <t xml:space="preserve">Where you live? </t>
    </r>
    <r>
      <rPr>
        <sz val="9"/>
        <rFont val="Noto Sans CJK SC"/>
        <family val="2"/>
      </rPr>
      <t xml:space="preserve">と </t>
    </r>
    <r>
      <rPr>
        <sz val="9"/>
        <rFont val="Arial"/>
        <family val="0"/>
        <charset val="1"/>
      </rPr>
      <t xml:space="preserve">do </t>
    </r>
    <r>
      <rPr>
        <sz val="9"/>
        <rFont val="Noto Sans CJK SC"/>
        <family val="2"/>
      </rPr>
      <t xml:space="preserve">を落とす誤りが頻発。日本語の疑問は語尾（〜か）だけで作れるため、英語の「助動詞</t>
    </r>
    <r>
      <rPr>
        <sz val="9"/>
        <rFont val="Arial"/>
        <family val="0"/>
        <charset val="1"/>
      </rPr>
      <t xml:space="preserve">do</t>
    </r>
    <r>
      <rPr>
        <sz val="9"/>
        <rFont val="Noto Sans CJK SC"/>
        <family val="2"/>
      </rPr>
      <t xml:space="preserve">を前に立てる」操作が身につきにくい。主張型の中核的な文法的つまずき。</t>
    </r>
  </si>
  <si>
    <r>
      <rPr>
        <sz val="9"/>
        <rFont val="Arial"/>
        <family val="0"/>
        <charset val="1"/>
      </rPr>
      <t xml:space="preserve">Pre-A1</t>
    </r>
    <r>
      <rPr>
        <sz val="9"/>
        <rFont val="Noto Sans CJK SC"/>
        <family val="2"/>
      </rPr>
      <t xml:space="preserve">からの飛躍：</t>
    </r>
    <r>
      <rPr>
        <sz val="9"/>
        <rFont val="Arial"/>
        <family val="0"/>
        <charset val="1"/>
      </rPr>
      <t xml:space="preserve">be</t>
    </r>
    <r>
      <rPr>
        <sz val="9"/>
        <rFont val="Noto Sans CJK SC"/>
        <family val="2"/>
      </rPr>
      <t xml:space="preserve">動詞疑問から一般動詞疑問（</t>
    </r>
    <r>
      <rPr>
        <sz val="9"/>
        <rFont val="Arial"/>
        <family val="0"/>
        <charset val="1"/>
      </rPr>
      <t xml:space="preserve">do</t>
    </r>
    <r>
      <rPr>
        <sz val="9"/>
        <rFont val="Noto Sans CJK SC"/>
        <family val="2"/>
      </rPr>
      <t xml:space="preserve">支持）へ。扱う事実も身辺全般に拡大。</t>
    </r>
  </si>
  <si>
    <t xml:space="preserve">Can ask and answer simple questions about an event (e.g. ask where and when it took place, who was there and what it was like).</t>
  </si>
  <si>
    <t xml:space="preserve">出来事について簡単な質問をし答えられる（どこで・いつ・誰が・どうだったか）。</t>
  </si>
  <si>
    <t xml:space="preserve">• Where was the party? — It was at Kenji's place.
• How was it? — It was really fun.
• Who was there? — Aya and some people from work.</t>
  </si>
  <si>
    <t xml:space="preserve">済んだ出来事について、場所・時・参加者・様子を尋ね合う。</t>
  </si>
  <si>
    <r>
      <rPr>
        <sz val="9"/>
        <rFont val="Noto Sans CJK SC"/>
        <family val="2"/>
      </rPr>
      <t xml:space="preserve">文法的正確さ（過去時制）：</t>
    </r>
    <r>
      <rPr>
        <sz val="9"/>
        <rFont val="Arial"/>
        <family val="0"/>
        <charset val="1"/>
      </rPr>
      <t xml:space="preserve">was/were </t>
    </r>
    <r>
      <rPr>
        <sz val="9"/>
        <rFont val="Noto Sans CJK SC"/>
        <family val="2"/>
      </rPr>
      <t xml:space="preserve">と過去疑問の運用。</t>
    </r>
  </si>
  <si>
    <r>
      <rPr>
        <sz val="9"/>
        <rFont val="Noto Sans CJK SC"/>
        <family val="2"/>
      </rPr>
      <t xml:space="preserve">過去の出来事なので </t>
    </r>
    <r>
      <rPr>
        <sz val="9"/>
        <rFont val="Arial"/>
        <family val="0"/>
        <charset val="1"/>
      </rPr>
      <t xml:space="preserve">was/were </t>
    </r>
    <r>
      <rPr>
        <sz val="9"/>
        <rFont val="Noto Sans CJK SC"/>
        <family val="2"/>
      </rPr>
      <t xml:space="preserve">や </t>
    </r>
    <r>
      <rPr>
        <sz val="9"/>
        <rFont val="Arial"/>
        <family val="0"/>
        <charset val="1"/>
      </rPr>
      <t xml:space="preserve">did </t>
    </r>
    <r>
      <rPr>
        <sz val="9"/>
        <rFont val="Noto Sans CJK SC"/>
        <family val="2"/>
      </rPr>
      <t xml:space="preserve">が要るが、日本語話者は時制標示を落として </t>
    </r>
    <r>
      <rPr>
        <sz val="9"/>
        <rFont val="Arial"/>
        <family val="0"/>
        <charset val="1"/>
      </rPr>
      <t xml:space="preserve">Where the party? / How it was?</t>
    </r>
    <r>
      <rPr>
        <sz val="9"/>
        <rFont val="Noto Sans CJK SC"/>
        <family val="2"/>
      </rPr>
      <t xml:space="preserve">（語順崩れ）としやすい。日本語の過去「〜だった」は英語の時制ほど厳密な一致を求めないため、疑問文中の時制保持が弱い。</t>
    </r>
  </si>
  <si>
    <t xml:space="preserve">現在の事実から「過去の出来事」へ。過去時制の疑問・応答が加わる。</t>
  </si>
  <si>
    <t xml:space="preserve">Can ask for and give directions referring to a map or plan.</t>
  </si>
  <si>
    <t xml:space="preserve">地図や見取り図を参照しながら道順を尋ね、教えられる。</t>
  </si>
  <si>
    <t xml:space="preserve">• How do I get to the station? — Go straight and turn left at the bank.
• Is it far? — No, about five minutes on foot.
• Where are we now? — We're here, near the museum.</t>
  </si>
  <si>
    <t xml:space="preserve">地図を見ながら、目的地への行き方を尋ね教え合う。</t>
  </si>
  <si>
    <t xml:space="preserve">叙述の正確さ＋文法（命令文の道案内）：方向表現の連鎖。</t>
  </si>
  <si>
    <r>
      <rPr>
        <sz val="9"/>
        <rFont val="Noto Sans CJK SC"/>
        <family val="2"/>
      </rPr>
      <t xml:space="preserve">道案内の応答は命令文（</t>
    </r>
    <r>
      <rPr>
        <sz val="9"/>
        <rFont val="Arial"/>
        <family val="0"/>
        <charset val="1"/>
      </rPr>
      <t xml:space="preserve">Go straight, Turn left</t>
    </r>
    <r>
      <rPr>
        <sz val="9"/>
        <rFont val="Noto Sans CJK SC"/>
        <family val="2"/>
      </rPr>
      <t xml:space="preserve">）を使うが、日本語話者は命令形が強く聞こえると感じて避け、遠回しにしがち。英語では道案内の命令文は失礼でなく標準。また前置詞（</t>
    </r>
    <r>
      <rPr>
        <sz val="9"/>
        <rFont val="Arial"/>
        <family val="0"/>
        <charset val="1"/>
      </rPr>
      <t xml:space="preserve">at the bank, on your right</t>
    </r>
    <r>
      <rPr>
        <sz val="9"/>
        <rFont val="Noto Sans CJK SC"/>
        <family val="2"/>
      </rPr>
      <t xml:space="preserve">）の選択が日本語の助詞感覚とずれる。</t>
    </r>
  </si>
  <si>
    <t xml:space="preserve">口頭事実交換の応用：静的事実から「空間的手順の授受」へ。命令文応答が加わる。</t>
  </si>
  <si>
    <t xml:space="preserve">Can ask and answer questions about habits and routines.</t>
  </si>
  <si>
    <t xml:space="preserve">習慣や日課について質問し、答えられる。</t>
  </si>
  <si>
    <t xml:space="preserve">• What time do you usually get up? — Around seven.
• How often do you exercise? — Twice a week.
• Do you always take the train? — Usually, yes.</t>
  </si>
  <si>
    <t xml:space="preserve">日常の習慣・頻度について尋ね合う。</t>
  </si>
  <si>
    <t xml:space="preserve">文法的正確さ（頻度・習慣の現在形）：頻度副詞と現在形の運用。</t>
  </si>
  <si>
    <r>
      <rPr>
        <sz val="9"/>
        <rFont val="Noto Sans CJK SC"/>
        <family val="2"/>
      </rPr>
      <t xml:space="preserve">頻度副詞（</t>
    </r>
    <r>
      <rPr>
        <sz val="9"/>
        <rFont val="Arial"/>
        <family val="0"/>
        <charset val="1"/>
      </rPr>
      <t xml:space="preserve">usually, often, twice a week</t>
    </r>
    <r>
      <rPr>
        <sz val="9"/>
        <rFont val="Noto Sans CJK SC"/>
        <family val="2"/>
      </rPr>
      <t xml:space="preserve">）の位置が日本語と異なり、</t>
    </r>
    <r>
      <rPr>
        <sz val="9"/>
        <rFont val="Arial"/>
        <family val="0"/>
        <charset val="1"/>
      </rPr>
      <t xml:space="preserve">I usually get up... </t>
    </r>
    <r>
      <rPr>
        <sz val="9"/>
        <rFont val="Noto Sans CJK SC"/>
        <family val="2"/>
      </rPr>
      <t xml:space="preserve">の語中位置を外して文末や文頭に置きがち。また習慣を表す現在形と進行形の別（</t>
    </r>
    <r>
      <rPr>
        <sz val="9"/>
        <rFont val="Arial"/>
        <family val="0"/>
        <charset val="1"/>
      </rPr>
      <t xml:space="preserve">I take the train / I'm taking</t>
    </r>
    <r>
      <rPr>
        <sz val="9"/>
        <rFont val="Noto Sans CJK SC"/>
        <family val="2"/>
      </rPr>
      <t xml:space="preserve">）が、日本語の「〜している」一括感覚で混同される。</t>
    </r>
  </si>
  <si>
    <t xml:space="preserve">単発の出来事から「反復する習慣」へ。頻度表現と習慣の現在形が加わる。</t>
  </si>
  <si>
    <t xml:space="preserve">Can ask and answer questions about plans and intentions.</t>
  </si>
  <si>
    <t xml:space="preserve">計画や意図について質問し、答えられる。</t>
  </si>
  <si>
    <t xml:space="preserve">• What are you doing this weekend? — I'm meeting some friends.
• Are you going to travel this summer? — Yes, I'm planning to.
• What time will you arrive? — Probably around six.</t>
  </si>
  <si>
    <t xml:space="preserve">予定・意図について尋ね合う。</t>
  </si>
  <si>
    <r>
      <rPr>
        <sz val="9"/>
        <rFont val="Noto Sans CJK SC"/>
        <family val="2"/>
      </rPr>
      <t xml:space="preserve">文法的正確さ（未来表現の選択）：</t>
    </r>
    <r>
      <rPr>
        <sz val="9"/>
        <rFont val="Arial"/>
        <family val="0"/>
        <charset val="1"/>
      </rPr>
      <t xml:space="preserve">will / be going to / </t>
    </r>
    <r>
      <rPr>
        <sz val="9"/>
        <rFont val="Noto Sans CJK SC"/>
        <family val="2"/>
      </rPr>
      <t xml:space="preserve">現在進行形の使い分け。</t>
    </r>
  </si>
  <si>
    <r>
      <rPr>
        <sz val="9"/>
        <rFont val="Noto Sans CJK SC"/>
        <family val="2"/>
      </rPr>
      <t xml:space="preserve">英語の未来表現は三系統（</t>
    </r>
    <r>
      <rPr>
        <sz val="9"/>
        <rFont val="Arial"/>
        <family val="0"/>
        <charset val="1"/>
      </rPr>
      <t xml:space="preserve">will</t>
    </r>
    <r>
      <rPr>
        <sz val="9"/>
        <rFont val="Noto Sans CJK SC"/>
        <family val="2"/>
      </rPr>
      <t xml:space="preserve">＝その場の決定・予測、</t>
    </r>
    <r>
      <rPr>
        <sz val="9"/>
        <rFont val="Arial"/>
        <family val="0"/>
        <charset val="1"/>
      </rPr>
      <t xml:space="preserve">be going to</t>
    </r>
    <r>
      <rPr>
        <sz val="9"/>
        <rFont val="Noto Sans CJK SC"/>
        <family val="2"/>
      </rPr>
      <t xml:space="preserve">＝既定の意図、現在進行形＝手配済みの予定）あるが、日本語の「〜する／〜するつもり」の二分では捌けず、どれを使うか判断できない。この使い分けは主張型・未来事実の最大の難所。</t>
    </r>
  </si>
  <si>
    <t xml:space="preserve">過去・現在の事実から「未来の予定・意図」へ。未来表現の体系が加わる。主張型口頭系列の到達点。</t>
  </si>
  <si>
    <t xml:space="preserve">Can convey personal information of a routine nature, for example in a short e-mail or letter introducing themselves.</t>
  </si>
  <si>
    <t xml:space="preserve">日常的な個人情報を伝えられる（自己紹介する短いメールなど）。</t>
  </si>
  <si>
    <t xml:space="preserve">• Hi, I'm Kenji. I'm from Osaka and I work at a software company.
• I have two cats and I like hiking. What about you?</t>
  </si>
  <si>
    <t xml:space="preserve">自己紹介のメールで、身辺の事実情報を文章で伝える。</t>
  </si>
  <si>
    <r>
      <rPr>
        <sz val="9"/>
        <rFont val="Noto Sans CJK SC"/>
        <family val="2"/>
      </rPr>
      <t xml:space="preserve">文法的正確さ（平叙文の事実記述）：</t>
    </r>
    <r>
      <rPr>
        <sz val="9"/>
        <rFont val="Arial"/>
        <family val="0"/>
        <charset val="1"/>
      </rPr>
      <t xml:space="preserve">I am / I have / I work </t>
    </r>
    <r>
      <rPr>
        <sz val="9"/>
        <rFont val="Noto Sans CJK SC"/>
        <family val="2"/>
      </rPr>
      <t xml:space="preserve">の平叙連鎖。</t>
    </r>
  </si>
  <si>
    <r>
      <rPr>
        <sz val="9"/>
        <rFont val="Noto Sans CJK SC"/>
        <family val="2"/>
      </rPr>
      <t xml:space="preserve">口頭では往復で成立するが、書面では自己完結した平叙文を連ねる必要がある。日本語話者は主語 </t>
    </r>
    <r>
      <rPr>
        <sz val="9"/>
        <rFont val="Arial"/>
        <family val="0"/>
        <charset val="1"/>
      </rPr>
      <t xml:space="preserve">I </t>
    </r>
    <r>
      <rPr>
        <sz val="9"/>
        <rFont val="Noto Sans CJK SC"/>
        <family val="2"/>
      </rPr>
      <t xml:space="preserve">の反復を冗長に感じて落としがちだが、英語では各文に主語が要る。話し言葉の省略を書면に持ち込むと非文になる。</t>
    </r>
  </si>
  <si>
    <t xml:space="preserve">（書面起点）口頭の質問応答が、書面では一方向の事実記述として立ち上がる。</t>
  </si>
  <si>
    <t xml:space="preserve">Can exchange information by text message, by e-mail or in short letters, responding to questions from the other person (e.g. about a new product or activity).</t>
  </si>
  <si>
    <t xml:space="preserve">テキスト・メール・短い手紙で情報を交換できる（相手の質問に答えながら）。</t>
  </si>
  <si>
    <t xml:space="preserve">• Q: When does the event start? — A: It starts at 2 pm on Saturday.
• Q: Where is it? — A: At the community hall, near the station.</t>
  </si>
  <si>
    <t xml:space="preserve">メールやテキストで、相手の質問に答えつつ事実情報をやりとりする。</t>
  </si>
  <si>
    <t xml:space="preserve">文法的正確さ＋叙述の正確さ：問いに対応した事実の返信。</t>
  </si>
  <si>
    <r>
      <rPr>
        <sz val="9"/>
        <rFont val="Noto Sans CJK SC"/>
        <family val="2"/>
      </rPr>
      <t xml:space="preserve">書面の非同期往復では、相手の質問の時制・焦点に合わせて答える必要があるが、日本語話者は質問を受け止めず自分の言いたい情報を返しがち（質問と応答のかみ合わせのずれ）。英語の</t>
    </r>
    <r>
      <rPr>
        <sz val="9"/>
        <rFont val="Arial"/>
        <family val="0"/>
        <charset val="1"/>
      </rPr>
      <t xml:space="preserve">Q&amp;A</t>
    </r>
    <r>
      <rPr>
        <sz val="9"/>
        <rFont val="Noto Sans CJK SC"/>
        <family val="2"/>
      </rPr>
      <t xml:space="preserve">は問いの構造に応答を対応させる明示性が要る。</t>
    </r>
  </si>
  <si>
    <t xml:space="preserve">自己紹介の一方向から、書面の「往復する情報交換」へ。書面系列の到達点。</t>
  </si>
  <si>
    <r>
      <rPr>
        <sz val="9.5"/>
        <rFont val="Noto Sans CJK SC"/>
        <family val="2"/>
      </rPr>
      <t xml:space="preserve">【主張型の核は疑問文の構造そのものである】
苦情（指示型）の核が緩衝、挨拶（儀礼型）の核がレジスターとテンポだったのに対し、事実情報の質問と応答（主張型）の核は、疑問文と応答の文法構造そのものにある。この行為で一貫して効く </t>
    </r>
    <r>
      <rPr>
        <sz val="9.5"/>
        <rFont val="Arial"/>
        <family val="0"/>
        <charset val="1"/>
      </rPr>
      <t xml:space="preserve">how well </t>
    </r>
    <r>
      <rPr>
        <sz val="9.5"/>
        <rFont val="Noto Sans CJK SC"/>
        <family val="2"/>
      </rPr>
      <t xml:space="preserve">軸は社会言語的適切さではなく文法的正確さである。</t>
    </r>
    <r>
      <rPr>
        <sz val="9.5"/>
        <rFont val="Arial"/>
        <family val="0"/>
        <charset val="1"/>
      </rPr>
      <t xml:space="preserve">What's your name? / Where do you live? / What are you doing this weekend? ── </t>
    </r>
    <r>
      <rPr>
        <sz val="9.5"/>
        <rFont val="Noto Sans CJK SC"/>
        <family val="2"/>
      </rPr>
      <t xml:space="preserve">レベルが上がるとは、扱える疑問の時制と法が広がること（</t>
    </r>
    <r>
      <rPr>
        <sz val="9.5"/>
        <rFont val="Arial"/>
        <family val="0"/>
        <charset val="1"/>
      </rPr>
      <t xml:space="preserve">be</t>
    </r>
    <r>
      <rPr>
        <sz val="9.5"/>
        <rFont val="Noto Sans CJK SC"/>
        <family val="2"/>
      </rPr>
      <t xml:space="preserve">動詞疑問→</t>
    </r>
    <r>
      <rPr>
        <sz val="9.5"/>
        <rFont val="Arial"/>
        <family val="0"/>
        <charset val="1"/>
      </rPr>
      <t xml:space="preserve">do</t>
    </r>
    <r>
      <rPr>
        <sz val="9.5"/>
        <rFont val="Noto Sans CJK SC"/>
        <family val="2"/>
      </rPr>
      <t xml:space="preserve">支持疑問→過去疑問→未来表現の三系統）にほかならない。緩衝もレジスターも、この行為ではほぼ問われない。
【日本語話者のつまずきは「疑問文の作り方」に集中する】
指示型・儀礼型の</t>
    </r>
    <r>
      <rPr>
        <sz val="9.5"/>
        <rFont val="Arial"/>
        <family val="0"/>
        <charset val="1"/>
      </rPr>
      <t xml:space="preserve">L1</t>
    </r>
    <r>
      <rPr>
        <sz val="9.5"/>
        <rFont val="Noto Sans CJK SC"/>
        <family val="2"/>
      </rPr>
      <t xml:space="preserve">問題が語用論（言い出せない、</t>
    </r>
    <r>
      <rPr>
        <sz val="9.5"/>
        <rFont val="Arial"/>
        <family val="0"/>
        <charset val="1"/>
      </rPr>
      <t xml:space="preserve">phatic</t>
    </r>
    <r>
      <rPr>
        <sz val="9.5"/>
        <rFont val="Noto Sans CJK SC"/>
        <family val="2"/>
      </rPr>
      <t xml:space="preserve">の誤解）だったのに対し、主張型の</t>
    </r>
    <r>
      <rPr>
        <sz val="9.5"/>
        <rFont val="Arial"/>
        <family val="0"/>
        <charset val="1"/>
      </rPr>
      <t xml:space="preserve">L1</t>
    </r>
    <r>
      <rPr>
        <sz val="9.5"/>
        <rFont val="Noto Sans CJK SC"/>
        <family val="2"/>
      </rPr>
      <t xml:space="preserve">問題は純粋に文法・統語に寄る。第一に </t>
    </r>
    <r>
      <rPr>
        <sz val="9.5"/>
        <rFont val="Arial"/>
        <family val="0"/>
        <charset val="1"/>
      </rPr>
      <t xml:space="preserve">do </t>
    </r>
    <r>
      <rPr>
        <sz val="9.5"/>
        <rFont val="Noto Sans CJK SC"/>
        <family val="2"/>
      </rPr>
      <t xml:space="preserve">支持 ── 日本語は語尾「〜か」だけで疑問を作れるため、</t>
    </r>
    <r>
      <rPr>
        <sz val="9.5"/>
        <rFont val="Arial"/>
        <family val="0"/>
        <charset val="1"/>
      </rPr>
      <t xml:space="preserve">Where do you live? </t>
    </r>
    <r>
      <rPr>
        <sz val="9.5"/>
        <rFont val="Noto Sans CJK SC"/>
        <family val="2"/>
      </rPr>
      <t xml:space="preserve">の </t>
    </r>
    <r>
      <rPr>
        <sz val="9.5"/>
        <rFont val="Arial"/>
        <family val="0"/>
        <charset val="1"/>
      </rPr>
      <t xml:space="preserve">do </t>
    </r>
    <r>
      <rPr>
        <sz val="9.5"/>
        <rFont val="Noto Sans CJK SC"/>
        <family val="2"/>
      </rPr>
      <t xml:space="preserve">を立てる操作が身につかず </t>
    </r>
    <r>
      <rPr>
        <sz val="9.5"/>
        <rFont val="Arial"/>
        <family val="0"/>
        <charset val="1"/>
      </rPr>
      <t xml:space="preserve">Where you live? </t>
    </r>
    <r>
      <rPr>
        <sz val="9.5"/>
        <rFont val="Noto Sans CJK SC"/>
        <family val="2"/>
      </rPr>
      <t xml:space="preserve">が頻発する。第二に時制の保持 ── 疑問文中で </t>
    </r>
    <r>
      <rPr>
        <sz val="9.5"/>
        <rFont val="Arial"/>
        <family val="0"/>
        <charset val="1"/>
      </rPr>
      <t xml:space="preserve">was/did </t>
    </r>
    <r>
      <rPr>
        <sz val="9.5"/>
        <rFont val="Noto Sans CJK SC"/>
        <family val="2"/>
      </rPr>
      <t xml:space="preserve">を落とす。第三に冠詞と主語 ── </t>
    </r>
    <r>
      <rPr>
        <sz val="9.5"/>
        <rFont val="Arial"/>
        <family val="0"/>
        <charset val="1"/>
      </rPr>
      <t xml:space="preserve">This is key. / </t>
    </r>
    <r>
      <rPr>
        <sz val="9.5"/>
        <rFont val="Noto Sans CJK SC"/>
        <family val="2"/>
      </rPr>
      <t xml:space="preserve">主語</t>
    </r>
    <r>
      <rPr>
        <sz val="9.5"/>
        <rFont val="Arial"/>
        <family val="0"/>
        <charset val="1"/>
      </rPr>
      <t xml:space="preserve">I</t>
    </r>
    <r>
      <rPr>
        <sz val="9.5"/>
        <rFont val="Noto Sans CJK SC"/>
        <family val="2"/>
      </rPr>
      <t xml:space="preserve">の脱落。これらは語用論的配慮ではなく、日本語に存在しない文法範疇（助動詞</t>
    </r>
    <r>
      <rPr>
        <sz val="9.5"/>
        <rFont val="Arial"/>
        <family val="0"/>
        <charset val="1"/>
      </rPr>
      <t xml:space="preserve">do</t>
    </r>
    <r>
      <rPr>
        <sz val="9.5"/>
        <rFont val="Noto Sans CJK SC"/>
        <family val="2"/>
      </rPr>
      <t xml:space="preserve">、厳密な時制一致、冠詞）が事実の授受のたびに露出する現象である。したがってこの行為の</t>
    </r>
    <r>
      <rPr>
        <sz val="9.5"/>
        <rFont val="Arial"/>
        <family val="0"/>
        <charset val="1"/>
      </rPr>
      <t xml:space="preserve">L1</t>
    </r>
    <r>
      <rPr>
        <sz val="9.5"/>
        <rFont val="Noto Sans CJK SC"/>
        <family val="2"/>
      </rPr>
      <t xml:space="preserve">注意は「文化」ではなく「構造」を突くものになる。
【未来表現の三系統が唯一の高度な難所】
主張型はおおむね平明だが、一点だけ質的な難所がある ── 未来の予定・意図（</t>
    </r>
    <r>
      <rPr>
        <sz val="9.5"/>
        <rFont val="Arial"/>
        <family val="0"/>
        <charset val="1"/>
      </rPr>
      <t xml:space="preserve">A2+</t>
    </r>
    <r>
      <rPr>
        <sz val="9.5"/>
        <rFont val="Noto Sans CJK SC"/>
        <family val="2"/>
      </rPr>
      <t xml:space="preserve">）を表す </t>
    </r>
    <r>
      <rPr>
        <sz val="9.5"/>
        <rFont val="Arial"/>
        <family val="0"/>
        <charset val="1"/>
      </rPr>
      <t xml:space="preserve">will / be going to / </t>
    </r>
    <r>
      <rPr>
        <sz val="9.5"/>
        <rFont val="Noto Sans CJK SC"/>
        <family val="2"/>
      </rPr>
      <t xml:space="preserve">現在進行形の使い分けである。日本語の「〜する／〜するつもり」の二分では英語の三系統に対応できない。ここだけは文法項目の暗記では足りず、話者の心的態度（その場の決定か、既定の意図か、手配済みか）と結びつけて教える必要がある。カタログではこの一点を厚く扱う。
【口頭は往復、書面は自己完結】
情報交換は</t>
    </r>
    <r>
      <rPr>
        <sz val="9.5"/>
        <rFont val="Arial"/>
        <family val="0"/>
        <charset val="1"/>
      </rPr>
      <t xml:space="preserve">CEFR</t>
    </r>
    <r>
      <rPr>
        <sz val="9.5"/>
        <rFont val="Noto Sans CJK SC"/>
        <family val="2"/>
      </rPr>
      <t xml:space="preserve">では圧倒的に口頭（</t>
    </r>
    <r>
      <rPr>
        <sz val="9.5"/>
        <rFont val="Arial"/>
        <family val="0"/>
        <charset val="1"/>
      </rPr>
      <t xml:space="preserve">Information exchange </t>
    </r>
    <r>
      <rPr>
        <sz val="9.5"/>
        <rFont val="Noto Sans CJK SC"/>
        <family val="2"/>
      </rPr>
      <t xml:space="preserve">スケール）に記述が集中し、書面は</t>
    </r>
    <r>
      <rPr>
        <sz val="9.5"/>
        <rFont val="Arial"/>
        <family val="0"/>
        <charset val="1"/>
      </rPr>
      <t xml:space="preserve">Correspondence</t>
    </r>
    <r>
      <rPr>
        <sz val="9.5"/>
        <rFont val="Noto Sans CJK SC"/>
        <family val="2"/>
      </rPr>
      <t xml:space="preserve">由来の情報記述が少数あるのみ。この非対称は本質的で、事実の授受は本来リアルタイムの往復（</t>
    </r>
    <r>
      <rPr>
        <sz val="9.5"/>
        <rFont val="Arial"/>
        <family val="0"/>
        <charset val="1"/>
      </rPr>
      <t xml:space="preserve">Q — A</t>
    </r>
    <r>
      <rPr>
        <sz val="9.5"/>
        <rFont val="Noto Sans CJK SC"/>
        <family val="2"/>
      </rPr>
      <t xml:space="preserve">）に最も自然に宿る。書面に移ると、口頭の省略（主語や述語の脱落）が使えず、自己完結した平叙文を連ねる必要が生じる ── 話し言葉の省略を書面に持ち込むと非文になる、という書面固有の壁が現れる。
【範型としての検証 ── 主張型の点検軸】
主張型に効く点検軸は、指示型・儀礼型と異なる。</t>
    </r>
    <r>
      <rPr>
        <sz val="9.5"/>
        <rFont val="Arial"/>
        <family val="0"/>
        <charset val="1"/>
      </rPr>
      <t xml:space="preserve">(1) </t>
    </r>
    <r>
      <rPr>
        <sz val="9.5"/>
        <rFont val="Noto Sans CJK SC"/>
        <family val="2"/>
      </rPr>
      <t xml:space="preserve">レベル軸は「疑問の時制・法の拡大」として明快に立つ（初級で出尽くすが、内部に文法的段階がある）。</t>
    </r>
    <r>
      <rPr>
        <sz val="9.5"/>
        <rFont val="Arial"/>
        <family val="0"/>
        <charset val="1"/>
      </rPr>
      <t xml:space="preserve">(2) L1</t>
    </r>
    <r>
      <rPr>
        <sz val="9.5"/>
        <rFont val="Noto Sans CJK SC"/>
        <family val="2"/>
      </rPr>
      <t xml:space="preserve">注意は語用論ではなく統語（</t>
    </r>
    <r>
      <rPr>
        <sz val="9.5"/>
        <rFont val="Arial"/>
        <family val="0"/>
        <charset val="1"/>
      </rPr>
      <t xml:space="preserve">do</t>
    </r>
    <r>
      <rPr>
        <sz val="9.5"/>
        <rFont val="Noto Sans CJK SC"/>
        <family val="2"/>
      </rPr>
      <t xml:space="preserve">支持・時制・冠詞・主語）を突く。</t>
    </r>
    <r>
      <rPr>
        <sz val="9.5"/>
        <rFont val="Arial"/>
        <family val="0"/>
        <charset val="1"/>
      </rPr>
      <t xml:space="preserve">(3) how well </t>
    </r>
    <r>
      <rPr>
        <sz val="9.5"/>
        <rFont val="Noto Sans CJK SC"/>
        <family val="2"/>
      </rPr>
      <t xml:space="preserve">の主軸は文法的正確さ。</t>
    </r>
    <r>
      <rPr>
        <sz val="9.5"/>
        <rFont val="Arial"/>
        <family val="0"/>
        <charset val="1"/>
      </rPr>
      <t xml:space="preserve">(4) </t>
    </r>
    <r>
      <rPr>
        <sz val="9.5"/>
        <rFont val="Noto Sans CJK SC"/>
        <family val="2"/>
      </rPr>
      <t xml:space="preserve">唯一の高度な難所は未来表現の三系統。</t>
    </r>
    <r>
      <rPr>
        <sz val="9.5"/>
        <rFont val="Arial"/>
        <family val="0"/>
        <charset val="1"/>
      </rPr>
      <t xml:space="preserve">(5) </t>
    </r>
    <r>
      <rPr>
        <sz val="9.5"/>
        <rFont val="Noto Sans CJK SC"/>
        <family val="2"/>
      </rPr>
      <t xml:space="preserve">口頭往復と書面自己完結の差。この</t>
    </r>
    <r>
      <rPr>
        <sz val="9.5"/>
        <rFont val="Arial"/>
        <family val="0"/>
        <charset val="1"/>
      </rPr>
      <t xml:space="preserve">5</t>
    </r>
    <r>
      <rPr>
        <sz val="9.5"/>
        <rFont val="Noto Sans CJK SC"/>
        <family val="2"/>
      </rPr>
      <t xml:space="preserve">点が、同じ主張型の他行為（自己に関する情報提供、経験・出来事の叙述、問題・事情の説明など）を作る際の点検リストになる。ただし主張型内でも「経験・出来事の叙述」は疑問応答ではなく一方向の語りなので、疑問文構造の軸が効かない可能性がある ── これは汎用性検証で確かめるべき論点である。</t>
    </r>
  </si>
  <si>
    <r>
      <rPr>
        <b val="true"/>
        <sz val="13"/>
        <color rgb="FFFFFFFF"/>
        <rFont val="Noto Sans CJK SC"/>
        <family val="2"/>
      </rPr>
      <t xml:space="preserve">第</t>
    </r>
    <r>
      <rPr>
        <b val="true"/>
        <sz val="13"/>
        <color rgb="FFFFFFFF"/>
        <rFont val="Arial"/>
        <family val="0"/>
        <charset val="1"/>
      </rPr>
      <t xml:space="preserve">1</t>
    </r>
    <r>
      <rPr>
        <b val="true"/>
        <sz val="13"/>
        <color rgb="FFFFFFFF"/>
        <rFont val="Noto Sans CJK SC"/>
        <family val="2"/>
      </rPr>
      <t xml:space="preserve">カタログ 範型 ── 発語内行為「意見・見解の表明（</t>
    </r>
    <r>
      <rPr>
        <b val="true"/>
        <sz val="13"/>
        <color rgb="FFFFFFFF"/>
        <rFont val="Arial"/>
        <family val="0"/>
        <charset val="1"/>
      </rPr>
      <t xml:space="preserve">Expressing opinions &amp; views</t>
    </r>
    <r>
      <rPr>
        <b val="true"/>
        <sz val="13"/>
        <color rgb="FFFFFFFF"/>
        <rFont val="Noto Sans CJK SC"/>
        <family val="2"/>
      </rPr>
      <t xml:space="preserve">）」</t>
    </r>
  </si>
  <si>
    <r>
      <rPr>
        <i val="true"/>
        <sz val="9"/>
        <rFont val="Noto Sans CJK SC"/>
        <family val="2"/>
      </rPr>
      <t xml:space="preserve">類型：表出的（</t>
    </r>
    <r>
      <rPr>
        <i val="true"/>
        <sz val="9"/>
        <rFont val="Arial"/>
        <family val="0"/>
        <charset val="1"/>
      </rPr>
      <t xml:space="preserve">expressive</t>
    </r>
    <r>
      <rPr>
        <i val="true"/>
        <sz val="9"/>
        <rFont val="Noto Sans CJK SC"/>
        <family val="2"/>
      </rPr>
      <t xml:space="preserve">）＋主張的要素 ── 話者の心的態度（賛否・評価）を表明し、根拠で支える　／　本質：ある事柄について自分の立場・評価・信念を述べ、レベルが上がるほど根拠と論拠で支え、他者の見解と関係づける。主張の中身より、立場表明の型と、対立を許容する作法が要となる。</t>
    </r>
  </si>
  <si>
    <t xml:space="preserve">Can express opinions in a limited way.</t>
  </si>
  <si>
    <t xml:space="preserve">意見を限られた形で表明できる。</t>
  </si>
  <si>
    <t xml:space="preserve">• I think it's good.
• I like it. / I don't like it.
• For me, it's too expensive.</t>
  </si>
  <si>
    <t xml:space="preserve">身近な事柄に、ごく短く賛否や評価を述べる。</t>
  </si>
  <si>
    <r>
      <rPr>
        <sz val="9"/>
        <rFont val="Noto Sans CJK SC"/>
        <family val="2"/>
      </rPr>
      <t xml:space="preserve">文法（</t>
    </r>
    <r>
      <rPr>
        <sz val="9"/>
        <rFont val="Arial"/>
        <family val="0"/>
        <charset val="1"/>
      </rPr>
      <t xml:space="preserve">I think </t>
    </r>
    <r>
      <rPr>
        <sz val="9"/>
        <rFont val="Noto Sans CJK SC"/>
        <family val="2"/>
      </rPr>
      <t xml:space="preserve">節）：</t>
    </r>
    <r>
      <rPr>
        <sz val="9"/>
        <rFont val="Arial"/>
        <family val="0"/>
        <charset val="1"/>
      </rPr>
      <t xml:space="preserve">I think + </t>
    </r>
    <r>
      <rPr>
        <sz val="9"/>
        <rFont val="Noto Sans CJK SC"/>
        <family val="2"/>
      </rPr>
      <t xml:space="preserve">文 の骨格。</t>
    </r>
  </si>
  <si>
    <r>
      <rPr>
        <sz val="9"/>
        <rFont val="Arial"/>
        <family val="0"/>
        <charset val="1"/>
      </rPr>
      <t xml:space="preserve">I think </t>
    </r>
    <r>
      <rPr>
        <sz val="9"/>
        <rFont val="Noto Sans CJK SC"/>
        <family val="2"/>
      </rPr>
      <t xml:space="preserve">を付けずに </t>
    </r>
    <r>
      <rPr>
        <sz val="9"/>
        <rFont val="Arial"/>
        <family val="0"/>
        <charset val="1"/>
      </rPr>
      <t xml:space="preserve">It's good. </t>
    </r>
    <r>
      <rPr>
        <sz val="9"/>
        <rFont val="Noto Sans CJK SC"/>
        <family val="2"/>
      </rPr>
      <t xml:space="preserve">と言い切ると断定に響く。日本語は「〜と思う」を多用して主観を和らげるが、英語でも </t>
    </r>
    <r>
      <rPr>
        <sz val="9"/>
        <rFont val="Arial"/>
        <family val="0"/>
        <charset val="1"/>
      </rPr>
      <t xml:space="preserve">I think </t>
    </r>
    <r>
      <rPr>
        <sz val="9"/>
        <rFont val="Noto Sans CJK SC"/>
        <family val="2"/>
      </rPr>
      <t xml:space="preserve">は立場表明の基本枠。ただし日本語の「思う」ほど義務的ではなく、乱発すると自信なさげにも響く、という温度差がある。</t>
    </r>
  </si>
  <si>
    <r>
      <rPr>
        <sz val="9"/>
        <rFont val="Noto Sans CJK SC"/>
        <family val="2"/>
      </rPr>
      <t xml:space="preserve">（起点）意見表明の最小形。</t>
    </r>
    <r>
      <rPr>
        <sz val="9"/>
        <rFont val="Arial"/>
        <family val="0"/>
        <charset val="1"/>
      </rPr>
      <t xml:space="preserve">I think</t>
    </r>
    <r>
      <rPr>
        <sz val="9"/>
        <rFont val="Noto Sans CJK SC"/>
        <family val="2"/>
      </rPr>
      <t xml:space="preserve">＋評価語のみ。</t>
    </r>
  </si>
  <si>
    <t xml:space="preserve">Can exchange opinions and compare things and people using simple language.</t>
  </si>
  <si>
    <t xml:space="preserve">簡単な言葉で意見を交換し、物や人を比較できる。</t>
  </si>
  <si>
    <t xml:space="preserve">• I think summer is better than winter.
• This one is nicer, but that one is cheaper.
• What do you think? — I agree. / I'm not sure.</t>
  </si>
  <si>
    <t xml:space="preserve">二つの選択肢を比べ、意見を交換し合う。</t>
  </si>
  <si>
    <r>
      <rPr>
        <sz val="9"/>
        <rFont val="Noto Sans CJK SC"/>
        <family val="2"/>
      </rPr>
      <t xml:space="preserve">文法（比較級）＋社会言語的適切さ：比較構文と同意</t>
    </r>
    <r>
      <rPr>
        <sz val="9"/>
        <rFont val="Arial"/>
        <family val="0"/>
        <charset val="1"/>
      </rPr>
      <t xml:space="preserve">/</t>
    </r>
    <r>
      <rPr>
        <sz val="9"/>
        <rFont val="Noto Sans CJK SC"/>
        <family val="2"/>
      </rPr>
      <t xml:space="preserve">留保の応答。</t>
    </r>
  </si>
  <si>
    <r>
      <rPr>
        <sz val="9"/>
        <rFont val="Noto Sans CJK SC"/>
        <family val="2"/>
      </rPr>
      <t xml:space="preserve">比較級（</t>
    </r>
    <r>
      <rPr>
        <sz val="9"/>
        <rFont val="Arial"/>
        <family val="0"/>
        <charset val="1"/>
      </rPr>
      <t xml:space="preserve">better than, nicer</t>
    </r>
    <r>
      <rPr>
        <sz val="9"/>
        <rFont val="Noto Sans CJK SC"/>
        <family val="2"/>
      </rPr>
      <t xml:space="preserve">）の構造は日本語の「〜より」と語順が逆で作りにくい。また </t>
    </r>
    <r>
      <rPr>
        <sz val="9"/>
        <rFont val="Arial"/>
        <family val="0"/>
        <charset val="1"/>
      </rPr>
      <t xml:space="preserve">I'm not sure.</t>
    </r>
    <r>
      <rPr>
        <sz val="9"/>
        <rFont val="Noto Sans CJK SC"/>
        <family val="2"/>
      </rPr>
      <t xml:space="preserve">（やんわり不同意）のような中間的応答の層が薄く、賛成か沈黙かの二択になりがち。</t>
    </r>
  </si>
  <si>
    <t xml:space="preserve">単独の意見から「意見の交換と比較」へ。比較と応答の往復が加わる。</t>
  </si>
  <si>
    <t xml:space="preserve">Can express beliefs, opinions and agreement and disagreement politely.</t>
  </si>
  <si>
    <t xml:space="preserve">信念・意見・賛否を丁寧に表明できる。</t>
  </si>
  <si>
    <t xml:space="preserve">• I see your point, but I think...
• I agree with you up to a point.
• Actually, I don't really think that's true.</t>
  </si>
  <si>
    <t xml:space="preserve">議論の中で、賛成・反対を相手を立てつつ丁寧に表明する。</t>
  </si>
  <si>
    <t xml:space="preserve">社会言語的適切さ（不同意の緩衝）：反対を丁寧に包めるか。</t>
  </si>
  <si>
    <r>
      <rPr>
        <sz val="9"/>
        <rFont val="Noto Sans CJK SC"/>
        <family val="2"/>
      </rPr>
      <t xml:space="preserve">ここが表出型最大の</t>
    </r>
    <r>
      <rPr>
        <sz val="9"/>
        <rFont val="Arial"/>
        <family val="0"/>
        <charset val="1"/>
      </rPr>
      <t xml:space="preserve">L1</t>
    </r>
    <r>
      <rPr>
        <sz val="9"/>
        <rFont val="Noto Sans CJK SC"/>
        <family val="2"/>
      </rPr>
      <t xml:space="preserve">難所。日本語話者は不同意を避けて曖昧にするか、逆に </t>
    </r>
    <r>
      <rPr>
        <sz val="9"/>
        <rFont val="Arial"/>
        <family val="0"/>
        <charset val="1"/>
      </rPr>
      <t xml:space="preserve">But that's wrong. </t>
    </r>
    <r>
      <rPr>
        <sz val="9"/>
        <rFont val="Noto Sans CJK SC"/>
        <family val="2"/>
      </rPr>
      <t xml:space="preserve">と裸で否定して角を立てるかに振れる。英語は </t>
    </r>
    <r>
      <rPr>
        <sz val="9"/>
        <rFont val="Arial"/>
        <family val="0"/>
        <charset val="1"/>
      </rPr>
      <t xml:space="preserve">I see your point, but... / I'm not sure I agree </t>
    </r>
    <r>
      <rPr>
        <sz val="9"/>
        <rFont val="Noto Sans CJK SC"/>
        <family val="2"/>
      </rPr>
      <t xml:space="preserve">で、相手をまず受けてから反対する型が定石。この「受けてから返す」二段構えは明示的に教える必要がある。</t>
    </r>
  </si>
  <si>
    <r>
      <rPr>
        <sz val="9"/>
        <rFont val="Arial"/>
        <family val="0"/>
        <charset val="1"/>
      </rPr>
      <t xml:space="preserve">A2+</t>
    </r>
    <r>
      <rPr>
        <sz val="9"/>
        <rFont val="Noto Sans CJK SC"/>
        <family val="2"/>
      </rPr>
      <t xml:space="preserve">からの飛躍：単なる評価から「賛否の丁寧な表明」へ。不同意の緩衝が中心課題に。</t>
    </r>
  </si>
  <si>
    <t xml:space="preserve">Can express their thoughts about abstract or cultural topics such as music or films.</t>
  </si>
  <si>
    <t xml:space="preserve">音楽や映画などの抽象的・文化的な話題について考えを表現できる。</t>
  </si>
  <si>
    <t xml:space="preserve">• What I like about this film is how it handles memory.
• It's not really my kind of music, but I can see why people love it.
• The story felt a bit slow, but the ending made up for it.</t>
  </si>
  <si>
    <t xml:space="preserve">映画・音楽など抽象度の高い対象に、込み入った感想を述べる。</t>
  </si>
  <si>
    <t xml:space="preserve">叙述の正確さ＋語彙範囲：抽象的評価の語彙と構造。</t>
  </si>
  <si>
    <r>
      <rPr>
        <sz val="9"/>
        <rFont val="Noto Sans CJK SC"/>
        <family val="2"/>
      </rPr>
      <t xml:space="preserve">抽象的対象の評価は、日本語では「よかった／いまいち」で済ませがちだが、英語では </t>
    </r>
    <r>
      <rPr>
        <sz val="9"/>
        <rFont val="Arial"/>
        <family val="0"/>
        <charset val="1"/>
      </rPr>
      <t xml:space="preserve">what I like about X is... </t>
    </r>
    <r>
      <rPr>
        <sz val="9"/>
        <rFont val="Noto Sans CJK SC"/>
        <family val="2"/>
      </rPr>
      <t xml:space="preserve">のような焦点化構文や、譲歩（</t>
    </r>
    <r>
      <rPr>
        <sz val="9"/>
        <rFont val="Arial"/>
        <family val="0"/>
        <charset val="1"/>
      </rPr>
      <t xml:space="preserve">but I can see why...</t>
    </r>
    <r>
      <rPr>
        <sz val="9"/>
        <rFont val="Noto Sans CJK SC"/>
        <family val="2"/>
      </rPr>
      <t xml:space="preserve">）を使って立場を立体的に述べる。この構文の層を持たないと、抽象評価が幼く聞こえる。</t>
    </r>
  </si>
  <si>
    <t xml:space="preserve">身近な物から「抽象的・文化的対象」へ。評価語彙と焦点化構文が加わる。</t>
  </si>
  <si>
    <t xml:space="preserve">B2</t>
  </si>
  <si>
    <t xml:space="preserve">Can account for and sustain their opinions in discussion by providing relevant explanations, arguments and comments.</t>
  </si>
  <si>
    <t xml:space="preserve">適切な説明・論拠・コメントを提供して、議論の中で自分の意見を述べ、支持できる。</t>
  </si>
  <si>
    <t xml:space="preserve">• I'd argue that... for two reasons. First,... Second,...
• That's a fair point, but the evidence actually suggests otherwise.
• I stand by what I said, because...</t>
  </si>
  <si>
    <t xml:space="preserve">議論で自分の立場を、根拠を挙げて主張し、反論にも耐えて維持する。</t>
  </si>
  <si>
    <t xml:space="preserve">話題の展開＋叙述の正確さ：意見を論拠で構造的に支える。</t>
  </si>
  <si>
    <r>
      <rPr>
        <sz val="9"/>
        <rFont val="Noto Sans CJK SC"/>
        <family val="2"/>
      </rPr>
      <t xml:space="preserve">「意見を論拠で支え、維持する」は日本語話者に不慣れ。日本語の議論は結論を曖昧に残す作法もあるが、英語では </t>
    </r>
    <r>
      <rPr>
        <sz val="9"/>
        <rFont val="Arial"/>
        <family val="0"/>
        <charset val="1"/>
      </rPr>
      <t xml:space="preserve">I'd argue that... because... </t>
    </r>
    <r>
      <rPr>
        <sz val="9"/>
        <rFont val="Noto Sans CJK SC"/>
        <family val="2"/>
      </rPr>
      <t xml:space="preserve">と立場と根拠を明示し、反論されても </t>
    </r>
    <r>
      <rPr>
        <sz val="9"/>
        <rFont val="Arial"/>
        <family val="0"/>
        <charset val="1"/>
      </rPr>
      <t xml:space="preserve">I stand by... </t>
    </r>
    <r>
      <rPr>
        <sz val="9"/>
        <rFont val="Noto Sans CJK SC"/>
        <family val="2"/>
      </rPr>
      <t xml:space="preserve">と保持することが誠実とされる。撤回しすぎると立場が無いと見なされる。</t>
    </r>
  </si>
  <si>
    <r>
      <rPr>
        <sz val="9"/>
        <rFont val="Arial"/>
        <family val="0"/>
        <charset val="1"/>
      </rPr>
      <t xml:space="preserve">B1+</t>
    </r>
    <r>
      <rPr>
        <sz val="9"/>
        <rFont val="Noto Sans CJK SC"/>
        <family val="2"/>
      </rPr>
      <t xml:space="preserve">からの飛躍：感想の表明から「論拠で支え維持する主張」へ。表出が論証に接続する。</t>
    </r>
  </si>
  <si>
    <t xml:space="preserve">Can evaluate, restate and challenge arguments in professional or academic live online chat and discussion.</t>
  </si>
  <si>
    <t xml:space="preserve">専門的・学術的なライブのオンライン議論で、論を評価・言い直し・反論できる。</t>
  </si>
  <si>
    <t xml:space="preserve">• If I understand your position correctly, you're saying... — but that assumes...
• I'd push back on that slightly. The data you cite doesn't quite support...
• Let me reframe: the real question isn't X, it's Y.</t>
  </si>
  <si>
    <t xml:space="preserve">専門的議論で、相手の論を正確に捉え直し、的確に反論・再構成する。</t>
  </si>
  <si>
    <t xml:space="preserve">叙述の正確さ＋柔軟さ（最大）：論の評価・言い直し・反論の精密制御。</t>
  </si>
  <si>
    <r>
      <rPr>
        <sz val="9"/>
        <rFont val="Arial"/>
        <family val="0"/>
        <charset val="1"/>
      </rPr>
      <t xml:space="preserve">C1</t>
    </r>
    <r>
      <rPr>
        <sz val="9"/>
        <rFont val="Noto Sans CJK SC"/>
        <family val="2"/>
      </rPr>
      <t xml:space="preserve">では相手の論を </t>
    </r>
    <r>
      <rPr>
        <sz val="9"/>
        <rFont val="Arial"/>
        <family val="0"/>
        <charset val="1"/>
      </rPr>
      <t xml:space="preserve">restate</t>
    </r>
    <r>
      <rPr>
        <sz val="9"/>
        <rFont val="Noto Sans CJK SC"/>
        <family val="2"/>
      </rPr>
      <t xml:space="preserve">（言い直して確認）してから </t>
    </r>
    <r>
      <rPr>
        <sz val="9"/>
        <rFont val="Arial"/>
        <family val="0"/>
        <charset val="1"/>
      </rPr>
      <t xml:space="preserve">challenge </t>
    </r>
    <r>
      <rPr>
        <sz val="9"/>
        <rFont val="Noto Sans CJK SC"/>
        <family val="2"/>
      </rPr>
      <t xml:space="preserve">する高度な型が要る。日本語話者は相手の論の要約確認を飛ばして直接反論しがちで、議論がかみ合わない。</t>
    </r>
    <r>
      <rPr>
        <sz val="9"/>
        <rFont val="Arial"/>
        <family val="0"/>
        <charset val="1"/>
      </rPr>
      <t xml:space="preserve">If I understand you correctly...→but... </t>
    </r>
    <r>
      <rPr>
        <sz val="9"/>
        <rFont val="Noto Sans CJK SC"/>
        <family val="2"/>
      </rPr>
      <t xml:space="preserve">の型は、正確さと礼節を両立させる英語アカデミック議論の作法として明示的に習得を要する。</t>
    </r>
  </si>
  <si>
    <r>
      <rPr>
        <sz val="9"/>
        <rFont val="Arial"/>
        <family val="0"/>
        <charset val="1"/>
      </rPr>
      <t xml:space="preserve">B2</t>
    </r>
    <r>
      <rPr>
        <sz val="9"/>
        <rFont val="Noto Sans CJK SC"/>
        <family val="2"/>
      </rPr>
      <t xml:space="preserve">からの到達点：主張の維持から「他者の論の評価・再構成・反論」へ。表出型口頭系列の頂点。</t>
    </r>
  </si>
  <si>
    <t xml:space="preserve">Can make brief positive or negative comments online about embedded links and media using a repertoire of basic language, though they will generally have to refer to an online translation tool and other resources.</t>
  </si>
  <si>
    <t xml:space="preserve">埋め込みリンクやメディアに、基本的な言葉で短い肯定・否定コメントをオンラインでできる。</t>
  </si>
  <si>
    <t xml:space="preserve">• Love this! 😍
• Not for me, sorry.
• So true!</t>
  </si>
  <si>
    <r>
      <rPr>
        <sz val="9"/>
        <rFont val="Arial"/>
        <family val="0"/>
        <charset val="1"/>
      </rPr>
      <t xml:space="preserve">SNS</t>
    </r>
    <r>
      <rPr>
        <sz val="9"/>
        <rFont val="Noto Sans CJK SC"/>
        <family val="2"/>
      </rPr>
      <t xml:space="preserve">の投稿やリンクに、短い賛否のコメントを付ける。</t>
    </r>
  </si>
  <si>
    <t xml:space="preserve">社会言語的適切さ（オンライン簡略表現）：口語的な短評の型。</t>
  </si>
  <si>
    <r>
      <rPr>
        <sz val="9"/>
        <rFont val="Noto Sans CJK SC"/>
        <family val="2"/>
      </rPr>
      <t xml:space="preserve">英語オンラインの超短評（</t>
    </r>
    <r>
      <rPr>
        <sz val="9"/>
        <rFont val="Arial"/>
        <family val="0"/>
        <charset val="1"/>
      </rPr>
      <t xml:space="preserve">So true! / Not for me / This!</t>
    </r>
    <r>
      <rPr>
        <sz val="9"/>
        <rFont val="Noto Sans CJK SC"/>
        <family val="2"/>
      </rPr>
      <t xml:space="preserve">）の語彙が乏しく、硬い </t>
    </r>
    <r>
      <rPr>
        <sz val="9"/>
        <rFont val="Arial"/>
        <family val="0"/>
        <charset val="1"/>
      </rPr>
      <t xml:space="preserve">I think this is good. </t>
    </r>
    <r>
      <rPr>
        <sz val="9"/>
        <rFont val="Noto Sans CJK SC"/>
        <family val="2"/>
      </rPr>
      <t xml:space="preserve">で返しがち。日本語の「わかる」「それな」に当たる口語共感表現を、英語の型として別途持つ必要がある。</t>
    </r>
  </si>
  <si>
    <t xml:space="preserve">（書面起点）口頭の意見表明が、オンラインでは超短評として立ち上がる。</t>
  </si>
  <si>
    <t xml:space="preserve">Can post a comprehensible contribution in an online discussion on a familiar topic of interest, provided they can prepare the text beforehand and use online tools to fill gaps in language and check accuracy.</t>
  </si>
  <si>
    <t xml:space="preserve">事前に準備できれば、関心のある身近な話題のオンライン議論に理解可能な投稿ができる。</t>
  </si>
  <si>
    <t xml:space="preserve">• I think the article raises a good point about remote work, but it overlooks the cost side.
• In my experience, this approach works better for small teams.</t>
  </si>
  <si>
    <t xml:space="preserve">準備の上で、オンライン議論に理由を添えた意見を投稿する。</t>
  </si>
  <si>
    <t xml:space="preserve">叙述の正確さ（書面）：準備された、自己完結した意見投稿。</t>
  </si>
  <si>
    <r>
      <rPr>
        <sz val="9"/>
        <rFont val="Noto Sans CJK SC"/>
        <family val="2"/>
      </rPr>
      <t xml:space="preserve">書面の意見投稿では、口頭の往復に頼れず、立場＋理由を一つの投稿で自己完結させる必要がある。日本語話者は結論を最後に置き前置きを長くしがちだが、英語オンライン議論は要点先行（</t>
    </r>
    <r>
      <rPr>
        <sz val="9"/>
        <rFont val="Arial"/>
        <family val="0"/>
        <charset val="1"/>
      </rPr>
      <t xml:space="preserve">I think X, but Y</t>
    </r>
    <r>
      <rPr>
        <sz val="9"/>
        <rFont val="Noto Sans CJK SC"/>
        <family val="2"/>
      </rPr>
      <t xml:space="preserve">）が読まれやすい。</t>
    </r>
  </si>
  <si>
    <t xml:space="preserve">超短評から「理由を添えた議論への投稿」へ。準備を挟んだ自己完結した表明。</t>
  </si>
  <si>
    <t xml:space="preserve">Can compose personal letters giving news and expressing thoughts about abstract or cultural topics such as music or film.</t>
  </si>
  <si>
    <t xml:space="preserve">近況を伝え、音楽や映画などの抽象的・文化的話題についての考えを表現する個人的な手紙を書ける。</t>
  </si>
  <si>
    <t xml:space="preserve">• I finally watched that film you recommended. I loved the visuals, though the plot lost me a bit.
• Lately I've been getting into jazz — there's something about it that really calms me down.</t>
  </si>
  <si>
    <t xml:space="preserve">私信で、近況とともに文化的対象への考えを綴る。</t>
  </si>
  <si>
    <t xml:space="preserve">叙述の正確さ＋語彙範囲：私信レジスターでの抽象的感想。</t>
  </si>
  <si>
    <t xml:space="preserve">私信での考えの表明は、口語的親密さと一定の内容を両立させる。日本語の手紙の様式（時候の挨拶等）を英語に持ち込むと不自然で、英語私信は近況と感想を地続きに書く。この様式差は書面ならではの注意点。</t>
  </si>
  <si>
    <t xml:space="preserve">議論投稿から「私信での考えの表明」へ。親密なレジスターでの抽象的感想。書面系列の到達点。</t>
  </si>
  <si>
    <r>
      <rPr>
        <sz val="9.5"/>
        <rFont val="Noto Sans CJK SC"/>
        <family val="2"/>
      </rPr>
      <t xml:space="preserve">【表出型の核は「不同意を許容する作法」である】
苦情（指示型）の核が緩衝、挨拶（儀礼型）がレジスターとテンポ、事実</t>
    </r>
    <r>
      <rPr>
        <sz val="9.5"/>
        <rFont val="Arial"/>
        <family val="0"/>
        <charset val="1"/>
      </rPr>
      <t xml:space="preserve">Q&amp;A</t>
    </r>
    <r>
      <rPr>
        <sz val="9.5"/>
        <rFont val="Noto Sans CJK SC"/>
        <family val="2"/>
      </rPr>
      <t xml:space="preserve">（主張型）が疑問文構造だったのに対し、意見・見解の表明（表出型）の核は、立場の表明と、とりわけ対立を許容し丁寧に扱う作法にある。レベルが上がるとは、意見を「述べる」だけから、根拠で「支え」、他者の論と「関係づけ」、最終的に「評価・再構成・反論する」へと、社会的な議論の営みへ深化することである。効く </t>
    </r>
    <r>
      <rPr>
        <sz val="9.5"/>
        <rFont val="Arial"/>
        <family val="0"/>
        <charset val="1"/>
      </rPr>
      <t xml:space="preserve">how well </t>
    </r>
    <r>
      <rPr>
        <sz val="9.5"/>
        <rFont val="Noto Sans CJK SC"/>
        <family val="2"/>
      </rPr>
      <t xml:space="preserve">軸は、低位では文法（</t>
    </r>
    <r>
      <rPr>
        <sz val="9.5"/>
        <rFont val="Arial"/>
        <family val="0"/>
        <charset val="1"/>
      </rPr>
      <t xml:space="preserve">I think</t>
    </r>
    <r>
      <rPr>
        <sz val="9.5"/>
        <rFont val="Noto Sans CJK SC"/>
        <family val="2"/>
      </rPr>
      <t xml:space="preserve">節・比較級）だが、</t>
    </r>
    <r>
      <rPr>
        <sz val="9.5"/>
        <rFont val="Arial"/>
        <family val="0"/>
        <charset val="1"/>
      </rPr>
      <t xml:space="preserve">B1</t>
    </r>
    <r>
      <rPr>
        <sz val="9.5"/>
        <rFont val="Noto Sans CJK SC"/>
        <family val="2"/>
      </rPr>
      <t xml:space="preserve">以降は社会言語的適切さと叙述の正確さ（論拠の構造）へ移る。
【最大の</t>
    </r>
    <r>
      <rPr>
        <sz val="9.5"/>
        <rFont val="Arial"/>
        <family val="0"/>
        <charset val="1"/>
      </rPr>
      <t xml:space="preserve">L1</t>
    </r>
    <r>
      <rPr>
        <sz val="9.5"/>
        <rFont val="Noto Sans CJK SC"/>
        <family val="2"/>
      </rPr>
      <t xml:space="preserve">難所は「受けてから返す」不同意の型】
日本語話者にとって表出型の中心的困難は、不同意の扱いにある。日本語文化では公然の不同意が回避されやすく、その結果、英語でも二つの失敗形に振れる ── 曖昧にして立場を消すか、</t>
    </r>
    <r>
      <rPr>
        <sz val="9.5"/>
        <rFont val="Arial"/>
        <family val="0"/>
        <charset val="1"/>
      </rPr>
      <t xml:space="preserve">But that's wrong. </t>
    </r>
    <r>
      <rPr>
        <sz val="9.5"/>
        <rFont val="Noto Sans CJK SC"/>
        <family val="2"/>
      </rPr>
      <t xml:space="preserve">と裸で否定して角を立てるか。英語の作法は第三の道で、</t>
    </r>
    <r>
      <rPr>
        <sz val="9.5"/>
        <rFont val="Arial"/>
        <family val="0"/>
        <charset val="1"/>
      </rPr>
      <t xml:space="preserve">I see your point, but... / That's a fair point, but... </t>
    </r>
    <r>
      <rPr>
        <sz val="9.5"/>
        <rFont val="Noto Sans CJK SC"/>
        <family val="2"/>
      </rPr>
      <t xml:space="preserve">と、まず相手を受けてから反対する二段構えである。この「受けてから返す」型は、</t>
    </r>
    <r>
      <rPr>
        <sz val="9.5"/>
        <rFont val="Arial"/>
        <family val="0"/>
        <charset val="1"/>
      </rPr>
      <t xml:space="preserve">B1</t>
    </r>
    <r>
      <rPr>
        <sz val="9.5"/>
        <rFont val="Noto Sans CJK SC"/>
        <family val="2"/>
      </rPr>
      <t xml:space="preserve">で登場し</t>
    </r>
    <r>
      <rPr>
        <sz val="9.5"/>
        <rFont val="Arial"/>
        <family val="0"/>
        <charset val="1"/>
      </rPr>
      <t xml:space="preserve">C1</t>
    </r>
    <r>
      <rPr>
        <sz val="9.5"/>
        <rFont val="Noto Sans CJK SC"/>
        <family val="2"/>
      </rPr>
      <t xml:space="preserve">まで一貫して深化する（</t>
    </r>
    <r>
      <rPr>
        <sz val="9.5"/>
        <rFont val="Arial"/>
        <family val="0"/>
        <charset val="1"/>
      </rPr>
      <t xml:space="preserve">C1</t>
    </r>
    <r>
      <rPr>
        <sz val="9.5"/>
        <rFont val="Noto Sans CJK SC"/>
        <family val="2"/>
      </rPr>
      <t xml:space="preserve">では相手の論を </t>
    </r>
    <r>
      <rPr>
        <sz val="9.5"/>
        <rFont val="Arial"/>
        <family val="0"/>
        <charset val="1"/>
      </rPr>
      <t xml:space="preserve">restate </t>
    </r>
    <r>
      <rPr>
        <sz val="9.5"/>
        <rFont val="Noto Sans CJK SC"/>
        <family val="2"/>
      </rPr>
      <t xml:space="preserve">してから </t>
    </r>
    <r>
      <rPr>
        <sz val="9.5"/>
        <rFont val="Arial"/>
        <family val="0"/>
        <charset val="1"/>
      </rPr>
      <t xml:space="preserve">challenge </t>
    </r>
    <r>
      <rPr>
        <sz val="9.5"/>
        <rFont val="Noto Sans CJK SC"/>
        <family val="2"/>
      </rPr>
      <t xml:space="preserve">する）。表出型カタログの背骨は、この不同意の作法の段階的精緻化として引くべきである。
【意見は「維持」まで含めて一つの行為である】
主張型の事実</t>
    </r>
    <r>
      <rPr>
        <sz val="9.5"/>
        <rFont val="Arial"/>
        <family val="0"/>
        <charset val="1"/>
      </rPr>
      <t xml:space="preserve">Q&amp;A</t>
    </r>
    <r>
      <rPr>
        <sz val="9.5"/>
        <rFont val="Noto Sans CJK SC"/>
        <family val="2"/>
      </rPr>
      <t xml:space="preserve">が単発の授受で完結するのに対し、意見表明は</t>
    </r>
    <r>
      <rPr>
        <sz val="9.5"/>
        <rFont val="Arial"/>
        <family val="0"/>
        <charset val="1"/>
      </rPr>
      <t xml:space="preserve">B2</t>
    </r>
    <r>
      <rPr>
        <sz val="9.5"/>
        <rFont val="Noto Sans CJK SC"/>
        <family val="2"/>
      </rPr>
      <t xml:space="preserve">で「維持する（</t>
    </r>
    <r>
      <rPr>
        <sz val="9.5"/>
        <rFont val="Arial"/>
        <family val="0"/>
        <charset val="1"/>
      </rPr>
      <t xml:space="preserve">sustain</t>
    </r>
    <r>
      <rPr>
        <sz val="9.5"/>
        <rFont val="Noto Sans CJK SC"/>
        <family val="2"/>
      </rPr>
      <t xml:space="preserve">）」が加わる点が質的に異なる。</t>
    </r>
    <r>
      <rPr>
        <sz val="9.5"/>
        <rFont val="Arial"/>
        <family val="0"/>
        <charset val="1"/>
      </rPr>
      <t xml:space="preserve">I stand by what I said, because... ── </t>
    </r>
    <r>
      <rPr>
        <sz val="9.5"/>
        <rFont val="Noto Sans CJK SC"/>
        <family val="2"/>
      </rPr>
      <t xml:space="preserve">反論されても根拠とともに立場を保つことが、英語では誠実さとされる。日本語話者は対立を避けて安易に撤回しがちだが、それは英語の議論では「立場が無い」と受け取られる。表明・支持・維持を一続きの行為として示すことが、この行為のカタログの要点である。
【抽象的対象には専用の構文がある】
</t>
    </r>
    <r>
      <rPr>
        <sz val="9.5"/>
        <rFont val="Arial"/>
        <family val="0"/>
        <charset val="1"/>
      </rPr>
      <t xml:space="preserve">B1+</t>
    </r>
    <r>
      <rPr>
        <sz val="9.5"/>
        <rFont val="Noto Sans CJK SC"/>
        <family val="2"/>
      </rPr>
      <t xml:space="preserve">以降、評価対象が身近な物から抽象的・文化的対象（音楽・映画・思想）へ移ると、</t>
    </r>
    <r>
      <rPr>
        <sz val="9.5"/>
        <rFont val="Arial"/>
        <family val="0"/>
        <charset val="1"/>
      </rPr>
      <t xml:space="preserve">what I like about X is... </t>
    </r>
    <r>
      <rPr>
        <sz val="9.5"/>
        <rFont val="Noto Sans CJK SC"/>
        <family val="2"/>
      </rPr>
      <t xml:space="preserve">の焦点化構文や、</t>
    </r>
    <r>
      <rPr>
        <sz val="9.5"/>
        <rFont val="Arial"/>
        <family val="0"/>
        <charset val="1"/>
      </rPr>
      <t xml:space="preserve">I can see why..., though... </t>
    </r>
    <r>
      <rPr>
        <sz val="9.5"/>
        <rFont val="Noto Sans CJK SC"/>
        <family val="2"/>
      </rPr>
      <t xml:space="preserve">の譲歩構文が要る。日本語の「よかった／いまいち」の二元では抽象評価が幼く響く。この構文層は語彙ではなく「立場を立体的に述べる型」であり、表出型に固有の習得課題である。
【範型としての検証 ── 表出型の点検軸】
表出型に効く点検軸：</t>
    </r>
    <r>
      <rPr>
        <sz val="9.5"/>
        <rFont val="Arial"/>
        <family val="0"/>
        <charset val="1"/>
      </rPr>
      <t xml:space="preserve">(1) </t>
    </r>
    <r>
      <rPr>
        <sz val="9.5"/>
        <rFont val="Noto Sans CJK SC"/>
        <family val="2"/>
      </rPr>
      <t xml:space="preserve">レベル軸は「表明→支持→維持→評価・反論」という議論の深化として長く立つ（苦情型に似て梯子が長い）。</t>
    </r>
    <r>
      <rPr>
        <sz val="9.5"/>
        <rFont val="Arial"/>
        <family val="0"/>
        <charset val="1"/>
      </rPr>
      <t xml:space="preserve">(2) L1</t>
    </r>
    <r>
      <rPr>
        <sz val="9.5"/>
        <rFont val="Noto Sans CJK SC"/>
        <family val="2"/>
      </rPr>
      <t xml:space="preserve">注意の中心は不同意の作法（受けてから返す）。</t>
    </r>
    <r>
      <rPr>
        <sz val="9.5"/>
        <rFont val="Arial"/>
        <family val="0"/>
        <charset val="1"/>
      </rPr>
      <t xml:space="preserve">(3) how well </t>
    </r>
    <r>
      <rPr>
        <sz val="9.5"/>
        <rFont val="Noto Sans CJK SC"/>
        <family val="2"/>
      </rPr>
      <t xml:space="preserve">の主軸は低位で文法、</t>
    </r>
    <r>
      <rPr>
        <sz val="9.5"/>
        <rFont val="Arial"/>
        <family val="0"/>
        <charset val="1"/>
      </rPr>
      <t xml:space="preserve">B1</t>
    </r>
    <r>
      <rPr>
        <sz val="9.5"/>
        <rFont val="Noto Sans CJK SC"/>
        <family val="2"/>
      </rPr>
      <t xml:space="preserve">以降は社会言語的適切さ＋叙述の正確さへ移動する。</t>
    </r>
    <r>
      <rPr>
        <sz val="9.5"/>
        <rFont val="Arial"/>
        <family val="0"/>
        <charset val="1"/>
      </rPr>
      <t xml:space="preserve">(4) </t>
    </r>
    <r>
      <rPr>
        <sz val="9.5"/>
        <rFont val="Noto Sans CJK SC"/>
        <family val="2"/>
      </rPr>
      <t xml:space="preserve">意見の「維持」が行為の一部。</t>
    </r>
    <r>
      <rPr>
        <sz val="9.5"/>
        <rFont val="Arial"/>
        <family val="0"/>
        <charset val="1"/>
      </rPr>
      <t xml:space="preserve">(5) </t>
    </r>
    <r>
      <rPr>
        <sz val="9.5"/>
        <rFont val="Noto Sans CJK SC"/>
        <family val="2"/>
      </rPr>
      <t xml:space="preserve">抽象的対象用の焦点化・譲歩構文。この</t>
    </r>
    <r>
      <rPr>
        <sz val="9.5"/>
        <rFont val="Arial"/>
        <family val="0"/>
        <charset val="1"/>
      </rPr>
      <t xml:space="preserve">5</t>
    </r>
    <r>
      <rPr>
        <sz val="9.5"/>
        <rFont val="Noto Sans CJK SC"/>
        <family val="2"/>
      </rPr>
      <t xml:space="preserve">点が、同じ表出型の他行為（感情の表出、好悪の表明、感謝・詫び・祝意など）を作る際の点検リストになる。ただし表出型内でも「感謝・詫び」は定型性が高く儀礼型に近い顔を持つ可能性があり、「感情の表出」は不同意の作法が効かない ── 表出型は内部の振れ幅が大きく、汎用性検証で下位分化を確かめる必要がある。</t>
    </r>
  </si>
  <si>
    <t xml:space="preserve">四類型の点検軸 ── 範型から抽出した、類型別テンプレートの骨子</t>
  </si>
  <si>
    <t xml:space="preserve">類型</t>
  </si>
  <si>
    <t xml:space="preserve">範型とした行為</t>
  </si>
  <si>
    <t xml:space="preserve">レベル軸の性格</t>
  </si>
  <si>
    <r>
      <rPr>
        <b val="true"/>
        <sz val="10"/>
        <color rgb="FFFFFFFF"/>
        <rFont val="Arial"/>
        <family val="0"/>
        <charset val="1"/>
      </rPr>
      <t xml:space="preserve">L1</t>
    </r>
    <r>
      <rPr>
        <b val="true"/>
        <sz val="10"/>
        <color rgb="FFFFFFFF"/>
        <rFont val="Noto Sans CJK SC"/>
        <family val="2"/>
      </rPr>
      <t xml:space="preserve">注意の中心</t>
    </r>
  </si>
  <si>
    <r>
      <rPr>
        <b val="true"/>
        <sz val="10"/>
        <color rgb="FFFFFFFF"/>
        <rFont val="Noto Sans CJK SC"/>
        <family val="2"/>
      </rPr>
      <t xml:space="preserve">効く</t>
    </r>
    <r>
      <rPr>
        <b val="true"/>
        <sz val="10"/>
        <color rgb="FFFFFFFF"/>
        <rFont val="Arial"/>
        <family val="0"/>
        <charset val="1"/>
      </rPr>
      <t xml:space="preserve">how well</t>
    </r>
    <r>
      <rPr>
        <b val="true"/>
        <sz val="10"/>
        <color rgb="FFFFFFFF"/>
        <rFont val="Noto Sans CJK SC"/>
        <family val="2"/>
      </rPr>
      <t xml:space="preserve">主軸</t>
    </r>
  </si>
  <si>
    <t xml:space="preserve">汎用性検証で確かめる論点</t>
  </si>
  <si>
    <r>
      <rPr>
        <b val="true"/>
        <sz val="10"/>
        <rFont val="Noto Sans CJK SC"/>
        <family val="2"/>
      </rPr>
      <t xml:space="preserve">指示型
</t>
    </r>
    <r>
      <rPr>
        <b val="true"/>
        <sz val="10"/>
        <rFont val="Arial"/>
        <family val="0"/>
        <charset val="1"/>
      </rPr>
      <t xml:space="preserve">(directive)</t>
    </r>
  </si>
  <si>
    <t xml:space="preserve">苦情・クレーム</t>
  </si>
  <si>
    <r>
      <rPr>
        <sz val="9"/>
        <rFont val="Arial"/>
        <family val="0"/>
        <charset val="1"/>
      </rPr>
      <t xml:space="preserve">A2→C1</t>
    </r>
    <r>
      <rPr>
        <sz val="9"/>
        <rFont val="Noto Sans CJK SC"/>
        <family val="2"/>
      </rPr>
      <t xml:space="preserve">の長い梯子。緩衝の精緻化として一直線に読める</t>
    </r>
  </si>
  <si>
    <t xml:space="preserve">言い出せない／振れすぎるの二重の壁。緩衝技法の欠如</t>
  </si>
  <si>
    <t xml:space="preserve">社会言語的適切さ（緩衝）</t>
  </si>
  <si>
    <t xml:space="preserve">依頼・要求に当てて、緩衝軸と口頭書面分岐がそのまま効くか</t>
  </si>
  <si>
    <r>
      <rPr>
        <b val="true"/>
        <sz val="10"/>
        <rFont val="Noto Sans CJK SC"/>
        <family val="2"/>
      </rPr>
      <t xml:space="preserve">儀礼型
</t>
    </r>
    <r>
      <rPr>
        <b val="true"/>
        <sz val="10"/>
        <rFont val="Arial"/>
        <family val="0"/>
        <charset val="1"/>
      </rPr>
      <t xml:space="preserve">(phatic)</t>
    </r>
  </si>
  <si>
    <t xml:space="preserve">挨拶・別れ・安否</t>
  </si>
  <si>
    <r>
      <rPr>
        <sz val="9"/>
        <rFont val="Arial"/>
        <family val="0"/>
        <charset val="1"/>
      </rPr>
      <t xml:space="preserve">Pre-A1</t>
    </r>
    <r>
      <rPr>
        <sz val="9"/>
        <rFont val="Noto Sans CJK SC"/>
        <family val="2"/>
      </rPr>
      <t xml:space="preserve">〜</t>
    </r>
    <r>
      <rPr>
        <sz val="9"/>
        <rFont val="Arial"/>
        <family val="0"/>
        <charset val="1"/>
      </rPr>
      <t xml:space="preserve">A2+</t>
    </r>
    <r>
      <rPr>
        <sz val="9"/>
        <rFont val="Noto Sans CJK SC"/>
        <family val="2"/>
      </rPr>
      <t xml:space="preserve">で出尽くす。上級が無い。レベル軸がほぼ消える</t>
    </r>
  </si>
  <si>
    <r>
      <rPr>
        <sz val="9"/>
        <rFont val="Arial"/>
        <family val="0"/>
        <charset val="1"/>
      </rPr>
      <t xml:space="preserve">phatic</t>
    </r>
    <r>
      <rPr>
        <sz val="9"/>
        <rFont val="Noto Sans CJK SC"/>
        <family val="2"/>
      </rPr>
      <t xml:space="preserve">の誤解（</t>
    </r>
    <r>
      <rPr>
        <sz val="9"/>
        <rFont val="Arial"/>
        <family val="0"/>
        <charset val="1"/>
      </rPr>
      <t xml:space="preserve">How are you?</t>
    </r>
    <r>
      <rPr>
        <sz val="9"/>
        <rFont val="Noto Sans CJK SC"/>
        <family val="2"/>
      </rPr>
      <t xml:space="preserve">を情報要求と取る）。レジスターとテンポ。終了定型の欠如</t>
    </r>
  </si>
  <si>
    <t xml:space="preserve">社会言語的適切さ（レジスター）</t>
  </si>
  <si>
    <r>
      <rPr>
        <sz val="9"/>
        <rFont val="Noto Sans CJK SC"/>
        <family val="2"/>
      </rPr>
      <t xml:space="preserve">会話の開始・維持に当てて、レベル軸消失と</t>
    </r>
    <r>
      <rPr>
        <sz val="9"/>
        <rFont val="Arial"/>
        <family val="0"/>
        <charset val="1"/>
      </rPr>
      <t xml:space="preserve">phatic</t>
    </r>
    <r>
      <rPr>
        <sz val="9"/>
        <rFont val="Noto Sans CJK SC"/>
        <family val="2"/>
      </rPr>
      <t xml:space="preserve">説明が効くか</t>
    </r>
  </si>
  <si>
    <r>
      <rPr>
        <b val="true"/>
        <sz val="10"/>
        <rFont val="Noto Sans CJK SC"/>
        <family val="2"/>
      </rPr>
      <t xml:space="preserve">主張型
</t>
    </r>
    <r>
      <rPr>
        <b val="true"/>
        <sz val="10"/>
        <rFont val="Arial"/>
        <family val="0"/>
        <charset val="1"/>
      </rPr>
      <t xml:space="preserve">(assertive)</t>
    </r>
  </si>
  <si>
    <t xml:space="preserve">事実情報の質問と応答</t>
  </si>
  <si>
    <t xml:space="preserve">初中級で出尽くすが、内部に疑問の時制・法の文法的段階</t>
  </si>
  <si>
    <r>
      <rPr>
        <sz val="9"/>
        <rFont val="Noto Sans CJK SC"/>
        <family val="2"/>
      </rPr>
      <t xml:space="preserve">語用論でなく統語（</t>
    </r>
    <r>
      <rPr>
        <sz val="9"/>
        <rFont val="Arial"/>
        <family val="0"/>
        <charset val="1"/>
      </rPr>
      <t xml:space="preserve">do</t>
    </r>
    <r>
      <rPr>
        <sz val="9"/>
        <rFont val="Noto Sans CJK SC"/>
        <family val="2"/>
      </rPr>
      <t xml:space="preserve">支持・時制・冠詞・主語の脱落）</t>
    </r>
  </si>
  <si>
    <t xml:space="preserve">文法的正確さ</t>
  </si>
  <si>
    <t xml:space="preserve">経験・出来事の叙述に当てて、疑問文構造の軸が効くか（一方向の語りでは効かない可能性）</t>
  </si>
  <si>
    <r>
      <rPr>
        <b val="true"/>
        <sz val="10"/>
        <rFont val="Noto Sans CJK SC"/>
        <family val="2"/>
      </rPr>
      <t xml:space="preserve">表出型
</t>
    </r>
    <r>
      <rPr>
        <b val="true"/>
        <sz val="10"/>
        <rFont val="Arial"/>
        <family val="0"/>
        <charset val="1"/>
      </rPr>
      <t xml:space="preserve">(expressive)</t>
    </r>
  </si>
  <si>
    <t xml:space="preserve">意見・見解の表明</t>
  </si>
  <si>
    <r>
      <rPr>
        <sz val="9"/>
        <rFont val="Arial"/>
        <family val="0"/>
        <charset val="1"/>
      </rPr>
      <t xml:space="preserve">A2→C1</t>
    </r>
    <r>
      <rPr>
        <sz val="9"/>
        <rFont val="Noto Sans CJK SC"/>
        <family val="2"/>
      </rPr>
      <t xml:space="preserve">の長い梯子。表明→支持→維持→評価・反論と深化</t>
    </r>
  </si>
  <si>
    <t xml:space="preserve">不同意の作法（受けてから返す）。安易な撤回／裸の否定</t>
  </si>
  <si>
    <t xml:space="preserve">社会言語的適切さ＋叙述の正確さ</t>
  </si>
  <si>
    <t xml:space="preserve">感謝・詫び（定型的で儀礼型寄り）／感情の表出（不同意作法が効かない）で下位分化を確認</t>
  </si>
  <si>
    <r>
      <rPr>
        <i val="true"/>
        <sz val="8"/>
        <rFont val="Noto Sans CJK SC"/>
        <family val="2"/>
      </rPr>
      <t xml:space="preserve">四類型すべてに範型を</t>
    </r>
    <r>
      <rPr>
        <i val="true"/>
        <sz val="8"/>
        <rFont val="Arial"/>
        <family val="0"/>
        <charset val="1"/>
      </rPr>
      <t xml:space="preserve">1</t>
    </r>
    <r>
      <rPr>
        <i val="true"/>
        <sz val="8"/>
        <rFont val="Noto Sans CJK SC"/>
        <family val="2"/>
      </rPr>
      <t xml:space="preserve">つずつ作成完了。次段階：各類型内で範型を「同類の別行為」に適用し、テンプレートの汎用性を検証する（右端列の論点）。単一テンプレートの全行為機械適用は不可 ── 類型判定→類型別テンプレート→類型内検証の三段が量産の前提。</t>
    </r>
  </si>
  <si>
    <t xml:space="preserve">大類型</t>
  </si>
  <si>
    <t xml:space="preserve">発語内行為</t>
  </si>
  <si>
    <t xml:space="preserve">記述文数</t>
  </si>
  <si>
    <t xml:space="preserve">C2</t>
  </si>
  <si>
    <t xml:space="preserve">最低レベル</t>
  </si>
  <si>
    <t xml:space="preserve">該当No.</t>
  </si>
  <si>
    <t xml:space="preserve">交話・儀礼</t>
  </si>
  <si>
    <t xml:space="preserve">438, 444, 451, 452, 453, 455, 648, 682, 686</t>
  </si>
  <si>
    <t xml:space="preserve">会話の開始・維持</t>
  </si>
  <si>
    <t xml:space="preserve">427, 432, 434, 445, 450</t>
  </si>
  <si>
    <t xml:space="preserve">表出</t>
  </si>
  <si>
    <t xml:space="preserve">460, 462, 464, 466, 469, 470, 471, 473, 479, 512, 514, 515, 635, 670, 672, 677, 681, 683</t>
  </si>
  <si>
    <t xml:space="preserve">感情の表出</t>
  </si>
  <si>
    <t xml:space="preserve">431, 437, 447, 630, 636, 639, 676, 678</t>
  </si>
  <si>
    <t xml:space="preserve">感謝・詫び・祝意</t>
  </si>
  <si>
    <t xml:space="preserve">441, 446, 632, 644, 646, 685</t>
  </si>
  <si>
    <t xml:space="preserve">好悪の表明</t>
  </si>
  <si>
    <t xml:space="preserve">448, 480, 647, 684</t>
  </si>
  <si>
    <t xml:space="preserve">理解状態の表明</t>
  </si>
  <si>
    <t xml:space="preserve">745, 747, 748</t>
  </si>
  <si>
    <t xml:space="preserve">主張</t>
  </si>
  <si>
    <t xml:space="preserve">事実情報の授受</t>
  </si>
  <si>
    <t xml:space="preserve">541, 554, 555, 557, 559, 562, 568, 591, 633, 640, 642, 649, 656, 659, 679</t>
  </si>
  <si>
    <t xml:space="preserve">563, 564, 565, 569, 570, 572, 574, 575, 578, 579, 581, 582, 583, 584, 585</t>
  </si>
  <si>
    <t xml:space="preserve">問題・事情の説明</t>
  </si>
  <si>
    <t xml:space="preserve">465, 511, 529, 590, 593, 596, 598, 600</t>
  </si>
  <si>
    <t xml:space="preserve">面接での質問と応答</t>
  </si>
  <si>
    <t xml:space="preserve">588, 589, 592, 594, 595, 597</t>
  </si>
  <si>
    <t xml:space="preserve">伝言の授受</t>
  </si>
  <si>
    <t xml:space="preserve">653, 654, 655, 657, 658, 662</t>
  </si>
  <si>
    <t xml:space="preserve">自己に関する情報提供</t>
  </si>
  <si>
    <t xml:space="preserve">571, 599, 643, 650, 687</t>
  </si>
  <si>
    <t xml:space="preserve">経験・出来事の叙述</t>
  </si>
  <si>
    <t xml:space="preserve">680</t>
  </si>
  <si>
    <t xml:space="preserve">指示</t>
  </si>
  <si>
    <t xml:space="preserve">明確化・繰り返しの要求</t>
  </si>
  <si>
    <t xml:space="preserve">531, 668, 699, 702, 704, 737, 738, 739, 740, 741, 742, 743, 744, 746</t>
  </si>
  <si>
    <t xml:space="preserve">取引（購入・注文）</t>
  </si>
  <si>
    <t xml:space="preserve">537, 539, 540, 542, 543, 545, 549, 691, 695, 700, 703, 705</t>
  </si>
  <si>
    <t xml:space="preserve">526, 527, 532, 533, 544, 625, 628, 629, 638</t>
  </si>
  <si>
    <t xml:space="preserve">提案・誘い・計画の相談</t>
  </si>
  <si>
    <t xml:space="preserve">467, 474, 475, 477, 478, 508, 645, 697</t>
  </si>
  <si>
    <t xml:space="preserve">依頼・要求</t>
  </si>
  <si>
    <t xml:space="preserve">442, 519, 522, 538, 546, 547</t>
  </si>
  <si>
    <t xml:space="preserve">問い合わせ</t>
  </si>
  <si>
    <t xml:space="preserve">528, 637, 706</t>
  </si>
  <si>
    <t xml:space="preserve">道案内の依頼と提供</t>
  </si>
  <si>
    <t xml:space="preserve">517, 558, 566</t>
  </si>
  <si>
    <t xml:space="preserve">助言</t>
  </si>
  <si>
    <t xml:space="preserve">456, 560</t>
  </si>
  <si>
    <t xml:space="preserve">同意・不同意</t>
  </si>
  <si>
    <t xml:space="preserve">428, 476</t>
  </si>
  <si>
    <t xml:space="preserve">応募・出願</t>
  </si>
  <si>
    <t xml:space="preserve">641</t>
  </si>
  <si>
    <t xml:space="preserve">指示への応答</t>
  </si>
  <si>
    <t xml:space="preserve">707</t>
  </si>
  <si>
    <t xml:space="preserve">言語行為論的に純粋なcan do＝170記述文を発語内行為で集約すると25種。サール類型: 交話・儀礼/表出/主張/指示。列はレベル別記述文数（プラスレベルは基本級に集約）。上級ほど新規行為は増えず、既存行為のhow well化が進む。</t>
  </si>
  <si>
    <r>
      <rPr>
        <b val="true"/>
        <sz val="13"/>
        <rFont val="Arial"/>
        <family val="0"/>
        <charset val="1"/>
      </rPr>
      <t xml:space="preserve">CEFR Companion Volume 2020 </t>
    </r>
    <r>
      <rPr>
        <b val="true"/>
        <sz val="13"/>
        <rFont val="Noto Sans CJK SC"/>
        <family val="2"/>
      </rPr>
      <t xml:space="preserve">記述文（</t>
    </r>
    <r>
      <rPr>
        <b val="true"/>
        <sz val="13"/>
        <rFont val="Arial"/>
        <family val="0"/>
        <charset val="1"/>
      </rPr>
      <t xml:space="preserve">Descriptor</t>
    </r>
    <r>
      <rPr>
        <b val="true"/>
        <sz val="13"/>
        <rFont val="Noto Sans CJK SC"/>
        <family val="2"/>
      </rPr>
      <t xml:space="preserve">）全数集計</t>
    </r>
  </si>
  <si>
    <t xml:space="preserve">出典: CEFR_Descriptors__2020_.xlsx（Englishシート）。訳語の正準は「対訳マスタ」シート（作業訳・公式訳併記）。プレースホルダ行はReal=0として集計から除外。</t>
  </si>
  <si>
    <t xml:space="preserve">データ行（空行除く）</t>
  </si>
  <si>
    <t xml:space="preserve">実記述文（プレースホルダ除外）</t>
  </si>
  <si>
    <t xml:space="preserve">うち 手話能力（対象外）</t>
  </si>
  <si>
    <t xml:space="preserve">音声言語の実記述文</t>
  </si>
  <si>
    <t xml:space="preserve">スキーム × レベル（実記述文）</t>
  </si>
  <si>
    <t xml:space="preserve">スキーム</t>
  </si>
  <si>
    <t xml:space="preserve">計</t>
  </si>
  <si>
    <t xml:space="preserve">EN:Scheme</t>
  </si>
  <si>
    <t xml:space="preserve">Communicative language activities</t>
  </si>
  <si>
    <t xml:space="preserve">Communicative language strategies</t>
  </si>
  <si>
    <t xml:space="preserve">Communicative language competences</t>
  </si>
  <si>
    <t xml:space="preserve">Plurilingual and pluricultural competence</t>
  </si>
  <si>
    <t xml:space="preserve">Signing competences</t>
  </si>
  <si>
    <t xml:space="preserve">No</t>
  </si>
  <si>
    <t xml:space="preserve">Scheme</t>
  </si>
  <si>
    <t xml:space="preserve">Mode</t>
  </si>
  <si>
    <t xml:space="preserve">Activity</t>
  </si>
  <si>
    <t xml:space="preserve">Scale</t>
  </si>
  <si>
    <t xml:space="preserve">Level</t>
  </si>
  <si>
    <t xml:space="preserve">Descriptor</t>
  </si>
  <si>
    <t xml:space="preserve">Real</t>
  </si>
  <si>
    <t xml:space="preserve">Reception</t>
  </si>
  <si>
    <t xml:space="preserve">Oral comprehension</t>
  </si>
  <si>
    <t xml:space="preserve">Overall oral comprehension</t>
  </si>
  <si>
    <t xml:space="preserve">Can understand with ease virtually any kind of language, whether live or broadcast, delivered at fast natural speed.</t>
  </si>
  <si>
    <t xml:space="preserve">Can understand enough to follow extended discourse on abstract and complex topics beyond their own field, though they may need to confirm occasional details, especially if the variety is unfamiliar.</t>
  </si>
  <si>
    <t xml:space="preserve">Can recognise a wide range of idiomatic expressions and colloquialisms, appreciating register shifts.</t>
  </si>
  <si>
    <t xml:space="preserve">Can follow extended discourse even when it is not clearly structured and when relationships are only implied and not signalled explicitly.</t>
  </si>
  <si>
    <t xml:space="preserve">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</si>
  <si>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 xml:space="preserve">Can understand the main ideas of propositionally and linguistically complex discourse on both concrete and abstract topics delivered in standard language or a familiar variety, including technical discussions in their field of specialisation.</t>
  </si>
  <si>
    <t xml:space="preserve">Can follow extended discourse and complex lines of argument, provided the topic is reasonably familiar, and the direction of the argument is signposted by explicit markers.</t>
  </si>
  <si>
    <t xml:space="preserve">Can understand straightforward factual information about common everyday or job-related topics, identifying both general messages and specific details, provided people articulate clearly in a generally familiar variety.</t>
  </si>
  <si>
    <t xml:space="preserve">Can understand the main points made in clear standard language or a familiar variety on familiar matters regularly encountered at work, school, leisure, etc., including short narratives. </t>
  </si>
  <si>
    <t xml:space="preserve">Can understand enough to be able to meet needs of a concrete type, provided people articulate clearly and slowly.</t>
  </si>
  <si>
    <t xml:space="preserve">Can understand phrases and expressions related to areas of most immediate priority (e.g. very basic personal and family information, shopping, local geography, employment), provided people articulate clearly and slowly.</t>
  </si>
  <si>
    <t xml:space="preserve">Can follow language which is very slow and carefully articulated, with long pauses for them to assimilate meaning.</t>
  </si>
  <si>
    <t xml:space="preserve">Can recognise concrete information (e.g. places and times) on familiar topics encountered in everyday life, provided it is delivered slowly and clearly.</t>
  </si>
  <si>
    <t xml:space="preserve">Can understand short, very simple questions and statements, provided they are delivered slowly and clearly and accompanied by visuals or manual gestures to support understanding and repeated if necessary.</t>
  </si>
  <si>
    <t xml:space="preserve">Can recognise everyday, familiar words/signs, provided they are delivered clearly and slowly in a clearly defined, familiar everyday context.</t>
  </si>
  <si>
    <t xml:space="preserve">Can recognise numbers, prices, dates and days of the week, provided they are delivered slowly and clearly in a defined, familiar everyday context.</t>
  </si>
  <si>
    <t xml:space="preserve">Understanding conversation between other people</t>
  </si>
  <si>
    <t xml:space="preserve">Can identify the sociocultural implications of most of the language used in colloquial discussions that take place at a natural speed.</t>
  </si>
  <si>
    <t xml:space="preserve">Can easily follow complex interactions between third parties in group discussion and debate, even on abstract, complex, unfamiliar topics.</t>
  </si>
  <si>
    <t xml:space="preserve">Can identify the attitude of each participant in an animated discussion characterised by overlapping turns, digressions and colloquialisms that is delivered at a natural speed in varieties that are familiar.</t>
  </si>
  <si>
    <t xml:space="preserve">Can keep up with an animated conversation between proficient users of the target language.</t>
  </si>
  <si>
    <t xml:space="preserve">Can with some effort catch much of what is said around them, but may find it difficult to participate effectively in discussion with several users of the target language who do not modify their language in any way.</t>
  </si>
  <si>
    <t xml:space="preserve">Can identify the main reasons for and against an argument or idea in a discussion conducted in clear standard language or a familiar variety.</t>
  </si>
  <si>
    <t xml:space="preserve">Can follow chronological sequence in extended informal discourse, e.g. in a story or anecdote.</t>
  </si>
  <si>
    <t xml:space="preserve">Can follow much of everyday conversation and discussion, provided it is clearly articulated in standard language or in a familiar variety.</t>
  </si>
  <si>
    <t xml:space="preserve">Can generally follow the main points of extended discussion around them, provided it is clearly articulated in standard language or a familiar variety.</t>
  </si>
  <si>
    <t xml:space="preserve">Can generally identify the topic of discussion around them when it is conducted slowly and clearly.</t>
  </si>
  <si>
    <t xml:space="preserve">Can recognise when people agree and disagree in a conversation conducted slowly and clearly.</t>
  </si>
  <si>
    <t xml:space="preserve">Can follow in outline short, simple social exchanges, conducted very slowly and clearly.</t>
  </si>
  <si>
    <t xml:space="preserve">Can understand some expressions when people are discussing them, family, school, hobbies or surroundings, provided the delivery is slow and clear.</t>
  </si>
  <si>
    <t xml:space="preserve">Can understand words/signs and short sentences in a simple conversation (e.g. between a customer and a salesperson in a shop), provided people communicate very slowly and very clearly.</t>
  </si>
  <si>
    <t xml:space="preserve">No descriptors available</t>
  </si>
  <si>
    <t xml:space="preserve">Understanding as a member of a live audience</t>
  </si>
  <si>
    <t xml:space="preserve">Can follow specialised lectures and presentations employing colloquialism, regional usage or unfamiliar terminology.</t>
  </si>
  <si>
    <t xml:space="preserve">Can make appropriate inferences when links or implications are not made explicit.</t>
  </si>
  <si>
    <t xml:space="preserve">Can get the point of jokes or allusions in a presentation.</t>
  </si>
  <si>
    <t xml:space="preserve">Can follow most lectures, discussions and debates with relative ease.</t>
  </si>
  <si>
    <t xml:space="preserve">Can follow the essentials of lectures, talks and reports and other forms of academic/professional presentation which are propositionally and linguistically complex.</t>
  </si>
  <si>
    <t xml:space="preserve">Can understand the point of view expressed on topics that are of current interest or that relate to their specialised field, provided the talk is delivered in standard language or a familiar variety.</t>
  </si>
  <si>
    <t xml:space="preserve">Can follow complex lines of argument in a clearly articulated lecture, provided the topic is reasonably familiar.</t>
  </si>
  <si>
    <t xml:space="preserve">Can distinguish main themes from asides, provided the lecture or talk is delivered in standard language or a familiar variety.</t>
  </si>
  <si>
    <t xml:space="preserve">Can recognise the point of view expressed and distinguish this from facts being reporting.</t>
  </si>
  <si>
    <t xml:space="preserve">Can follow a lecture or talk within their own field, provided the subject matter is familiar and the presentation straightforward and clearly structured.</t>
  </si>
  <si>
    <t xml:space="preserve">Can distinguish between main ideas and supporting details in standard lectures on familiar subjects, provided these are delivered in clearly articulated standard language or a familiar variety.</t>
  </si>
  <si>
    <t xml:space="preserve">Can follow in outline straightforward short talks on familiar topics, provided these are delivered in clearly articulated standard language or a familiar variety.</t>
  </si>
  <si>
    <t xml:space="preserve">Can follow a straightforward conference presentation or demonstration with visual support (e.g. slides, handouts) on a topic or product within their field, understanding explanations given.</t>
  </si>
  <si>
    <t xml:space="preserve">Can understand the main points of what is said in a straightforward monologue (e.g. a guided tour), provided the delivery is clear and relatively slow.</t>
  </si>
  <si>
    <t xml:space="preserve">Can follow the general outline of a demonstration or presentation on a familiar or predictable topic, where the message is expressed slowly and clearly in simple language and there is visual support (e.g. slides, handouts).</t>
  </si>
  <si>
    <t xml:space="preserve">Can follow a very simple, well-structured presentation or demonstration, provided it is illustrated with slides, concrete examples or diagrams, it is delivered slowly and clearly with repetition, and the topic is familiar.</t>
  </si>
  <si>
    <t xml:space="preserve">Can understand the outline of simple information given in a predictable situation, such as on a guided tour (e.g. “This is where the President lives”).</t>
  </si>
  <si>
    <t xml:space="preserve">Can understand in outline very simple information being explained in a predictable situation like a guided tour, provided the delivery is very slow and clear and that there are long pauses from time to time.</t>
  </si>
  <si>
    <t xml:space="preserve">Understanding announcements and instructions</t>
  </si>
  <si>
    <t xml:space="preserve">No descriptors available; see C1</t>
  </si>
  <si>
    <t xml:space="preserve">Can extract specific information from poor quality, [audibly and/or visually] distorted public announcements, e.g. in a station or sports stadium, or on an old recording.</t>
  </si>
  <si>
    <t xml:space="preserve">Can understand complex technical information, such as operating instructions or specifications for familiar products and services.</t>
  </si>
  <si>
    <t xml:space="preserve">Can understand announcements and messages on concrete and abstract topics delivered in standard language or a familiar variety at normal speed.</t>
  </si>
  <si>
    <t xml:space="preserve">Can understand detailed instructions well enough to be able to follow them successfully.</t>
  </si>
  <si>
    <t xml:space="preserve">Can understand simple technical information, such as operating instructions for everyday equipment.</t>
  </si>
  <si>
    <t xml:space="preserve">Can follow detailed directions.</t>
  </si>
  <si>
    <t xml:space="preserve">Can understand public announcements at airports, stations and on planes, buses and trains, provided these are clearly articulated with minimum interference from [auditory/visual] background noise.</t>
  </si>
  <si>
    <t xml:space="preserve">Can understand and follow a series of instructions for familiar everyday activities such as sports, cooking, etc., provided they are delivered slowly and clearly.</t>
  </si>
  <si>
    <t xml:space="preserve">Can understand straightforward announcements (e.g. of a cinema programme or sports event, that a train has been delayed), provided the delivery is slow and clear.</t>
  </si>
  <si>
    <t xml:space="preserve">Can catch the main point in short, clear, simple messages and announcements.</t>
  </si>
  <si>
    <t xml:space="preserve">Can understand simple directions on how to get from X to Y, by foot or public transport.</t>
  </si>
  <si>
    <t xml:space="preserve">Can understand basic instructions on times, dates and numbers, etc., and on routine tasks and assignments to be carried out.</t>
  </si>
  <si>
    <t xml:space="preserve">Can understand instructions addressed carefully and slowly to them and follow short, simple directions.</t>
  </si>
  <si>
    <t xml:space="preserve">Can understand when someone tells them slowly and clearly where something is, provided the object is in the immediate environment.</t>
  </si>
  <si>
    <t xml:space="preserve">Can understand figures, prices and times given slowly and clearly in an announcement by loudspeaker, e.g. at a railway station or in a shop.</t>
  </si>
  <si>
    <t xml:space="preserve">Can understand short, simple instructions for actions such as “Stop”, “Close the door”, etc., provided they are delivered slowly face-to-face, accompanied by pictures or manual gestures and repeated if necessary.</t>
  </si>
  <si>
    <t xml:space="preserve">Understanding audio (or signed) media and recordings</t>
  </si>
  <si>
    <t xml:space="preserve">Can understand a wide range of recorded and broadcast material, including some non-standard usage, and identify finer points of detail including implicit attitudes and relationships between people.</t>
  </si>
  <si>
    <t xml:space="preserve">Can understand recordings in the standard form of the language likely to be encountered in social, professional or academic life and identify viewpoints and attitudes as well as the information content.</t>
  </si>
  <si>
    <t xml:space="preserve">Can understand most documentaries and most other recorded or broadcast material delivered in the standard form of the language and can identify mood, attitude, etc.</t>
  </si>
  <si>
    <t xml:space="preserve">Can understand the information content of the majority of recorded or broadcast material on topics of personal interest delivered in clear standard language.</t>
  </si>
  <si>
    <t xml:space="preserve">Can understand the main points of news bulletins and simpler recorded material about familiar subjects delivered relatively slowly and clearly.</t>
  </si>
  <si>
    <t xml:space="preserve">Can understand the main points and important details in stories and other narratives (e.g. a description of a holiday), provided the delivery is slow and clear.</t>
  </si>
  <si>
    <t xml:space="preserve">Can understand the most important information contained in short commercials concerning goods and services of interest (e.g. CDs, video games, travel).</t>
  </si>
  <si>
    <t xml:space="preserve">Can understand in an interview what people say they do in their free time, what they particularly like doing and what they do not like doing, provided they speak slowly and clearly.</t>
  </si>
  <si>
    <t xml:space="preserve">Can understand and extract the essential information from short, recorded passages dealing with predictable everyday matters which are delivered slowly and clearly.</t>
  </si>
  <si>
    <t xml:space="preserve">Can extract important information from short broadcasts (e.g. the weather forecast, concert announcements, sports results), provided people talk clearly.</t>
  </si>
  <si>
    <t xml:space="preserve">Can understand the important points of a story and manage to follow the plot, provided the story is told slowly and clearly.</t>
  </si>
  <si>
    <t xml:space="preserve">Can pick out concrete information (e.g. places and times) from short recordings on familiar everyday topics, provided they are delivered very slowly and clearly.</t>
  </si>
  <si>
    <t xml:space="preserve">Can recognise words/signs, names and numbers that they already know in simple, short recordings, provided these are delivered very slowly and clearly.</t>
  </si>
  <si>
    <t xml:space="preserve">Audio-visual comprehension</t>
  </si>
  <si>
    <t xml:space="preserve">Watching TV, film and video</t>
  </si>
  <si>
    <t xml:space="preserve">Can follow films employing a considerable degree of slang and idiomatic usage.</t>
  </si>
  <si>
    <t xml:space="preserve">Can understand in detail the arguments presented in demanding television broadcasts such as current affairs programmes, interviews, discussion programmes and chat shows.</t>
  </si>
  <si>
    <t xml:space="preserve">Can understand nuances and implied meaning in most films, plays and TV programmes, provided these are delivered in standard language or a familiar variety.</t>
  </si>
  <si>
    <t xml:space="preserve">Can extract the main points from the arguments and discussions in news and current affairs programmes.</t>
  </si>
  <si>
    <t xml:space="preserve">Can understand most TV news and current affairs programmes.</t>
  </si>
  <si>
    <t xml:space="preserve">Can understand documentaries, live interviews, talk shows, plays and the majority of films in the standard form of the language or a familiar variety.</t>
  </si>
  <si>
    <t xml:space="preserve">Can understand a large part of many TV programmes on topics of personal interest such as interviews, short lectures and news reports when the delivery is relatively slow and clear.</t>
  </si>
  <si>
    <t xml:space="preserve">Can follow many films in which visuals and action carry much of the storyline, and which are delivered clearly in straightforward language.</t>
  </si>
  <si>
    <t xml:space="preserve">Can catch the main points in TV programmes on familiar topics when the delivery is relatively slow and clear.</t>
  </si>
  <si>
    <t xml:space="preserve">Can identify the main point of TV news items reporting events, accidents, etc. where the visuals support the commentary.</t>
  </si>
  <si>
    <t xml:space="preserve">Can follow a TV commercial or a trailer for or scene from a film, understanding what topic(s) are concerned, provided the images are a great help in understanding and the delivery is clear and relatively slow.</t>
  </si>
  <si>
    <t xml:space="preserve">Can follow changes of topic of factual TV news items, and form an idea of the main content.</t>
  </si>
  <si>
    <t xml:space="preserve">Can recognise familiar words/signs and phrases and identify the topics in headline news summaries and many of the products in advertisements, by exploiting visual information and general knowledge.</t>
  </si>
  <si>
    <t xml:space="preserve">Can identify the subject of a video document on the basis of visual information and previous knowledge.</t>
  </si>
  <si>
    <t xml:space="preserve">Reading comprehension</t>
  </si>
  <si>
    <t xml:space="preserve">Overall reading comprehension</t>
  </si>
  <si>
    <t xml:space="preserve">Can understand virtually all types of texts including abstract, structurally complex, or highly colloquial literary and non-literary writings.</t>
  </si>
  <si>
    <t xml:space="preserve">Can understand a wide range of long and complex texts, appreciating subtle distinctions of style and implicit as well as explicit meaning.</t>
  </si>
  <si>
    <t xml:space="preserve">Can understand in detail lengthy, complex texts, whether or not these relate to their own area of speciality, provided they can reread difficult sections.</t>
  </si>
  <si>
    <t xml:space="preserve">Can understand a wide variety of texts including literary writings, newspaper or magazine articles, and specialised academic or professional publications, provided there are opportunities for rereading and they have access to reference tools.</t>
  </si>
  <si>
    <t xml:space="preserve">Can read with a large degree of independence, adapting style and speed of reading to different texts and purposes, and using appropriate reference sources selectively. Has a broad active reading vocabulary, but may experience some difficulty with low-frequency idioms.</t>
  </si>
  <si>
    <t xml:space="preserve">Can read straightforward factual texts on subjects related to their field of interest with a satisfactory level of comprehension.</t>
  </si>
  <si>
    <t xml:space="preserve">Can understand short, simple texts on familiar matters of a concrete type which consist of high frequency everyday or job-related language.</t>
  </si>
  <si>
    <t xml:space="preserve">Can understand short, simple texts containing the highest frequency vocabulary, including a proportion of shared international vocabulary items.</t>
  </si>
  <si>
    <t xml:space="preserve">Can understand very short, simple texts a single phrase at a time, picking up familiar names, words and basic phrases and rereading as required.</t>
  </si>
  <si>
    <t xml:space="preserve">Can recognise familiar words/signs accompanied by pictures, such as a fast-food restaurant menu illustrated with photos or a picture book using familiar vocabulary.</t>
  </si>
  <si>
    <t xml:space="preserve">Reading correspondence</t>
  </si>
  <si>
    <t xml:space="preserve">Can understand specialised, formal correspondence on a complex topic.</t>
  </si>
  <si>
    <t xml:space="preserve">Can understand any correspondence given the occasional use of a dictionary.</t>
  </si>
  <si>
    <t xml:space="preserve">Can understand implicit as well as explicit attitudes, emotions and opinions expressed in e-mails, discussion forums, vlogs/blogs, etc., provided there are opportunities for rereading and they have access to reference tools.</t>
  </si>
  <si>
    <t xml:space="preserve">Can understand slang, idiomatic expressions and jokes in private correspondence.</t>
  </si>
  <si>
    <t xml:space="preserve">Can read correspondence relating to their field of interest and readily grasp the essential meaning.</t>
  </si>
  <si>
    <t xml:space="preserve">Can understand what is said in a personal e-mail or posting even where some colloquial language is used.</t>
  </si>
  <si>
    <t xml:space="preserve">Can understand formal correspondence on less familiar subjects well enough to redirect it to someone else. </t>
  </si>
  <si>
    <t xml:space="preserve">Can understand the description of events, feelings and wishes in personal letters well enough to correspond regularly with a pen friend.</t>
  </si>
  <si>
    <t xml:space="preserve">Can understand straightforward personal letters, e-mails or postings giving a relatively detailed account of events and experiences.</t>
  </si>
  <si>
    <t xml:space="preserve">Can understand standard formal correspondence and online postings in their area of professional interest.</t>
  </si>
  <si>
    <t xml:space="preserve">Can understand a simple personal letter, e-mail or post in which the person writing is talking about familiar subjects (such as friends or family) or asking questions on these subjects.</t>
  </si>
  <si>
    <t xml:space="preserve">Can understand basic types of standard routine letters and faxes (enquiries, orders, letters of confirmation, etc.) on familiar topics.</t>
  </si>
  <si>
    <t xml:space="preserve">Can understand short, simple personal letters.</t>
  </si>
  <si>
    <t xml:space="preserve">Can understand very simple formal e-mails and letters (e.g. confirmation of a booking or online purchase).</t>
  </si>
  <si>
    <t xml:space="preserve">Can understand short, simple messages on postcards.</t>
  </si>
  <si>
    <t xml:space="preserve">Can understand short, simple messages sent via social media or e-mail (e.g. proposing what to do, when and where to meet).</t>
  </si>
  <si>
    <t xml:space="preserve">Can understand from a letter, card or e-mail the event to which they are being invited and the information given about day, time and location.</t>
  </si>
  <si>
    <t xml:space="preserve">Can recognise times and places in very simple notes and text messages from friends or colleagues (e.g. “Back at 4 o’clock” or “In the meeting room”), provided there are no abbreviations.</t>
  </si>
  <si>
    <t xml:space="preserve">Reading for orientation</t>
  </si>
  <si>
    <t xml:space="preserve">No descriptors available; see B2</t>
  </si>
  <si>
    <t xml:space="preserve">Can scan quickly through several sources (articles, reports, websites, books, etc.) in parallel, in both their own field and in related fields, and can identify the relevance and usefulness of particular sections for the task at hand.</t>
  </si>
  <si>
    <t xml:space="preserve">Can scan quickly through long and complex texts, locating relevant details.</t>
  </si>
  <si>
    <t xml:space="preserve">Can quickly identify the content and relevance of news items, articles and reports on a wide range of professional topics, deciding whether closer study is worthwhile.</t>
  </si>
  <si>
    <t xml:space="preserve">Can scan longer texts in order to locate desired information, and gather information from different parts of a text, or from different texts in order to fulfil a specific task.</t>
  </si>
  <si>
    <t xml:space="preserve">Can scan through straightforward, factual texts in magazines, brochures or on the web, identify what they are about and decide whether they contain information that might be of practical use.</t>
  </si>
  <si>
    <t xml:space="preserve">Can find and understand relevant information in everyday material, such as letters, brochures and short official documents.</t>
  </si>
  <si>
    <t xml:space="preserve">Can pick out important information about preparation and usage on the labels on foodstuff and medicine.</t>
  </si>
  <si>
    <t xml:space="preserve">Can assess whether an article, report or review is on the required topic.</t>
  </si>
  <si>
    <t xml:space="preserve">Can understand the important information in simple, clearly drafted adverts in newspapers or magazines, provided there are not too many abbreviations.</t>
  </si>
  <si>
    <t xml:space="preserve">Can find specific information in practical, concrete, predictable texts (e.g. travel guidebooks, recipes), provided they are produced in simple language.</t>
  </si>
  <si>
    <t xml:space="preserve">Can understand the main information in short and simple descriptions of goods in brochures and websites (e.g. portable digital devices, cameras).</t>
  </si>
  <si>
    <t xml:space="preserve">Can find specific, predictable information in simple everyday material such as advertisements, prospectuses, menus, reference lists and timetables.</t>
  </si>
  <si>
    <t xml:space="preserve">Can locate specific information in lists and isolate the information required (e.g. use the Yellow Pages to find a service or tradesman).</t>
  </si>
  <si>
    <t xml:space="preserve">Can understand everyday signs and notices, etc. in public places, such as streets, restaurants, railway stations; in workplaces, such as directions, instructions, hazard warnings.</t>
  </si>
  <si>
    <t xml:space="preserve">Can recognise familiar names, words/signs and very basic phrases on simple notices in the most common everyday situations.</t>
  </si>
  <si>
    <t xml:space="preserve">Can understand store guides (information on which floors departments are on) and directions (e.g. where to find lifts).</t>
  </si>
  <si>
    <t xml:space="preserve">Can understand basic hotel information (e.g. times when meals are served).</t>
  </si>
  <si>
    <t xml:space="preserve">Can find and understand simple, important information in advertisements, programmes for special events, leaflets and brochures (e.g. what is proposed, costs, the date and place of the event, departure times).</t>
  </si>
  <si>
    <t xml:space="preserve">Can understand simple everyday signs such as “Parking”, “Station”, “Dining room”, “No smoking”, etc.</t>
  </si>
  <si>
    <t xml:space="preserve">Can find information about places, times and prices on posters, flyers and notices.</t>
  </si>
  <si>
    <t xml:space="preserve">Reading for information and argument</t>
  </si>
  <si>
    <t xml:space="preserve">Can understand the finer points and implications of a complex report or article even outside their area of specialisation.</t>
  </si>
  <si>
    <t xml:space="preserve">Can understand in detail a wide range of lengthy, complex texts likely to be encountered in social, professional or academic life, identifying finer points of detail including attitudes and implied as well as stated opinions.</t>
  </si>
  <si>
    <t xml:space="preserve">Can obtain information, ideas and opinions from highly specialised sources within their field.</t>
  </si>
  <si>
    <t xml:space="preserve">Can understand specialised articles outside their field, provided they can use a dictionary occasionally to confirm their interpretation of terminology.</t>
  </si>
  <si>
    <t xml:space="preserve">Can understand articles and reports concerned with contemporary problems in which particular stances or viewpoints are adopted.</t>
  </si>
  <si>
    <t xml:space="preserve">Can recognise when a text provides factual information and when it seeks to convince readers of something.</t>
  </si>
  <si>
    <t xml:space="preserve">Can recognise different structures in discursive text: contrasting arguments, problem–solution presentation and cause–effect relationships.</t>
  </si>
  <si>
    <t xml:space="preserve">Can understand straightforward, factual texts on subjects relating to their interests or studies.</t>
  </si>
  <si>
    <t xml:space="preserve">Can understand short texts on subjects that are familiar or of current interest, in which people give their points of view (e.g. critical contributions to an online discussion forum or readers’ letters to the editor).</t>
  </si>
  <si>
    <t xml:space="preserve">Can identify the main conclusions in clearly signalled argumentative texts.</t>
  </si>
  <si>
    <t xml:space="preserve">Can recognise the line of argument in the treatment of the issue presented, though not necessarily in detail.</t>
  </si>
  <si>
    <t xml:space="preserve">Can recognise significant points in straightforward news articles on familiar subjects.</t>
  </si>
  <si>
    <t xml:space="preserve">Can understand most factual information that they are likely to come across on familiar subjects of interest, provided they have sufficient time for rereading.</t>
  </si>
  <si>
    <t xml:space="preserve">Can understand the main points in descriptive notes such as those on museum exhibits and explanatory boards in exhibitions.</t>
  </si>
  <si>
    <t xml:space="preserve">Can identify specific information in simpler material they encounter such as letters, brochures and short news articles describing events.</t>
  </si>
  <si>
    <t xml:space="preserve">Can follow the general outline of a news report on a familiar type of event, provided the contents are familiar and predictable.</t>
  </si>
  <si>
    <t xml:space="preserve">Can pick out the main information in short news reports or simple articles in which figures, names, illustrations and titles play a prominent role and support the meaning of the text.</t>
  </si>
  <si>
    <t xml:space="preserve">Can understand the main points of short texts dealing with everyday topics (e.g. lifestyle, hobbies, sports, weather).</t>
  </si>
  <si>
    <t xml:space="preserve">Can understand texts describing people, places, everyday life and culture, etc., provided they use simple language.</t>
  </si>
  <si>
    <t xml:space="preserve">Can understand information given in illustrated brochures and maps (e.g. the principal attractions of a city).</t>
  </si>
  <si>
    <t xml:space="preserve">Can understand the main points in short news items on subjects of personal interest (e.g. sport, celebrities).</t>
  </si>
  <si>
    <t xml:space="preserve">Can understand a short factual description or report within their own field, provided simple language is used and that it does not contain unpredictable detail.</t>
  </si>
  <si>
    <t xml:space="preserve">Can understand most of what people say about themselves in a personal ad or post and what they say they like in other people.</t>
  </si>
  <si>
    <t xml:space="preserve">Can get an idea of the content of simpler informational material and short, simple descriptions, especially if there is visual support.</t>
  </si>
  <si>
    <t xml:space="preserve">Can understand short texts on subjects of personal interest (e.g. news flashes about sports, music, travel or stories) composed in very simple language and supported by illustrations and pictures.</t>
  </si>
  <si>
    <t xml:space="preserve">Can understand the simplest informational material such as a fast-food restaurant menu illustrated with photos or an illustrated story formulated in very simple everyday words/signs.</t>
  </si>
  <si>
    <t xml:space="preserve">Reading instructions</t>
  </si>
  <si>
    <t xml:space="preserve">Can understand in detail lengthy, complex instructions on a new machine or procedure, whether or not the instructions relate to their own area of speciality, provided they can reread difficult sections.</t>
  </si>
  <si>
    <t xml:space="preserve">Can understand lengthy, complex instructions in their field, including details on conditions and warnings, provided they can reread difficult sections.</t>
  </si>
  <si>
    <t xml:space="preserve">Can understand instructions and procedures in the form of a continuous text, for instance in a manual, provided they are familiar with the type of process or product concerned.</t>
  </si>
  <si>
    <t xml:space="preserve">Can understand clearly expressed, straightforward instructions for a piece of equipment.</t>
  </si>
  <si>
    <t xml:space="preserve">Can follow simple instructions given on packaging (e.g. cooking instructions).</t>
  </si>
  <si>
    <t xml:space="preserve">Can understand most short safety instructions, (e.g. on public transport or in manuals for the use of electrical equipment).</t>
  </si>
  <si>
    <t xml:space="preserve">Can understand regulations, for example safety, when expressed in simple language.</t>
  </si>
  <si>
    <t xml:space="preserve">Can understand short instructions illustrated step by step (e.g. for installing new technology).</t>
  </si>
  <si>
    <t xml:space="preserve">Can understand simple instructions on equipment encountered in everyday life – such as a public telephone.</t>
  </si>
  <si>
    <t xml:space="preserve">Can understand simple, brief instructions, provided they are illustrated and not presented in continuous text.</t>
  </si>
  <si>
    <t xml:space="preserve">Can understand instructions on medicine labels expressed as a simple command (e.g. “Take before meals” or “Do not take if driving”).</t>
  </si>
  <si>
    <t xml:space="preserve">Can follow a simple recipe, especially if there are pictures to illustrate the most important steps.</t>
  </si>
  <si>
    <t xml:space="preserve">Can follow short, simple directions (e.g. to go from X to Y).</t>
  </si>
  <si>
    <t xml:space="preserve">Can understand very short, simple, instructions used in familiar everyday contexts (e.g. “No parking”, “No food or drink”), especially if there are illustrations.</t>
  </si>
  <si>
    <t xml:space="preserve">Reading as a leisure activity</t>
  </si>
  <si>
    <t xml:space="preserve">Can read virtually all forms of texts including classical or colloquial literary and non-literary texts in different genres, appreciating subtle distinctions of style and implicit as well as explicit meaning.</t>
  </si>
  <si>
    <t xml:space="preserve">Can read and appreciate a variety of literary texts, provided they can reread certain sections and that they can access reference tools if they wish.</t>
  </si>
  <si>
    <t xml:space="preserve">Can read contemporary literary texts and non-fiction produced in the standard form of the language or a familiar variety with little difficulty and with appreciation of implicit meanings and ideas.</t>
  </si>
  <si>
    <t xml:space="preserve">Can read for pleasure with a large degree of independence, adapting style and speed of reading to different texts (e.g. magazines, more straightforward novels, history books, biographies, travelogues, guides, lyrics, poems), using appropriate reference sources selectively.</t>
  </si>
  <si>
    <t xml:space="preserve">Can read novels with a strong, narrative plot and that use straightforward, unelaborated language, provided they can take their time and use a dictionary.</t>
  </si>
  <si>
    <t xml:space="preserve">Can read newspaper/magazine accounts of films, books, concerts, etc. produced for a wider audience and understand the main points.</t>
  </si>
  <si>
    <t xml:space="preserve">Can understand simple poems and song lyrics provided these employ straightforward language and style.</t>
  </si>
  <si>
    <t xml:space="preserve">Can understand descriptions of places, events, explicitly expressed feelings and perspectives in narratives, guides and magazine articles that employ high frequency everyday language.</t>
  </si>
  <si>
    <t xml:space="preserve">Can understand a travel diary mainly describing the events of a journey and the experiences and discoveries of the writer.</t>
  </si>
  <si>
    <t xml:space="preserve">Can follow the plot of stories, simple novels and comics with a clear linear storyline and high frequency everyday language, given regular use of a dictionary.</t>
  </si>
  <si>
    <t xml:space="preserve">Can understand enough to read short, simple stories and comic strips involving familiar, concrete situations described in high frequency everyday language.</t>
  </si>
  <si>
    <t xml:space="preserve">Can understand the main points made in short magazine reports or guide entries that deal with concrete everyday topics (e.g. hobbies, sports, leisure activities, animals).</t>
  </si>
  <si>
    <t xml:space="preserve">Can understand short narratives and descriptions of someone’s life composed in simple language.</t>
  </si>
  <si>
    <t xml:space="preserve">Can understand what is happening in a photo story (e.g. in a lifestyle magazine) and form an impression of what the characters are like.</t>
  </si>
  <si>
    <t xml:space="preserve">Can understand much of the information provided in a short description of a person (e.g. a celebrity).</t>
  </si>
  <si>
    <t xml:space="preserve">Can understand the main point of a short article reporting an event that follows a predictable pattern (e.g. the Oscars), provided it is composed clearly in simple language.</t>
  </si>
  <si>
    <t xml:space="preserve">Can understand short, illustrated narratives about everyday activities described in simple words.</t>
  </si>
  <si>
    <t xml:space="preserve">Can understand in outline short texts in illustrated stories, provided the images help them to guess at a lot of the content.</t>
  </si>
  <si>
    <t xml:space="preserve">—</t>
  </si>
  <si>
    <t xml:space="preserve">Identifying cues and inferring (spoken, signed and written)</t>
  </si>
  <si>
    <t xml:space="preserve">Is skilled at using contextual, grammatical and lexical cues to infer attitude, mood and intentions and anticipate what will come next.</t>
  </si>
  <si>
    <t xml:space="preserve">Can use a variety of strategies to achieve comprehension, including watching out for main points and checking comprehension by using contextual clues.</t>
  </si>
  <si>
    <t xml:space="preserve">Can exploit different types of connectors (numerical, temporal, logical) and the role of key paragraphs in the overall organisation in order to better understand the argumentation in a text.</t>
  </si>
  <si>
    <t xml:space="preserve">Can extrapolate the meaning of a section of a text by taking into account the text as a whole.</t>
  </si>
  <si>
    <t xml:space="preserve">Can identify the meaning of unfamiliar words/signs from the context on topics related to their field and interests.</t>
  </si>
  <si>
    <t xml:space="preserve">Can extrapolate the meaning of occasional unknown words/signs from the context and deduce sentence meaning, provided the topic discussed is familiar.</t>
  </si>
  <si>
    <t xml:space="preserve">Can make basic inferences or predictions about text content from headings, titles or headlines.</t>
  </si>
  <si>
    <t xml:space="preserve">Can watch or listen to a short narrative and predict what will happen next.</t>
  </si>
  <si>
    <t xml:space="preserve">Can follow a line of argumentation or the sequence of events in a story, by focusing on common logical connectors (e.g. however, because) and temporal connectors (e.g. after that, beforehand).</t>
  </si>
  <si>
    <t xml:space="preserve">Can deduce the probable meaning of unknown words/signs in a text by identifying their constituent parts (e.g. identifying roots, lexical elements, suffixes and prefixes).</t>
  </si>
  <si>
    <t xml:space="preserve">Can use an idea of the overall meaning of short texts and utterances on everyday topics of a concrete type to derive the probable meaning of unknown words/signs from the context.</t>
  </si>
  <si>
    <t xml:space="preserve">Can exploit their recognition of known words/signs to deduce the meaning of unfamiliar words/signs in short expressions used in routine everyday contexts.</t>
  </si>
  <si>
    <t xml:space="preserve">Can exploit format, appearance and typographic features in order to identify the type of text: news story, promotional text, article, textbook, chat or forum, etc.</t>
  </si>
  <si>
    <t xml:space="preserve">Can exploit numbers, dates, names, proper nouns, etc. to identify the topic of a text.</t>
  </si>
  <si>
    <t xml:space="preserve">Can deduce the meaning and function of unknown formulaic expressions from their position in a text (e.g. at the beginning or end of a letter).</t>
  </si>
  <si>
    <t xml:space="preserve">Can deduce the meaning of an unknown word/sign for a concrete action or object, provided the surrounding text is very simple, and on a familiar everyday subject.</t>
  </si>
  <si>
    <t xml:space="preserve">Can guess the probable meaning of an unknown word/sign that is similar to one in the language they normally use.</t>
  </si>
  <si>
    <t xml:space="preserve">Can deduce the meaning of a word/sign from an accompanying picture or icon.</t>
  </si>
  <si>
    <t xml:space="preserve">Production</t>
  </si>
  <si>
    <t xml:space="preserve">Oral production</t>
  </si>
  <si>
    <t xml:space="preserve">Overall oral production</t>
  </si>
  <si>
    <t xml:space="preserve">Can produce clear, smoothly flowing, well-structured discourse with an effective logical structure which helps the recipient to notice and remember significant points.</t>
  </si>
  <si>
    <t xml:space="preserve">Can give clear, detailed descriptions and presentations on complex subjects, integrating sub-themes, developing particular points and rounding off with an appropriate conclusion.</t>
  </si>
  <si>
    <t xml:space="preserve">Can give clear, systematically developed descriptions and presentations, with appropriate highlighting of significant points, and relevant supporting detail.</t>
  </si>
  <si>
    <t xml:space="preserve">Can give clear, detailed descriptions and presentations on a wide range of subjects related to their field of interest, expanding and supporting ideas with subsidiary points and relevant examples.</t>
  </si>
  <si>
    <t xml:space="preserve">Can reasonably fluently sustain a straightforward description of one of a variety of subjects within their field of interest, presenting it as a linear sequence of points.</t>
  </si>
  <si>
    <t xml:space="preserve">Can give a simple description or presentation of people, living or working conditions, daily routines. likes/dislikes, etc. as a short series of simple phrases and sentences linked into a list.</t>
  </si>
  <si>
    <t xml:space="preserve">Can produce simple, mainly isolated phrases about people and places.</t>
  </si>
  <si>
    <t xml:space="preserve">Can produce short phrases about themselves, giving basic personal information (e.g. name, address, family, nationality).</t>
  </si>
  <si>
    <t xml:space="preserve">Sustained monologue: describing experience</t>
  </si>
  <si>
    <t xml:space="preserve">Can give clear, smoothly flowing, elaborate and often memorable descriptions.</t>
  </si>
  <si>
    <t xml:space="preserve">Can give clear, detailed descriptions of complex subjects.</t>
  </si>
  <si>
    <t xml:space="preserve">Can give elaborate descriptions and narratives, integrating sub-themes, developing particular points and rounding them off with an appropriate conclusion.</t>
  </si>
  <si>
    <t xml:space="preserve">Can give clear, detailed descriptions on a wide range of subjects related to their field of interest.</t>
  </si>
  <si>
    <t xml:space="preserve">Can describe the personal significance of events and experiences in detail.</t>
  </si>
  <si>
    <t xml:space="preserve">Can clearly express feelings about something experienced and give reasons to explain those feelings.</t>
  </si>
  <si>
    <t xml:space="preserve">Can give straightforward descriptions on a variety of familiar subjects within their field of interest.</t>
  </si>
  <si>
    <t xml:space="preserve">Can reasonably fluently relate a straightforward narrative or description as a sequence of points.</t>
  </si>
  <si>
    <t xml:space="preserve">Can give detailed accounts of experiences, describing feelings and reactions.</t>
  </si>
  <si>
    <t xml:space="preserve">Can relate details of unpredictable occurrences, e.g. an accident.</t>
  </si>
  <si>
    <t xml:space="preserve">Can relate the plot of a book or film and describe their reactions.</t>
  </si>
  <si>
    <t xml:space="preserve">Can describe dreams, hopes and ambitions.</t>
  </si>
  <si>
    <t xml:space="preserve">Can describe events, real or imagined.</t>
  </si>
  <si>
    <t xml:space="preserve">Can narrate a story.</t>
  </si>
  <si>
    <t xml:space="preserve">Can tell a story or describe something in a simple list of points.</t>
  </si>
  <si>
    <t xml:space="preserve">Can describe everyday aspects of their environment e.g. people, places, a job or study experience.</t>
  </si>
  <si>
    <t xml:space="preserve">Can give short, basic descriptions of events and activities.</t>
  </si>
  <si>
    <t xml:space="preserve">Can describe plans and arrangements, habits and routines, past activities and personal experiences.</t>
  </si>
  <si>
    <t xml:space="preserve">Can use simple descriptive language to make brief statements about and compare objects and possessions.</t>
  </si>
  <si>
    <t xml:space="preserve">Can explain what they like or dislike about something.</t>
  </si>
  <si>
    <t xml:space="preserve">Can describe their family, living conditions, educational background, present or most recent job.</t>
  </si>
  <si>
    <t xml:space="preserve">Can describe people, places and possessions in simple terms.</t>
  </si>
  <si>
    <t xml:space="preserve">Can express what they are good at and not so good at (e.g. sports, games, skills, subjects).</t>
  </si>
  <si>
    <t xml:space="preserve">Can briefly describe what they plan to do at the weekend or during the holidays.</t>
  </si>
  <si>
    <t xml:space="preserve">Can describe themselves, what they do and where they live.</t>
  </si>
  <si>
    <t xml:space="preserve">Can describe simple aspects of their everyday life in a series of simple sentences, using simple words/signs and basic phrases, provided they can prepare in advance.</t>
  </si>
  <si>
    <t xml:space="preserve">Can describe themselves (e.g. name, age, family), using simple words/signs and formulaic expressions, provided they can prepare in advance.</t>
  </si>
  <si>
    <t xml:space="preserve">Can express how they are feeling using simple adjectives like “happy” or “tired”, accompanied by body language.</t>
  </si>
  <si>
    <t xml:space="preserve">Sustained monologue: giving information</t>
  </si>
  <si>
    <t xml:space="preserve">Can communicate clearly detailed distinctions between ideas, concepts and things that closely resemble one other.</t>
  </si>
  <si>
    <t xml:space="preserve">Can give instructions on carrying out a series of complex professional or academic procedures.</t>
  </si>
  <si>
    <t xml:space="preserve">Can communicate complex information and advice on the full range of matters related to their occupational role.</t>
  </si>
  <si>
    <t xml:space="preserve">Can communicate detailed information reliably.</t>
  </si>
  <si>
    <t xml:space="preserve">Can give a clear, detailed description of how to carry out a procedure.</t>
  </si>
  <si>
    <t xml:space="preserve">Can explain the main points in an idea or problem with reasonable precision.</t>
  </si>
  <si>
    <t xml:space="preserve">Can describe how to do something, giving detailed instructions.</t>
  </si>
  <si>
    <t xml:space="preserve">Can report straightforward factual information on a familiar topic, for example to indicate the nature of a problem or to give detailed directions, provided they can prepare beforehand.</t>
  </si>
  <si>
    <t xml:space="preserve">Can give simple directions on how to get from X to Y, using basic expressions such as “turn right” and “go straight” along with sequential connectors such as “first”, “then” and “next”.</t>
  </si>
  <si>
    <t xml:space="preserve">Can name an object and indicate its shape and colour while showing it to others using basic words/signs, phrases and formulaic expressions, provided they can prepare in advance.</t>
  </si>
  <si>
    <t xml:space="preserve">Sustained monologue: putting a case (e.g. in a debate)</t>
  </si>
  <si>
    <t xml:space="preserve">Can argue a case on a complex issue, formulating points precisely and employing emphasis effectively.</t>
  </si>
  <si>
    <t xml:space="preserve">Can develop an argument systematically in well-structured language, taking into account the interlocutor’s perspective, highlighting significant points with supporting examples and concluding appropriately.</t>
  </si>
  <si>
    <t xml:space="preserve">Can develop an argument systematically with appropriate highlighting of significant points, and relevant supporting detail.</t>
  </si>
  <si>
    <t xml:space="preserve">Can develop a clear argument, expanding and supporting their points of view at some length with subsidiary points and relevant examples.</t>
  </si>
  <si>
    <t xml:space="preserve">Can construct a chain of reasoned argument.</t>
  </si>
  <si>
    <t xml:space="preserve">Can explain a viewpoint on a topical issue giving the advantages and disadvantages of various options.</t>
  </si>
  <si>
    <t xml:space="preserve">Can develop an argument well enough to be followed without difficulty most of the time.</t>
  </si>
  <si>
    <t xml:space="preserve">Can give simple reasons to justify a viewpoint on a familiar topic.</t>
  </si>
  <si>
    <t xml:space="preserve">Can express opinions on subjects relating to everyday life, using simple expressions.</t>
  </si>
  <si>
    <t xml:space="preserve">Can briefly give reasons and explanations for opinions, plans and actions.</t>
  </si>
  <si>
    <t xml:space="preserve">Can explain whether or not they approve of what someone has done and give reasons to justify this opinion.</t>
  </si>
  <si>
    <t xml:space="preserve">Can explain what they like or dislike about something, why they prefer one thing to another, making simple, direct comparisons.</t>
  </si>
  <si>
    <t xml:space="preserve">Can present their opinion in simple terms, provided interlocutors are patient.</t>
  </si>
  <si>
    <t xml:space="preserve">Public announcements</t>
  </si>
  <si>
    <t xml:space="preserve">Can deliver announcements fluently, almost effortlessly, using stress and intonation to convey finer shades of meaning precisely.</t>
  </si>
  <si>
    <t xml:space="preserve">Can deliver announcements on most general topics with a degree of clarity, fluency and spontaneity which causes no strain or inconvenience to the recipient.</t>
  </si>
  <si>
    <t xml:space="preserve">Can deliver short, rehearsed announcements on a topic pertinent to everyday occurrences in their field which, despite possible problems with stress and intonation (= non-manuals in a sign language), are nevertheless clearly intelligible.</t>
  </si>
  <si>
    <t xml:space="preserve">Can deliver very short, rehearsed announcements of predictable, learnt content which are intelligible to recipients who are prepared to concentrate.</t>
  </si>
  <si>
    <t xml:space="preserve">Addressing audiences</t>
  </si>
  <si>
    <t xml:space="preserve">Can present a complex topic confidently and articulately to an audience unfamiliar with it, structuring and adapting the talk flexibly to meet the audience’s needs.</t>
  </si>
  <si>
    <t xml:space="preserve">Can handle difficult and even hostile questioning.</t>
  </si>
  <si>
    <t xml:space="preserve">Can give a clear, well-structured presentation on a complex subject, expanding and supporting points of view at some length with subsidiary points, reasons and relevant examples.</t>
  </si>
  <si>
    <t xml:space="preserve">Can structure a longer presentation appropriately in order to help the audience follow the sequence of ideas and understand the overall argumentation.</t>
  </si>
  <si>
    <t xml:space="preserve">Can speculate or hypothesise in presenting a complex subject, comparing and evaluating alternative proposals and arguments.</t>
  </si>
  <si>
    <t xml:space="preserve">Can handle interjections well, responding spontaneously and almost effortlessly.</t>
  </si>
  <si>
    <t xml:space="preserve">Can give a clear, systematically developed presentation, with highlighting of significant points, and relevant supporting detail.</t>
  </si>
  <si>
    <t xml:space="preserve">Can depart spontaneously from a prepared text and follow up interesting points raised by members of the audience, often showing remarkable fluency and ease of expression.</t>
  </si>
  <si>
    <t xml:space="preserve">Can give a clear, prepared presentation, giving reasons in support of or against a particular point of view and giving the advantages and disadvantages of various options.</t>
  </si>
  <si>
    <t xml:space="preserve">Can take a series of follow-up questions with a degree of fluency and spontaneity which poses no strain for either themselves or the audience.</t>
  </si>
  <si>
    <t xml:space="preserve">Can give a prepared presentation on a familiar topic within their field, outlining similarities and differences (e.g. between products, countries/regions, plans).</t>
  </si>
  <si>
    <t xml:space="preserve">Can give a prepared straightforward presentation on a familiar topic within their field which is clear enough to be followed without difficulty most of the time, and in which the main points are explained with reasonable precision.</t>
  </si>
  <si>
    <t xml:space="preserve">Can take follow-up questions, but may have to ask for repetition if the delivery is rapid.</t>
  </si>
  <si>
    <t xml:space="preserve">Can give a short, rehearsed presentation on a topic pertinent to their everyday life, and briefly give reasons and explanations for opinions, plans and actions.</t>
  </si>
  <si>
    <t xml:space="preserve">Can cope with a limited number of straightforward follow-up questions.</t>
  </si>
  <si>
    <t xml:space="preserve">Can give a short, rehearsed, basic presentation on a familiar subject.</t>
  </si>
  <si>
    <t xml:space="preserve">Can answer straightforward follow-up questions if they can ask for repetition and if some help with the formulation of their reply is possible.</t>
  </si>
  <si>
    <t xml:space="preserve">Can use a very short prepared text to deliver a rehearsed statement (e.g. to formally introduce someone, to propose a toast).</t>
  </si>
  <si>
    <t xml:space="preserve">Written production</t>
  </si>
  <si>
    <t xml:space="preserve">Overall written production</t>
  </si>
  <si>
    <t xml:space="preserve">Can produce clear, smoothly flowing, complex texts in an appropriate and effective style and a logical structure which helps the reader identify significant points.</t>
  </si>
  <si>
    <t xml:space="preserve">Can produce clear, well-structured texts of complex subjects, underlining the relevant salient issues, expanding and supporting points of view at some length with subsidiary points, reasons and relevant examples, and rounding off with an appropriate conclusion.</t>
  </si>
  <si>
    <t xml:space="preserve">Can employ the structure and conventions of a variety of genres, varying the tone, style and register according to addressee, text type and theme.</t>
  </si>
  <si>
    <t xml:space="preserve">Can produce clear, detailed texts on a variety of subjects related to their field of interest, synthesising and evaluating information and arguments from a number of sources.</t>
  </si>
  <si>
    <t xml:space="preserve">Can produce straightforward connected texts on a range of familiar subjects within their field of interest, by linking a series of shorter discrete elements into a linear sequence.</t>
  </si>
  <si>
    <t xml:space="preserve">Can produce a series of simple phrases and sentences linked with simple connectors like “and”, “but” and “because”.</t>
  </si>
  <si>
    <t xml:space="preserve">Can give information about matters of personal relevance (e.g. likes and dislikes, family, pets) using simple words/signs and basic expressions.</t>
  </si>
  <si>
    <t xml:space="preserve">Can produce simple isolated phrases and sentences.</t>
  </si>
  <si>
    <t xml:space="preserve">Can give basic personal information (e.g. name, address, nationality), perhaps with the use of a dictionary.</t>
  </si>
  <si>
    <t xml:space="preserve">Creative writing</t>
  </si>
  <si>
    <t xml:space="preserve">Can relate clear, smoothly flowing and engaging stories and descriptions of experience in a style appropriate to the genre adopted.</t>
  </si>
  <si>
    <t xml:space="preserve">Can exploit idiom and humour appropriately to enhance the impact of the text.</t>
  </si>
  <si>
    <t xml:space="preserve">Can produce clear, detailed, well-structured and developed descriptions and imaginative texts in an assured, personal, natural style appropriate to the reader in mind.</t>
  </si>
  <si>
    <t xml:space="preserve">Can incorporate idiom and humour, though use of the latter is not always appropriate.</t>
  </si>
  <si>
    <t xml:space="preserve">Can give a detailed critical review of cultural events (e.g. plays, films, concerts) or literary works.</t>
  </si>
  <si>
    <t xml:space="preserve">Can give clear, detailed descriptions of real or imaginary events and experiences marking the relationship between ideas in clear connected text, and following established conventions of the genre concerned.</t>
  </si>
  <si>
    <t xml:space="preserve">Can give clear, detailed descriptions on a variety of subjects related to their field of interest.</t>
  </si>
  <si>
    <t xml:space="preserve">Can give a review of a film, book or play.</t>
  </si>
  <si>
    <t xml:space="preserve">Can clearly signal chronological sequence in narrative text.</t>
  </si>
  <si>
    <t xml:space="preserve">Can give a simple review of a film, book or TV programme using a limited range of language.</t>
  </si>
  <si>
    <t xml:space="preserve">Can give straightforward, detailed descriptions on a range of familiar subjects within their field of interest.</t>
  </si>
  <si>
    <t xml:space="preserve">Can give accounts of experiences, describing feelings and reactions in simple, connected text.</t>
  </si>
  <si>
    <t xml:space="preserve">Can give a description of an event, a recent trip – real or imagined.</t>
  </si>
  <si>
    <t xml:space="preserve">Can describe everyday aspects of their environment e.g. people, places, a job or study experience in linked sentences.</t>
  </si>
  <si>
    <t xml:space="preserve">Can give very short, basic descriptions of events, past activities and personal experiences.</t>
  </si>
  <si>
    <t xml:space="preserve">Can tell a simple story (e.g. about events on a holiday or about life in the distant future).</t>
  </si>
  <si>
    <t xml:space="preserve">Can produce a series of simple phrases and sentences about their family, living conditions, educational background, or present or most recent job.</t>
  </si>
  <si>
    <t xml:space="preserve">Can create short, simple imaginary biographies and simple poems about people.</t>
  </si>
  <si>
    <t xml:space="preserve">Can create diary entries that describe activities (e.g. daily routine, outings, sports, hobbies), people and places, using basic, concrete vocabulary and simple phrases and sentences with simple connectives like “and”, “but” and “because”.</t>
  </si>
  <si>
    <t xml:space="preserve">Can compose an introduction to a story or continue a story, provided they can consult a dictionary and references (e.g. tables of verb tenses in a course book).</t>
  </si>
  <si>
    <t xml:space="preserve">Can produce simple phrases and sentences about themselves and imaginary people, where they live and what they do.</t>
  </si>
  <si>
    <t xml:space="preserve">Can describe in very simple language what a room looks like.</t>
  </si>
  <si>
    <t xml:space="preserve">Can use simple words/signs and phrases to describe certain everyday objects (e.g. the colour of a car, whether it is big or small).</t>
  </si>
  <si>
    <t xml:space="preserve">Reports and essays</t>
  </si>
  <si>
    <t xml:space="preserve">Can produce clear, smoothly flowing, complex reports, articles or essays which present a case, or give critical appreciation of proposals or literary works.</t>
  </si>
  <si>
    <t xml:space="preserve">Can provide an appropriate and effective logical structure which helps the reader identify significant points.</t>
  </si>
  <si>
    <t xml:space="preserve">Can set out multiple perspectives on complex academic or professional topics, clearly distinguishing their own ideas and opinions from those in the sources.</t>
  </si>
  <si>
    <t xml:space="preserve">Can produce clear, well-structured expositions of complex subjects, underlining the relevant salient issues.</t>
  </si>
  <si>
    <t xml:space="preserve">Can expand and support points of view at some length with subsidiary points, reasons and relevant examples.</t>
  </si>
  <si>
    <t xml:space="preserve">Can produce a suitable introduction and conclusion to a longer report, article or dissertation on a complex academic or professional topic provided the topic is within their field of interest and there are opportunities for redrafting and revision.</t>
  </si>
  <si>
    <t xml:space="preserve">Can produce an essay or report which develops an argument systematically with appropriate highlighting of significant points and relevant supporting detail.</t>
  </si>
  <si>
    <t xml:space="preserve">Can produce a detailed description of a complex process.</t>
  </si>
  <si>
    <t xml:space="preserve">Can evaluate different ideas or solutions to a problem.</t>
  </si>
  <si>
    <t xml:space="preserve">Can produce an essay or report which develops an argument, giving reasons in support of or against a particular point of view and explaining the advantages and disadvantages of various options.</t>
  </si>
  <si>
    <t xml:space="preserve">Can synthesise information and arguments from a number of sources.</t>
  </si>
  <si>
    <t xml:space="preserve">Can produce short, simple essays on topics of interest.</t>
  </si>
  <si>
    <t xml:space="preserve">Can produce a text on a topical subject of personal interest, using simple language to list advantages and disadvantages, and give and justify their opinion.</t>
  </si>
  <si>
    <t xml:space="preserve">Can summarise, report and give their opinion about accumulated factual information on familiar routine and non-routine matters within their field with some confidence.</t>
  </si>
  <si>
    <t xml:space="preserve">Can produce very brief reports in a standard conventionalised format, which pass on routine factual information and state reasons for actions.</t>
  </si>
  <si>
    <t xml:space="preserve">Can present a topic in a short report or poster, using photographs and short blocks of text.</t>
  </si>
  <si>
    <t xml:space="preserve">Can produce simple texts on familiar subjects of interest, linking sentences with connectors like “and”, “because” or “then”.</t>
  </si>
  <si>
    <t xml:space="preserve">Can give their impressions and opinions about topics of personal interest (e.g. lifestyles and culture, stories), using basic everyday vocabulary and expressions.</t>
  </si>
  <si>
    <t xml:space="preserve">Planning</t>
  </si>
  <si>
    <t xml:space="preserve">Can, when preparing a more formal text, consciously adopt the conventions linked to the particular type of text concerned (e.g. structure, level of formality).</t>
  </si>
  <si>
    <t xml:space="preserve">Can, in preparing for a potentially complicated or awkward situation, plan what to say in the event of different reactions, reflecting on what expression would be appropriate.</t>
  </si>
  <si>
    <t xml:space="preserve">Can plan what is to be said and the means to say it, considering the effect on the recipient(s).</t>
  </si>
  <si>
    <t xml:space="preserve">Can rehearse and try out new combinations and expressions, inviting feedback.</t>
  </si>
  <si>
    <t xml:space="preserve">Can work out how to communicate the main point(s) they want to get across, exploiting any resources available and limiting the message to what they can recall or find the means to express.</t>
  </si>
  <si>
    <t xml:space="preserve">Can recall and rehearse an appropriate set of phrases from their repertoire.</t>
  </si>
  <si>
    <t xml:space="preserve">Compensating</t>
  </si>
  <si>
    <t xml:space="preserve">Can substitute an equivalent term for a word/sign they can’t recall, so smoothly that it is scarcely noticeable.</t>
  </si>
  <si>
    <t xml:space="preserve">Can exploit their range of vocabulary options creatively so as to readily and effectively use circumlocution in almost all situations.</t>
  </si>
  <si>
    <t xml:space="preserve">Can use circumlocution and paraphrase to cover gaps in vocabulary and structure.</t>
  </si>
  <si>
    <t xml:space="preserve">Can address most communication problems by using circumlocution, or by avoiding difficult expressions.</t>
  </si>
  <si>
    <t xml:space="preserve">Can define the features of something concrete for which they can’t remember the word/sign.</t>
  </si>
  <si>
    <t xml:space="preserve">Can convey meaning by qualifying a word/sign meaning something similar (e.g. a truck for people = bus).</t>
  </si>
  <si>
    <t xml:space="preserve">Can use a simple word/sign meaning something similar to the concept they want to convey and invite “correction”.</t>
  </si>
  <si>
    <t xml:space="preserve">Can “foreignise” word/signs in their first language and ask for confirmation.</t>
  </si>
  <si>
    <t xml:space="preserve">Can use an inadequate word/sign from their repertoire and use gestures to clarify what they mean.</t>
  </si>
  <si>
    <t xml:space="preserve">Can identify what they mean by pointing to it (e.g. “I’d like this, please”).</t>
  </si>
  <si>
    <t xml:space="preserve">Can use gestures to support simple words/signs in expressing a need.</t>
  </si>
  <si>
    <t xml:space="preserve">Can point to something and ask what it is.</t>
  </si>
  <si>
    <t xml:space="preserve">Monitoring and repair</t>
  </si>
  <si>
    <t xml:space="preserve">Can backtrack and restructure around a difficulty so smoothly that the interlocutor is hardly aware of it.</t>
  </si>
  <si>
    <t xml:space="preserve">Can backtrack when they encounter a difficulty and reformulate what they want to say without fully interrupting the flow of language.</t>
  </si>
  <si>
    <t xml:space="preserve">Can self-correct with a high degree of effectiveness.</t>
  </si>
  <si>
    <t xml:space="preserve">Can often retrospectively self-correct their occasional “slips” or non-systematic errors and minor flaws in sentence structure.</t>
  </si>
  <si>
    <t xml:space="preserve">Can correct slips and errors that they become conscious of, or that have led to misunderstandings.</t>
  </si>
  <si>
    <t xml:space="preserve">Can make a note of their recurring mistakes and consciously monitor for them.</t>
  </si>
  <si>
    <t xml:space="preserve">Can correct mix-ups with the marking of time or expressions that lead to misunderstandings, provided the interlocutor indicates there is a problem.</t>
  </si>
  <si>
    <t xml:space="preserve">Can ask for confirmation that a form used is correct.</t>
  </si>
  <si>
    <t xml:space="preserve">Can start again using a different tactic when communication breaks down.</t>
  </si>
  <si>
    <t xml:space="preserve">Interaction</t>
  </si>
  <si>
    <t xml:space="preserve">Oral interaction</t>
  </si>
  <si>
    <t xml:space="preserve">Overall oral interaction</t>
  </si>
  <si>
    <t xml:space="preserve">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</si>
  <si>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 xml:space="preserve">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</si>
  <si>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 xml:space="preserve">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</si>
  <si>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 xml:space="preserve">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</si>
  <si>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 xml:space="preserve">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</si>
  <si>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 xml:space="preserve">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</si>
  <si>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 xml:space="preserve">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</si>
  <si>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 xml:space="preserve">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</si>
  <si>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 xml:space="preserve">Can interact in a simple way but communication is totally dependent on repetition at a slower rate, rephrasing and repair. Can ask and answer simple questions, initiate and respond to simple statements in areas of immediate need or on very familiar topics.</t>
  </si>
  <si>
    <t xml:space="preserve">Can ask and answer questions about themselves and daily routines, using short, formulaic expressions and relying on gestures to reinforce the information.</t>
  </si>
  <si>
    <t xml:space="preserve">Understanding an interlocutor</t>
  </si>
  <si>
    <t xml:space="preserve">Can understand any interlocutor, even on abstract and complex topics of a specialist nature beyond their own field, given an opportunity to adjust to a less familiar variety.</t>
  </si>
  <si>
    <t xml:space="preserve">Can understand an interlocutor in detail on abstract and complex topics of a specialist nature beyond their own field, though they may need to confirm occasional details, especially if the variety is unfamiliar.</t>
  </si>
  <si>
    <t xml:space="preserve">Can understand in detail what is said to them in the standard language or a familiar variety even in a [audially/visually] noisy environment.</t>
  </si>
  <si>
    <t xml:space="preserve">Can follow clearly articulated speech/sign directed at them in everyday conversation, though will sometimes have to ask for repetition of particular words/signs and phrases.</t>
  </si>
  <si>
    <t xml:space="preserve">Can understand enough to manage simple, routine exchanges without undue effort.</t>
  </si>
  <si>
    <t xml:space="preserve">Can generally understand clear, standard speech/sign on familiar matters directed at them, provided they can ask for repetition or reformulation from time to time.</t>
  </si>
  <si>
    <t xml:space="preserve">Can understand what is said clearly, slowly and directly to them in simple everyday conversation; can be made to understand, if the interlocutor can take the trouble.</t>
  </si>
  <si>
    <t xml:space="preserve">Can understand everyday expressions aimed at the satisfaction of simple needs of a concrete type, delivered directly to them clearly and slowly, with repetition, by a sympathetic interlocutor.</t>
  </si>
  <si>
    <t xml:space="preserve">Can understand questions and instructions addressed carefully and slowly to them and follow short, simple directions.</t>
  </si>
  <si>
    <t xml:space="preserve">Can understand simple questions that directly concern them (e.g. name, age and address), if the person is asking slowly and clearly.</t>
  </si>
  <si>
    <t xml:space="preserve">Can understand simple personal information (e.g. name, age, place of residence, origin) when other people introduce themselves slowly and clearly, directly to them, and can understand questions on this theme addressed to them, though the questions may need to be repeated.</t>
  </si>
  <si>
    <t xml:space="preserve">Can understand a number of familiar words/signs and recognise key information (e.g. numbers, prices, dates and days of the week), provided the delivery is very slow, with repetition if necessary.</t>
  </si>
  <si>
    <t xml:space="preserve">Conversation</t>
  </si>
  <si>
    <t xml:space="preserve">Can converse comfortably and appropriately, unhampered by any linguistic limitations in conducting a full social and personal life.</t>
  </si>
  <si>
    <t xml:space="preserve">Can use language flexibly and effectively for social purposes, including emotional, allusive and joking usage.</t>
  </si>
  <si>
    <t xml:space="preserve">Can establish a relationship with interlocutors through sympathetic questioning and expressions of agreement plus, if appropriate, comments about third parties or shared conditions.</t>
  </si>
  <si>
    <t xml:space="preserve">Can indicate reservations and reluctance, state conditions when agreeing to requests or granting permission, and ask for understanding of their own position.</t>
  </si>
  <si>
    <t xml:space="preserve">Can engage in extended conversation on most general topics in a clearly participatory fashion, even in a [audially/visually] noisy environment.</t>
  </si>
  <si>
    <t xml:space="preserve">Can sustain relationships with users of the target language without unintentionally amusing or irritating them or requiring them to behave other than they would with another proficient language user.</t>
  </si>
  <si>
    <t xml:space="preserve">Can convey degrees of emotion and highlight the personal significance of events and experiences.</t>
  </si>
  <si>
    <t xml:space="preserve">Can start up a conversation and help keep it going by asking people relatively spontaneous questions about a special experience or event, expressing reactions and opinions on familiar subjects.</t>
  </si>
  <si>
    <t xml:space="preserve">Can have relatively long conversations on subjects of common interest, provided the interlocutor makes an effort to support understanding.</t>
  </si>
  <si>
    <t xml:space="preserve">Can enter unprepared into conversations on familiar topics.</t>
  </si>
  <si>
    <t xml:space="preserve">Can follow clearly articulated language directed at them in everyday conversation, though will sometimes have to ask for repetition of particular words/signs.</t>
  </si>
  <si>
    <t xml:space="preserve">Can maintain a conversation or discussion but may sometimes be difficult to follow when trying to express exactly what they would like to.</t>
  </si>
  <si>
    <t xml:space="preserve">Can express and respond to feelings such as surprise, happiness, sadness, interest and indifference.</t>
  </si>
  <si>
    <t xml:space="preserve">Can generally understand clear, standard language on familiar matters directed at them, provided they can ask for repetition or reformulation from time to time.</t>
  </si>
  <si>
    <t xml:space="preserve">Can participate in short conversations in routine contexts on topics of interest.</t>
  </si>
  <si>
    <t xml:space="preserve">Can express how they feel in simple terms, and express thanks.</t>
  </si>
  <si>
    <t xml:space="preserve">Can ask for a favour (e.g. to borrow something), can offer a favour, and can respond if someone asks them to do a favour for them.</t>
  </si>
  <si>
    <t xml:space="preserve">Can handle very short social exchanges but is rarely able to understand enough to keep conversation going of their own accord, though they can be made to understand if the interlocutor will take the trouble.</t>
  </si>
  <si>
    <t xml:space="preserve">Can converse in simple language with peers, colleagues or members of a host family, asking questions and understanding answers relating to most routine matters.</t>
  </si>
  <si>
    <t xml:space="preserve">Can make and respond to invitations, suggestions and apologies.</t>
  </si>
  <si>
    <t xml:space="preserve">Can express how they are feeling, using very basic stock expressions.</t>
  </si>
  <si>
    <t xml:space="preserve">Can state what they like and dislike.</t>
  </si>
  <si>
    <t xml:space="preserve">Can understand everyday expressions aimed at the satisfaction of simple needs of a concrete type, delivered directly to them in clear, slow and repeated language by a sympathetic interlocutor.</t>
  </si>
  <si>
    <t xml:space="preserve">Can take part in a simple conversation of a basic factual nature on a predictable topic (e.g. their home country, family, school).</t>
  </si>
  <si>
    <t xml:space="preserve">Can recognise simple greetings.</t>
  </si>
  <si>
    <t xml:space="preserve">Informal discussion (with friends) </t>
  </si>
  <si>
    <t xml:space="preserve">Can advise on or discuss sensitive issues without awkwardness, understanding colloquial references and dealing diplomatically with disagreement and criticism.</t>
  </si>
  <si>
    <t xml:space="preserve">Can easily follow and contribute to complex interactions between third parties in group discussion even on abstract, complex unfamiliar topics.</t>
  </si>
  <si>
    <t xml:space="preserve">Can keep up with an animated discussion between proficient users of the target language.</t>
  </si>
  <si>
    <t xml:space="preserve">Can express their ideas and opinions with precision, and present and respond to complex lines of argument convincingly.</t>
  </si>
  <si>
    <t xml:space="preserve">Can take an active part in informal discussion in familiar contexts, commenting, putting a point of view clearly, evaluating alternative proposals and making and responding to hypotheses.</t>
  </si>
  <si>
    <t xml:space="preserve">Can with some effort catch much of what is said around them in discussion, but may find it difficult to participate effectively in discussion with several users of the target language who do not modify their language in any way.</t>
  </si>
  <si>
    <t xml:space="preserve">Can follow much of what is said around them on general topics, provided interlocutors avoid very idiomatic usage and articulate clearly.</t>
  </si>
  <si>
    <t xml:space="preserve">Can explain why something is a problem.</t>
  </si>
  <si>
    <t xml:space="preserve">Can give brief comments on the views of others.</t>
  </si>
  <si>
    <t xml:space="preserve">Can compare and contrast alternatives, discussing what to do, where to go, who or which to choose, etc.</t>
  </si>
  <si>
    <t xml:space="preserve">Can generally follow the main points in an informal discussion with friends provided they articulate clearly in standard language or a familiar variety.</t>
  </si>
  <si>
    <t xml:space="preserve">Can give or seek personal views and opinions in discussing topics of interest.</t>
  </si>
  <si>
    <t xml:space="preserve">Can make their opinions and reactions understood as regards solutions to problems or practical questions of where to go, what to do, or how to organise an event (e.g. an outing).</t>
  </si>
  <si>
    <t xml:space="preserve">Can discuss what to do in the evening or at the weekend.</t>
  </si>
  <si>
    <t xml:space="preserve">Can make and respond to suggestions.</t>
  </si>
  <si>
    <t xml:space="preserve">Can agree and disagree with others.</t>
  </si>
  <si>
    <t xml:space="preserve">Can discuss everyday practical issues in a simple way when addressed clearly, slowly and directly.</t>
  </si>
  <si>
    <t xml:space="preserve">Can discuss what to do, where to go and make arrangements to meet.</t>
  </si>
  <si>
    <t xml:space="preserve">Can exchange likes and dislikes for sports, foods, etc., using a limited repertoire of expressions, when addressed clearly, slowly and directly.</t>
  </si>
  <si>
    <t xml:space="preserve">Formal discussion (meetings)</t>
  </si>
  <si>
    <t xml:space="preserve">Can hold their own in formal discussion of complex issues, putting an articulate and persuasive argument, at no disadvantage to other participants.</t>
  </si>
  <si>
    <t xml:space="preserve">Can advise on/handle complex, delicate or contentious issues, provided they have the necessary specialised knowledge.</t>
  </si>
  <si>
    <t xml:space="preserve">Can deal with hostile questioning confidently, hold on to the turn and diplomatically rebut counter-arguments.</t>
  </si>
  <si>
    <t xml:space="preserve">Can easily keep up with the debate, even on abstract, complex, unfamiliar topics.</t>
  </si>
  <si>
    <t xml:space="preserve">Can argue a formal position convincingly, responding to questions and comments and answering complex lines of counter-argument fluently, spontaneously and appropriately.</t>
  </si>
  <si>
    <t xml:space="preserve">Can restate, evaluate and challenge contributions from other participants about matters within their academic or professional competence.</t>
  </si>
  <si>
    <t xml:space="preserve">Can make critical remarks or express disagreement diplomatically.</t>
  </si>
  <si>
    <t xml:space="preserve">Can follow up questions by probing for more detail and can reformulate questions if these are misunderstood.</t>
  </si>
  <si>
    <t xml:space="preserve">Can keep up with an animated discussion, identifying accurately arguments supporting and opposing points of view.</t>
  </si>
  <si>
    <t xml:space="preserve">Can use appropriate technical terminology when discussing their area of specialisation with other specialists.</t>
  </si>
  <si>
    <t xml:space="preserve">Can participate actively in routine and non-routine formal discussion.</t>
  </si>
  <si>
    <t xml:space="preserve">Can follow the discussion on matters related to their field, understand in detail the points given prominence.</t>
  </si>
  <si>
    <t xml:space="preserve">Can contribute, account for and sustain their opinion, evaluate alternative proposals and make and respond to hypotheses.</t>
  </si>
  <si>
    <t xml:space="preserve">Can follow much of what is said that is related to their field, provided interlocutors avoid very idiomatic usage and articulate clearly.</t>
  </si>
  <si>
    <t xml:space="preserve">Can put over a point of view clearly, but has difficulty engaging in debate.</t>
  </si>
  <si>
    <t xml:space="preserve">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</si>
  <si>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 xml:space="preserve">Can follow argumentation and discussion on a familiar or predictable topic, provided the points are made in relatively simple language and/or repeated, and opportunity is given for clarification.</t>
  </si>
  <si>
    <t xml:space="preserve">Can generally follow changes of topic in formal discussion related to their field which is conducted slowly and clearly.</t>
  </si>
  <si>
    <t xml:space="preserve">Can exchange relevant information and give their opinion on practical problems when asked directly, provided they receive some help with formulation and can ask for repetition of key points if necessary.</t>
  </si>
  <si>
    <t xml:space="preserve">Can express what they think about things when addressed directly in a formal meeting, provided they can ask for repetition of key points if necessary.</t>
  </si>
  <si>
    <t xml:space="preserve">Goal-oriented co-operation (cooking together, discussing a document, organising an event, etc.)</t>
  </si>
  <si>
    <t xml:space="preserve">Can frame a discussion to decide on a course of action with a partner or group, reporting on what others have said, and summarising, elaborating and weighing up multiple points of view.</t>
  </si>
  <si>
    <t xml:space="preserve">Can understand detailed instructions reliably.</t>
  </si>
  <si>
    <t xml:space="preserve">Can help along the progress of the work by inviting others to join in, express what they think, etc.</t>
  </si>
  <si>
    <t xml:space="preserve">Can outline an issue or a problem clearly, speculating about causes or consequences, and weighing advantages and disadvantages of different approaches.</t>
  </si>
  <si>
    <t xml:space="preserve">Can follow what is said, though they may occasionally have to ask for repetition or clarification if the discussion is rapid or extended.</t>
  </si>
  <si>
    <t xml:space="preserve">Can explain why something is a problem, discuss what to do next, and compare and contrast alternatives.</t>
  </si>
  <si>
    <t xml:space="preserve">Can generally follow what is said and, when necessary, repeat back part of what someone has said to confirm mutual understanding.</t>
  </si>
  <si>
    <t xml:space="preserve">Can make their opinions and reactions understood as regards possible solutions or the question of what to do next, giving brief reasons and explanations.</t>
  </si>
  <si>
    <t xml:space="preserve">Can invite others to give their views on how to proceed.</t>
  </si>
  <si>
    <t xml:space="preserve">Can understand enough to manage simple, routine tasks without undue effort, asking very simply for repetition when they do not understand.</t>
  </si>
  <si>
    <t xml:space="preserve">Can discuss what to do next, making and responding to suggestions, and asking for and giving directions.</t>
  </si>
  <si>
    <t xml:space="preserve">Can indicate when they are following and can be made to understand what is necessary, if the interlocutor takes the trouble.</t>
  </si>
  <si>
    <t xml:space="preserve">Can communicate in simple and routine tasks using simple phrases to ask for and provide things, to get simple information and to discuss what to do next.</t>
  </si>
  <si>
    <t xml:space="preserve">Can act on basic instructions that involve times, locations, numbers, etc.</t>
  </si>
  <si>
    <t xml:space="preserve">Can ask people for things, and give people things.</t>
  </si>
  <si>
    <t xml:space="preserve">Obtaining goods and services</t>
  </si>
  <si>
    <t xml:space="preserve">Can negotiate complex or sensitive transactions in public, professional or academic life.</t>
  </si>
  <si>
    <t xml:space="preserve">Can state requirements and ask detailed questions regarding more complex services, e.g. rental agreements.</t>
  </si>
  <si>
    <t xml:space="preserve">Can explain a problem which has arisen and make it clear that the provider of the service/customer must make a concession.</t>
  </si>
  <si>
    <t xml:space="preserve">Can deal with most transactions likely to arise while travelling, arranging travel or accommodation, or dealing with authorities during a foreign visit.</t>
  </si>
  <si>
    <t xml:space="preserve">Can ask in a shop for an explanation of the difference between two or more products serving the same purpose, in order to make a decision, posing follow-up questions as necessary.</t>
  </si>
  <si>
    <t xml:space="preserve">Can deal with most situations likely to arise when making travel arrangements through an agent or when actually travelling, e.g. asking a passenger where to get off for an unfamiliar destination.</t>
  </si>
  <si>
    <t xml:space="preserve">Can deal with common aspects of everyday living such as travel, lodging, eating and shopping.</t>
  </si>
  <si>
    <t xml:space="preserve">Can interact in predictable everyday situations (e.g. post office, station, shop), using a wide range of simple expressions.</t>
  </si>
  <si>
    <t xml:space="preserve">Can get all the information needed from a tourist office, as long as it is of a straightforward, non-specialised nature.</t>
  </si>
  <si>
    <t xml:space="preserve">Can ask for and provide everyday goods and services.</t>
  </si>
  <si>
    <t xml:space="preserve">Can get simple information about travel, use public transport (e.g. buses, trains, taxis), ask and give directions, and buy tickets.</t>
  </si>
  <si>
    <t xml:space="preserve">Can ask about things and make simple transactions in shops, post offices or banks.</t>
  </si>
  <si>
    <t xml:space="preserve">Can give and receive information about quantities, numbers, prices, etc.</t>
  </si>
  <si>
    <t xml:space="preserve">Can make simple purchases by stating what is wanted and asking the price.</t>
  </si>
  <si>
    <t xml:space="preserve">Can order a meal.</t>
  </si>
  <si>
    <t xml:space="preserve">Can ask (face-to-face) for a medical appointment and understand the reply. Can indicate the nature of a problem to a health professional, perhaps using gestures and body language.</t>
  </si>
  <si>
    <t xml:space="preserve">Can ask people for things and give people things.</t>
  </si>
  <si>
    <t xml:space="preserve">Can ask for food and drink using basic expressions.</t>
  </si>
  <si>
    <t xml:space="preserve">Can handle numbers, quantities, cost and time.</t>
  </si>
  <si>
    <t xml:space="preserve">Can make simple purchases and/or order food or drink when pointing or other gesture can support the verbal reference.</t>
  </si>
  <si>
    <t xml:space="preserve">Information exchange</t>
  </si>
  <si>
    <t xml:space="preserve">Can understand and exchange complex information and advice on the full range of matters related to their occupational role.</t>
  </si>
  <si>
    <t xml:space="preserve">Can use appropriate technical terminology when exchanging information or discussing their area of specialisation with other specialists.</t>
  </si>
  <si>
    <t xml:space="preserve">Can pass on detailed information reliably.</t>
  </si>
  <si>
    <t xml:space="preserve">Can exchange, check and confirm accumulated factual information on familiar routine and non-routine matters within their field with some confidence.</t>
  </si>
  <si>
    <t xml:space="preserve">Can summarise and give their opinion about a short story, article, talk, discussion, interview or documentary and answer further questions of detail.</t>
  </si>
  <si>
    <t xml:space="preserve">Can find out and pass on straightforward factual information.</t>
  </si>
  <si>
    <t xml:space="preserve">Can ask for and follow detailed directions.</t>
  </si>
  <si>
    <t xml:space="preserve">Can obtain more detailed information.</t>
  </si>
  <si>
    <t xml:space="preserve">Can offer advice on simple matters within their field of experience.</t>
  </si>
  <si>
    <t xml:space="preserve">Can deal with practical everyday demands: finding out and passing on straightforward factual information.</t>
  </si>
  <si>
    <t xml:space="preserve">Can ask and answer questions about pastimes and past activities.</t>
  </si>
  <si>
    <t xml:space="preserve">Can give and follow simple directions and instructions, e.g. explain how to get somewhere.</t>
  </si>
  <si>
    <t xml:space="preserve">Can communicate in simple and routine tasks requiring a simple and direct exchange of information.</t>
  </si>
  <si>
    <t xml:space="preserve">Can exchange limited information on familiar and routine operational matters.</t>
  </si>
  <si>
    <t xml:space="preserve">Can ask and answer questions about what they do at work and in their free time.</t>
  </si>
  <si>
    <t xml:space="preserve">Can ask for and provide personal information.</t>
  </si>
  <si>
    <t xml:space="preserve">Can ask and answer simple questions, initiate and respond to simple statements in areas of immediate need or on very familiar topics.</t>
  </si>
  <si>
    <t xml:space="preserve">Can indicate time by lexicalised phrases like “next week”, “last Friday”, “in November”, “three o’clock”.</t>
  </si>
  <si>
    <t xml:space="preserve">Can express numbers, quantities and cost in a limited way.</t>
  </si>
  <si>
    <t xml:space="preserve">Can name the colour of clothes or other familiar objects and can ask the colour of such objects.</t>
  </si>
  <si>
    <t xml:space="preserve">Can use and understand simple numbers in everyday conversations.</t>
  </si>
  <si>
    <t xml:space="preserve">Can ask for and give a date of birth.</t>
  </si>
  <si>
    <t xml:space="preserve">Can ask for and give a phone number.</t>
  </si>
  <si>
    <t xml:space="preserve">Can tell people their age and ask people about their age.</t>
  </si>
  <si>
    <t xml:space="preserve">Interviewing and being interviewed</t>
  </si>
  <si>
    <t xml:space="preserve">Can keep up their side of the dialogue extremely well, structuring the discourse and interacting authoritatively with effortless fluency as interviewer or interviewee, at no disadvantage to other participants.</t>
  </si>
  <si>
    <t xml:space="preserve">Can participate fully in an interview, as either interviewer or interviewee, expanding and developing the point being discussed fluently without any support, and handling interjections well.</t>
  </si>
  <si>
    <t xml:space="preserve">Can carry out an effective, fluent interview, departing spontaneously from prepared questions, following up and probing interesting replies.</t>
  </si>
  <si>
    <t xml:space="preserve">Can take the initiative in an interview, and expand and develop ideas with little help or prodding from an interviewer.</t>
  </si>
  <si>
    <t xml:space="preserve">Can provide concrete information required in an interview/consultation (e.g. describe symptoms to a doctor), but with limited precision.</t>
  </si>
  <si>
    <t xml:space="preserve">Can carry out a prepared interview, checking and confirming information, though they may occasionally have to ask for repetition if the other person’s response is rapid or extended.</t>
  </si>
  <si>
    <t xml:space="preserve">Can take some initiative in an interview/consultation (e.g. to bring up a new subject) but is very dependent on the interviewer in the interaction.</t>
  </si>
  <si>
    <t xml:space="preserve">Can describe symptoms in a simple way and ask for advice when using health services, and can understand the answer, provided this is given clearly in everyday language.</t>
  </si>
  <si>
    <t xml:space="preserve">Can use a prepared questionnaire to carry out a structured interview, with some spontaneous follow-up questions.</t>
  </si>
  <si>
    <t xml:space="preserve">Can make themselves understood in an interview and communicate ideas and information on familiar topics, provided they can ask for clarification occasionally, and are given some help to express what they want to.</t>
  </si>
  <si>
    <t xml:space="preserve">Can describe to a doctor very basic symptoms and ailments such as a cold or the flu.</t>
  </si>
  <si>
    <t xml:space="preserve">Can answer simple questions and respond to simple statements in an interview.</t>
  </si>
  <si>
    <t xml:space="preserve">Can indicate in simple language the nature of a problem to a health professional, perhaps using gestures and body language.</t>
  </si>
  <si>
    <t xml:space="preserve">Can reply in an interview to simple direct questions, put very slowly and clearly in direct, non-idiomatic language, about personal details.</t>
  </si>
  <si>
    <t xml:space="preserve">Can state in simple language the nature of a problem to a health professional and answer simple questions such as “Does that hurt?” even though they have to rely on gestures and body language to reinforce the message.</t>
  </si>
  <si>
    <t xml:space="preserve">Using telecommunications</t>
  </si>
  <si>
    <t xml:space="preserve">Can use telecommunications confidently and effectively for both personal and professional purposes, even if there is some interference (noise) or the caller has a less familiar accent.</t>
  </si>
  <si>
    <t xml:space="preserve">Can use telecommunications effectively for most professional or personal purposes.</t>
  </si>
  <si>
    <t xml:space="preserve">Can use telecommunications for a variety of personal and professional purposes, provided they can ask for clarification if the accent or terminology is unfamiliar.</t>
  </si>
  <si>
    <t xml:space="preserve">Can participate in extended casual conversation over the phone with a known person on a variety of topics.</t>
  </si>
  <si>
    <t xml:space="preserve">Can use telecommunications for everyday personal or professional purposes, provided they can ask for clarification from time to time.</t>
  </si>
  <si>
    <t xml:space="preserve">Can give important details over the (video)phone concerning an unexpected incident (e.g. a problem in a hotel, with travel arrangements, with a hire car).</t>
  </si>
  <si>
    <t xml:space="preserve">Can use telecommunications to have relatively simple but extended conversations with people they know personally.</t>
  </si>
  <si>
    <t xml:space="preserve">Can use telecommunications for routine messages (e.g. arrangements for a meeting) and to obtain basic services (e.g. book a hotel room or make a medical appointment).</t>
  </si>
  <si>
    <t xml:space="preserve">Can use telecommunications with their friends to exchange simple news, make plans and arrange to meet.</t>
  </si>
  <si>
    <t xml:space="preserve">Can, given repetition and clarifications, participate in a short, simple phone conversation with a known person on a predictable topic, e.g. arrival times, arrangements to meet.</t>
  </si>
  <si>
    <t xml:space="preserve">Can understand a simple message (e.g. “My flight is late. I will arrive at ten o’clock.”), confirm details of the message and pass it on by phone to other people concerned.</t>
  </si>
  <si>
    <t xml:space="preserve">Written interaction</t>
  </si>
  <si>
    <t xml:space="preserve">Overall written interaction</t>
  </si>
  <si>
    <t xml:space="preserve">Can express themselves in an appropriate tone and style in virtually any type of formal and informal interaction.</t>
  </si>
  <si>
    <t xml:space="preserve">Can express themselves with clarity and precision, relating to the addressee flexibly and effectively.</t>
  </si>
  <si>
    <t xml:space="preserve">Can express news and views effectively in writing, and relate to those of others.</t>
  </si>
  <si>
    <t xml:space="preserve">Can convey information and ideas on abstract as well as concrete topics, check information, and ask about or explain problems with reasonable precision.</t>
  </si>
  <si>
    <t xml:space="preserve">Can compose personal letters and notes asking for or conveying simple information of immediate relevance, getting across the point they feel to be important.</t>
  </si>
  <si>
    <t xml:space="preserve">Can compose short, simple formulaic notes relating to matters in areas of immediate need.</t>
  </si>
  <si>
    <t xml:space="preserve">Can ask for or pass on personal details.</t>
  </si>
  <si>
    <t xml:space="preserve">Can convey basic information (e.g. name, address, family) in short phrases on a form or in a note, with the use of a dictionary.</t>
  </si>
  <si>
    <t xml:space="preserve">Correspondence</t>
  </si>
  <si>
    <t xml:space="preserve">Can compose virtually any type of correspondence necessary in the course of their professional life in an appropriate tone and style.</t>
  </si>
  <si>
    <t xml:space="preserve">Can express themselves with clarity and precision in personal correspondence, using language flexibly and effectively, including emotional, allusive and joking usage.</t>
  </si>
  <si>
    <t xml:space="preserve">Can maintain a relationship through personal correspondence using the language fluently and effectively to give detailed descriptions of experiences, pose sympathetic questions and follow up issues of mutual interest.</t>
  </si>
  <si>
    <t xml:space="preserve">Can in most cases understand idiomatic expressions and colloquialisms in correspondence and other communications and use the most common ones themselves as appropriate to the situation.</t>
  </si>
  <si>
    <t xml:space="preserve">Can compose letters conveying degrees of emotion and highlighting the personal significance of events and experiences and commenting on the correspondent’s news and views.</t>
  </si>
  <si>
    <t xml:space="preserve">Can use formality and conventions appropriate to the context when writing personal and professional letters and e-mails.</t>
  </si>
  <si>
    <t xml:space="preserve">Can compose formal e-mails/letters of invitation, thanks or apology using appropriate registers and conventions.</t>
  </si>
  <si>
    <t xml:space="preserve">Can compose non-routine professional letters, using appropriate structure and conventions, provided these are restricted to matters of fact.</t>
  </si>
  <si>
    <t xml:space="preserve">Can obtain, by letter or e-mail, information required for a particular purpose, collate it and forward it by e-mail to other people.</t>
  </si>
  <si>
    <t xml:space="preserve">Can compose letters expressing different opinions and giving detailed accounts of personal feelings and experiences.</t>
  </si>
  <si>
    <t xml:space="preserve">Can reply to an advertisement in writing and ask for further information on items that interest them.</t>
  </si>
  <si>
    <t xml:space="preserve">Can compose personal letters describing experiences, feelings and events in some detail.</t>
  </si>
  <si>
    <t xml:space="preserve">Can compose basic e-mails/letters of a factual nature (e.g. to request information or to ask for and give confirmation).</t>
  </si>
  <si>
    <t xml:space="preserve">Can compose a basic letter of application with limited supporting details.</t>
  </si>
  <si>
    <t xml:space="preserve">Can compose very simple personal letters expressing thanks and apology.</t>
  </si>
  <si>
    <t xml:space="preserve">Can compose short, simple notes, e-mails and text messages (e.g. to send or reply to an invitation, to confirm or change an arrangement).</t>
  </si>
  <si>
    <t xml:space="preserve">Can compose a short text in a greetings card (e.g. for someone’s birthday or to wish them a Happy New Year).</t>
  </si>
  <si>
    <t xml:space="preserve">Can compose messages and online postings as a series of very short sentences about hobbies and likes/dislikes, using simple words and formulaic expressions, with reference to a dictionary.</t>
  </si>
  <si>
    <t xml:space="preserve">Can compose a short, very simple message (e.g. a text message) to friends to give them a piece of information or to ask them a question.</t>
  </si>
  <si>
    <t xml:space="preserve">Can convey basic personal information in short phrases and sentences, with reference to a dictionary.</t>
  </si>
  <si>
    <t xml:space="preserve">Notes, messages and forms</t>
  </si>
  <si>
    <t xml:space="preserve">Can take or leave complex personal or professional messages, provided they can ask for clarification or elaboration if necessary.</t>
  </si>
  <si>
    <t xml:space="preserve">Can take routine messages that are likely to occur in a personal, professional or academic context.</t>
  </si>
  <si>
    <t xml:space="preserve">Can take messages communicating enquiries and explaining problems.</t>
  </si>
  <si>
    <t xml:space="preserve">Can formulate notes conveying simple information of immediate relevance to friends, service people, teachers and others who feature in their everyday life, getting across comprehensibly the points they feel are important.</t>
  </si>
  <si>
    <t xml:space="preserve">Can take messages over the phone containing several points, provided the caller dictates these clearly and sympathetically.</t>
  </si>
  <si>
    <t xml:space="preserve">Can take a short, simple message provided they can ask for repetition and reformulation.</t>
  </si>
  <si>
    <t xml:space="preserve">Can formulate short, simple notes and messages relating to matters in areas of immediate need.</t>
  </si>
  <si>
    <t xml:space="preserve">Can fill in personal and other details on most everyday forms (e.g. to open a bank account, or to send a letter by recorded delivery).</t>
  </si>
  <si>
    <t xml:space="preserve">Can fill in numbers and dates, own name, nationality, address, age, date of birth or arrival in the country, etc., e.g. on a hotel registration form.</t>
  </si>
  <si>
    <t xml:space="preserve">Can leave a simple message giving information regarding for instance where they have gone, or what time they will be back (e.g. “Shopping: back at 5 p.m.”).</t>
  </si>
  <si>
    <t xml:space="preserve">Can fill in very simple registration forms with basic personal details: name, address, nationality, marital status.</t>
  </si>
  <si>
    <t xml:space="preserve">Online interaction</t>
  </si>
  <si>
    <t xml:space="preserve">Online conversation and discussion</t>
  </si>
  <si>
    <t xml:space="preserve">Can express themselves with clarity and precision in real-time online discussion, adjusting language flexibly and sensitively to context, including emotional, allusive and joking usage.</t>
  </si>
  <si>
    <t xml:space="preserve">Can anticipate and deal effectively with possible misunderstandings (including cultural ones), communication issues and emotional reactions in an online discussion.</t>
  </si>
  <si>
    <t xml:space="preserve">Can easily and quickly adapt their register and style to suit different online environments, communication purposes and speech acts.</t>
  </si>
  <si>
    <t xml:space="preserve">Can engage in real-time online exchanges with several participants, understanding the communicative intentions and cultural implications of the various contributions.</t>
  </si>
  <si>
    <t xml:space="preserve">Can participate effectively in live, online professional or academic discussion, asking for and giving further clarification of complex, abstract issues as necessary.</t>
  </si>
  <si>
    <t xml:space="preserve">Can adapt their register according to the context of online interaction, moving from one register to the other within the same exchange if necessary.</t>
  </si>
  <si>
    <t xml:space="preserve">Can engage in online exchanges, linking their contributions to previous ones in the thread, understanding cultural implications and reacting appropriately.</t>
  </si>
  <si>
    <t xml:space="preserve">Can participate actively in an online discussion, stating and responding to opinions on topics of interest at some length, provided contributors avoid unusual or complex language and allow time for responses.</t>
  </si>
  <si>
    <t xml:space="preserve">Can engage in online exchanges between several participants, effectively linking their contributions to previous ones in the thread, provided a moderator helps manage the discussion.</t>
  </si>
  <si>
    <t xml:space="preserve">Can recognise misunderstandings and disagreements that arise in an online interaction and deal with them, provided the interlocutor(s) are willing to co-operate.</t>
  </si>
  <si>
    <t xml:space="preserve">Can engage in real-time online exchanges with more than one participant, recognising the communicative intentions of each contributor, but may not understand details or implications without further explanation.</t>
  </si>
  <si>
    <t xml:space="preserve">Can post online accounts of social events, experiences and activities referring to embedded links and media and sharing personal feelings.</t>
  </si>
  <si>
    <t xml:space="preserve">Can make personal online postings about experiences, feelings and events and respond individually to the comments of others in some detail, though lexical limitations sometimes cause repetition and inappropriate formulation.</t>
  </si>
  <si>
    <t xml:space="preserve">Can introduce themselves and manage simple exchanges online, asking and answering questions and exchanging ideas on predictable everyday topics, provided enough time is allowed to formulate responses, and that they interact with one interlocutor at a time.</t>
  </si>
  <si>
    <t xml:space="preserve">Can make short descriptive online postings about everyday matters, social activities and feelings, with simple key details.</t>
  </si>
  <si>
    <t xml:space="preserve">Can comment on other people’s online postings, provided they are written/signed in simple language, reacting to embedded media by expressing feelings of surprise, interest and indifference in a simple way.</t>
  </si>
  <si>
    <t xml:space="preserve">Can formulate very simple messages and personal online postings as a series of very short sentences about hobbies, likes/dislikes, etc., relying on the aid of a translation tool.</t>
  </si>
  <si>
    <t xml:space="preserve">Can use formulaic expressions and combinations of simple words/signs to post short positive and negative reactions to simple online postings and their embedded links and media, and can respond to further comments with standard expressions of thanks and apology.</t>
  </si>
  <si>
    <t xml:space="preserve">Can post online short simple statements about themselves (e.g. relationship status, nationality, occupation), provided they can select them from a menu and/or refer to an online translation tool.</t>
  </si>
  <si>
    <t xml:space="preserve">Goal-oriented online transactions and collaboration</t>
  </si>
  <si>
    <t xml:space="preserve">Can resolve misunderstandings and deal effectively with frictions that arise during the collaborative process.</t>
  </si>
  <si>
    <t xml:space="preserve">Can provide guidance and add precision to the work of a group at the redrafting and editing stages of collaborative work.</t>
  </si>
  <si>
    <t xml:space="preserve">Can co-ordinate a group that is working on a project online, formulating and revising detailed instructions, evaluating proposals from team members, and providing clarifications in order to accomplish the shared tasks.</t>
  </si>
  <si>
    <t xml:space="preserve">Can deal with complex online transactions in a service role (e.g. applications with complicated requirements), adjusting language flexibly to manage discussions and negotiations.</t>
  </si>
  <si>
    <t xml:space="preserve">Can participate in complex projects requiring collaborative writing and redrafting as well as other forms of online collaboration, following and relaying instructions with precision in order to reach the goal.</t>
  </si>
  <si>
    <t xml:space="preserve">Can deal effectively with communication problems and cultural issues that arise in an online collaborative or transactional exchange by reformulating, clarifying and providing examples through media (visual, audio, graphic).</t>
  </si>
  <si>
    <t xml:space="preserve">Can take a lead role in online collaborative work within their area(s) of expertise, keeping the group on task by reminding it of roles, responsibilities and deadlines in order to achieve established goals.</t>
  </si>
  <si>
    <t xml:space="preserve">Can engage in online collaborative or transactional exchanges within their area(s) of expertise that require negotiation of conditions and explanation of complicated details and special requirements.</t>
  </si>
  <si>
    <t xml:space="preserve">Can deal with misunderstandings and unexpected problems that arise in online collaborative or transactional exchanges by responding politely and appropriately in order to help resolve the issue.</t>
  </si>
  <si>
    <t xml:space="preserve">Can collaborate online with a group that is working on a project, justifying proposals, seeking clarification and playing a supportive role in order to accomplish shared tasks.</t>
  </si>
  <si>
    <t xml:space="preserve">Can engage in online transactions that require an extended exchange of information, provided the interlocutor(s) avoid complex language and are willing to repeat and reformulate when necessary.</t>
  </si>
  <si>
    <t xml:space="preserve">Can interact online with a group that is working on a project, following straightforward instructions, seeking clarification and helping to accomplish the shared tasks.</t>
  </si>
  <si>
    <t xml:space="preserve">Can engage in online collaborative or transactional exchanges that require simple clarification or explanation of relevant details, such as registering for a course, tour or event, or applying for membership.</t>
  </si>
  <si>
    <t xml:space="preserve">Can interact online with a partner or small group working on a project, provided there are visual aids such as images, statistics and graphs to clarify more complex concepts.</t>
  </si>
  <si>
    <t xml:space="preserve">Can respond to instructions and ask questions or request clarifications in order to accomplish a shared task online.</t>
  </si>
  <si>
    <t xml:space="preserve">Can use formulaic language to respond to routine problems arising in online transactions (e.g. concerning availability of models and special offers, delivery dates, addresses).</t>
  </si>
  <si>
    <t xml:space="preserve">Can interact online with a supportive partner in a simple collaborative task, responding to basic instructions and seeking clarification, provided there are visual aids such as images, statistics or graphs to clarify the concepts involved.</t>
  </si>
  <si>
    <t xml:space="preserve">Can make simple online transactions (e.g. ordering goods or enrolling in a course) by filling in an online form or questionnaire, providing personal details and confirming acceptance of terms and conditions, declining extra services, etc.</t>
  </si>
  <si>
    <t xml:space="preserve">Can ask basic questions about the availability of a product or feature.</t>
  </si>
  <si>
    <t xml:space="preserve">Can respond to simple instructions and ask simple questions in order to accomplish a shared task online with the help of a supportive interlocutor.</t>
  </si>
  <si>
    <t xml:space="preserve">Can complete a very simple online purchase or application, providing basic personal information (e.g. name, e-mail or telephone number).</t>
  </si>
  <si>
    <t xml:space="preserve">Can make selections (e.g. choosing a product, size, colour) in a simple online purchase or application form, provided there is visual support.</t>
  </si>
  <si>
    <t xml:space="preserve">Turntaking</t>
  </si>
  <si>
    <t xml:space="preserve">Can select a suitable phrase from a readily available range of discourse functions to preface their remarks appropriately in order to get the floor, or to gain time and keep the floor whilst thinking.</t>
  </si>
  <si>
    <t xml:space="preserve">Can intervene appropriately in discussion, exploiting appropriate language to do so.</t>
  </si>
  <si>
    <t xml:space="preserve">Can initiate, maintain and end discourse appropriately with effective turntaking.</t>
  </si>
  <si>
    <t xml:space="preserve">Can initiate discourse, take their turn when appropriate and end conversation when they need to, though they may not always do this elegantly.</t>
  </si>
  <si>
    <t xml:space="preserve">Can use stock phrases (e.g. “That’s a difficult question to answer”) to gain time and keep the turn whilst formulating what they want to express.</t>
  </si>
  <si>
    <t xml:space="preserve">Can intervene in a discussion on a familiar topic, using a suitable phrase to get the floor.</t>
  </si>
  <si>
    <t xml:space="preserve">Can initiate, maintain and close simple, face-to-face conversation on topics that are familiar or of personal interest.</t>
  </si>
  <si>
    <t xml:space="preserve">Can use simple techniques to start, maintain or end a short conversation.</t>
  </si>
  <si>
    <t xml:space="preserve">Can initiate, maintain and close simple, face-to-face conversation.</t>
  </si>
  <si>
    <t xml:space="preserve">Can ask for attention.</t>
  </si>
  <si>
    <t xml:space="preserve">Co-operating</t>
  </si>
  <si>
    <t xml:space="preserve">Can link contributions skilfully to those of others, widen the scope of the interaction and help steer it towards an outcome.</t>
  </si>
  <si>
    <t xml:space="preserve">Can relate own contribution skilfully to that of others.</t>
  </si>
  <si>
    <t xml:space="preserve">Can give feedback on and follow up statements and inferences and so help the development of the discussion.</t>
  </si>
  <si>
    <t xml:space="preserve">Can summarise and evaluate the main points of discussion on matters within their academic or professional competence.</t>
  </si>
  <si>
    <t xml:space="preserve">Can help the discussion along on familiar ground, confirming comprehension, inviting others in, etc.</t>
  </si>
  <si>
    <t xml:space="preserve">Can summarise the point reached at a particular stage in a discussion and propose the next steps.</t>
  </si>
  <si>
    <t xml:space="preserve">Can exploit a basic repertoire of language and strategies to help keep a conversation or discussion going.</t>
  </si>
  <si>
    <t xml:space="preserve">Can summarise the point reached in a discussion and so help focus the argument.</t>
  </si>
  <si>
    <t xml:space="preserve">Can repeat back part of what someone has said to confirm mutual understanding and help keep the development of ideas on course.</t>
  </si>
  <si>
    <t xml:space="preserve">Can invite others into the discussion.</t>
  </si>
  <si>
    <t xml:space="preserve">Can indicate when they are following.</t>
  </si>
  <si>
    <t xml:space="preserve">Asking for clarification</t>
  </si>
  <si>
    <t xml:space="preserve">Can ask for explanation or clarification to ensure they understand complex, abstract ideas in professional or academic contexts, live or online.</t>
  </si>
  <si>
    <t xml:space="preserve">Can ask follow-up questions to check that they have understood what someone intended to say, and get clarification of ambiguous points.</t>
  </si>
  <si>
    <t xml:space="preserve">Can ask for explanation or clarification to ensure they understand complex, abstract ideas.</t>
  </si>
  <si>
    <t xml:space="preserve">Can formulate follow-up questions to a member of a group to clarify an issue that is implicit or poorly articulated.</t>
  </si>
  <si>
    <t xml:space="preserve">Can ask for further details and clarifications from other group members in order to move a discussion forward.</t>
  </si>
  <si>
    <t xml:space="preserve">Can ask someone to clarify or elaborate what they have just said.</t>
  </si>
  <si>
    <t xml:space="preserve">Can ask very simply for repetition when they do not understand.</t>
  </si>
  <si>
    <t xml:space="preserve">Can ask for clarification about key words/signs or phrases not understood, using stock phrases.</t>
  </si>
  <si>
    <t xml:space="preserve">Can indicate that they did not follow.</t>
  </si>
  <si>
    <t xml:space="preserve">Can signal non-understanding and ask for a word/sign to be spelt out.</t>
  </si>
  <si>
    <t xml:space="preserve">Can indicate with simple words/signs, intonation and gestures that they do not understand.</t>
  </si>
  <si>
    <t xml:space="preserve">Can express in a simple way that they do not understand.</t>
  </si>
  <si>
    <t xml:space="preserve">Mediation</t>
  </si>
  <si>
    <t xml:space="preserve">Overall mediation</t>
  </si>
  <si>
    <t xml:space="preserve">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</si>
  <si>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 xml:space="preserve">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</si>
  <si>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 xml:space="preserve">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</si>
  <si>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 xml:space="preserve">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</si>
  <si>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 xml:space="preserve">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</si>
  <si>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 xml:space="preserve">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</si>
  <si>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 xml:space="preserve">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</si>
  <si>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 xml:space="preserve">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</si>
  <si>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 xml:space="preserve">Can use simple words/signs and non-verbal signals to show interest in an idea. Can convey simple, predictable information of immediate interest given in short, simple signs and notices, posters and programmes.</t>
  </si>
  <si>
    <t xml:space="preserve">Mediating a text</t>
  </si>
  <si>
    <t xml:space="preserve">Relaying specific information in speech or sign</t>
  </si>
  <si>
    <t xml:space="preserve">Can explain (in Language B) the relevance of specific information found in a particular section of a long, complex text (in Language A).</t>
  </si>
  <si>
    <t xml:space="preserve">Can relay (in Language B) which presentations given (in Language A) at a conference or which articles in a book (in Language A) are particularly relevant for a specific purpose.</t>
  </si>
  <si>
    <t xml:space="preserve">Can relay (in Language B) the main point(s) contained in formal correspondence and/or reports (in Language A) on general subjects and on subjects related to their fields of interest.</t>
  </si>
  <si>
    <t xml:space="preserve">Can relay (in Language B) the content of public announcements and messages delivered clearly at normal speed (in Language A).</t>
  </si>
  <si>
    <t xml:space="preserve">Can relay (in Language B) the contents of detailed instructions or directions, provided these are clearly articulated (in Language A).</t>
  </si>
  <si>
    <t xml:space="preserve">Can relay (in Language B) specific information given in straightforward informational texts (e.g. leaflets, brochure entries, notices and letters or e-mails) (in Language A).</t>
  </si>
  <si>
    <t xml:space="preserve">Can relay (in Language B) the point made in a clear announcement (in Language A) concerning familiar everyday subjects, though they may have to simplify the message and search for words/signs.</t>
  </si>
  <si>
    <t xml:space="preserve">Can relay (in Language B) specific, relevant information contained in short, simple texts, labels and notices (in Language A) on familiar subjects.</t>
  </si>
  <si>
    <t xml:space="preserve">Can relay (in Language B) the point made in short, clear, simple messages, instructions and announcements, provided these are expressed slowly and clearly in simple language (in Language A).</t>
  </si>
  <si>
    <t xml:space="preserve">Can relay (in Language B) in a simple way a series of short, simple instructions, provided the original (in Language A) is clearly and slowly articulated.</t>
  </si>
  <si>
    <t xml:space="preserve">Can relay (in Language B) simple, predictable information about times and places given in short, simple statements (delivered in Language A).</t>
  </si>
  <si>
    <t xml:space="preserve">Can relay (in Language B) simple instructions about places and times (given in Language A), provided these are repeated very slowly and clearly.</t>
  </si>
  <si>
    <t xml:space="preserve">Can relay (in Language B) very basic information (e.g. numbers and prices) from short, simple, illustrated texts (in Language A).</t>
  </si>
  <si>
    <t xml:space="preserve">Relaying specific information in writing</t>
  </si>
  <si>
    <t xml:space="preserve">Can relay in writing (in Language B) which presentations at a conference (given in Language A) were relevant, pointing out which would be worth detailed consideration.</t>
  </si>
  <si>
    <t xml:space="preserve">Can relay in writing (in Language B) the relevant point(s) contained in propositionally complex but well-structured texts (in Language A) within their fields of professional, academic and personal interest.</t>
  </si>
  <si>
    <t xml:space="preserve">Can relay in writing (in Language B) the relevant point(s) contained in an article (in Language A) from an academic or professional journal.</t>
  </si>
  <si>
    <t xml:space="preserve">Can relay in a written report (in Language B) relevant decisions that were taken in a meeting (in Language A).</t>
  </si>
  <si>
    <t xml:space="preserve">Can relay in writing (in Language B) the significant point(s) contained in formal correspondence (in Language A).</t>
  </si>
  <si>
    <t xml:space="preserve">Can relay in writing (in Language B) specific information points contained in texts delivered (in Language A) on familiar subjects (e.g. calls, announcements and instructions).</t>
  </si>
  <si>
    <t xml:space="preserve">Can relay in writing (in Language B) specific, relevant information contained in straightforward informational texts (in Language A) on familiar subjects.</t>
  </si>
  <si>
    <t xml:space="preserve">Can relay in writing (in Language B) specific information given in a straightforward recorded message (left in Language A), provided the topics concerned are familiar and the delivery is slow and clear.</t>
  </si>
  <si>
    <t xml:space="preserve">Can relay in writing (in Language B) specific information contained in short simple informational texts (in Language A), provided the texts concern concrete, familiar subjects and are composed in simple everyday language.</t>
  </si>
  <si>
    <t xml:space="preserve">Can list (in Language B) the main points of short, clear, simple messages and announcements (given in Language A), provided they are clearly and slowly articulated.</t>
  </si>
  <si>
    <t xml:space="preserve">Can list (in Language B) specific information contained in simple texts (in Language A) on everyday subjects of immediate interest or need.</t>
  </si>
  <si>
    <t xml:space="preserve">Can list (in Language B) names, numbers, prices and very simple information of immediate interest in oral texts (in Language A), provided the articulation is very slow and clear, with repetition.</t>
  </si>
  <si>
    <t xml:space="preserve">Can list (in Language B) names, numbers, prices and very simple information from texts (in Language A) that are of immediate interest, that are composed in very simple language and contain illustrations.</t>
  </si>
  <si>
    <t xml:space="preserve">Explaining data in speech or sign</t>
  </si>
  <si>
    <t xml:space="preserve">Can interpret and describe clearly and reliably (in Language B) various forms of empirical data and visually organised information (with text in Language A) from conceptually complex research concerning academic or professional topics.</t>
  </si>
  <si>
    <t xml:space="preserve">Can interpret and describe clearly and reliably (in Language B) the salient points and details contained in complex diagrams and other visually organised information (with text in Language A) on complex academic or professional topics.</t>
  </si>
  <si>
    <t xml:space="preserve">Can interpret and describe reliably (in Language B) detailed information contained in complex diagrams, charts and other visually organised information (with text in Language A) on topics in their fields of interest.</t>
  </si>
  <si>
    <t xml:space="preserve">Can interpret and describe (in Language B) detailed information in diagrams in their fields of interest (with text in Language A), even though lexical gaps may cause hesitation or imprecise formulation.</t>
  </si>
  <si>
    <t xml:space="preserve">Can interpret and describe (in Language B) overall trends shown in simple diagrams (e.g. graphs, bar charts) (with text in Language A), even though lexical limitations cause difficulty with formulation at times.</t>
  </si>
  <si>
    <t xml:space="preserve">Can interpret and describe (in Language B) simple visuals on familiar topics (e.g. a weather map, a basic flow chart) (with text in Language A), even though pauses, false starts and reformulation may be very evident.</t>
  </si>
  <si>
    <t xml:space="preserve">Explaining data in writing</t>
  </si>
  <si>
    <t xml:space="preserve">Can interpret and present in writing (in Language B) various forms of empirical data (with text in Language A) from conceptually complex research on academic or professional topics.</t>
  </si>
  <si>
    <t xml:space="preserve">Can interpret and present clearly and reliably in writing (in Language B) the salient, relevant points contained in complex diagrams and other visually organised data (with text in Language A) on complex academic or professional topics.</t>
  </si>
  <si>
    <t xml:space="preserve">Can interpret and present reliably in writing (in Language B) detailed information from diagrams and visually organised data in their fields of interest (with text in Language A).</t>
  </si>
  <si>
    <t xml:space="preserve">Can interpret and present in writing (in Language B) the overall trends shown in simple diagrams (e.g. graphs, bar charts) (with text in Language A), explaining the important points in more detail, given the help of a dictionary or other reference materials.</t>
  </si>
  <si>
    <t xml:space="preserve">Can describe in simple sentences (in Language B) the main facts shown in visuals on familiar topics (e.g. a weather map, a basic flow chart) (with text in Language A).</t>
  </si>
  <si>
    <t xml:space="preserve">Processing text in speech or sign</t>
  </si>
  <si>
    <t xml:space="preserve">Can explain (in Language B) inferences when links or implications are not made explicit (in Language A), and point out the sociocultural implications of the form of expression (e.g. understatement, irony, sarcasm).</t>
  </si>
  <si>
    <t xml:space="preserve">Can summarise (in Language B) long, demanding texts (in Language A).</t>
  </si>
  <si>
    <t xml:space="preserve">Can summarise (in Language B) discussion (in Language A) on matters within their academic or professional competence, elaborating and weighing up different points of view and identifying the most significant points.</t>
  </si>
  <si>
    <t xml:space="preserve">Can summarise clearly in well-structured language (in Language B) the main points made in complex texts (in Language A) in fields of specialisation other than their own, although they may occasionally check particular technical concepts.</t>
  </si>
  <si>
    <t xml:space="preserve">Can explain (in Language B) subtle distinctions in the presentation of facts and arguments (in Language A).</t>
  </si>
  <si>
    <t xml:space="preserve">Can exploit information and arguments from a complex text (in Language A) to discuss a topic (in Language B), glossing with evaluative comments, adding their opinion, etc.</t>
  </si>
  <si>
    <t xml:space="preserve">Can explain (in Language B) the attitude or opinion expressed in a source text (in Language A) on a specialised topic, supporting inferences they make with reference to specific passages in the original.</t>
  </si>
  <si>
    <t xml:space="preserve">Can summarise clearly in well-structured language (in Language B) the information and arguments contained in complex texts (in Language A) on a wide range of subjects related to their fields of interest and specialisation.</t>
  </si>
  <si>
    <t xml:space="preserve">Can summarise (in Language B) the main points of complex discussions (in Language A), weighing up the different points of view presented.</t>
  </si>
  <si>
    <t xml:space="preserve">Can synthesise and report (in Language B) information and arguments from a number of sources (in Language A).</t>
  </si>
  <si>
    <t xml:space="preserve">Can summarise (in Language B) a wide range of factual and imaginative texts (in Language A), commenting on and discussing contrasting points of view and the main themes.</t>
  </si>
  <si>
    <t xml:space="preserve">Can summarise (in Language B) the important points made in longer, complex texts (in Language A) on subjects of current interest, including their fields of special interest.</t>
  </si>
  <si>
    <t xml:space="preserve">Can recognise the intended audience of a text (in Language A) on a topic of interest and explain (in Language B) the purpose, attitudes and opinion of the author.</t>
  </si>
  <si>
    <t xml:space="preserve">Can summarise (in Language B) extracts from news items, interviews or documentaries containing opinions, arguments and discussions (in Language A).</t>
  </si>
  <si>
    <t xml:space="preserve">Can summarise (in Language B) the plot and sequence of events in a film or play (in Language A).</t>
  </si>
  <si>
    <t xml:space="preserve">Can summarise (in Language B) the main points made in long texts (in Language A) on topics in their fields of interest, provided they can check the meaning of certain expressions.</t>
  </si>
  <si>
    <t xml:space="preserve">Can summarise (in Language B) a short narrative or article, talk, discussion, interview or documentary (in Language A) and answer further questions about details.</t>
  </si>
  <si>
    <t xml:space="preserve">Can collate short pieces of information from several sources (in Language A) and summarise them (in Language B) for somebody else.</t>
  </si>
  <si>
    <t xml:space="preserve">Can summarise (in Language B) the main points made in clear, well-structured texts (in Language A) on subjects that are familiar or of personal interest, although lexical limitations cause difficulty with formulation at times.</t>
  </si>
  <si>
    <t xml:space="preserve">Can summarise simply (in Language B) the main information content of straightforward texts (in Language A) on familiar subjects (e.g. a short record of an interview, magazine article, travel brochure).</t>
  </si>
  <si>
    <t xml:space="preserve">Can summarise (in Language B) the main points made during a conversation (in Language A) on a subject of personal or current interest, provided people articulated clearly.</t>
  </si>
  <si>
    <t xml:space="preserve">Can summarise (in Language B) the main points made in long texts delivered orally (in Language A) on topics in their fields of interest, provided they can listen or view several times.</t>
  </si>
  <si>
    <t xml:space="preserve">Can summarise (in Language B) the main points or events in TV programmes and video clips (in Language A), provided they can view them several times.</t>
  </si>
  <si>
    <t xml:space="preserve">Can report (in Language B) the main points made in simple TV or radio news items (in Language A) reporting events, sports, accidents, etc., provided the topics concerned are familiar and the delivery is slow and clear.</t>
  </si>
  <si>
    <t xml:space="preserve">Can report in simple sentences (in Language B) the information contained in clearly structured, short, simple texts (in Language A) that have illustrations or tables.</t>
  </si>
  <si>
    <t xml:space="preserve">Can summarise (in Language B) the main point(s) in simple, short informational texts (in Language A) on familiar topics.</t>
  </si>
  <si>
    <t xml:space="preserve">Can convey (in Language B) the main point(s) contained in clearly structured, short, simple texts (in Language A), supplementing their limited repertoire with other means (e.g. gestures, drawings, words/signs from other languages) in order to do so.</t>
  </si>
  <si>
    <t xml:space="preserve">Can convey (in Language B) simple, predictable information given in short, very simple signs and notices, posters and programmes (in Language A).</t>
  </si>
  <si>
    <t xml:space="preserve">Processing text in writing</t>
  </si>
  <si>
    <t xml:space="preserve">Can explain in writing (in Language B) the way that facts and arguments are presented in a text (in Language A), particularly when someone else’s position is being reported, drawing attention to the use of understatement, veiled criticism, irony and sarcasm.</t>
  </si>
  <si>
    <t xml:space="preserve">Can summarise information from different sources, reconstructing arguments and accounts in a coherent presentation of the overall result.</t>
  </si>
  <si>
    <t xml:space="preserve">Can summarise in writing (in Language B) long, complex texts (in Language A), interpreting the content appropriately, provided they can occasionally check the precise meaning of unusual, technical terms.</t>
  </si>
  <si>
    <t xml:space="preserve">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</si>
  <si>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 xml:space="preserve">Can summarise in writing (in Language B) the main content of well-structured but propositionally complex texts (in Language A) on subjects within their fields of professional, academic and personal interest.</t>
  </si>
  <si>
    <t xml:space="preserve">Can compare, contrast and synthesise in writing (in Language B) the information and viewpoints contained in academic and professional publications (in Language A) in their fields of special interest.</t>
  </si>
  <si>
    <t xml:space="preserve">Can explain in writing (in Language B) the viewpoint articulated in a complex text (in Language A), supporting inferences they make with reference to specific information in the original.</t>
  </si>
  <si>
    <t xml:space="preserve">Can summarise in writing (in Language B) the main content of complex texts (in Language A) on subjects related to their fields of interest and specialisation.</t>
  </si>
  <si>
    <t xml:space="preserve">Can summarise in writing (in Language B) the information and arguments contained in texts (in Language A) on subjects of general or personal interest.</t>
  </si>
  <si>
    <t xml:space="preserve">Can summarise in writing (in Language B) the main points made in straightforward, informational texts (in Language A) on subjects that are of personal or current interest, provided oral texts are clearly articulated.</t>
  </si>
  <si>
    <t xml:space="preserve">Can paraphrase short passages in a simple fashion, using the original text wording and ordering.</t>
  </si>
  <si>
    <t xml:space="preserve">Can list as a series of bullet points (in Language B) the relevant information contained in short simple texts (in Language A), provided the texts concern concrete, familiar subjects and contain only simple everyday language.</t>
  </si>
  <si>
    <t xml:space="preserve">Can pick out and reproduce key words and phrases or short sentences from a short text within the learner’s limited competence and experience.</t>
  </si>
  <si>
    <t xml:space="preserve">Can use simple language to convey (in Language B) the main point(s) contained in very short texts (in Language A) on familiar and everyday themes that contain the highest frequency vocabulary; despite errors, the text remains comprehensible.</t>
  </si>
  <si>
    <t xml:space="preserve">Can copy out short texts in printed or clearly handwritten format.</t>
  </si>
  <si>
    <t xml:space="preserve">Can, with the help of a dictionary, convey (in Language B) the meaning of simple phrases (in Language A) on familiar and everyday themes.</t>
  </si>
  <si>
    <t xml:space="preserve">Can copy out single words and short texts presented in standard printed format.</t>
  </si>
  <si>
    <t xml:space="preserve">Translating a written text in speech or sign</t>
  </si>
  <si>
    <t xml:space="preserve">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</si>
  <si>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 xml:space="preserve">Can provide fluent oral translation (into Language B) of complex texts (written in Language A) on a wide range of general and specialised topics, capturing most nuances.</t>
  </si>
  <si>
    <t xml:space="preserve">Can provide oral translation (into Language B) of complex texts (written in Language A) containing information and arguments on subjects within their fields of professional, academic and personal interest.</t>
  </si>
  <si>
    <t xml:space="preserve">Can provide oral translation (into Language B) of texts (written in Language A) containing information and arguments on subjects within their fields of professional, academic and personal interest, provided they are written in uncomplicated, standard language.</t>
  </si>
  <si>
    <t xml:space="preserve">Can provide an approximate oral translation (into Language B) of clear, well-structured informational texts (written in Language A) on subjects that are familiar or of personal interest, although lexical limitations cause difficulty with formulation at times.</t>
  </si>
  <si>
    <t xml:space="preserve">Can provide an approximate oral translation (into Language B) of short, simple, everyday texts (e.g. brochure entries, notices, instructions, letters or e-mails) (written in Language A).</t>
  </si>
  <si>
    <t xml:space="preserve">Can provide a simple, rough oral translation (into Language B) of short, simple texts (e.g. notices on familiar subjects) (written in Language A), capturing the most essential point.</t>
  </si>
  <si>
    <t xml:space="preserve">Can provide a simple, rough oral translation (into Language B) of routine information on familiar everyday subjects that is written in simple sentences (in Language A) (e.g. personal news, short narratives, directions, notices or instructions).</t>
  </si>
  <si>
    <t xml:space="preserve">Can provide a simple, rough oral translation (into Language B) of simple everyday words/signs and phrases (written in Language A) that are encountered on signs and notices, posters, programmes, leaflets, etc.</t>
  </si>
  <si>
    <t xml:space="preserve">Translating a written text in writing</t>
  </si>
  <si>
    <t xml:space="preserve">Can translate (into Language B) technical material outside their field of specialisation (written in Language A), provided subject matter accuracy is checked by a specialist in the field concerned.</t>
  </si>
  <si>
    <t xml:space="preserve">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</si>
  <si>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 xml:space="preserve">Can produce clearly organised translations (from Language A into Language B) that reflect normal language usage but may be over-influenced by the order, paragraphing, punctuation and particular formulations of the original.</t>
  </si>
  <si>
    <t xml:space="preserve">Can produce translations (into Language B) that closely follow the sentence and paragraph structure of the original text (in Language A), conveying the main points of the source text accurately, though the translation may read awkwardly.</t>
  </si>
  <si>
    <t xml:space="preserve">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</si>
  <si>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 xml:space="preserve">Can produce approximate translations (from Language A into Language B) of information contained in short, factual texts written in uncomplicated, standard language; despite errors, the translation remains comprehensible.</t>
  </si>
  <si>
    <t xml:space="preserve">Can use simple language to provide an approximate translation (from Language A into Language B) of very short texts on familiar and everyday themes that contain the highest frequency vocabulary; despite errors, the translation remains comprehensible.</t>
  </si>
  <si>
    <t xml:space="preserve">Can, with the help of a dictionary, translate simple words/signs and phrases (from Language A into Language B), but may not always select the appropriate meaning.</t>
  </si>
  <si>
    <t xml:space="preserve">Note-taking (lectures, seminars, meetings, etc.)</t>
  </si>
  <si>
    <t xml:space="preserve">Can, while continuing to participate in a meeting or seminar, create reliable notes (or minutes) for people who are not present, even when the subject matter is complex and/or unfamiliar.</t>
  </si>
  <si>
    <t xml:space="preserve">Is aware of the implications and allusions of what is said and can take notes on them as well as on the actual words used.</t>
  </si>
  <si>
    <t xml:space="preserve">Can take notes selectively, paraphrasing and abbreviating successfully to capture abstract concepts and relationships between ideas.</t>
  </si>
  <si>
    <t xml:space="preserve">Can take detailed notes during a lecture on topics in their field of interest, recording the information so accurately and so closely to the original that the notes could also be useful to other people.</t>
  </si>
  <si>
    <t xml:space="preserve">Can make decisions about what to note down and what to omit as the lecture or seminar proceeds, even on unfamiliar matters.</t>
  </si>
  <si>
    <t xml:space="preserve">Can select relevant, detailed information and arguments on complex, abstract topics from multiple oral sources (e.g. lectures, podcasts, formal discussions and debates, interviews), provided the delivery is at normal speed.</t>
  </si>
  <si>
    <t xml:space="preserve">Can understand a clearly structured lecture on a familiar subject, and can take notes on points which strike them as important, even though they tend to concentrate on the actual formulation and therefore to miss some information.</t>
  </si>
  <si>
    <t xml:space="preserve">Can take accurate notes in meetings and seminars on most matters likely to arise within their field of interest.</t>
  </si>
  <si>
    <t xml:space="preserve">Can take notes during a lecture which are precise enough for their own use at a later date, provided the topic is within their field of interest and the lecture is clear and well structured.</t>
  </si>
  <si>
    <t xml:space="preserve">Can take notes as a list of key points during a straightforward lecture, provided the topic is familiar, and the lecture is both formulated in simple language and articulated clearly.</t>
  </si>
  <si>
    <t xml:space="preserve">Can note down routine instructions in a meeting on a familiar subject, provided these are formulated in simple language and they are given sufficient time to do so.</t>
  </si>
  <si>
    <t xml:space="preserve">Can take simple notes at a presentation/demonstration where the subject matter is familiar and predictable and the presenter allows for clarification and note-taking.</t>
  </si>
  <si>
    <t xml:space="preserve">Expressing a personal response to creative texts (including literature)</t>
  </si>
  <si>
    <t xml:space="preserve">Can describe in detail a personal interpretation of a work, outlining their reactions to certain features and explaining their significance.</t>
  </si>
  <si>
    <t xml:space="preserve">Can outline a personal interpretation of a character in a work: their psychological/emotional state, the motives for their actions and the consequences of these actions.</t>
  </si>
  <si>
    <t xml:space="preserve">Can give a clear presentation of their reactions to a work, developing their ideas and supporting them with examples and arguments.</t>
  </si>
  <si>
    <t xml:space="preserve">Can give a personal interpretation of the development of a plot, the characters and themes in a story, novel, film or play.</t>
  </si>
  <si>
    <t xml:space="preserve">Can describe their emotional response to a work and elaborate on the way in which it has evoked this response.</t>
  </si>
  <si>
    <t xml:space="preserve">Can express in some detail their reactions to the form of expression, style and content of a work, explaining what they appreciated and why.</t>
  </si>
  <si>
    <t xml:space="preserve">Can explain why certain parts or aspects of a work especially interested them.</t>
  </si>
  <si>
    <t xml:space="preserve">Can explain in some detail which character they most identified with and why.</t>
  </si>
  <si>
    <t xml:space="preserve">Can relate events in a story, film or play to similar events they have experienced or heard about.</t>
  </si>
  <si>
    <t xml:space="preserve">Can relate the emotions experienced by a character to emotions they have experienced.</t>
  </si>
  <si>
    <t xml:space="preserve">Can describe the emotions they experienced at a certain point in a story, e.g. the point(s) in a story when they became anxious for a character, and explain why.</t>
  </si>
  <si>
    <t xml:space="preserve">Can explain briefly the feelings and opinions that a work provoked in them.</t>
  </si>
  <si>
    <t xml:space="preserve">Can describe the personality of a character.</t>
  </si>
  <si>
    <t xml:space="preserve">Can describe a character’s feelings and explain the reasons for them.</t>
  </si>
  <si>
    <t xml:space="preserve">Can express their reactions to a work, reporting their feelings and ideas in simple language.</t>
  </si>
  <si>
    <t xml:space="preserve">Can state in simple language which aspects of a work especially interested them.</t>
  </si>
  <si>
    <t xml:space="preserve">Can state whether they liked a work or not and explain why in simple language.</t>
  </si>
  <si>
    <t xml:space="preserve">Can use simple words/signs to state how a work made them feel.</t>
  </si>
  <si>
    <t xml:space="preserve">Analysis and criticism of creative texts (including literature)</t>
  </si>
  <si>
    <t xml:space="preserve">Can give a critical appraisal of work of different periods and genres (e.g. novels, poems and plays), appreciating subtle distinctions of style and implicit as well as explicit meaning.</t>
  </si>
  <si>
    <t xml:space="preserve">Can recognise the finer subtleties of nuanced language, rhetorical effect and stylistic language use (e.g. metaphors, abnormal syntax, ambiguity), interpreting and “unpacking” meanings and connotations.</t>
  </si>
  <si>
    <t xml:space="preserve">Can critically evaluate the way in which structure, language and rhetorical devices are exploited in a work for a particular purpose and give a reasoned argument concerning their appropriateness and effectiveness.</t>
  </si>
  <si>
    <t xml:space="preserve">Can give a critical appreciation of deliberate breaches of linguistic conventions in a piece of writing.</t>
  </si>
  <si>
    <t xml:space="preserve">Can critically appraise a wide variety of texts including literary works of different periods and genres.</t>
  </si>
  <si>
    <t xml:space="preserve">Can evaluate the extent to which a work follows the conventions of its genre.</t>
  </si>
  <si>
    <t xml:space="preserve">Can describe and comment on ways in which the work engages the audience (e.g. by building up and subverting expectations).</t>
  </si>
  <si>
    <t xml:space="preserve">Can compare two works, considering themes, characters and scenes, exploring similarities and contrasts and explaining the relevance of the connections between them.</t>
  </si>
  <si>
    <t xml:space="preserve">Can give a reasoned opinion of a work, showing awareness of the thematic, structural and formal features and referring to the opinions and arguments of others.</t>
  </si>
  <si>
    <t xml:space="preserve">Can evaluate the way the work encourages identification with characters, giving examples.</t>
  </si>
  <si>
    <t xml:space="preserve">Can describe the way in which different works differ in their treatment of the same theme.</t>
  </si>
  <si>
    <t xml:space="preserve">Can point out the most important episodes and events in a clearly structured narrative in everyday language and explain the significance of events and the connections between them.</t>
  </si>
  <si>
    <t xml:space="preserve">Can describe the key themes and characters in short narratives involving familiar situations that contain only high frequency everyday language.</t>
  </si>
  <si>
    <t xml:space="preserve">Can identify and briefly describe, in basic formulaic language, the key themes and characters in short, simple narratives involving familiar situations that contain only high frequency everyday language.</t>
  </si>
  <si>
    <t xml:space="preserve">Mediating concepts</t>
  </si>
  <si>
    <t xml:space="preserve">Facilitating collaborative interaction with peers </t>
  </si>
  <si>
    <t xml:space="preserve">Can show sensitivity to different perspectives within a group, acknowledging contributions and formulating any reservations, disagreements or criticisms in such a way as to avoid or minimise any offence.</t>
  </si>
  <si>
    <t xml:space="preserve">Can develop the interaction and tactfully help steer it towards a conclusion.</t>
  </si>
  <si>
    <t xml:space="preserve">Can, based on people’s reactions, adjust the way they formulate questions and/or intervene in a group interaction.</t>
  </si>
  <si>
    <t xml:space="preserve">Can act as rapporteur in a group discussion, noting ideas and decisions, discussing these with the group and later giving a summary of the group’s view(s) in a plenary.</t>
  </si>
  <si>
    <t xml:space="preserve">Can ask questions to stimulate discussion on how to organise collaborative work.</t>
  </si>
  <si>
    <t xml:space="preserve">Can help define goals for teamwork and compare options for how to achieve them.</t>
  </si>
  <si>
    <t xml:space="preserve">Can refocus a discussion by suggesting what to consider next, and how to proceed.</t>
  </si>
  <si>
    <t xml:space="preserve">Can collaborate on a shared task, e.g. formulating and responding to suggestions, asking whether people agree, and proposing alternative approaches.</t>
  </si>
  <si>
    <t xml:space="preserve">Can collaborate in simple, shared tasks and work towards a common goal in a group by asking and answering straightforward questions.</t>
  </si>
  <si>
    <t xml:space="preserve">Can define the task in basic terms in a discussion and ask others to contribute their expertise and experience.</t>
  </si>
  <si>
    <t xml:space="preserve">Can invite other people in a group to contribute their views.</t>
  </si>
  <si>
    <t xml:space="preserve">Can collaborate in simple, shared tasks, provided other participants articulate slowly and one or more people help them contribute and express their suggestions.</t>
  </si>
  <si>
    <t xml:space="preserve">Can collaborate in simple, practical tasks, asking what others think, making suggestions and understanding responses, provided they can ask for repetition or reformulation from time to time.</t>
  </si>
  <si>
    <t xml:space="preserve">Can invite others’ contributions to very simple tasks using short, simple phrases prepared in advance. Can indicate that they understand and ask whether others understand.</t>
  </si>
  <si>
    <t xml:space="preserve">Collaborating to construct meaning</t>
  </si>
  <si>
    <t xml:space="preserve">Can summarise, evaluate and link the various contributions in order to facilitate agreement on a solution or a way forward.</t>
  </si>
  <si>
    <t xml:space="preserve">Can frame a discussion to decide on a course of action with a partner or group, reporting on what others have said, summarising, elaborating and weighing up multiple points of view.</t>
  </si>
  <si>
    <t xml:space="preserve">Can evaluate problems, challenges and proposals in a collaborative discussion in order to decide on the way forward.</t>
  </si>
  <si>
    <t xml:space="preserve">Can highlight inconsistencies in thinking, and challenge others’ ideas in the process of trying to reach a consensus.</t>
  </si>
  <si>
    <t xml:space="preserve">Can highlight the main issue that needs to be resolved in a complex task and the important aspects that need to be taken into account.</t>
  </si>
  <si>
    <t xml:space="preserve">Can contribute to collaborative decision making and problem solving, expressing and co-developing ideas, explaining details and making suggestions for future action.</t>
  </si>
  <si>
    <t xml:space="preserve">Can help organise the discussion in a group by reporting what others have said, summarising, elaborating and weighing up different points of view.</t>
  </si>
  <si>
    <t xml:space="preserve">Can further develop other people’s ideas and opinions.</t>
  </si>
  <si>
    <t xml:space="preserve">Can present their ideas in a group and pose questions that invite reactions from other group members’ perspectives.</t>
  </si>
  <si>
    <t xml:space="preserve">Can consider two different sides of an issue, giving arguments for and against, and propose a solution or compromise.</t>
  </si>
  <si>
    <t xml:space="preserve">Can organise the work in a straightforward collaborative task by stating the aim and explaining in a simple manner the main issue that needs to be resolved.</t>
  </si>
  <si>
    <t xml:space="preserve">Can use questions, comments and simple reformulations to maintain the focus of a discussion.</t>
  </si>
  <si>
    <t xml:space="preserve">Can ask a group member to give the reason(s) for their views.</t>
  </si>
  <si>
    <t xml:space="preserve">Can repeat part of what someone has said to confirm mutual understanding and help keep the development of ideas on course.</t>
  </si>
  <si>
    <t xml:space="preserve">Can ensure that the person they are addressing understands what they mean by asking appropriate questions.</t>
  </si>
  <si>
    <t xml:space="preserve">Can make simple remarks and pose occasional questions to indicate that they are following.</t>
  </si>
  <si>
    <t xml:space="preserve">Can make suggestions in a simple way.</t>
  </si>
  <si>
    <t xml:space="preserve">Can express an idea and ask what others think, using very simple words/signs and phrases, provided they can prepare in advance.</t>
  </si>
  <si>
    <t xml:space="preserve">Managing interaction</t>
  </si>
  <si>
    <t xml:space="preserve">Can take on different roles according to the needs of the participants and requirements of the activity (resource person, mediator, supervisor, etc.) and provide appropriate individualised support.</t>
  </si>
  <si>
    <t xml:space="preserve">Can recognise undercurrents in interaction and take appropriate steps to guide the direction of discussion.</t>
  </si>
  <si>
    <t xml:space="preserve">Can organise a varied and balanced sequence of plenary, group and individual work, ensuring smooth transitions between the phases.</t>
  </si>
  <si>
    <t xml:space="preserve">Can intervene diplomatically in order to redirect discussion, prevent one person dominating or confront disruptive behaviour.</t>
  </si>
  <si>
    <t xml:space="preserve">Can organise and manage collaborative group work efficiently.</t>
  </si>
  <si>
    <t xml:space="preserve">Can monitor individual and group work non-intrusively, intervening to set a group back on task or to ensure even participation.</t>
  </si>
  <si>
    <t xml:space="preserve">Can intervene supportively in order to focus people’s attention on aspects of the task by asking targeted questions and inviting suggestions.</t>
  </si>
  <si>
    <t xml:space="preserve">Can explain the different roles of participants in the collaborative process, giving clear instructions for group work.</t>
  </si>
  <si>
    <t xml:space="preserve">Can explain ground rules of collaborative discussion in small groups that involves problem solving or the evaluation of alternative proposals.</t>
  </si>
  <si>
    <t xml:space="preserve">Can intervene when necessary to set a group back on task with new instructions or to encourage more even participation.</t>
  </si>
  <si>
    <t xml:space="preserve">Can allocate turns in a discussion, inviting a participant to express their views.</t>
  </si>
  <si>
    <t xml:space="preserve">Can give simple, clear instructions to organise an activity.</t>
  </si>
  <si>
    <t xml:space="preserve">Can give very simple instructions to a co-operative group, given some help with formulation when necessary.</t>
  </si>
  <si>
    <t xml:space="preserve">Encouraging conceptual talk</t>
  </si>
  <si>
    <t xml:space="preserve">Can effectively lead the development of ideas in a discussion of complex abstract topics, giving direction by targeting questions and encouraging others to elaborate on their reasoning.</t>
  </si>
  <si>
    <t xml:space="preserve">Can ask a series of open questions that build on different contributions in order to stimulate logical reasoning (e.g. hypothesising, inferring, analysing, justifying and predicting).</t>
  </si>
  <si>
    <t xml:space="preserve">Can encourage members of a group to describe and elaborate on their thinking.</t>
  </si>
  <si>
    <t xml:space="preserve">Can encourage members of a group to build on one another’s information and ideas to come up with a concept or solution.</t>
  </si>
  <si>
    <t xml:space="preserve">Can formulate questions and feedback to encourage people to expand on their thinking and justify or clarify their opinions.</t>
  </si>
  <si>
    <t xml:space="preserve">Can build on people’s ideas and link them into coherent lines of thinking.</t>
  </si>
  <si>
    <t xml:space="preserve">Can ask people to explain how an idea fits with the main topic under discussion.</t>
  </si>
  <si>
    <t xml:space="preserve">Can ask people to elaborate on specific points they made in their initial explanation.</t>
  </si>
  <si>
    <t xml:space="preserve">Can ask appropriate questions to check understanding of concepts that have been explained.</t>
  </si>
  <si>
    <t xml:space="preserve">Can ask questions to invite people to clarify their reasoning.</t>
  </si>
  <si>
    <t xml:space="preserve">Can ask why someone thinks something, or how they think something would work.</t>
  </si>
  <si>
    <t xml:space="preserve">Can ask what somebody thinks of a certain idea.</t>
  </si>
  <si>
    <t xml:space="preserve">Can use simple isolated words/signs and non-verbal signals to show interest in an idea.</t>
  </si>
  <si>
    <t xml:space="preserve">Mediating communication</t>
  </si>
  <si>
    <t xml:space="preserve">Facilitating pluricultural space</t>
  </si>
  <si>
    <t xml:space="preserve">Can mediate effectively and naturally between members of their own and other communities, taking account of sociocultural and sociolinguistic differences.</t>
  </si>
  <si>
    <t xml:space="preserve">Can guide a sensitive discussion effectively, identifying nuances and undercurrents.</t>
  </si>
  <si>
    <t xml:space="preserve">Can act as a mediator in intercultural encounters, contributing to a shared communication culture by managing ambiguity, offering advice and support, and heading off misunderstandings.</t>
  </si>
  <si>
    <t xml:space="preserve">Can anticipate how people might misunderstand what has been said or written and can help maintain positive interaction by commenting on and interpreting different cultural perspectives on the issue concerned.</t>
  </si>
  <si>
    <t xml:space="preserve">Can exploit knowledge of sociocultural conventions in order to establish a consensus on how to proceed in a particular situation that is unfamiliar to everyone involved.</t>
  </si>
  <si>
    <t xml:space="preserve">Can, in intercultural encounters, demonstrate appreciation of perspectives other than that of their own worldview, and express themselves in a way appropriate to the context.</t>
  </si>
  <si>
    <t xml:space="preserve">Can clarify misunderstandings and misinterpretations during intercultural encounters, suggesting how things were actually meant in order to clear the air and move the discussion forward.</t>
  </si>
  <si>
    <t xml:space="preserve">Can encourage a shared communication culture by expressing understanding and appreciation of different ideas, feelings and viewpoints, and inviting participants to contribute and react to each other’s ideas.</t>
  </si>
  <si>
    <t xml:space="preserve">Can work collaboratively with people who have different cultural orientations, discussing similarities and differences in views and perspectives.</t>
  </si>
  <si>
    <t xml:space="preserve">Can, when collaborating with people from other cultures, adapt the way they work in order to create shared procedures.</t>
  </si>
  <si>
    <t xml:space="preserve">Can support communication across cultures by initiating conversation, showing interest and empathy by asking and answering simple questions, and expressing agreement and understanding.</t>
  </si>
  <si>
    <t xml:space="preserve">Can act in a supportive manner in intercultural encounters, recognising the feelings and different worldviews of other members of the group.</t>
  </si>
  <si>
    <t xml:space="preserve">Can support an intercultural exchange using a limited repertoire to introduce people from different cultural backgrounds and to ask and answer questions, showing awareness that some questions may be perceived differently in the cultures concerned.</t>
  </si>
  <si>
    <t xml:space="preserve">Can help develop a shared communication culture, by exchanging information in a simple way about values and attitudes to language and culture.</t>
  </si>
  <si>
    <t xml:space="preserve">Can contribute to an intercultural exchange, using simple words/signs to ask people to explain things and to get clarification of what they say, while exploiting a limited repertoire to express agreement, to invite, to thank, etc.</t>
  </si>
  <si>
    <t xml:space="preserve">Can facilitate an intercultural exchange by showing a welcoming attitude and interest with simple words/signs and non-verbal signals, by inviting others to contribute, and by indicating whether they understand when addressed directly.</t>
  </si>
  <si>
    <t xml:space="preserve">Acting as an intermediary in informal situations (with friends and colleagues)</t>
  </si>
  <si>
    <t xml:space="preserve">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</si>
  <si>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 xml:space="preserve">Can communicate fluently (in Language B) the sense of what is said (in Language A) on a wide range of subjects of personal, academic and professional interest, conveying significant information clearly and concisely as well as explaining cultural references.</t>
  </si>
  <si>
    <t xml:space="preserve">Can mediate (between Language A and Language B) conveying detailed information, drawing the attention of both sides to background information and sociocultural cues, and posing clarification and follow-up questions or statements as necessary.</t>
  </si>
  <si>
    <t xml:space="preserve">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</si>
  <si>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 xml:space="preserve">Can communicate (in Language B) the sense of what is said (in Language A) on subjects within their fields of interest, conveying and when necessary explaining the significance of important statements and viewpoints, provided the interlocutors give clarifications if needed.</t>
  </si>
  <si>
    <t xml:space="preserve">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</si>
  <si>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 xml:space="preserve">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</si>
  <si>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 xml:space="preserve">Can communicate (in Language B) the overall sense of what is said (in Language A) in everyday situations, following basic cultural conventions and conveying the essential information, provided this is articulated clearly and they can ask for repetition and clarification.</t>
  </si>
  <si>
    <t xml:space="preserve">Can communicate (in Language B) the main point of what is said (in Language A) in predictable everyday situations, conveying back and forth information about personal wants and needs, provided other people help with formulation.</t>
  </si>
  <si>
    <t xml:space="preserve">Can communicate (in Language B) other people’s personal details and very simple, predictable information (in Language A), provided other people help with formulation.</t>
  </si>
  <si>
    <t xml:space="preserve">Facilitating communication in delicate situations and disagreements</t>
  </si>
  <si>
    <t xml:space="preserve">Can deal tactfully with a disruptive participant, framing any remarks diplomatically in relation to the situation and cultural perceptions.</t>
  </si>
  <si>
    <t xml:space="preserve">Can confidently take a firm but diplomatic stance over an issue of principle, while showing respect for the viewpoints of others.</t>
  </si>
  <si>
    <t xml:space="preserve">Can demonstrate sensitivity to different viewpoints, using repetition and paraphrase to demonstrate a detailed understanding of each party’s requirements for an agreement.</t>
  </si>
  <si>
    <t xml:space="preserve">Can formulate a diplomatic request to each side in a disagreement to determine what is central to their position, and what they may be willing to give up under certain circumstances.</t>
  </si>
  <si>
    <t xml:space="preserve">Can use persuasive language to suggest that parties in disagreement shift towards a new position.</t>
  </si>
  <si>
    <t xml:space="preserve">Can elicit possible solutions from parties in disagreement in order to help them to reach consensus, formulating open-ended, neutral questions to minimise embarrassment or offence.</t>
  </si>
  <si>
    <t xml:space="preserve">Can help the parties in a disagreement better understand each other by restating and reframing their positions more clearly and by prioritising needs and goals.</t>
  </si>
  <si>
    <t xml:space="preserve">Can formulate a clear and accurate summary of what has been agreed and what is expected from each of the parties.</t>
  </si>
  <si>
    <t xml:space="preserve">Can, by asking questions, identify areas of common ground and invite each side to highlight possible solutions.</t>
  </si>
  <si>
    <t xml:space="preserve">Can outline the main points in a disagreement with reasonable precision and explain the positions of the parties involved.</t>
  </si>
  <si>
    <t xml:space="preserve">Can summarise the statements made by the two sides, highlighting areas of agreement and obstacles to agreement.</t>
  </si>
  <si>
    <t xml:space="preserve">Can ask parties in a disagreement to explain their point of view, and can respond briefly to their explanations, provided the topic is familiar to them and the parties express themselves clearly.</t>
  </si>
  <si>
    <t xml:space="preserve">Can demonstrate their understanding of the key issues in a disagreement on a topic familiar to them and make simple requests for confirmation and/or clarification.</t>
  </si>
  <si>
    <t xml:space="preserve">Can recognise when people disagree or when difficulties occur in interaction and adapt memorised, simple phrases to seek compromise and agreement.</t>
  </si>
  <si>
    <t xml:space="preserve">Can recognise when people disagree or when someone has a problem and can use memorised, simple expressions (e.g. “I understand” or “Are you okay?”) to indicate sympathy.</t>
  </si>
  <si>
    <t xml:space="preserve">Strategies to explain a new concept</t>
  </si>
  <si>
    <t xml:space="preserve">Linking to previous knowledge</t>
  </si>
  <si>
    <t xml:space="preserve">Can introduce complex concepts (e.g. scientific notions) by providing extended definitions and explanations that draw on previous knowledge that can be assumed.</t>
  </si>
  <si>
    <t xml:space="preserve">Can spontaneously pose a series of questions to encourage people to think about their prior knowledge of an abstract issue and to help them establish a link to what is going to be explained.</t>
  </si>
  <si>
    <t xml:space="preserve">Can clearly explain the connections between the goals of the session and the personal or professional interests and experiences of the participant(s).</t>
  </si>
  <si>
    <t xml:space="preserve">Can formulate questions and give feedback to encourage people to make connections to previous knowledge and experiences.</t>
  </si>
  <si>
    <t xml:space="preserve">Can explain a new concept or procedure by comparing and contrasting it to one that people are already familiar with.</t>
  </si>
  <si>
    <t xml:space="preserve">Can explain how something works by providing examples that draw on people’s everyday experiences.</t>
  </si>
  <si>
    <t xml:space="preserve">Can show how new information is related to what people are familiar with by asking simple questions.</t>
  </si>
  <si>
    <t xml:space="preserve">Adapting language</t>
  </si>
  <si>
    <t xml:space="preserve">Can adapt the language of a very wide range of texts in order to present the main content in a register and degree of sophistication and detail appropriate to the audience concerned.</t>
  </si>
  <si>
    <t xml:space="preserve">Can explain technical terminology and difficult concepts when communicating with non-experts about matters within their own field of specialisation.</t>
  </si>
  <si>
    <t xml:space="preserve">Can adapt their language (e.g. syntax, idiomaticity, jargon) in order to make a complex specialist topic accessible to recipients who are not familiar with it.</t>
  </si>
  <si>
    <t xml:space="preserve">Can paraphrase and interpret complex, technical texts, using suitably non-technical language for a recipient who does not have specialist knowledge.</t>
  </si>
  <si>
    <t xml:space="preserve">Can explain technical topics within their field, using suitably non-technical language for a recipient who does not have specialist knowledge.</t>
  </si>
  <si>
    <t xml:space="preserve">Can make a specific, complex piece of information in their field clearer and more explicit for others by paraphrasing it in simpler language.</t>
  </si>
  <si>
    <t xml:space="preserve">Can make accessible for others the main contents of a text on a subject of interest (e.g. an essay, a forum discussion, a presentation) by paraphrasing in simpler language.</t>
  </si>
  <si>
    <t xml:space="preserve">Can paraphrase more simply the main points made in short, straightforward texts on familiar subjects (e.g. short magazine articles, interviews) to make the contents accessible for others.</t>
  </si>
  <si>
    <t xml:space="preserve">Can paraphrase short passages in a simple fashion, using the original order of the text.</t>
  </si>
  <si>
    <t xml:space="preserve">Can repeat the main point of a simple message on an everyday subject, using different formulation to help someone else understand it.</t>
  </si>
  <si>
    <t xml:space="preserve">Breaking down complicated information</t>
  </si>
  <si>
    <t xml:space="preserve">Can facilitate understanding of a complex issue by explaining the relationship of parts to the whole and encourage different ways of approaching it.</t>
  </si>
  <si>
    <t xml:space="preserve">Can facilitate understanding of a complex issue by highlighting and categorising the main points, presenting them in a logically connected pattern, and reinforcing the message by repeating the key aspects in different ways.</t>
  </si>
  <si>
    <t xml:space="preserve">Can make a complicated issue easier to understand by presenting the components of the argument separately.</t>
  </si>
  <si>
    <t xml:space="preserve">Can make a complicated process easier to understand by breaking it down into a series of smaller steps.</t>
  </si>
  <si>
    <t xml:space="preserve">Can make a short instructional or informational text easier to understand by presenting it as a list of separate points.</t>
  </si>
  <si>
    <t xml:space="preserve">Can make a set of instructions easier to understand by repeating them slowly, a few words/signs at a time, employing verbal and non-verbal emphasis to facilitate understanding.</t>
  </si>
  <si>
    <t xml:space="preserve">Strategies to simplify a text</t>
  </si>
  <si>
    <t xml:space="preserve">Amplifying a dense text</t>
  </si>
  <si>
    <t xml:space="preserve">Can elucidate the information given in texts on complex academic or professional topics by elaborating and providing examples.</t>
  </si>
  <si>
    <t xml:space="preserve">Can make complex, challenging content more accessible by explaining difficult aspects more explicitly and adding helpful detail.</t>
  </si>
  <si>
    <t xml:space="preserve">Can make the main points contained in a complex text more accessible to the target audience by adding redundancy, explaining, and modifying style and register.</t>
  </si>
  <si>
    <t xml:space="preserve">Can make the content of a text on a subject in their fields of interest more accessible to a target audience by adding examples, reasoning and explanatory comments.</t>
  </si>
  <si>
    <t xml:space="preserve">Can make concepts on subjects in their fields of interest more accessible by giving concrete examples, recapitulating step by step and repeating the main points.</t>
  </si>
  <si>
    <t xml:space="preserve">Can make new information more accessible by using repetition and adding illustrations.</t>
  </si>
  <si>
    <t xml:space="preserve">Can make an aspect of an everyday topic clearer and more explicit by conveying the main information in another way.</t>
  </si>
  <si>
    <t xml:space="preserve">Can make an aspect of an everyday topic clearer by providing simple examples.</t>
  </si>
  <si>
    <t xml:space="preserve">Streamlining a text</t>
  </si>
  <si>
    <t xml:space="preserve">Can redraft a complex source text, improving coherence, cohesion and the flow of an argument, while removing sections unnecessary for its purpose.</t>
  </si>
  <si>
    <t xml:space="preserve">Can reorganise a complex source text in order to focus on the points of most relevance to the target audience.</t>
  </si>
  <si>
    <t xml:space="preserve">Can simplify a source text by excluding non-relevant or repetitive information and taking into consideration the intended audience.</t>
  </si>
  <si>
    <t xml:space="preserve">Can edit a source text by deleting the parts that do not add new information that is relevant for a given audience in order to make the significant content more accessible for them.</t>
  </si>
  <si>
    <t xml:space="preserve">Can identify related or repeated information in different parts of a text and merge it in order to make the essential message clearer.</t>
  </si>
  <si>
    <t xml:space="preserve">Can identify and mark (e.g. underline, highlight) the essential information in a straightforward, informational text, in order to pass this information on to someone else.</t>
  </si>
  <si>
    <t xml:space="preserve">Can identify and mark (e.g. underline, highlight) the key sentences in a short everyday text.</t>
  </si>
  <si>
    <t xml:space="preserve">Building on pluricultural repertoire</t>
  </si>
  <si>
    <t xml:space="preserve">Can initiate and control their actions and forms of expression according to context, showing awareness of cultural differences and making subtle adjustments in order to prevent and/or repair misunderstandings and cultural incidents.</t>
  </si>
  <si>
    <t xml:space="preserve">Can identify differences in sociolinguistic/-pragmatic conventions, critically reflect on them and adjust their communication accordingly.</t>
  </si>
  <si>
    <t xml:space="preserve">Can sensitively explain the background to and interpret and discuss aspects of cultural values and practices drawing on intercultural encounters, reading, film, etc.</t>
  </si>
  <si>
    <t xml:space="preserve">Can deal with ambiguity in cross-cultural communication and express their reactions constructively and culturally appropriately in order to bring clarity.</t>
  </si>
  <si>
    <t xml:space="preserve">**Can describe and evaluate the viewpoints and practices of their own and other social groups, showing awareness of the implicit values on which judgments and prejudices are frequently based.</t>
  </si>
  <si>
    <t xml:space="preserve">**Can explain their interpretation of the cultural assumptions, preconceptions, stereotypes and prejudices of their own community and of other communities that they are familiar with.</t>
  </si>
  <si>
    <t xml:space="preserve">**Can interpret and explain a document or event from another culture and relate it to documents or events from their own culture(s) and/or from cultures with which they are familiar.</t>
  </si>
  <si>
    <t xml:space="preserve">**Can discuss the objectivity and balance of information and opinions expressed in the media about their own and other communities.</t>
  </si>
  <si>
    <t xml:space="preserve">Can identify and reflect on similarities and differences in culturally determined behavioural patterns (e.g. gestures and speech volume or, for sign languages, sign size) and discuss their significance in order to negotiate mutual understanding.</t>
  </si>
  <si>
    <t xml:space="preserve">Can, in an intercultural encounter, recognise that what one normally takes for granted in a particular situation is not necessarily shared by others, and can react and express themselves appropriately.</t>
  </si>
  <si>
    <t xml:space="preserve">Can generally interpret cultural cues appropriately in the culture concerned.</t>
  </si>
  <si>
    <t xml:space="preserve">Can reflect on and explain particular ways of communicating in their own and other cultures, and the risks of misunderstanding they generate.</t>
  </si>
  <si>
    <t xml:space="preserve">Can generally act according to conventions regarding posture, eye contact and distance from others.</t>
  </si>
  <si>
    <t xml:space="preserve">Can generally respond appropriately to the most commonly used cultural cues.</t>
  </si>
  <si>
    <t xml:space="preserve">Can explain features of their own culture to members of another culture or explain features of the other culture to members of their own culture.</t>
  </si>
  <si>
    <t xml:space="preserve">Can explain in simple terms how their own values and behaviours influence their views of other people’s values and behaviours.</t>
  </si>
  <si>
    <t xml:space="preserve">Can discuss in simple terms the way in which things that may look “strange” to them in another sociocultural context may well be “normal” for the other people concerned.</t>
  </si>
  <si>
    <t xml:space="preserve">Can discuss in simple terms the way their own culturally determined actions may be perceived differently by people from other cultures.</t>
  </si>
  <si>
    <t xml:space="preserve">Can recognise and apply basic cultural conventions associated with everyday social exchanges (e.g. different greetings, rituals).</t>
  </si>
  <si>
    <t xml:space="preserve">Can act appropriately in everyday greetings, farewells and expressions of thanks and apology, although they have difficulty coping with any departure from the routine.</t>
  </si>
  <si>
    <t xml:space="preserve">Can recognise that their behaviour in an everyday transaction may convey a message different from the one they intend, and can try to explain this simply.</t>
  </si>
  <si>
    <t xml:space="preserve">Can recognise when difficulties occur in interaction with members of other cultures, even though they may not be sure how to behave in the situation.</t>
  </si>
  <si>
    <t xml:space="preserve">Can recognise differing ways of numbering, measuring distance, telling the time, etc. even though they may have difficulty applying this in even simple everyday transactions of a concrete type.</t>
  </si>
  <si>
    <t xml:space="preserve">Plurilingual comprehension</t>
  </si>
  <si>
    <t xml:space="preserve">Can use their knowledge of contrasting genre conventions and textual patterns in languages in their plurilingual repertoire in order to support comprehension.</t>
  </si>
  <si>
    <t xml:space="preserve">Can use what they have understood in one language to understand the topic and main message of a text in another language (e.g. when reading short newspaper articles in different languages on the same theme).</t>
  </si>
  <si>
    <t xml:space="preserve">Can use parallel translations of texts (e.g. magazine articles, stories, passages from novels) to develop comprehension in different languages.</t>
  </si>
  <si>
    <t xml:space="preserve">Can deduce the message of a text by exploiting what they have understood from texts on the same theme in different languages (e.g. news in brief, museum brochures, online reviews).</t>
  </si>
  <si>
    <t xml:space="preserve">Can extract information from documents in different languages in their field (e.g. to include in a presentation).</t>
  </si>
  <si>
    <t xml:space="preserve">Can recognise similarities and contrasts between the way concepts are expressed in different languages, in order to distinguish between identical uses of the same word/sign and “false friends”.</t>
  </si>
  <si>
    <t xml:space="preserve">Can use their knowledge of contrasting grammatical structures and functional expressions of languages in their plurilingual repertoire in order to support comprehension.</t>
  </si>
  <si>
    <t xml:space="preserve">Can understand short, clearly articulated announcements by piecing together what they understand from the available versions in different languages.</t>
  </si>
  <si>
    <t xml:space="preserve">Can understand short, clearly expressed messages and instructions by piecing together what they understand from the versions in different languages.</t>
  </si>
  <si>
    <t xml:space="preserve">Can use simple warnings, instructions and product information given in parallel in different languages to find relevant information.</t>
  </si>
  <si>
    <t xml:space="preserve">Can recognise internationalisms and words/signs common to different languages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</si>
  <si>
    <t xml:space="preserve">Building on plurilingual repertoire</t>
  </si>
  <si>
    <t xml:space="preserve">Can interact in a multilingual context on abstract and specialised topics by alternating flexibly between languages in their plurilingual repertoire and if necessary explaining the different contributions made.</t>
  </si>
  <si>
    <t xml:space="preserve">Can explore similarities and differences between metaphors and other figures of speech in the languages in their plurilingual repertoire, either for rhetorical effect or for fun.</t>
  </si>
  <si>
    <t xml:space="preserve">Can alternate between languages flexibly to facilitate communication in a multilingual context, summarising and glossing in different languages in their plurilingual repertoire contributions to the discussion and texts referred to.</t>
  </si>
  <si>
    <t xml:space="preserve">Can participate effectively in a conversation in two or more languages in their plurilingual repertoire, adjusting to the changes of language and catering to the needs and linguistic skills of the interlocutors.</t>
  </si>
  <si>
    <t xml:space="preserve">Can use and explain specialised terminology from another language in their plurilingual repertoire more familiar to the interlocutor(s), in order to improve understanding in a discussion of abstract and specialised topics.</t>
  </si>
  <si>
    <t xml:space="preserve">Can respond spontaneously and flexibly in the appropriate language when someone else changes to another language in their plurilingual repertoire.</t>
  </si>
  <si>
    <t xml:space="preserve">Can support comprehension and discussion of a text spoken, signed or written in one language by explaining, summarising, clarifying and expanding it in another language in their plurilingual repertoire.</t>
  </si>
  <si>
    <t xml:space="preserve">**Can recognise the extent to which it is appropriate to make flexible use of different languages in their plurilingual repertoire in a specific situation, in order to increase the efficiency of communication.</t>
  </si>
  <si>
    <t xml:space="preserve">**Can alternate efficiently between languages in their plurilingual repertoire in order to facilitate comprehension with and between third parties who lack a common language.</t>
  </si>
  <si>
    <t xml:space="preserve">**Can introduce into an utterance an expression from another language in their plurilingual repertoire that is particularly apt for the situation/concept being discussed, explaining it for the interlocutor when necessary.</t>
  </si>
  <si>
    <t xml:space="preserve">Can alternate between languages in their plurilingual repertoire in order to communicate specialised information and issues on a subject in their field of interest to different interlocutors.</t>
  </si>
  <si>
    <t xml:space="preserve">Can make use of different languages in their plurilingual repertoire during collaborative interaction, in order to clarify the nature of a task, the main steps, the decisions to be taken and the outcomes expected.</t>
  </si>
  <si>
    <t xml:space="preserve">Can make use of different languages in their plurilingual repertoire to encourage other people to use the language in which they feel more comfortable</t>
  </si>
  <si>
    <t xml:space="preserve">Can exploit creatively their limited repertoire in different languages in their plurilingual repertoire for everyday contexts, in order to cope with an unexpected situation.</t>
  </si>
  <si>
    <t xml:space="preserve">Can mobilise their limited repertoire in different languages in order to explain a problem or to ask for help or clarification.</t>
  </si>
  <si>
    <t xml:space="preserve">Can use simple words/signs and phrases from different languages in their plurilingual repertoire to conduct a simple, practical transaction or information exchange.</t>
  </si>
  <si>
    <t xml:space="preserve">Can use a simple word/sign from another language in their plurilingual repertoire to make themselves understood in a routine everyday situation, when they cannot think of an adequate expression in the language being used.</t>
  </si>
  <si>
    <t xml:space="preserve">Can use a very limited repertoire in different languages to conduct a very basic, concrete, everyday transaction with a collaborative interlocutor.</t>
  </si>
  <si>
    <t xml:space="preserve">Linguistic competence</t>
  </si>
  <si>
    <t xml:space="preserve">General linguistic range</t>
  </si>
  <si>
    <t xml:space="preserve">Can exploit a comprehensive and reliable mastery of a very wide range of language to formulate thoughts precisely, give emphasis, differentiate and eliminate ambiguity. No signs of having to restrict what they want to say.</t>
  </si>
  <si>
    <t xml:space="preserve">Can use a broad range of complex grammatical structures appropriately and with considerable flexibility.</t>
  </si>
  <si>
    <t xml:space="preserve">Can select an appropriate formulation from a broad range of language to express themselves clearly, without having to restrict what they want to say.</t>
  </si>
  <si>
    <t xml:space="preserve">Can express themselves clearly without much sign of having to restrict what they want to say.</t>
  </si>
  <si>
    <t xml:space="preserve">Has a sufficient range of language to be able to give clear descriptions, express viewpoints and develop arguments without much conspicuous searching for words/signs, using some complex sentence forms to do so.</t>
  </si>
  <si>
    <t xml:space="preserve">Has a sufficient range of language to describe unpredictable situations, explain the main points in an idea or problem with reasonable precision and express thoughts on abstract or cultural topics such as music and film.</t>
  </si>
  <si>
    <t xml:space="preserve">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</si>
  <si>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 xml:space="preserve">Has a repertoire of basic language which enables them to deal with everyday situations with predictable content, though they will generally have to compromise the message and search for words/signs.</t>
  </si>
  <si>
    <t xml:space="preserve">Can produce brief, everyday expressions in order to satisfy simple needs of a concrete type (e.g. personal details, daily routines, wants and needs, requests for information).</t>
  </si>
  <si>
    <t xml:space="preserve">Can use basic sentence patterns and communicate with memorised phrases, groups of a few words/signs and formulae about themselves and other people, what they do, places, possessions, etc.</t>
  </si>
  <si>
    <t xml:space="preserve">Has a limited repertoire of short, memorised phrases covering predictable survival situations; frequent breakdowns and misunderstandings occur in non-routine situations.</t>
  </si>
  <si>
    <t xml:space="preserve">Has a very basic range of simple expressions about personal details and needs of a concrete type.</t>
  </si>
  <si>
    <t xml:space="preserve">Can use some basic structures in one-clause sentences with some omission or reduction of elements.</t>
  </si>
  <si>
    <t xml:space="preserve">Can use isolated words/signs and basic expressions in order to give simple information about themselves.</t>
  </si>
  <si>
    <t xml:space="preserve">Vocabulary range</t>
  </si>
  <si>
    <t xml:space="preserve">Has a good command of a very broad lexical repertoire including idiomatic expressions and colloquialisms; shows awareness of connotative levels of meaning.</t>
  </si>
  <si>
    <t xml:space="preserve">Has a good command of a broad lexical repertoire allowing gaps to be readily overcome with circumlocutions; little obvious searching for expressions or avoidance strategies.</t>
  </si>
  <si>
    <t xml:space="preserve">Can select from several vocabulary options in almost all situations by exploiting synonyms of even words/signs less commonly encountered.</t>
  </si>
  <si>
    <t xml:space="preserve">Has a good command of common idiomatic expressions and colloquialisms; can play with words/signs fairly well.</t>
  </si>
  <si>
    <t xml:space="preserve">Can understand and use appropriately the range of technical vocabulary and idiomatic expressions common to their area of specialisation.</t>
  </si>
  <si>
    <t xml:space="preserve">Can understand and use the main technical terminology of their field, when discussing their area of specialisation with other specialists.</t>
  </si>
  <si>
    <t xml:space="preserve">Has a good range of vocabulary for matters connected to their field and most general topics.</t>
  </si>
  <si>
    <t xml:space="preserve">Can vary formulation to avoid frequent repetition, but lexical gaps can still cause hesitation and circumlocution.</t>
  </si>
  <si>
    <t xml:space="preserve">Can produce appropriate collocations of many words/signs in most contexts fairly systematically.</t>
  </si>
  <si>
    <t xml:space="preserve">Can understand and use much of the specialist vocabulary of their field but has problems with specialist terminology outside it.</t>
  </si>
  <si>
    <t xml:space="preserve">Has a good range of vocabulary related to familiar topics and everyday situations.</t>
  </si>
  <si>
    <t xml:space="preserve">Has sufficient vocabulary to express themselves with some circumlocutions on most topics pertinent to their everyday life such as family, hobbies and interests, work, travel and current events.</t>
  </si>
  <si>
    <t xml:space="preserve">Has sufficient vocabulary to conduct routine everyday transactions involving familiar situations and topics.</t>
  </si>
  <si>
    <t xml:space="preserve">Has sufficient vocabulary for the expression of basic communicative needs.</t>
  </si>
  <si>
    <t xml:space="preserve">Has sufficient vocabulary for coping with simple survival needs.</t>
  </si>
  <si>
    <t xml:space="preserve">Has a basic vocabulary repertoire of words/signs and phrases related to particular concrete situations.</t>
  </si>
  <si>
    <t xml:space="preserve">Grammatical accuracy</t>
  </si>
  <si>
    <t xml:space="preserve">Maintains consistent grammatical control of complex language, even while attention is otherwise engaged (e.g. in forward planning, in monitoring others’ reactions).</t>
  </si>
  <si>
    <t xml:space="preserve">Consistently maintains a high degree of grammatical accuracy; errors are rare and difficult to spot.</t>
  </si>
  <si>
    <t xml:space="preserve">Good grammatical control; occasional “slips” or non-systematic errors and minor flaws in sentence structure may still occur, but they are rare and can often be corrected in retrospect.</t>
  </si>
  <si>
    <t xml:space="preserve">Shows a relatively high degree of grammatical control. Does not make mistakes which lead to misunderstanding.</t>
  </si>
  <si>
    <t xml:space="preserve">Has a good command of simple language structures and some complex grammatical forms, although they tend to use complex structures rigidly with some inaccuracy.</t>
  </si>
  <si>
    <t xml:space="preserve">Communicates with reasonable accuracy in familiar contexts; generally good control, though with noticeable mother-tongue influence. Errors occur, but it is clear what they are trying to express.</t>
  </si>
  <si>
    <t xml:space="preserve">Uses reasonably accurately a repertoire of frequently used “routines” and patterns associated with more predictable situations.</t>
  </si>
  <si>
    <t xml:space="preserve">Uses some simple structures correctly, but still systematically makes basic mistakes; nevertheless, it is usually clear what they are trying to say.</t>
  </si>
  <si>
    <t xml:space="preserve">Shows only limited control of a few simple grammatical structures and sentence patterns in a learnt repertoire.</t>
  </si>
  <si>
    <t xml:space="preserve">Can employ very simple principles of word/sign order in short statements.</t>
  </si>
  <si>
    <t xml:space="preserve">Vocabulary control</t>
  </si>
  <si>
    <t xml:space="preserve">Consistently correct and appropriate use of vocabulary.</t>
  </si>
  <si>
    <t xml:space="preserve">Uses less common vocabulary idiomatically and appropriately.</t>
  </si>
  <si>
    <t xml:space="preserve">Occasional minor slips, but no significant vocabulary errors.</t>
  </si>
  <si>
    <t xml:space="preserve">Lexical accuracy is generally high, though some confusion and incorrect word/sign choice does occur without hindering communication.</t>
  </si>
  <si>
    <t xml:space="preserve">Shows good control of elementary vocabulary but major errors still occur when expressing more complex thoughts or handling unfamiliar topics and situations.</t>
  </si>
  <si>
    <t xml:space="preserve">Uses a wide range of simple vocabulary appropriately when discussing familiar topics.</t>
  </si>
  <si>
    <t xml:space="preserve">Can control a narrow repertoire dealing with concrete, everyday needs.</t>
  </si>
  <si>
    <t xml:space="preserve">Overall phonological control</t>
  </si>
  <si>
    <t xml:space="preserve">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</si>
  <si>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 xml:space="preserve">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</si>
  <si>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 xml:space="preserve">Can generally use appropriate intonation, place stress correctly and articulate individual sounds clearly; accent tends to be influenced by the other language(s) they speak, but has little or no effect on intelligibility.</t>
  </si>
  <si>
    <t xml:space="preserve">Pronunciation is generally intelligible; intonation and stress at both utterance and word levels do not prevent understanding of the message. Accent is usually influenced by the other language(s) they speak. </t>
  </si>
  <si>
    <t xml:space="preserve">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</si>
  <si>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 xml:space="preserve">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</si>
  <si>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</si>
  <si>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 xml:space="preserve">Can articulate virtually all the sounds of the target language with clarity and precision.</t>
  </si>
  <si>
    <t xml:space="preserve">Can articulate virtually all the sounds of the target language with a high degree of control. They can usually self-correct if they noticeably mispronounce a sound.</t>
  </si>
  <si>
    <t xml:space="preserve">Can articulate a high proportion of the sounds in the target language clearly in extended stretches of production; is intelligible throughout, despite a few systematic mispronunciations.</t>
  </si>
  <si>
    <t xml:space="preserve">Can generalise from their repertoire to predict the phonological features of most unfamiliar words (e.g. word stress) with reasonable accuracy (e.g. while reading).</t>
  </si>
  <si>
    <t xml:space="preserve">Is generally intelligible throughout, despite regular mispronunciation of individual sounds and words they are less familiar with.</t>
  </si>
  <si>
    <t xml:space="preserve">Pronunciation is generally intelligible when communicating in simple everyday situations, provided the interlocutor makes an effort to understand specific sounds.</t>
  </si>
  <si>
    <t xml:space="preserve">Systematic mispronunciation of phonemes does not hinder intelligibility, provided the interlocutor makes an effort to recognise and adjust to the influence of the speaker’s language background on pronunciation.</t>
  </si>
  <si>
    <t xml:space="preserve">Can reproduce sounds in the target language if carefully guided.</t>
  </si>
  <si>
    <t xml:space="preserve">Can articulate a limited number of sounds, so that speech is only intelligible if the interlocutor provides support (e.g. by repeating correctly and by eliciting repetition of new sounds).</t>
  </si>
  <si>
    <t xml:space="preserve">Prosodic features </t>
  </si>
  <si>
    <t xml:space="preserve">Can exploit prosodic features (e.g. stress, rhythm and intonation) appropriately and effectively in order to convey finer shades of meaning (e.g. to differentiate and emphasise).</t>
  </si>
  <si>
    <t xml:space="preserve">Can produce smooth, intelligible spoken discourse with only occasional lapses in control of stress, rhythm and/or intonation, which do not affect intelligibility or effectiveness.</t>
  </si>
  <si>
    <t xml:space="preserve">Can vary intonation and place stress correctly in order to express precisely what they mean to say.</t>
  </si>
  <si>
    <t xml:space="preserve">Can employ prosodic features (e.g. stress, intonation, rhythm) to support the message they intend to convey, though with some influence from the other languages they speak.</t>
  </si>
  <si>
    <t xml:space="preserve">Can convey their message in an intelligible way in spite of a strong influence on stress, intonation and/or rhythm from the other language(s) they speak.</t>
  </si>
  <si>
    <t xml:space="preserve">Can use the prosodic features of everyday words and phrases intelligibly, in spite of a strong influence on stress, intonation and/or rhythm from the other language(s) they speak.</t>
  </si>
  <si>
    <t xml:space="preserve">Prosodic features (e.g. word stress) are adequate for familiar everyday words and simple utterances.</t>
  </si>
  <si>
    <t xml:space="preserve">Can use the prosodic features of a limited repertoire of simple words and phrases intelligibly, in spite of a very strong influence on stress, rhythm and/or intonation from the other language(s) they speak; their interlocutor needs to be collaborative.</t>
  </si>
  <si>
    <t xml:space="preserve">Orthographic control</t>
  </si>
  <si>
    <t xml:space="preserve">Writing is orthographically free of error.</t>
  </si>
  <si>
    <t xml:space="preserve">Layout, paragraphing and punctuation are consistent and helpful.</t>
  </si>
  <si>
    <t xml:space="preserve">Spelling is accurate, apart from occasional slips of the pen.</t>
  </si>
  <si>
    <t xml:space="preserve">Can produce clearly intelligible, continuous writing which follows standard layout and paragraphing conventions.</t>
  </si>
  <si>
    <t xml:space="preserve">Spelling and punctuation are reasonably accurate but may show signs of mother-tongue influence.</t>
  </si>
  <si>
    <t xml:space="preserve">Can produce continuous writing which is generally intelligible throughout.</t>
  </si>
  <si>
    <t xml:space="preserve">Spelling, punctuation and layout are accurate enough to be followed most of the time.</t>
  </si>
  <si>
    <t xml:space="preserve">Can copy short sentences on everyday subjects, e.g. directions on how to get somewhere.</t>
  </si>
  <si>
    <t xml:space="preserve">Can write with reasonable phonetic accuracy (but not necessarily fully standard spelling) short words that are in their oral vocabulary.</t>
  </si>
  <si>
    <t xml:space="preserve">Can copy familiar words and short phrases, e.g. simple signs or instructions, names of everyday objects, names of shops, and set phrases used regularly.</t>
  </si>
  <si>
    <t xml:space="preserve">Can spell their address, nationality and other personal details.</t>
  </si>
  <si>
    <t xml:space="preserve">Can use basic punctuation (e.g. full stops, question marks).</t>
  </si>
  <si>
    <t xml:space="preserve">Sociolinguistic competence</t>
  </si>
  <si>
    <t xml:space="preserve">Sociolinguistic appropriateness</t>
  </si>
  <si>
    <t xml:space="preserve">Can mediate effectively and naturally between users of the target language and members of their own community, taking account of sociocultural and sociolinguistic differences.</t>
  </si>
  <si>
    <t xml:space="preserve">Has a good command of idiomatic expressions and colloquialisms with awareness of connotative levels of meaning.</t>
  </si>
  <si>
    <t xml:space="preserve">Appreciates virtually all the sociolinguistic and sociocultural implications of language used by proficient users of the target language and can react accordingly.</t>
  </si>
  <si>
    <t xml:space="preserve">Can effectively employ, both orally and in writing, a wide variety of sophisticated language to command, argue, persuade, dissuade, negotiate and counsel.</t>
  </si>
  <si>
    <t xml:space="preserve">Can recognise a wide range of idiomatic expressions and colloquialisms, appreciating register shifts; may, however, need to confirm occasional details, especially if the accent is unfamiliar.</t>
  </si>
  <si>
    <t xml:space="preserve">Can understand humour, irony and implicit cultural references and pick up nuances of meaning.</t>
  </si>
  <si>
    <t xml:space="preserve">Can adjust their level of formality (register and style) to suit the social context: formal, informal or colloquial as appropriate, and maintain a consistent register.</t>
  </si>
  <si>
    <t xml:space="preserve">Can frame critical remarks or express strong disagreement diplomatically.</t>
  </si>
  <si>
    <t xml:space="preserve">Can with some effort keep up with and contribute to group discussions even when talk is fast and colloquial.</t>
  </si>
  <si>
    <t xml:space="preserve">Can recognise and interpret sociocultural/sociolinguistic cues and consciously modify their linguistic forms of expression in order to express themselves appropriately in the situation.</t>
  </si>
  <si>
    <t xml:space="preserve">Can express themselves confidently, clearly and politely in a formal or informal register, appropriate to the situation and person(s) concerned.</t>
  </si>
  <si>
    <t xml:space="preserve">Can adjust their expression to make some distinction between formal and informal registers but may not always do so appropriately.</t>
  </si>
  <si>
    <t xml:space="preserve">Can sustain relationships with users of the target language without unintentionally amusing or irritating them or requiring them to behave other than they would with another proficient user.</t>
  </si>
  <si>
    <t xml:space="preserve">Can express themselves appropriately in situations and avoid crass errors of formulation.</t>
  </si>
  <si>
    <t xml:space="preserve">Can perform and respond to a wide range of language functions, using their most common exponents in a neutral register.</t>
  </si>
  <si>
    <t xml:space="preserve">Is aware of the salient politeness conventions and acts appropriately.</t>
  </si>
  <si>
    <t xml:space="preserve">Is aware of, and looks out for signs of, the most significant differences between the customs, usages, attitudes, values and beliefs prevalent in the community concerned and those of their own community.</t>
  </si>
  <si>
    <t xml:space="preserve">Can perform and respond to basic language functions, e.g. information exchange and requests, and express opinions and attitudes in a simple way.</t>
  </si>
  <si>
    <t xml:space="preserve">Can socialise simply but effectively using the simplest common expressions and following basic routines.</t>
  </si>
  <si>
    <t xml:space="preserve">Can handle very short social exchanges, using everyday polite forms of greeting and address.</t>
  </si>
  <si>
    <t xml:space="preserve">Can make and respond to invitations, suggestions, apologies, etc.</t>
  </si>
  <si>
    <t xml:space="preserve">Can establish basic social contact by using the simplest everyday polite forms of: greetings and farewells; introductions; saying please, thank you, sorry, etc.</t>
  </si>
  <si>
    <t xml:space="preserve">Pragmatic competence</t>
  </si>
  <si>
    <t xml:space="preserve">Flexibility</t>
  </si>
  <si>
    <t xml:space="preserve">Shows great flexibility in reformulating ideas in differing linguistic forms to give emphasis, differentiate according to the situation, interlocutor, etc. and to eliminate ambiguity.</t>
  </si>
  <si>
    <t xml:space="preserve">Can make a positive impact on an intended audience by effectively varying style of expression and sentence length, use of advanced vocabulary and word order.</t>
  </si>
  <si>
    <t xml:space="preserve">Can modify their expression to express degrees of commitment or hesitation, confidence or uncertainty.</t>
  </si>
  <si>
    <t xml:space="preserve">Can adjust what they say and the means of expressing it to the situation and the recipient and adopt a level of formality appropriate to the circumstances.</t>
  </si>
  <si>
    <t xml:space="preserve">Can adjust to the changes of direction, style and emphasis normally found in conversation.</t>
  </si>
  <si>
    <t xml:space="preserve">Can vary formulation of what they want to say.</t>
  </si>
  <si>
    <t xml:space="preserve">Can reformulate an idea to emphasise or explain a point.</t>
  </si>
  <si>
    <t xml:space="preserve">Can adapt their expression to deal with less routine, even difficult, situations.</t>
  </si>
  <si>
    <t xml:space="preserve">Can exploit a wide range of simple language flexibly to express much of what they want.</t>
  </si>
  <si>
    <t xml:space="preserve">Can adapt well-rehearsed, memorised, simple phrases to particular circumstances through limited lexical substitution.</t>
  </si>
  <si>
    <t xml:space="preserve">Can expand learnt phrases through simple recombinations of their elements.</t>
  </si>
  <si>
    <t xml:space="preserve">Can initiate, maintain and close simple face-to-face conversation on topics that are familiar or of personal interest.</t>
  </si>
  <si>
    <t xml:space="preserve">Can use simple techniques to start, maintain or close a short conversation.</t>
  </si>
  <si>
    <t xml:space="preserve">Thematic development</t>
  </si>
  <si>
    <t xml:space="preserve">Can use the conventions of the type of text concerned with sufficient flexibility to communicate complex ideas in an effective way, holding the target reader’s attention with ease and fulfilling all communicative purposes.</t>
  </si>
  <si>
    <t xml:space="preserve">Can use the conventions of the type of text concerned to hold the target reader’s attention and communicate complex ideas.</t>
  </si>
  <si>
    <t xml:space="preserve">Can give elaborate descriptions and narratives, integrating sub-themes, developing particular points and rounding off with an appropriate conclusion.</t>
  </si>
  <si>
    <t xml:space="preserve">Can write a suitable introduction and conclusion to a long, complex text.</t>
  </si>
  <si>
    <t xml:space="preserve">Can expand and support the main points at some length with subsidiary points, reasons and relevant examples.</t>
  </si>
  <si>
    <t xml:space="preserve">Can present and respond to complex lines of argument convincingly.</t>
  </si>
  <si>
    <t xml:space="preserve">Can follow the conventional structure of the communicative task concerned when communicating their ideas.</t>
  </si>
  <si>
    <t xml:space="preserve">Can develop a clear description or narrative, expanding and supporting their main points with relevant supporting detail and examples.</t>
  </si>
  <si>
    <t xml:space="preserve">Can evaluate the advantages and disadvantages of various options.</t>
  </si>
  <si>
    <t xml:space="preserve">Can clearly signal the difference between fact and opinion.</t>
  </si>
  <si>
    <t xml:space="preserve">Shows awareness of the conventional structure of the text type concerned when communicating their ideas.</t>
  </si>
  <si>
    <t xml:space="preserve">Can give an example of something in a very simple text using “like” or “for example”.</t>
  </si>
  <si>
    <t xml:space="preserve">Coherence and cohesion</t>
  </si>
  <si>
    <t xml:space="preserve">Can create coherent and cohesive text making full and appropriate use of a variety of organisational patterns and a wide range of cohesive devices.</t>
  </si>
  <si>
    <t xml:space="preserve">Can produce clear, smoothly flowing, well-structured language, showing controlled use of organisational patterns, connectors and cohesive devices.</t>
  </si>
  <si>
    <t xml:space="preserve">Can produce well-organised, coherent text, using a variety of cohesive devices and organisational patterns.</t>
  </si>
  <si>
    <t xml:space="preserve">Can use a variety of linking expressions efficiently to mark clearly the relationships between ideas.</t>
  </si>
  <si>
    <t xml:space="preserve">Can use a limited number of cohesive devices to link their utterances into clear, coherent discourse, though there may be some “jumpiness” in a long contribution.</t>
  </si>
  <si>
    <t xml:space="preserve">Can produce text that is generally well-organised and coherent, using a range of linking expressions and cohesive devices.</t>
  </si>
  <si>
    <t xml:space="preserve">Can structure longer texts in clear, logical paragraphs.</t>
  </si>
  <si>
    <t xml:space="preserve">Can introduce a counter-argument in a simple discursive text (e.g. with “however”).</t>
  </si>
  <si>
    <t xml:space="preserve">Can link a series of shorter, discrete simple elements into a connected, linear sequence of points.</t>
  </si>
  <si>
    <t xml:space="preserve">Can form longer sentences and link them together using a limited number of cohesive devices, e.g. in a story.</t>
  </si>
  <si>
    <t xml:space="preserve">Can make simple, logical paragraph breaks in a longer text.</t>
  </si>
  <si>
    <t xml:space="preserve">Can use the most frequently occurring connectors to link simple sentences in order to tell a story or describe something as a simple list of points.</t>
  </si>
  <si>
    <t xml:space="preserve">Can link groups of words/signs with simple connectors (e.g. “and”, “but” and “because”).</t>
  </si>
  <si>
    <t xml:space="preserve">Can link words/signs or groups of words/signs with very basic linear connectors (e.g. “and” or “then”).</t>
  </si>
  <si>
    <t xml:space="preserve">Propositional precision</t>
  </si>
  <si>
    <t xml:space="preserve">Can convey finer shades of meaning precisely by using, with reasonable accuracy, a wide range of qualifying devices (e.g. adverbs expressing degree, clauses expressing limitations).</t>
  </si>
  <si>
    <t xml:space="preserve">Can give emphasis, differentiate and eliminate ambiguity.</t>
  </si>
  <si>
    <t xml:space="preserve">Can qualify opinions and statements precisely in relation to degrees of, for example, certainty/uncertainty, belief/doubt, likelihood, etc.</t>
  </si>
  <si>
    <t xml:space="preserve">Can make effective use of linguistic modality to signal the strength of a claim, an argument or a position.</t>
  </si>
  <si>
    <t xml:space="preserve">Can communicate the essential points even in more demanding situations, though their language lacks expressive power and idiomaticity.</t>
  </si>
  <si>
    <t xml:space="preserve">Can convey simple, straightforward information of immediate relevance, getting across the point they feel is most important.</t>
  </si>
  <si>
    <t xml:space="preserve">Can express the main point they want to make comprehensibly.</t>
  </si>
  <si>
    <t xml:space="preserve">Can communicate what they want to say in a simple and direct exchange of limited information on familiar and routine matters, but in other situations they generally have to compromise the message.</t>
  </si>
  <si>
    <t xml:space="preserve">Can communicate basic information about personal details and needs of a concrete type in a simple way.</t>
  </si>
  <si>
    <t xml:space="preserve">Can communicate very basic information about personal details in a simple way.</t>
  </si>
  <si>
    <t xml:space="preserve">Fluency</t>
  </si>
  <si>
    <t xml:space="preserve">Can express themselves at length with a natural, effortless, unhesitating flow. Pauses only to reflect on precisely the right means to express their thoughts or to find an appropriate example or explanation.</t>
  </si>
  <si>
    <t xml:space="preserve">Can express themselves fluently and spontaneously, almost effortlessly. Only a conceptually difficult subject can hinder a natural, smooth flow of language.</t>
  </si>
  <si>
    <t xml:space="preserve">Can communicate spontaneously, often showing remarkable fluency and ease of expression in even longer complex stretches of language.</t>
  </si>
  <si>
    <t xml:space="preserve">Can produce stretches of language with a fairly even tempo; although they can be hesitant as they search for patterns and expressions, there are few noticeably long pauses.</t>
  </si>
  <si>
    <t xml:space="preserve">Can interact with a degree of fluency and spontaneity that makes regular interaction with users of the target language quite possible without imposing strain on either party.</t>
  </si>
  <si>
    <t xml:space="preserve">Can express themselves with relative ease. Despite some problems with formulation resulting in pauses and “cul-de-sacs”, they are able to keep going effectively without help.</t>
  </si>
  <si>
    <t xml:space="preserve">Can keep going comprehensibly, even though pausing for grammatical and lexical planning and repair is very evident, especially in longer stretches of free production.</t>
  </si>
  <si>
    <t xml:space="preserve">Can make themselves understood in short contributions, even though pauses, false starts and reformulation are very evident.</t>
  </si>
  <si>
    <t xml:space="preserve">Can construct phrases on familiar topics with sufficient ease to handle short exchanges, despite very noticeable hesitation and false starts.</t>
  </si>
  <si>
    <t xml:space="preserve">Can manage very short, isolated, mainly pre-packaged utterances, with much pausing to search for expressions, to articulate less familiar words/signs, and to repair communication.</t>
  </si>
  <si>
    <t xml:space="preserve">Can manage very short, isolated, rehearsed utterances using gesture and signalled requests for help when necessary.</t>
  </si>
  <si>
    <t xml:space="preserve">Sign language repertoire</t>
  </si>
  <si>
    <t xml:space="preserve">Can understand abstract concepts, e.g., from the field of science, and assign them to the appropriate context.</t>
  </si>
  <si>
    <t xml:space="preserve">Can understand creative or newly coined descriptions of phenomena (e.g. a UFO).</t>
  </si>
  <si>
    <t xml:space="preserve">Can understand challenging texts on a range of topics and explain what they are about.</t>
  </si>
  <si>
    <t xml:space="preserve">Can understand the meaning of mouthings in context.</t>
  </si>
  <si>
    <t xml:space="preserve">Can understand technical texts in their own field and make use of the information, ideas or opinions in them.</t>
  </si>
  <si>
    <t xml:space="preserve">Can understand specific, precise instructions, wishes, recommendations, etc.</t>
  </si>
  <si>
    <t xml:space="preserve">Can understand and correctly attribute signed names for commonly known persons and institutions.</t>
  </si>
  <si>
    <t xml:space="preserve">Can differentiate nuances of meaning that are expressed with specific handshapes.</t>
  </si>
  <si>
    <t xml:space="preserve">Can understand idioms (and signs particular to the local community).</t>
  </si>
  <si>
    <t xml:space="preserve">Can understand what is meant when the signer paraphrases without producing the sign for the concept concerned.</t>
  </si>
  <si>
    <t xml:space="preserve">Can understand a large number of signs employed in everyday situations.</t>
  </si>
  <si>
    <t xml:space="preserve">Can deduce the meaning of individual unknown signs through the context of a sentence.</t>
  </si>
  <si>
    <t xml:space="preserve">Can extract the relevant information from a short text provided it is presented in a simple and structured way.</t>
  </si>
  <si>
    <t xml:space="preserve">Can distinguish between signs that appear similar.</t>
  </si>
  <si>
    <t xml:space="preserve">Can deduce the nature of an object from non-manual cues and depictive signs.</t>
  </si>
  <si>
    <t xml:space="preserve">Can make indirect inferences about the features of the characters in a story from a signer’s facial expressions.</t>
  </si>
  <si>
    <t xml:space="preserve">Can selectively extract information from a signed text, e.g., details of the time, individuals involved, places or appointments and indications as to how or why.</t>
  </si>
  <si>
    <t xml:space="preserve">Can understand productively expressed actions and processes.</t>
  </si>
  <si>
    <t xml:space="preserve">Can infer the chronological sequence of events from non-manual cues (close vs. remote events in terms of time).</t>
  </si>
  <si>
    <t xml:space="preserve">Can understand what kind of creature is meant when the signer imitates people or animals.</t>
  </si>
  <si>
    <t xml:space="preserve">Can understand content that a person expresses only by means of productive signs.</t>
  </si>
  <si>
    <t xml:space="preserve">Can understand the terms for common technical devices designed for deaf people’s use.</t>
  </si>
  <si>
    <t xml:space="preserve">Can understand the meaning of modal verbs (e.g., can = &lt;ability&gt;, must = &lt;command&gt;, want = &lt;wish&gt;).</t>
  </si>
  <si>
    <t xml:space="preserve">Can extract specific information from everyday texts (e.g., numbers, names, places, persons).</t>
  </si>
  <si>
    <t xml:space="preserve">Can understand signing when the signer provides images to visualise the content.</t>
  </si>
  <si>
    <t xml:space="preserve">Can identify details in an extensive description of a person/object, such as body shape, hairstyle, or occupation.</t>
  </si>
  <si>
    <t xml:space="preserve">Can understand non-manual information on the proximity or distance of a place or object.</t>
  </si>
  <si>
    <t xml:space="preserve">Can recognise and correctly interpret meaning expressed non-manually.</t>
  </si>
  <si>
    <t xml:space="preserve">Can recognise and understand the codified backchannelling signs of an interlocutor.</t>
  </si>
  <si>
    <t xml:space="preserve">Can understand simple reports of what the signer did.</t>
  </si>
  <si>
    <t xml:space="preserve">Can understand simple instructions, wishes, recommendations, etc.</t>
  </si>
  <si>
    <t xml:space="preserve">Can understand direct commands (e.g., “open the door”).</t>
  </si>
  <si>
    <t xml:space="preserve">Can understand quantities expressed non-manually.</t>
  </si>
  <si>
    <t xml:space="preserve">Can understand descriptions of clothes (pattern, colour).</t>
  </si>
  <si>
    <t xml:space="preserve">Can understand information on proportions, quantities, and size ratios.</t>
  </si>
  <si>
    <t xml:space="preserve">Can distinguish between signs that only differ according to the shape of the mouth.</t>
  </si>
  <si>
    <t xml:space="preserve">Can understand signs even if they are modified manually.</t>
  </si>
  <si>
    <t xml:space="preserve">Can understand the contribution to meaning from the shape of the mouth, e.g., puffed up or contracted cheeks.</t>
  </si>
  <si>
    <t xml:space="preserve">Can infer the shape of objects that are described from non-manual signals.</t>
  </si>
  <si>
    <t xml:space="preserve">Can understand simple negation with &lt;no&gt;, &lt;not&gt;, or a shake of the head.</t>
  </si>
  <si>
    <t xml:space="preserve">Can understand expressions via fingerspelling if they do not understand the lexical signs.</t>
  </si>
  <si>
    <t xml:space="preserve">Can recognise and understand facial feedback from the interlocutor (agreement/rejection).</t>
  </si>
  <si>
    <t xml:space="preserve">Can express themselves in abstract, poetic signing.</t>
  </si>
  <si>
    <t xml:space="preserve">Can formulate abstract expressions and concepts, e.g. in the academic and scientific domain.</t>
  </si>
  <si>
    <t xml:space="preserve">Can produce with one hand a productive or lexical sign (e.g. a depicting or lexical verb like “search for”), while simultaneously using the other hand as part of a constructed action (e.g. scratching their head in different places as if searching for something).</t>
  </si>
  <si>
    <t xml:space="preserve">Can present a complex action or event in a linguistically aesthetic way, e.g. by employing handshapes as a means of playful expression.</t>
  </si>
  <si>
    <t xml:space="preserve">Can express actions, objects and relations between these by using suitable classifier constructions (one- and two-handed) in varying ways with ease.</t>
  </si>
  <si>
    <t xml:space="preserve">Can employ the appropriate productive sign (e.g. a classifier) in order to highlight a particular meaning.</t>
  </si>
  <si>
    <t xml:space="preserve">Can sign comprehensibly using just one hand (the dominant hand).</t>
  </si>
  <si>
    <t xml:space="preserve">Can use a sentence to specify the precisely intended meaning of a vague term (e.g. specify “murder” through use of depiction).</t>
  </si>
  <si>
    <t xml:space="preserve">Can provide very broad coverage of a topic, taking account of the different aspects involved.</t>
  </si>
  <si>
    <t xml:space="preserve">Can switch between direct and indirect speech.</t>
  </si>
  <si>
    <t xml:space="preserve">Can sign comprehensibly and precisely on a complex subject.</t>
  </si>
  <si>
    <t xml:space="preserve">Can adapt the signing style to the content and/or object being described.</t>
  </si>
  <si>
    <t xml:space="preserve">Can present a simple productive action through depiction and constructed action.</t>
  </si>
  <si>
    <t xml:space="preserve">Can use a differentiated choice of signs that corresponds to the type of text concerned.</t>
  </si>
  <si>
    <t xml:space="preserve">Can employ constructed action (actions are imitated one-to-one).</t>
  </si>
  <si>
    <t xml:space="preserve">Can always express their own opinion, even when the positions taken and opinions expressed by others are being presented.</t>
  </si>
  <si>
    <t xml:space="preserve">Can express the same content in different language.</t>
  </si>
  <si>
    <t xml:space="preserve">Can alternate between productive and lexical signing.</t>
  </si>
  <si>
    <t xml:space="preserve">Can communicate information using the productive lexicon only.</t>
  </si>
  <si>
    <t xml:space="preserve">Can paraphrase lexical elements by using productive elements, e.g. by using depicting signs and other classifier constructions.</t>
  </si>
  <si>
    <t xml:space="preserve">Can fingerspell quickly and accurately.</t>
  </si>
  <si>
    <t xml:space="preserve">Can, in order to facilitate understanding, make a relevant comparison with other things or images or circumstances that the recipient already knows (e.g. “A porcupine looks like a big hedgehog”).</t>
  </si>
  <si>
    <t xml:space="preserve">Can employ different productive signs (e.g. handshapes indicating handling) when describing an action or event.</t>
  </si>
  <si>
    <t xml:space="preserve">Can employ mouthings in a differentiated manner that is appropriate to context.</t>
  </si>
  <si>
    <t xml:space="preserve">Can employ different means (e.g. non-manuals including facial expression, handshape, hand orientation, movement) in order to describe the size and shape of an object.</t>
  </si>
  <si>
    <t xml:space="preserve">Can present personal characteristics just with mouthings and constructed action.</t>
  </si>
  <si>
    <t xml:space="preserve">Can describe important characteristics of a person or object with the appropriate handshapes.</t>
  </si>
  <si>
    <t xml:space="preserve">Can modify productive signing appropriately to the context.</t>
  </si>
  <si>
    <t xml:space="preserve">Can make part of their contribution by using constructed action to present individual, simple actions.</t>
  </si>
  <si>
    <t xml:space="preserve">Can express the character and qualities of a person or protagonist by using constructed action.</t>
  </si>
  <si>
    <t xml:space="preserve">Can present actions or events through productive signing.</t>
  </si>
  <si>
    <t xml:space="preserve">Can vary the scale of their signing (larger, smaller) dependent on the situation.</t>
  </si>
  <si>
    <t xml:space="preserve">Can give a comprehensive description of a person, including facial expression, skin colour, make up, hairstyle and profession.</t>
  </si>
  <si>
    <t xml:space="preserve">Can employ appropriate productive lexicon elements for reference, e.g. to animals, instead of lexical signs.</t>
  </si>
  <si>
    <t xml:space="preserve">Can use mouthings precisely to express specific contents.</t>
  </si>
  <si>
    <t xml:space="preserve">Can use a range of signs.</t>
  </si>
  <si>
    <t xml:space="preserve">Can present different aspects of a plot or storyline (e.g. duration, as in “work through the night”).</t>
  </si>
  <si>
    <t xml:space="preserve">Can employ examples in order to illustrate something.</t>
  </si>
  <si>
    <t xml:space="preserve">Can indicate clearly the difference between two things.</t>
  </si>
  <si>
    <t xml:space="preserve">Can relay information in a short and minimal, yet intelligible way.</t>
  </si>
  <si>
    <t xml:space="preserve">Can, with preparation, use the right names and terminology related to the topic concerned.</t>
  </si>
  <si>
    <t xml:space="preserve">Can describe a person in terms of their characteristic features.</t>
  </si>
  <si>
    <t xml:space="preserve">Can express their own opinion.</t>
  </si>
  <si>
    <t xml:space="preserve">Can present visually simple information like actions and relationships (e.g. in the family).</t>
  </si>
  <si>
    <t xml:space="preserve">Can sign a direct demand.</t>
  </si>
  <si>
    <t xml:space="preserve">Can express an amount/quantity through non-manual cues.</t>
  </si>
  <si>
    <t xml:space="preserve">Can express proximity and distance by using appropriate non-manual cues.</t>
  </si>
  <si>
    <t xml:space="preserve">Can describe the design, colour and texture of clothes.</t>
  </si>
  <si>
    <t xml:space="preserve">Can produce correct mouthings and employ them to differentiate between otherwise identical signs.</t>
  </si>
  <si>
    <t xml:space="preserve">Can spell names and technical expressions, among other things, using fingerspelling.</t>
  </si>
  <si>
    <t xml:space="preserve">Can describe physical shape (height, width, length).</t>
  </si>
  <si>
    <t xml:space="preserve">Can sign direct requests.</t>
  </si>
  <si>
    <t xml:space="preserve">Can sign conventional greetings and leave-taking expressions.</t>
  </si>
  <si>
    <t xml:space="preserve">Can describe a person through facial expressions, hair and physical characteristics or through things the person often wears.</t>
  </si>
  <si>
    <t xml:space="preserve">Can produce clear and unambiguous handshapes.</t>
  </si>
  <si>
    <t xml:space="preserve">Can produce the lexical signs for months, days of the week and times of the day.</t>
  </si>
  <si>
    <t xml:space="preserve">Can state their opinion (agree, disagree).</t>
  </si>
  <si>
    <t xml:space="preserve">Diagramatical accuracy</t>
  </si>
  <si>
    <t xml:space="preserve">No descriptors available; see B2+</t>
  </si>
  <si>
    <t xml:space="preserve">Can distinguish the various temporal relationships between the actions and events (simultaneous events, previous event, subsequent event).</t>
  </si>
  <si>
    <t xml:space="preserve">Can distinguish between whether an action involves several people (objects) or many actions involve one person (subject).</t>
  </si>
  <si>
    <t xml:space="preserve">Can distinguish between direct and indirect speech in signed texts.</t>
  </si>
  <si>
    <t xml:space="preserve">Can understand statements that contain predicates that take no agent, e.g., “the water is flowing now”.</t>
  </si>
  <si>
    <t xml:space="preserve">Can recognise rhetorical questions even if linguistically expressed in a very economical way, e.g., by raising the eyebrows.</t>
  </si>
  <si>
    <t xml:space="preserve">Can assign classifiers to the correct reference object (e.g., animals) through the context.</t>
  </si>
  <si>
    <t xml:space="preserve">Can understand aspectual modulations (e.g., staggering, fast, creeping or rolling movements).</t>
  </si>
  <si>
    <t xml:space="preserve">Can distinguish on the basis of grammatical signals between statements about real and imaginary events.</t>
  </si>
  <si>
    <t xml:space="preserve">Can keep apart the characters and their actions even in longer texts.</t>
  </si>
  <si>
    <t xml:space="preserve">Can recognise sentences as units and indicate how many sentences a short text contains.</t>
  </si>
  <si>
    <t xml:space="preserve">Can understand verbal aspect (e.g., completion, repetition, continuation, result of actions).</t>
  </si>
  <si>
    <t xml:space="preserve">Can infer the time, duration or sequence of an event from the timelines employed.</t>
  </si>
  <si>
    <t xml:space="preserve">Can understand modified lexical signs.</t>
  </si>
  <si>
    <t xml:space="preserve">Can correctly interpret events in a timeline (past, present or future).</t>
  </si>
  <si>
    <t xml:space="preserve">Can understand statements indicating intentions (aims, &lt;in order to …&gt;).</t>
  </si>
  <si>
    <t xml:space="preserve">Can use non-manual signals to distinguish for example, wh-questions from yes/no questions, or assertions from yes/no questions.</t>
  </si>
  <si>
    <t xml:space="preserve">Can correctly interpret indexical reference to persons, provided they have been properly introduced and situated.</t>
  </si>
  <si>
    <t xml:space="preserve">Can identify various strategies for expressing the comparative and superlative of adjectives and understand their meaning (e.g., through changes in the size or speed of the sign or through the correct use of classifiers).</t>
  </si>
  <si>
    <t xml:space="preserve">Can recognise and understand condition and consequence in if-then sentences.</t>
  </si>
  <si>
    <t xml:space="preserve">Can understand clause linkages that express &lt;even if&gt;/&lt;nevertheless&gt; relations.</t>
  </si>
  <si>
    <t xml:space="preserve">Can understand conditional sentences, i.e. under what conditions (&lt;if&gt;) a consequence (&lt;then&gt;) occurs.</t>
  </si>
  <si>
    <t xml:space="preserve">Can understand how sameness &lt;same-as&gt; and difference &lt;different-from&gt; are expressed.</t>
  </si>
  <si>
    <t xml:space="preserve">Can understand differences in meaning that indicate whether actions are carried out by one person or several people, e.g., a person goes v. many people go.</t>
  </si>
  <si>
    <t xml:space="preserve">Can identify different types of sentence and their meaning through the word order (statements, questions, orders).</t>
  </si>
  <si>
    <t xml:space="preserve">Can correctly interpret classifier constructions in simple sentences, provided they are clearly signed.</t>
  </si>
  <si>
    <t xml:space="preserve">Can correctly interpret verb agreement.</t>
  </si>
  <si>
    <t xml:space="preserve">Can understand the meaning of basic causal relations (e.g., “I’m late because I got stuck in the traffic”).</t>
  </si>
  <si>
    <t xml:space="preserve">Can recognise and understand modified handshapes.</t>
  </si>
  <si>
    <t xml:space="preserve">Can understand indirect messages (questions, requests, wishes, rejection, etc.).</t>
  </si>
  <si>
    <t xml:space="preserve">Can distinguish between and understand different ways of expressing negation.</t>
  </si>
  <si>
    <t xml:space="preserve">Can understand an utterance as a direct request, question or order and respond accordingly.</t>
  </si>
  <si>
    <t xml:space="preserve">Can understand the forms and sizes of objects (e.g., the form of a pyramid) and identify the objects.</t>
  </si>
  <si>
    <t xml:space="preserve">Can understand different plural forms with simple signs (e.g., plural by means of numbers or by repetition).</t>
  </si>
  <si>
    <t xml:space="preserve">Can understand lists and sequences (&lt;and&gt;/&lt;both-and&gt;/&lt;and then&gt; meanings).</t>
  </si>
  <si>
    <t xml:space="preserve">Can understand productively expressed time indicators (&lt;day-before-yesterday&gt;, &lt;3-years-ago&gt;, etc.), when the time references are clearly indicated.</t>
  </si>
  <si>
    <t xml:space="preserve">Can understand from descriptions of manipulated objects how a signer sets/lays them down or places them.</t>
  </si>
  <si>
    <t xml:space="preserve">Can situate the different contents/actions in the text sensibly in the signing space in order to structure the text.</t>
  </si>
  <si>
    <t xml:space="preserve">Can maintain full consistency in the reference using indexing, productive signs, in short texts.</t>
  </si>
  <si>
    <t xml:space="preserve">Can use the signing space in a conscious manner, e.g. using the right side for &lt;for&gt; and the left side for &lt;against&gt; reasons.</t>
  </si>
  <si>
    <t xml:space="preserve">Can use a large or a small signing space, dependent on the situation.</t>
  </si>
  <si>
    <t xml:space="preserve">Can link productive signing with indicators of time (timelines).</t>
  </si>
  <si>
    <t xml:space="preserve">Can employ appropriate timelines in order to indicate the point in time or the duration of an event (for temporal relations: simultaneously, beforehand/afterwards, after another).</t>
  </si>
  <si>
    <t xml:space="preserve">Can express how one does something; &lt;with X&gt;; &lt;without Y&gt;.</t>
  </si>
  <si>
    <t xml:space="preserve">Can express different temporal relationships (for example, three relationships: simultaneously; before and after; one after another).</t>
  </si>
  <si>
    <t xml:space="preserve">Can employ upper body posture when indicating time reference, e.g. lean forward for future.</t>
  </si>
  <si>
    <t xml:space="preserve">Can exploit an appropriate timeline in order to place past, present and future events in the correct relationship to each other.</t>
  </si>
  <si>
    <t xml:space="preserve">Can exploit variation in the sign order of subject, verb, object in a sentence in order to highlight something (e.g. SVO, SOV, OSV).</t>
  </si>
  <si>
    <t xml:space="preserve">Can express rhetorical questions in an economical manner, e.g. using just the eyebrows.</t>
  </si>
  <si>
    <t xml:space="preserve">Can express why one does something (aim:&lt; in order to …&gt;).</t>
  </si>
  <si>
    <t xml:space="preserve">Can link two phrases to yield the meaning relation of &lt;although&gt; and &lt;despite&gt;.</t>
  </si>
  <si>
    <t xml:space="preserve">Can indicate a rhetorical question correctly by leaving a slight pause between the question and the answer.</t>
  </si>
  <si>
    <t xml:space="preserve">Can establish relationships in the signing space and later reuse these.</t>
  </si>
  <si>
    <t xml:space="preserve">Can focus on one point on a timeline and/or use temporal adverbials in order to locate an event correctly in past, present or future time.</t>
  </si>
  <si>
    <t xml:space="preserve">Can make comparisons using adjectives, including superlative forms, e.g. through use of productive signs, changing size, or speed of hand movement.</t>
  </si>
  <si>
    <t xml:space="preserve">Can situate objects/people in the signing space by indexing and later referencing them with pronouns.</t>
  </si>
  <si>
    <t xml:space="preserve">Can correctly direct eye gaze in the signing space in order to refer to previously introduced objects or people.</t>
  </si>
  <si>
    <t xml:space="preserve">Can correctly use different sentence types (statements, questions, imperatives).</t>
  </si>
  <si>
    <t xml:space="preserve">Can mark questions appropriately, using non-manual markers relevant (e.g. upper body posture plus mimic, eyebrows).</t>
  </si>
  <si>
    <t xml:space="preserve">Can employ the relevant non-manual elements for the description of a shape.</t>
  </si>
  <si>
    <t xml:space="preserve">Can employ constructed action in order to convey meaning.</t>
  </si>
  <si>
    <t xml:space="preserve">Can incorporate number marking into a sign (e.g. to indicate number of persons moving, number of days).</t>
  </si>
  <si>
    <t xml:space="preserve">Can present a simple temporal sequence by using the signing space.</t>
  </si>
  <si>
    <t xml:space="preserve">Can support referencing to events in a passage of time with non-manual features (e.g. to distinguish events that are close in time as opposed to events that are distant in time).</t>
  </si>
  <si>
    <t xml:space="preserve">Can express cause and effect (reason for something).</t>
  </si>
  <si>
    <t xml:space="preserve">Can express the conditions under which one does certain things (&lt;if … then&gt;).</t>
  </si>
  <si>
    <t xml:space="preserve">Can mark verb agreement consistently, maintaining concordance.</t>
  </si>
  <si>
    <t xml:space="preserve">Can express a non-causal sequence (e.g. &lt;and then …&gt;, &lt;and so …&gt;, &lt;next …&gt;, &lt;after that …&gt;).</t>
  </si>
  <si>
    <t xml:space="preserve">Can describe the environment (e.g. landscape) with depicting signs).</t>
  </si>
  <si>
    <t xml:space="preserve">Can use canonical space effectively to place focus on important elements.</t>
  </si>
  <si>
    <t xml:space="preserve">Can produce accurate handshapes not only in isolated signs but also in sentences.</t>
  </si>
  <si>
    <t xml:space="preserve">Can use &lt;if … then&gt; sentences.</t>
  </si>
  <si>
    <t xml:space="preserve">Can express lists and sequences &lt;and...,... plus.&gt;).</t>
  </si>
  <si>
    <t xml:space="preserve">Can employ productive signs correctly in simple sentences.</t>
  </si>
  <si>
    <t xml:space="preserve">Can use personal pronouns correctly.</t>
  </si>
  <si>
    <t xml:space="preserve">Can construct simple sentences with SVO and SOV patterns.</t>
  </si>
  <si>
    <t xml:space="preserve">Can represent the thickness of an object by using productive signs.</t>
  </si>
  <si>
    <t xml:space="preserve">Can construct a simple sentence using lexical signs.</t>
  </si>
  <si>
    <t xml:space="preserve">Can form plurals through use of repetition or by marking a number.</t>
  </si>
  <si>
    <t xml:space="preserve">Sociolinguistic appropriateness and cultural repertoire</t>
  </si>
  <si>
    <t xml:space="preserve">Can recognise sociocultural conventions in unfamiliar texts (e.g., appropriate register, polite forms, social status, taboo subjects).</t>
  </si>
  <si>
    <t xml:space="preserve">Can recognise when the signer gives the characters in a story their own linguistic profile and can describe these profiles.</t>
  </si>
  <si>
    <t xml:space="preserve">Can recognise the linguistic register chosen by the signer on the basis of the signs used.</t>
  </si>
  <si>
    <t xml:space="preserve">Can recognise when a signer switches from an informal to a formal register or vice versa.</t>
  </si>
  <si>
    <t xml:space="preserve">Can judge whether the register employed maintains a distance appropriate to the text.</t>
  </si>
  <si>
    <t xml:space="preserve">Can infer the social relationship between interlocutors (proximity, hierarchy, etc.) from their remarks.</t>
  </si>
  <si>
    <t xml:space="preserve">Can indicate a person’s social status when they have seen how others address that person (by interpreting the manual signing).</t>
  </si>
  <si>
    <t xml:space="preserve">Can understand discreet references to persons present when the signer, for example, employs a smaller signing space or holds a hand in front of the index finger so that it is not apparent to whom the finger is pointing.</t>
  </si>
  <si>
    <t xml:space="preserve">Can deduce from a person’s linguistic register their probable background (origin, age, occupation).</t>
  </si>
  <si>
    <t xml:space="preserve">Can recognise whether the register of a text is appropriate for the target audience.</t>
  </si>
  <si>
    <t xml:space="preserve">Can recognise whether a text contains all information necessary to enable a target audience with the relevant prior knowledge to understand it.</t>
  </si>
  <si>
    <t xml:space="preserve">Can recognise a person or character’s social status on the basis of manual and non-manual references in the text.</t>
  </si>
  <si>
    <t xml:space="preserve">Can understand the abbreviations commonly used in the deaf community.</t>
  </si>
  <si>
    <t xml:space="preserve">Can attribute a text to a target audience on the basis of the size of a sign, e.g., big/formal or small/intimate setting.</t>
  </si>
  <si>
    <t xml:space="preserve">Can assign the text to a formal or informal context on the basis of manual or non-manual features in the introduction to the text.</t>
  </si>
  <si>
    <t xml:space="preserve">Can judge whether a person introduces themselves to other deaf people in a culturally appropriate way.</t>
  </si>
  <si>
    <t xml:space="preserve">Can recognise and understand cultural references in texts.</t>
  </si>
  <si>
    <t xml:space="preserve">Can draw on indirect references to important events, persons and institutions in their own country in order to understand a text.</t>
  </si>
  <si>
    <t xml:space="preserve">Can understand and follow explanations on the origin of culture-specific signs, such as names of well-known people, institutions or places.</t>
  </si>
  <si>
    <t xml:space="preserve">Can judge whether or not a greeting/leave-taking remark is appropriate for the type of text concerned.</t>
  </si>
  <si>
    <t xml:space="preserve">Can recognise on the basis of the sign-language address pronouns whether strangers are addressing them appropriately.</t>
  </si>
  <si>
    <t xml:space="preserve">Can recognise when someone wishes to be given the floor (e.g., raising a hand, tapping a person's arm).</t>
  </si>
  <si>
    <t xml:space="preserve">Can recognise differences in register that the signer expresses manually and non-manually.</t>
  </si>
  <si>
    <t xml:space="preserve">Can recognise whether the interlocutor responds appropriately to a &lt;thank you&gt; etc..</t>
  </si>
  <si>
    <t xml:space="preserve">Can maintain appropriate eye contact with a signer in a dialogue.</t>
  </si>
  <si>
    <t xml:space="preserve">Can respect sociocultural norms in producing texts (e.g. appropriate register, forms of politeness, status, taboos).</t>
  </si>
  <si>
    <t xml:space="preserve">Can adapt their register to the audience concerned.</t>
  </si>
  <si>
    <t xml:space="preserve">Can switch between formal and informal registers without effort.</t>
  </si>
  <si>
    <t xml:space="preserve">Can express non-lexical difference of register through both manual and non-manual means.</t>
  </si>
  <si>
    <t xml:space="preserve">Can tell a joke that relates to deaf experiences.</t>
  </si>
  <si>
    <t xml:space="preserve">Can gauge whether the public concerned is familiar with deafness and can explain things explicitly if necessary.</t>
  </si>
  <si>
    <t xml:space="preserve">Can produce lexicalised signs of different registers.</t>
  </si>
  <si>
    <t xml:space="preserve">Can explain facts and events that are important in deaf communities.</t>
  </si>
  <si>
    <t xml:space="preserve">Can adopt the appropriate formal register in order to maintain distance from the reported issue.</t>
  </si>
  <si>
    <t xml:space="preserve">Can indicate someone’s social status through the articulation of signs in the signing space (e.g. use of a higher locus in signing space to indicate a higher status than the signer’s).</t>
  </si>
  <si>
    <t xml:space="preserve">Can, as appropriate, engage in greeting/leave-taking remark, according to the type of text and the public concerned.</t>
  </si>
  <si>
    <t xml:space="preserve">Can present themselves in a manner appropriate to the type of text and the public concerned (e.g. clothes, accessories, personal appearance).[1]</t>
  </si>
  <si>
    <t xml:space="preserve">Can sensitise people to cultural issues.</t>
  </si>
  <si>
    <t xml:space="preserve">Can, in the course of describing travel, include cultural experiences and aspects typical of the country concerned.</t>
  </si>
  <si>
    <t xml:space="preserve">Can introduce themselves to deaf people appropriately.</t>
  </si>
  <si>
    <t xml:space="preserve">Can use their knowledge of the target sign language culture to explain the origin of certain culturally determined signs (e.g. the names of well-known people, institutions and place names).</t>
  </si>
  <si>
    <t xml:space="preserve">Can indicate someone’s social status with non-manual means (e.g. direction of vision).</t>
  </si>
  <si>
    <t xml:space="preserve">Can use the sign-abbreviations that are conventional in relation to sign language communities.</t>
  </si>
  <si>
    <t xml:space="preserve">Can maintain eye contact with their interlocutor while signing.</t>
  </si>
  <si>
    <t xml:space="preserve">Can accept or decline a direct request or demand.</t>
  </si>
  <si>
    <t xml:space="preserve">Is familiar with the common technical aids for communication between deaf and hearing people and can name them.</t>
  </si>
  <si>
    <t xml:space="preserve">Can use an appropriate means of address when meeting an unknown deaf person.</t>
  </si>
  <si>
    <t xml:space="preserve">Can adapt the signing space used to the context and the audience.</t>
  </si>
  <si>
    <t xml:space="preserve">Can take into account aspects of the immediate environment that are important for signed communication (e.g. light, objects on the table).</t>
  </si>
  <si>
    <t xml:space="preserve">Can greet a deaf person appropriately.</t>
  </si>
  <si>
    <t xml:space="preserve">Can employ different strategies in order to establish the eye contact necessary for communication (e.g. waving, tapping a person on the shoulder, arm or hand, tapping on the table, turning off and on lighting).</t>
  </si>
  <si>
    <t xml:space="preserve">Can attract attention in order to acquire the turn (e.g. by raising a hand or waving to gain eye contact, by tapping the interlocutor on the shoulder).</t>
  </si>
  <si>
    <t xml:space="preserve">Can maintain direct eye contact with their interlocutor.</t>
  </si>
  <si>
    <t xml:space="preserve">Can use fingerspelling as an aid when communication problems occur.</t>
  </si>
  <si>
    <t xml:space="preserve">Can give their interlocutor visual feedback through conventionalised phrases and mouthings.</t>
  </si>
  <si>
    <t xml:space="preserve">Can give their interlocutor visual feedback (positive and negative) using facial expressions and other non-manual elements (e.g. head nod or shake).</t>
  </si>
  <si>
    <t xml:space="preserve">Can respond appropriately in conventionalised interactions, e.g. replying with a formulaic &lt;welcome&gt; / &lt;never mind&gt; / &lt;all well …&gt; / &lt;thank you&gt;.</t>
  </si>
  <si>
    <t xml:space="preserve">Sign text structure</t>
  </si>
  <si>
    <t xml:space="preserve">Can understand logical, causal, temporal or semantic relationships in order to link parts of a signed text to one another.</t>
  </si>
  <si>
    <t xml:space="preserve">Can distinguish various kinds of evaluative texts from one another (e.g., a controvert text with arguments for and against, justification of an argument, or a philosophical text).</t>
  </si>
  <si>
    <t xml:space="preserve">Can identify and understand complex hierarchical structures (e.g. in politics and organisations).</t>
  </si>
  <si>
    <t xml:space="preserve">Can identify missing parts of complex texts or unfamiliar types of texts and infer missing content.</t>
  </si>
  <si>
    <t xml:space="preserve">Can reproduce the content of a lengthy signed text with various details.</t>
  </si>
  <si>
    <t xml:space="preserve">Can, after watching a signed text, explain relationships in detail.</t>
  </si>
  <si>
    <t xml:space="preserve">Can recognise various means of structuring signed texts and correctly interpret their function in the textual context (e.g., rhetorical questions, enumeration, body turns).</t>
  </si>
  <si>
    <t xml:space="preserve">Can use their own knowledge of types of text to formulate expectations regarding the content and structure of a text and assess its quality accordingly.</t>
  </si>
  <si>
    <t xml:space="preserve">Can distinguish the separate elements of an argument (assertion, reasons, examples, conclusions) in a signed text.</t>
  </si>
  <si>
    <t xml:space="preserve">Can predict what is coming next from the order in which elements appear in an utterance, and the emphasis that they receive.</t>
  </si>
  <si>
    <t xml:space="preserve">Can recognise the recurrent, central theme in enacted texts.</t>
  </si>
  <si>
    <t xml:space="preserve">Can recognise, on the basis of the location of an argument in the signing space, to what opinion the argument belongs.</t>
  </si>
  <si>
    <t xml:space="preserve">Can identify structural elements of texts and use their functions to understand the text as a whole.</t>
  </si>
  <si>
    <t xml:space="preserve">Can identify gaps in familiar types of text and fill these coherently by deduction or query.</t>
  </si>
  <si>
    <t xml:space="preserve">Can recognise whether or not the signer is answering the key questions in a text.</t>
  </si>
  <si>
    <t xml:space="preserve">Can understand well the content of a clearly structured, lengthy signed text.</t>
  </si>
  <si>
    <t xml:space="preserve">Can grasp the recurrent, central theme in a text and follow it without difficulty.</t>
  </si>
  <si>
    <t xml:space="preserve">Can recognise in a signed text the transitions between the introduction, the main text and the conclusions.</t>
  </si>
  <si>
    <t xml:space="preserve">Can assess whether the introduction and the conclusion of a text fit together.</t>
  </si>
  <si>
    <t xml:space="preserve">Can recognise a change of topics in a signed text.</t>
  </si>
  <si>
    <t xml:space="preserve">Can recognise the importance of a statement that is at the centre of the signing space.</t>
  </si>
  <si>
    <t xml:space="preserve">Can understand references to previously provided information.</t>
  </si>
  <si>
    <t xml:space="preserve">Can identify connections and relationships between content if these are explicitly referred to in the signed text.</t>
  </si>
  <si>
    <t xml:space="preserve">Can understand the development of a highly structured signed text.</t>
  </si>
  <si>
    <t xml:space="preserve">Can recognise means of spatial structuring and use them for understanding a signed text.</t>
  </si>
  <si>
    <t xml:space="preserve">Can deduce the content of a short text from the context even if local cohesive devices are lacking.</t>
  </si>
  <si>
    <t xml:space="preserve">Can recognise simple ways of structuring in a signed text (e.g., a subject and comments on it).</t>
  </si>
  <si>
    <t xml:space="preserve">Can find the main points in short everyday texts.</t>
  </si>
  <si>
    <t xml:space="preserve">Can identify and understand simple hierarchical structures (e.g., families, work) by using buoys in signing space.</t>
  </si>
  <si>
    <t xml:space="preserve">Can understand simple time sequences expressed through the signing space.</t>
  </si>
  <si>
    <t xml:space="preserve">Can infer the intention/objective of a signed text from the introduction.</t>
  </si>
  <si>
    <t xml:space="preserve">Can grasp the individual points in an enumeration.</t>
  </si>
  <si>
    <t xml:space="preserve">Can recognise the end of a signed contribution by e.g., the clasped hands.</t>
  </si>
  <si>
    <t xml:space="preserve">Can mention in passing several other places and people, without losing their thread.</t>
  </si>
  <si>
    <t xml:space="preserve">Can systematically justify their opinions, for example logically, morally and pragmatically.</t>
  </si>
  <si>
    <t xml:space="preserve">Can effortlessly use stylistic and rhetoric means to effectively develop their contribution.</t>
  </si>
  <si>
    <t xml:space="preserve">Can develop a convincing, logical argument (thesis, justification, exemplification, conclusion).</t>
  </si>
  <si>
    <t xml:space="preserve">Can emphasise certain aspects of a complex topic.</t>
  </si>
  <si>
    <t xml:space="preserve">Can structure complex content in a sensible way.</t>
  </si>
  <si>
    <t xml:space="preserve">Can employ different types of argumentative texts (e.g. an explanatory text outlining arguments for and against something, or a text giving detailed background and exploring an issue in depth).</t>
  </si>
  <si>
    <t xml:space="preserve">Can treat a very wide range of topics, introducing and concluding each one appropriately.</t>
  </si>
  <si>
    <t xml:space="preserve">Can effortlessly employ manual and non-manual, lexical and productive cohesive devices to structure the text.</t>
  </si>
  <si>
    <t xml:space="preserve">Can adapt the linguistic cohesive devices employed appropriately to the internal structure of the text.</t>
  </si>
  <si>
    <t xml:space="preserve">Can construct the message of a text from general statements to specific details.</t>
  </si>
  <si>
    <t xml:space="preserve">Can formulate an appropriate introduction and conclusion for a text.</t>
  </si>
  <si>
    <t xml:space="preserve">Can, while concluding, establish a thematic reference back to the introduction.</t>
  </si>
  <si>
    <t xml:space="preserve">Can organise and formulate content following guiding principles.</t>
  </si>
  <si>
    <t xml:space="preserve">Can provide recipients who are not present with all the necessary information about the context, so that they can follow what is said.</t>
  </si>
  <si>
    <t xml:space="preserve">Can group different pieces of information thematically.</t>
  </si>
  <si>
    <t xml:space="preserve">Can present with images the way an event/organisation is structured.</t>
  </si>
  <si>
    <t xml:space="preserve">Can use pauses to structure a text (e.g. pausing between different arguments).</t>
  </si>
  <si>
    <t xml:space="preserve">Can structure content into categories/topics, situate these in the signing space, and then refer to them through indexing.</t>
  </si>
  <si>
    <t xml:space="preserve">Can structure the text logically, maintaining a clear development.</t>
  </si>
  <si>
    <t xml:space="preserve">Can deliver all of the contents and components that are expected for the type of text concerned.</t>
  </si>
  <si>
    <t xml:space="preserve">Can employ a metalanguage, e.g. to orientate the reader by explaining explicitly in the text the order in which they are doing things.</t>
  </si>
  <si>
    <t xml:space="preserve">Can create appropriate transitions and links between the different sections of the text.</t>
  </si>
  <si>
    <t xml:space="preserve">Can highlight the most important aspects of a topic.</t>
  </si>
  <si>
    <t xml:space="preserve">Can employ principles that govern moving from general ideas to presenting details.</t>
  </si>
  <si>
    <t xml:space="preserve">Can employ rules that concern going from the general to details.</t>
  </si>
  <si>
    <t xml:space="preserve">Can indicate temporal relationships between different things related in a report.</t>
  </si>
  <si>
    <t xml:space="preserve">Can briefly explain a term in the course of a text, when and if this is necessary.</t>
  </si>
  <si>
    <t xml:space="preserve">Can structure text content into an introduction, main section and conclusion.</t>
  </si>
  <si>
    <t xml:space="preserve">Can present content in a sensible order.</t>
  </si>
  <si>
    <t xml:space="preserve">Can structure a text into a number of thematic sections.</t>
  </si>
  <si>
    <t xml:space="preserve">Can present clearly the relationships between things by making explicit reference to them.</t>
  </si>
  <si>
    <t xml:space="preserve">Can point out relevant and interesting details briefly and concisely.</t>
  </si>
  <si>
    <t xml:space="preserve">Can refer explicitly to what has been said earlier.</t>
  </si>
  <si>
    <t xml:space="preserve">Can compare the opinions of others and take a position in relation to them.</t>
  </si>
  <si>
    <t xml:space="preserve">Can relate their own experience to something in the text.</t>
  </si>
  <si>
    <t xml:space="preserve">Can formulate the aim and objective of a text in the introduction.</t>
  </si>
  <si>
    <t xml:space="preserve">Can sequence the successive elements of a text in logical order.</t>
  </si>
  <si>
    <t xml:space="preserve">Can introduce a topic appropriately, then provide the relevant content.</t>
  </si>
  <si>
    <t xml:space="preserve">Can indicate the most important aspects of a topic in the hierarchical order of their importance.</t>
  </si>
  <si>
    <t xml:space="preserve">Can employ simple strategies to structure information (e.g. adding comments on the topic).</t>
  </si>
  <si>
    <t xml:space="preserve">Can use the sign &lt;palm-up&gt; to mark the end of a particular discourse contribution.</t>
  </si>
  <si>
    <t xml:space="preserve">Can summarise in a text the most important statements in reply to “when”, “where”, “who”, “what”, “how” and “why” questions.</t>
  </si>
  <si>
    <t xml:space="preserve">Can give reasons for their opinions.</t>
  </si>
  <si>
    <t xml:space="preserve">Can conclude their contribution correctly (hands together).</t>
  </si>
  <si>
    <t xml:space="preserve">Can introduce a topic adequately.</t>
  </si>
  <si>
    <t xml:space="preserve">Can differentiate the different points in a list.</t>
  </si>
  <si>
    <t xml:space="preserve">Can formulate simple for-and-against arguments in the form of questions.</t>
  </si>
  <si>
    <t xml:space="preserve">Can produce a summary on simple topics.</t>
  </si>
  <si>
    <t xml:space="preserve">Can, at the beginning of a text, give the details necessary to frame the description, providing answers to the key “what”, “where” and “who” questions.</t>
  </si>
  <si>
    <t xml:space="preserve">Setting and perspectives</t>
  </si>
  <si>
    <t xml:space="preserve">Can follow a constructed dialogue between several characters without difficulty even if the marking of role changes is reduced e.g., to the direction of vision.</t>
  </si>
  <si>
    <t xml:space="preserve">Can follow changes of scene, locations or persons during an action.</t>
  </si>
  <si>
    <t xml:space="preserve">Can easily follow several changes of perspective and role.</t>
  </si>
  <si>
    <t xml:space="preserve">Can memorise spatial settings established in signing space (e.g., landscape, family, situation) and follow references within the settings without difficulty.</t>
  </si>
  <si>
    <t xml:space="preserve">Can fully grasp a setting established in the signing space (e.g., landscape, family relations, situation), even if it is only indicated by depicting verbs.</t>
  </si>
  <si>
    <t xml:space="preserve">Can recognise when the signer is establishing a new scene for reference (a setting) in signing space.</t>
  </si>
  <si>
    <t xml:space="preserve">Can distinguish between various perspectives (observer/narrator), provided they are clearly marked.</t>
  </si>
  <si>
    <t xml:space="preserve">Can recognise what the signer says from their own perspective and what they say from another person’s perspective.</t>
  </si>
  <si>
    <t xml:space="preserve">Can, in their interpretation of the text, take account of the perspective of a participant in the action (e.g., that the character does not see everything).</t>
  </si>
  <si>
    <t xml:space="preserve">Can understand a narrative with several characters when the changes of roles are clearly and slowly marked (e.g., by the position of the upper body and eye gaze).</t>
  </si>
  <si>
    <t xml:space="preserve">Can grasp the spatial references in signing space and use these for comprehension.</t>
  </si>
  <si>
    <t xml:space="preserve">Can recognise what the signer says themselves and what they say from the perspective of another person.</t>
  </si>
  <si>
    <t xml:space="preserve">Can correctly identify objects and persons that have already been introduced on the basis of the direction of the signer’s gaze.</t>
  </si>
  <si>
    <t xml:space="preserve">Can use location markings established at the beginning of the text and understand subsequent references to it, provided these are clearly indicated.</t>
  </si>
  <si>
    <t xml:space="preserve">Can identify and remember relative positions of persons/objects and their spatial relationships with one another.</t>
  </si>
  <si>
    <t xml:space="preserve">Can, in spatial descriptions, understand where and how objects are located.</t>
  </si>
  <si>
    <t xml:space="preserve">Can imagine the surroundings, such as the landscape or room furnishings, from descriptions of shapes.</t>
  </si>
  <si>
    <t xml:space="preserve">Can, by means of subsequent indexical references, once again identify objects and persons previously situated in the signing space.</t>
  </si>
  <si>
    <t xml:space="preserve">Can understand simple constructed action where the signer takes another person’s role.</t>
  </si>
  <si>
    <t xml:space="preserve">No descriptors available </t>
  </si>
  <si>
    <t xml:space="preserve">Can present a complex action or event by playing different roles and adopting different perspectives.</t>
  </si>
  <si>
    <t xml:space="preserve">Can switch between different perspectives.</t>
  </si>
  <si>
    <t xml:space="preserve">Can create a complex 3-D image including objects in motion.</t>
  </si>
  <si>
    <t xml:space="preserve">Can use the signing space correctly while presenting an interaction between more than two people (e.g. family dinner).</t>
  </si>
  <si>
    <t xml:space="preserve">Can correctly introduce and effect a role shift.</t>
  </si>
  <si>
    <t xml:space="preserve">Can present a simple action or event from the perspective of a participant.</t>
  </si>
  <si>
    <t xml:space="preserve">Can present a simple action or event from the perspective of an observer/narrator.</t>
  </si>
  <si>
    <t xml:space="preserve">Can linguistically correctly construct a new setting when the text requires a new topic or situation to be addressed.</t>
  </si>
  <si>
    <t xml:space="preserve">Can introduce a setting using just constructed action and depiction.</t>
  </si>
  <si>
    <t xml:space="preserve">Can present a change of scene, place or person comprehensibly.</t>
  </si>
  <si>
    <t xml:space="preserve">Can depict the role of a character, e.g. to demonstrate feelings.</t>
  </si>
  <si>
    <t xml:space="preserve">Can depict a change of character perspective with body posture and/or the direction of vision.</t>
  </si>
  <si>
    <t xml:space="preserve">Can construct a setting in the signing space for a text (e.g. landscape, family, situation) in a linguistically correct manner.</t>
  </si>
  <si>
    <t xml:space="preserve">Can describe correctly the relative positions of entities with respect to each other.</t>
  </si>
  <si>
    <t xml:space="preserve">Can demonstrate a change of character perspective through an alteration in upper body posture.</t>
  </si>
  <si>
    <t xml:space="preserve">Can represent the relative proportions and inter-relationships of e.g. a landscape in signing space.</t>
  </si>
  <si>
    <t xml:space="preserve">Can envisage and describe ideas spatially.</t>
  </si>
  <si>
    <t xml:space="preserve">Can develop a statement that maps ideas from near to far, and from small to big.</t>
  </si>
  <si>
    <t xml:space="preserve">Can create a clear image in the signing space.</t>
  </si>
  <si>
    <t xml:space="preserve">Can employ facial expressions appropriate to a character in a narrative.</t>
  </si>
  <si>
    <t xml:space="preserve">Can refer to characters in a narrative by using depiction.</t>
  </si>
  <si>
    <t xml:space="preserve">Can use body posture to indicate different opinions in relation to an issue (e.g. by contrasting arguments for and against by a posture oriented to the right and to the left respectively).</t>
  </si>
  <si>
    <t xml:space="preserve">Can adopt a facial expression appropriate to the character, person or object being described.</t>
  </si>
  <si>
    <t xml:space="preserve">Can describe a person by using constructed action.</t>
  </si>
  <si>
    <t xml:space="preserve">Can consistently maintain the relative sizes and proportions of objects (e.g. when peeling a banana).</t>
  </si>
  <si>
    <t xml:space="preserve">Language awareness and interpretation</t>
  </si>
  <si>
    <t xml:space="preserve">Can work out the main points of emphasis in sophisticated texts.</t>
  </si>
  <si>
    <t xml:space="preserve">Can understand aesthetic signing in the context of use, even if they are not familiar with it.</t>
  </si>
  <si>
    <t xml:space="preserve">Can interpret abstract poetic signs.</t>
  </si>
  <si>
    <t xml:space="preserve">Can recognise rhetorical and stylistic devices in a signed text and understand their functions (e.g., repetition, rhyme, metaphor, irony).</t>
  </si>
  <si>
    <t xml:space="preserve">Can understand signing in which the signer combines different stylistic devices simultaneously (e.g., non-dominant hand indicates a context, whereas dominant hand indicates an action from a different perspective, either being combined with non-manual expressions).</t>
  </si>
  <si>
    <t xml:space="preserve">Can recognise a variation in the word order and describe its rhetorical effect (e.g., emphasis).</t>
  </si>
  <si>
    <t xml:space="preserve">Can recognise when a signer employs the sustained hold of a sign as a prosodic or rhetorical device.</t>
  </si>
  <si>
    <t xml:space="preserve">Can extract key information on an unfamiliar subject from a lengthy signed text.</t>
  </si>
  <si>
    <t xml:space="preserve">Can decide whether or not a statement made about a text takes account of an implied meaning.</t>
  </si>
  <si>
    <t xml:space="preserve">Can correctly interpret metalinguistic references within a signed text.</t>
  </si>
  <si>
    <t xml:space="preserve">Can grasp unknown concepts by exploiting analogies explained in a text</t>
  </si>
  <si>
    <t xml:space="preserve">Can distinguish between the use of body posture as a means of structuring the text (e.g., to separate arguments for and against) or as a grammatical device (e.g., for relative clauses).</t>
  </si>
  <si>
    <t xml:space="preserve">Can understand complicated emotional states that the signer expresses non-manually and by constructed action.</t>
  </si>
  <si>
    <t xml:space="preserve">Can identify and outline content which is expressed in creative images.</t>
  </si>
  <si>
    <t xml:space="preserve">Can explain creative language games in which the signer uses, e.g. the handshape, as an aesthetic element.</t>
  </si>
  <si>
    <t xml:space="preserve">Can understand conveyed information that is implied, but not explicitly stated in a text (e.g., he went skiing, and I’ll visit him in hospital).</t>
  </si>
  <si>
    <t xml:space="preserve">Can follow the main points of a text even when the signer also makes digressions.</t>
  </si>
  <si>
    <t xml:space="preserve">Can recognise whether a signer is delivering a complex text in a relaxed or a tense way.</t>
  </si>
  <si>
    <t xml:space="preserve">Can recognise whether the signer produces a text in a specific rhythm and describe the effect of various rhythms.</t>
  </si>
  <si>
    <t xml:space="preserve">Can give reasons why the signer inserts pauses in a text, e.g., because they make sense as a structural element or because the signer has to reflect.</t>
  </si>
  <si>
    <t xml:space="preserve">Can understand who has what opinion and how these opinions relate to each other.</t>
  </si>
  <si>
    <t xml:space="preserve">Can recognise when a signer’s personal experiences influence the argumentation and when they do not.</t>
  </si>
  <si>
    <t xml:space="preserve">Can determine whether the signing style used is in keeping with the content.</t>
  </si>
  <si>
    <t xml:space="preserve">Can decide on the basis of the interlocutor’s signs and non-manual cues how certain the signer is about what they are saying (e.g., &lt;undecided&gt; / &lt;uncertain&gt; / &lt;probable&gt;).</t>
  </si>
  <si>
    <t xml:space="preserve">Can distinguish productive signs with classifier constructions from imitative, iconic signs.</t>
  </si>
  <si>
    <t xml:space="preserve">Can follow the signs made by an interlocutor even when less use is made of non-manual means.</t>
  </si>
  <si>
    <t xml:space="preserve">Can describe the effect that the sign speed of a text has on them.</t>
  </si>
  <si>
    <t xml:space="preserve">Can judge whether a person presents themselves in a way that is in keeping with the context and the type of text concerned (clothing, aura, well-groomed appearance).</t>
  </si>
  <si>
    <t xml:space="preserve">Can deduce the meaning of unfamiliar signs using comparisons and analogies.</t>
  </si>
  <si>
    <t xml:space="preserve">Can understand the sequence of events from the sequence of statements made.</t>
  </si>
  <si>
    <t xml:space="preserve">Can understand simple “for” and “against” arguments on a particular issue.</t>
  </si>
  <si>
    <t xml:space="preserve">Can understand what advantages and disadvantages a text mentions on a subject.</t>
  </si>
  <si>
    <t xml:space="preserve">Can understand the key aspects of conclusions.</t>
  </si>
  <si>
    <t xml:space="preserve">Can recognise and correctly interpret important elements on the basis of non-manual components used for emphasis (e.g., facial expression, size of movement).</t>
  </si>
  <si>
    <t xml:space="preserve">Can infer from the classifiers used what general term is being talked about (e.g., “murder” from the handling of a murder weapon).</t>
  </si>
  <si>
    <t xml:space="preserve">Can distinguish between important and unimportant content in a text.</t>
  </si>
  <si>
    <t xml:space="preserve">Can infer the temporal aspect from the movements of the upper body.</t>
  </si>
  <si>
    <t xml:space="preserve">Can understand a text so well that they are emotionally affected.</t>
  </si>
  <si>
    <t xml:space="preserve">Can recognise the non-manual elements employed by a signer to produce tension in the text.</t>
  </si>
  <si>
    <t xml:space="preserve">Can correctly interpret the &lt;palm-up&gt; sign (e.g., to indicate a pause).</t>
  </si>
  <si>
    <t xml:space="preserve">Can recognise and understand non-manual markers.</t>
  </si>
  <si>
    <t xml:space="preserve">Can understand explanations so that they can implement instructions.</t>
  </si>
  <si>
    <t xml:space="preserve">Can understand an introduction to a subject and reproduce it in their own words.</t>
  </si>
  <si>
    <t xml:space="preserve">Can grasp the signer’s opinion on a subject.</t>
  </si>
  <si>
    <t xml:space="preserve">Can relate explanations and examples to one another.</t>
  </si>
  <si>
    <t xml:space="preserve">Can interpret emotions when the signer communicates these by means of facial expressions.</t>
  </si>
  <si>
    <t xml:space="preserve">Can recognise whether or not they are addressed as the recipient.</t>
  </si>
  <si>
    <t xml:space="preserve">Can understand the main points of signed texts on everyday topics</t>
  </si>
  <si>
    <t xml:space="preserve">Can grasp and indicate the differences between things.</t>
  </si>
  <si>
    <t xml:space="preserve">Can identify identical references even if these are expressed in different linguistic ways, e.g., by a lexical sign or by constructed action.</t>
  </si>
  <si>
    <t xml:space="preserve">Can recognise unfamiliar signs in the continuous flow and ask what they mean.</t>
  </si>
  <si>
    <t xml:space="preserve">Can distinguish between positive and negative attitudes on the basis of non-manual cues (e.g., eyebrows together v. high eyebrows).</t>
  </si>
  <si>
    <t xml:space="preserve">Can understand the direct acceptance or rejection of requests/demands.</t>
  </si>
  <si>
    <t xml:space="preserve">Presence and effect</t>
  </si>
  <si>
    <t xml:space="preserve">Can be creative, without losing their train of thought.</t>
  </si>
  <si>
    <t xml:space="preserve">Can use a wide range of different ways to build up suspense and excitement (e.g. constructed action, rhetorical questions, varying rhythm).</t>
  </si>
  <si>
    <t xml:space="preserve">Can effortlessly and playfully employ handshapes as an aesthetic element, so that creative forms of language emerge.</t>
  </si>
  <si>
    <t xml:space="preserve">Can present thoughts and feelings in an artistic way by using a selection of signs and depiction, as appropriate.</t>
  </si>
  <si>
    <t xml:space="preserve">Can prepare well, so that while signing they do not need to think about content.</t>
  </si>
  <si>
    <t xml:space="preserve">Appears calm and relaxed when signing, even when a high degree of concentration is required.</t>
  </si>
  <si>
    <t xml:space="preserve">Can give the characters in a story their own individual linguistic profile (style, tone, register, etc.).</t>
  </si>
  <si>
    <t xml:space="preserve">Can use language to develop a narrative in such a way that the recipient can become immersed in what is happening in the story.</t>
  </si>
  <si>
    <t xml:space="preserve">Can alter the pace of signing (from slow to fast) in order to build up suspense.</t>
  </si>
  <si>
    <t xml:space="preserve">Can cause the recipients to be carried away by enthusiasm.</t>
  </si>
  <si>
    <t xml:space="preserve">Can employ exaggeration appropriately and effectively.</t>
  </si>
  <si>
    <t xml:space="preserve">Can contribute unconventional and original reflections on the topic concerned in a linguistically skilful manner.</t>
  </si>
  <si>
    <t xml:space="preserve">Can express their imagination and concepts creatively.</t>
  </si>
  <si>
    <t xml:space="preserve">Can choose from a broad variety of non-manual means to build up suspense and excitement.</t>
  </si>
  <si>
    <t xml:space="preserve">Can cause an audience to experience strong emotions (e.g. laughing, crying).</t>
  </si>
  <si>
    <t xml:space="preserve">Can describe an event in an exciting way.</t>
  </si>
  <si>
    <t xml:space="preserve">Can express complicated emotional states through constructed action and gesture.</t>
  </si>
  <si>
    <t xml:space="preserve">Can make relevant comparisons that help the recipient better grasp the information concerned.</t>
  </si>
  <si>
    <t xml:space="preserve">Can stimulate/awaken curiosity on the part of the recipient with regard to the ending to a text.</t>
  </si>
  <si>
    <t xml:space="preserve">Can convey a new point of view in a way that makes the recipients think.</t>
  </si>
  <si>
    <t xml:space="preserve">Can express the feelings of a person who is close to them.</t>
  </si>
  <si>
    <t xml:space="preserve">Can use body language and facial expression to convey meaning.</t>
  </si>
  <si>
    <t xml:space="preserve">Can emphasise what is important by using non-manual means and the extent of movements.</t>
  </si>
  <si>
    <t xml:space="preserve">Can hold the attention of the recipients by employing various means (e.g. rhetorical questions).</t>
  </si>
  <si>
    <t xml:space="preserve">Can tell a story in a credible way.</t>
  </si>
  <si>
    <t xml:space="preserve">Can express personal traits of a character.</t>
  </si>
  <si>
    <t xml:space="preserve">Can present themselves in a polite and appropriate way.</t>
  </si>
  <si>
    <t xml:space="preserve">Can state facts in a neutral manner, excluding emotional affectedness.</t>
  </si>
  <si>
    <t xml:space="preserve">Can convey and stimulate feelings (e.g. joy, sadness).</t>
  </si>
  <si>
    <t xml:space="preserve">Can convey emotions through facial expression.</t>
  </si>
  <si>
    <t xml:space="preserve">Can employ depiction appropriately to express negative and positive feelings (e.g. eyebrows together: negative; eyebrows raised: positive).</t>
  </si>
  <si>
    <t xml:space="preserve">Can position themselves so that the signing is easily visible to the recipients.</t>
  </si>
  <si>
    <t xml:space="preserve">Can express emotional states through depiction only (without the need for lexical signs).</t>
  </si>
  <si>
    <t xml:space="preserve">Processing speed</t>
  </si>
  <si>
    <t xml:space="preserve">Can follow texts that are enacted in parallel (e.g., with two signers).</t>
  </si>
  <si>
    <t xml:space="preserve">Can keep track of who is to take the next turn when several signers are involved, for example, in a panel discussion, by monitoring requests for a turn.</t>
  </si>
  <si>
    <t xml:space="preserve">Can list the various aspects mentioned in a text even if the signer mentions them quickly one after the other.</t>
  </si>
  <si>
    <t xml:space="preserve">Can easily understand fluently fingerspelled signs, even if they do not see every letter but perhaps only ergonomic word shapes.</t>
  </si>
  <si>
    <t xml:space="preserve">Can follow a long fluidly signed text.</t>
  </si>
  <si>
    <t xml:space="preserve">Can follow complicated reports without difficulty.</t>
  </si>
  <si>
    <t xml:space="preserve">Can easily understand complex actions and relationships between objects/persons/places that are described using various classifier constructions.</t>
  </si>
  <si>
    <t xml:space="preserve">Can follow how people react to one another’s communication behaviour even when several signers are involved, for example in a panel discussion.</t>
  </si>
  <si>
    <t xml:space="preserve">Can understand a signed text even if the signer uses only one hand.</t>
  </si>
  <si>
    <t xml:space="preserve">Can follow a text even when it contains several unknown signs.</t>
  </si>
  <si>
    <t xml:space="preserve">Can understand a text even when certain signs or sentences are incomplete or not visible.</t>
  </si>
  <si>
    <t xml:space="preserve">Can spot signing errors and correct them for themselves without query.</t>
  </si>
  <si>
    <t xml:space="preserve">Can follow unexpected news or video messages without preparation.</t>
  </si>
  <si>
    <t xml:space="preserve">Can easily understand descriptions of actions even if the signer uses different classifier constructions (e.g., manipulators, substitutors).</t>
  </si>
  <si>
    <t xml:space="preserve">Can follow even unexpected twists in a text.</t>
  </si>
  <si>
    <t xml:space="preserve">Can understand rhythmically presented movement sequences and actions, and recognise their aesthetic quality.</t>
  </si>
  <si>
    <t xml:space="preserve">Can follow a long and slowly signed text, provided it is shown several times.</t>
  </si>
  <si>
    <t xml:space="preserve">Can follow the narration of a well-known story without difficulty.</t>
  </si>
  <si>
    <t xml:space="preserve">Can recognise and imitate various handshapes, even when the signer uses them in rapid succession.</t>
  </si>
  <si>
    <t xml:space="preserve">Can spot signing errors and ask for more precision or clarification.</t>
  </si>
  <si>
    <t xml:space="preserve">Can follow a longer, fluidly signed text, provided it is repeated.</t>
  </si>
  <si>
    <t xml:space="preserve">Can understand a relatively long text in one go, provided it is signed slowly.</t>
  </si>
  <si>
    <t xml:space="preserve">Can understand designations (name, fingerspelled items, functions) for persons in a text and subsequent reference to them.</t>
  </si>
  <si>
    <t xml:space="preserve">Can follow the interlocutor’s signs, provided they are clearly visible.</t>
  </si>
  <si>
    <t xml:space="preserve">Can understand fluent fingerspelling of letters, provided the producer repeats it, if necessary.</t>
  </si>
  <si>
    <t xml:space="preserve">Can understand short, slowly and clearly signed texts in one go.</t>
  </si>
  <si>
    <t xml:space="preserve">Signing fluency</t>
  </si>
  <si>
    <t xml:space="preserve">Can sign rapidly in a steady rhythm.</t>
  </si>
  <si>
    <t xml:space="preserve">Can sign a longer text fluently and rhythmically.</t>
  </si>
  <si>
    <t xml:space="preserve">Can employ an extended hold of a sign (hold) as a rhetorical or prosodic feature.</t>
  </si>
  <si>
    <t xml:space="preserve">Can sign at a fluent pace, even though some pauses for planning are still necessary.</t>
  </si>
  <si>
    <t xml:space="preserve">Can relate fluently in a sign language a story that they know.</t>
  </si>
  <si>
    <t xml:space="preserve">Can hold a sign with one hand in order to demonstrate something static (hold), while simultaneously using the other hand to continue signing.[1]</t>
  </si>
  <si>
    <t xml:space="preserve">Can sign at a comfortable pace, without needing to think about the individual signs.</t>
  </si>
  <si>
    <t xml:space="preserve">Can use pauses for effect at appropriate points.</t>
  </si>
  <si>
    <t xml:space="preserve">Can rhythmically represent the stages of a movement or activity (e.g. leaves falling down, hail).</t>
  </si>
  <si>
    <t xml:space="preserve">Can fingerspell fluently, connecting or blending elements smoothly.</t>
  </si>
  <si>
    <t xml:space="preserve">Can sign a fluent transition between related points.</t>
  </si>
  <si>
    <t xml:space="preserve">Can sign a short text rhythmically.</t>
  </si>
  <si>
    <t xml:space="preserve">Can employ sequences of handshapes and/or the handshapes for fingerspelling fluently.</t>
  </si>
  <si>
    <t xml:space="preserve">Can sign a simple sentence rhythmically.</t>
  </si>
  <si>
    <t xml:space="preserve">Can indicate the end of a sentence clearly by leaving a pause.</t>
  </si>
  <si>
    <t xml:space="preserve">区分</t>
  </si>
  <si>
    <r>
      <rPr>
        <b val="true"/>
        <sz val="10"/>
        <color rgb="FFFFFFFF"/>
        <rFont val="Arial"/>
        <family val="0"/>
        <charset val="1"/>
      </rPr>
      <t xml:space="preserve">English</t>
    </r>
    <r>
      <rPr>
        <b val="true"/>
        <sz val="10"/>
        <color rgb="FFFFFFFF"/>
        <rFont val="Noto Sans CJK SC"/>
        <family val="2"/>
      </rPr>
      <t xml:space="preserve">（正準キー・原文</t>
    </r>
    <r>
      <rPr>
        <b val="true"/>
        <sz val="10"/>
        <color rgb="FFFFFFFF"/>
        <rFont val="Arial"/>
        <family val="0"/>
        <charset val="1"/>
      </rPr>
      <t xml:space="preserve">verbatim</t>
    </r>
    <r>
      <rPr>
        <b val="true"/>
        <sz val="10"/>
        <color rgb="FFFFFFFF"/>
        <rFont val="Noto Sans CJK SC"/>
        <family val="2"/>
      </rPr>
      <t xml:space="preserve">）</t>
    </r>
  </si>
  <si>
    <t xml:space="preserve">日本語（作業訳）</t>
  </si>
  <si>
    <t xml:space="preserve">公式訳（随伴版・日本語版2024）</t>
  </si>
  <si>
    <t xml:space="preserve">一致</t>
  </si>
  <si>
    <t xml:space="preserve">備考</t>
  </si>
  <si>
    <t xml:space="preserve">列見出し</t>
  </si>
  <si>
    <t xml:space="preserve">番号</t>
  </si>
  <si>
    <t xml:space="preserve">CEFR Descriptor Scheme (updated)</t>
  </si>
  <si>
    <t xml:space="preserve">スキーム（記述文の大区分）</t>
  </si>
  <si>
    <r>
      <rPr>
        <sz val="9"/>
        <rFont val="Arial"/>
        <family val="0"/>
        <charset val="1"/>
      </rPr>
      <t xml:space="preserve">CEFR</t>
    </r>
    <r>
      <rPr>
        <sz val="9"/>
        <rFont val="Noto Sans CJK SC"/>
        <family val="2"/>
      </rPr>
      <t xml:space="preserve">能力記述文スキーム（更新版）</t>
    </r>
  </si>
  <si>
    <t xml:space="preserve">Mode of
communication</t>
  </si>
  <si>
    <t xml:space="preserve">コミュニケーション・モード</t>
  </si>
  <si>
    <t xml:space="preserve">コミュニケーションのモード</t>
  </si>
  <si>
    <t xml:space="preserve">Activity, strategy or competence</t>
  </si>
  <si>
    <t xml:space="preserve">活動・方略・能力の種別</t>
  </si>
  <si>
    <t xml:space="preserve">活動・方略・能力</t>
  </si>
  <si>
    <t xml:space="preserve">スケール（尺度＝適用範囲）</t>
  </si>
  <si>
    <t xml:space="preserve">尺度</t>
  </si>
  <si>
    <t xml:space="preserve">記述文（Can-Do）</t>
  </si>
  <si>
    <t xml:space="preserve">能力記述文</t>
  </si>
  <si>
    <t xml:space="preserve">コミュニケーション言語活動</t>
  </si>
  <si>
    <t xml:space="preserve">「何ができるか」の本体</t>
  </si>
  <si>
    <t xml:space="preserve">コミュニケーション言語方略</t>
  </si>
  <si>
    <t xml:space="preserve">コミュニケーション方略</t>
  </si>
  <si>
    <t xml:space="preserve">「戦略」とも訳される</t>
  </si>
  <si>
    <t xml:space="preserve">コミュニケーション言語能力</t>
  </si>
  <si>
    <t xml:space="preserve">言語コミュニケーション能力</t>
  </si>
  <si>
    <t xml:space="preserve">「どれくらいうまく」の物差し（言語・社会言語・語用）</t>
  </si>
  <si>
    <t xml:space="preserve">複言語・複文化能力</t>
  </si>
  <si>
    <t xml:space="preserve">複言語能力と複文化能力</t>
  </si>
  <si>
    <t xml:space="preserve">手話能力</t>
  </si>
  <si>
    <t xml:space="preserve">音声英語カタログの対象外</t>
  </si>
  <si>
    <t xml:space="preserve">受容</t>
  </si>
  <si>
    <t xml:space="preserve">聞く・読む</t>
  </si>
  <si>
    <t xml:space="preserve">産出</t>
  </si>
  <si>
    <t xml:space="preserve">話す・書く</t>
  </si>
  <si>
    <t xml:space="preserve">相互行為</t>
  </si>
  <si>
    <t xml:space="preserve">やり取り</t>
  </si>
  <si>
    <t xml:space="preserve">やりとり。提案書の用語に合わせた</t>
  </si>
  <si>
    <t xml:space="preserve">仲介</t>
  </si>
  <si>
    <t xml:space="preserve">橋渡し・言い換え・要約など</t>
  </si>
  <si>
    <t xml:space="preserve">口頭理解（聞くこと）</t>
  </si>
  <si>
    <t xml:space="preserve">聴解</t>
  </si>
  <si>
    <t xml:space="preserve">視聴覚理解</t>
  </si>
  <si>
    <t xml:space="preserve">視聴覚による理解</t>
  </si>
  <si>
    <t xml:space="preserve">読解（読むこと）</t>
  </si>
  <si>
    <t xml:space="preserve">読解</t>
  </si>
  <si>
    <t xml:space="preserve">口頭産出（話すこと）</t>
  </si>
  <si>
    <t xml:space="preserve">口頭での産出活動（話すこと）</t>
  </si>
  <si>
    <t xml:space="preserve">記述産出（書くこと）</t>
  </si>
  <si>
    <t xml:space="preserve">書く活動</t>
  </si>
  <si>
    <t xml:space="preserve">口頭の相互行為</t>
  </si>
  <si>
    <t xml:space="preserve">口頭でのやり取り</t>
  </si>
  <si>
    <t xml:space="preserve">筆記の相互行為</t>
  </si>
  <si>
    <t xml:space="preserve">文書によるやり取り</t>
  </si>
  <si>
    <t xml:space="preserve">オンラインの相互行為</t>
  </si>
  <si>
    <t xml:space="preserve">オンラインでのやり取り</t>
  </si>
  <si>
    <t xml:space="preserve">テキストの仲介</t>
  </si>
  <si>
    <t xml:space="preserve">テクストの仲介</t>
  </si>
  <si>
    <t xml:space="preserve">概念の仲介</t>
  </si>
  <si>
    <t xml:space="preserve">概念/想念/思考の仲介</t>
  </si>
  <si>
    <t xml:space="preserve">コミュニケーションの仲介</t>
  </si>
  <si>
    <t xml:space="preserve">新しい概念を説明する方略</t>
  </si>
  <si>
    <t xml:space="preserve">新概念説明の方略</t>
  </si>
  <si>
    <t xml:space="preserve">テキストを簡略化する方略</t>
  </si>
  <si>
    <t xml:space="preserve">テクストの簡略化の方略</t>
  </si>
  <si>
    <t xml:space="preserve">言語能力</t>
  </si>
  <si>
    <t xml:space="preserve">社会言語能力</t>
  </si>
  <si>
    <t xml:space="preserve">社会言語的能力</t>
  </si>
  <si>
    <t xml:space="preserve">語用能力</t>
  </si>
  <si>
    <t xml:space="preserve">運用能力</t>
  </si>
  <si>
    <r>
      <rPr>
        <sz val="9"/>
        <rFont val="Arial"/>
        <family val="0"/>
        <charset val="1"/>
      </rPr>
      <t xml:space="preserve">A1</t>
    </r>
    <r>
      <rPr>
        <sz val="9"/>
        <rFont val="Noto Sans CJK SC"/>
        <family val="2"/>
      </rPr>
      <t xml:space="preserve">未満の入門段階</t>
    </r>
  </si>
  <si>
    <t xml:space="preserve">プラスレベル＝同帯の上位</t>
  </si>
  <si>
    <t xml:space="preserve">プラスレベル</t>
  </si>
  <si>
    <t xml:space="preserve">スケール</t>
  </si>
  <si>
    <t xml:space="preserve">インフォーマルな場面での橋渡し（友人・同僚間）</t>
  </si>
  <si>
    <t xml:space="preserve">非公式の状況（友人や同僚とのやり取り）での仲介者としての行動</t>
  </si>
  <si>
    <t xml:space="preserve">言葉づかいの調整</t>
  </si>
  <si>
    <t xml:space="preserve">言語の適正化</t>
  </si>
  <si>
    <t xml:space="preserve">聴衆への発表（スピーチ）</t>
  </si>
  <si>
    <t xml:space="preserve">聴衆の前での講演</t>
  </si>
  <si>
    <t xml:space="preserve">密度の高いテキストの展開・補足</t>
  </si>
  <si>
    <t xml:space="preserve">密度の高いテクストの解析</t>
  </si>
  <si>
    <t xml:space="preserve">創作テキストの分析と批評（文学を含む）</t>
  </si>
  <si>
    <t xml:space="preserve">創作テクスト（文学作品を含む）の分析と批評</t>
  </si>
  <si>
    <t xml:space="preserve">明確化の要求（聞き返し）</t>
  </si>
  <si>
    <t xml:space="preserve">説明を求めること</t>
  </si>
  <si>
    <t xml:space="preserve">複雑な情報の分解</t>
  </si>
  <si>
    <t xml:space="preserve">複雑な情報の解析</t>
  </si>
  <si>
    <t xml:space="preserve">複文化レパートリーの活用</t>
  </si>
  <si>
    <t xml:space="preserve">複文化レパートリーの構築</t>
  </si>
  <si>
    <t xml:space="preserve">複言語レパートリーの活用</t>
  </si>
  <si>
    <t xml:space="preserve">複言語レパートリーの構築</t>
  </si>
  <si>
    <t xml:space="preserve">協力（会話を協調して進める）</t>
  </si>
  <si>
    <t xml:space="preserve">協働</t>
  </si>
  <si>
    <t xml:space="preserve">一貫性と結束性</t>
  </si>
  <si>
    <t xml:space="preserve">意味の共同構築</t>
  </si>
  <si>
    <t xml:space="preserve">意味構築のための協働</t>
  </si>
  <si>
    <t xml:space="preserve">補償（言い換え等で補う）</t>
  </si>
  <si>
    <t xml:space="preserve">補完</t>
  </si>
  <si>
    <t xml:space="preserve">会話（社交的な会話）</t>
  </si>
  <si>
    <t xml:space="preserve">会話</t>
  </si>
  <si>
    <t xml:space="preserve">手紙・メールのやりとり</t>
  </si>
  <si>
    <t xml:space="preserve">文通</t>
  </si>
  <si>
    <t xml:space="preserve">創作の文章</t>
  </si>
  <si>
    <t xml:space="preserve">創作</t>
  </si>
  <si>
    <t xml:space="preserve">空間文法の正確さ</t>
  </si>
  <si>
    <t xml:space="preserve">手話空間使用の正確さ</t>
  </si>
  <si>
    <t xml:space="preserve">手話</t>
  </si>
  <si>
    <t xml:space="preserve">概念的な対話の促進</t>
  </si>
  <si>
    <t xml:space="preserve">思考・概念に関する話し合いの奨め</t>
  </si>
  <si>
    <t xml:space="preserve">データの説明（口頭・手話）</t>
  </si>
  <si>
    <t xml:space="preserve">データの音声言語または手話による説明</t>
  </si>
  <si>
    <t xml:space="preserve">図表→ことば</t>
  </si>
  <si>
    <t xml:space="preserve">データの説明（文章）</t>
  </si>
  <si>
    <t xml:space="preserve">データの文字言語による説明</t>
  </si>
  <si>
    <t xml:space="preserve">創作テキストへの個人的な反応の表現</t>
  </si>
  <si>
    <t xml:space="preserve">創作テクスト（文学作品を含む）に対する個人的な反応の表明</t>
  </si>
  <si>
    <t xml:space="preserve">仲間との協働的やりとりの促進</t>
  </si>
  <si>
    <t xml:space="preserve">仲間との協働的やり取りを進める</t>
  </si>
  <si>
    <t xml:space="preserve">原文末尾にスペース</t>
  </si>
  <si>
    <t xml:space="preserve">デリケートな状況・対立の場でのコミュニケーション促進</t>
  </si>
  <si>
    <t xml:space="preserve">微妙な状況や非合意の状況でのコミュニケーションの潤滑化</t>
  </si>
  <si>
    <t xml:space="preserve">複文化的な場の醸成</t>
  </si>
  <si>
    <t xml:space="preserve">複文化的空間の構築の促進</t>
  </si>
  <si>
    <t xml:space="preserve">柔軟さ（言い回しの融通）</t>
  </si>
  <si>
    <t xml:space="preserve">柔軟さ</t>
  </si>
  <si>
    <t xml:space="preserve">流暢さ</t>
  </si>
  <si>
    <t xml:space="preserve">フォーマルな議論（会議）</t>
  </si>
  <si>
    <t xml:space="preserve">公式の議論（ミーティング/会議）</t>
  </si>
  <si>
    <t xml:space="preserve">言語レパートリー全般の幅</t>
  </si>
  <si>
    <t xml:space="preserve">一般的な使用可能言語の範囲</t>
  </si>
  <si>
    <t xml:space="preserve">目標のある共同作業（料理・文書検討・イベント準備など）</t>
  </si>
  <si>
    <t xml:space="preserve">目的のある協働作業</t>
  </si>
  <si>
    <t xml:space="preserve">目的のあるオンライン取引・協働</t>
  </si>
  <si>
    <t xml:space="preserve">目的のあるオンラインでの交渉と協働作業</t>
  </si>
  <si>
    <t xml:space="preserve">手がかりの特定と推論</t>
  </si>
  <si>
    <t xml:space="preserve">手がかりの発見と推論（話し言葉、手話、書き言葉）</t>
  </si>
  <si>
    <t xml:space="preserve">インフォーマルな議論（友人と）</t>
  </si>
  <si>
    <t xml:space="preserve">非公式の議論（友人たちとの）</t>
  </si>
  <si>
    <t xml:space="preserve">情報交換</t>
  </si>
  <si>
    <t xml:space="preserve">情報の交換</t>
  </si>
  <si>
    <t xml:space="preserve">面接する・面接を受ける</t>
  </si>
  <si>
    <t xml:space="preserve">インタビューをする、受ける</t>
  </si>
  <si>
    <t xml:space="preserve">言語への気づきと解釈</t>
  </si>
  <si>
    <t xml:space="preserve">言語への気づき（言語意識）と解釈</t>
  </si>
  <si>
    <t xml:space="preserve">既有知識への結びつけ</t>
  </si>
  <si>
    <t xml:space="preserve">既知の知識への関連付け</t>
  </si>
  <si>
    <t xml:space="preserve">やりとりの運営（進行管理）</t>
  </si>
  <si>
    <t xml:space="preserve">やり取りの調整</t>
  </si>
  <si>
    <t xml:space="preserve">モニタリングと修復（言い直し）</t>
  </si>
  <si>
    <t xml:space="preserve">モニタリングと修正</t>
  </si>
  <si>
    <t xml:space="preserve">ノートテイキング（講義・会議など）</t>
  </si>
  <si>
    <t xml:space="preserve">ノートを取ること（講義、セミナー、会議、など）</t>
  </si>
  <si>
    <t xml:space="preserve">メモ・伝言・記入用紙</t>
  </si>
  <si>
    <t xml:space="preserve">メモ、メッセージ、書類</t>
  </si>
  <si>
    <t xml:space="preserve">物・サービスの取引</t>
  </si>
  <si>
    <t xml:space="preserve">製品やサービスの取得</t>
  </si>
  <si>
    <t xml:space="preserve">提案書の索引では「物・サービスを得る取引」</t>
  </si>
  <si>
    <t xml:space="preserve">オンラインの会話と議論</t>
  </si>
  <si>
    <t xml:space="preserve">オンラインでの会話と議論</t>
  </si>
  <si>
    <t xml:space="preserve">正書法（綴り・表記）の運用</t>
  </si>
  <si>
    <t xml:space="preserve">正書法の把握</t>
  </si>
  <si>
    <t xml:space="preserve">仲介（総合）</t>
  </si>
  <si>
    <t xml:space="preserve">仲介全般</t>
  </si>
  <si>
    <t xml:space="preserve">口頭理解（総合）</t>
  </si>
  <si>
    <t xml:space="preserve">聴解全般</t>
  </si>
  <si>
    <t xml:space="preserve">口頭相互行為（総合）</t>
  </si>
  <si>
    <t xml:space="preserve">口頭でのやり取り全般</t>
  </si>
  <si>
    <t xml:space="preserve">口頭産出（総合）</t>
  </si>
  <si>
    <t xml:space="preserve">口頭での産出活動全般</t>
  </si>
  <si>
    <t xml:space="preserve">音韻の運用（総合）</t>
  </si>
  <si>
    <t xml:space="preserve">音声面の制御全般</t>
  </si>
  <si>
    <t xml:space="preserve">いわゆる発音</t>
  </si>
  <si>
    <t xml:space="preserve">読解（総合）</t>
  </si>
  <si>
    <t xml:space="preserve">読解全般</t>
  </si>
  <si>
    <t xml:space="preserve">筆記相互行為（総合）</t>
  </si>
  <si>
    <t xml:space="preserve">文書によるやり取り全般</t>
  </si>
  <si>
    <t xml:space="preserve">記述産出（総合）</t>
  </si>
  <si>
    <t xml:space="preserve">書く活動全般</t>
  </si>
  <si>
    <t xml:space="preserve">計画（発話の設計）</t>
  </si>
  <si>
    <t xml:space="preserve">計画</t>
  </si>
  <si>
    <t xml:space="preserve">複言語理解</t>
  </si>
  <si>
    <t xml:space="preserve">複言語的理解</t>
  </si>
  <si>
    <t xml:space="preserve">存在感と効果</t>
  </si>
  <si>
    <t xml:space="preserve">風貌/風体と与える印象</t>
  </si>
  <si>
    <t xml:space="preserve">処理速度</t>
  </si>
  <si>
    <t xml:space="preserve">手話処理の速度</t>
  </si>
  <si>
    <t xml:space="preserve">テキストの加工・要約（口頭・手話）</t>
  </si>
  <si>
    <t xml:space="preserve">口頭言語または手話テクストの処理</t>
  </si>
  <si>
    <t xml:space="preserve">テキストの加工・要約（文章）</t>
  </si>
  <si>
    <t xml:space="preserve">文書テクストの処理</t>
  </si>
  <si>
    <t xml:space="preserve">命題の精密さ（言いたいことの精度）</t>
  </si>
  <si>
    <t xml:space="preserve">叙述の正確さ</t>
  </si>
  <si>
    <t xml:space="preserve">韻律（プロソディ）</t>
  </si>
  <si>
    <t xml:space="preserve">プロソディー面の習熟</t>
  </si>
  <si>
    <t xml:space="preserve">公共のアナウンス</t>
  </si>
  <si>
    <t xml:space="preserve">公共アナウンス</t>
  </si>
  <si>
    <t xml:space="preserve">娯楽としての読書</t>
  </si>
  <si>
    <t xml:space="preserve">余暇活動として読む</t>
  </si>
  <si>
    <t xml:space="preserve">手紙・メールを読む</t>
  </si>
  <si>
    <t xml:space="preserve">通信文を読む</t>
  </si>
  <si>
    <t xml:space="preserve">情報・論旨の読み取り</t>
  </si>
  <si>
    <t xml:space="preserve">情報や論拠を求めて読む</t>
  </si>
  <si>
    <t xml:space="preserve">目当ての情報を探す読み（拾い読み）</t>
  </si>
  <si>
    <t xml:space="preserve">方向付けのために読む</t>
  </si>
  <si>
    <t xml:space="preserve">説明書・指示を読む</t>
  </si>
  <si>
    <t xml:space="preserve">説明書を読む</t>
  </si>
  <si>
    <t xml:space="preserve">特定情報の伝達（口頭・手話）</t>
  </si>
  <si>
    <t xml:space="preserve">特定の情報を音声言語または手話にして引き継ぐ</t>
  </si>
  <si>
    <t xml:space="preserve">特定情報の伝達（文章）</t>
  </si>
  <si>
    <t xml:space="preserve">特定の情報を文字テクストにして引き継ぐ</t>
  </si>
  <si>
    <t xml:space="preserve">レポート・小論文</t>
  </si>
  <si>
    <t xml:space="preserve">レポートやエッセイ</t>
  </si>
  <si>
    <t xml:space="preserve">場面設定と視点</t>
  </si>
  <si>
    <t xml:space="preserve">空間設定と視点</t>
  </si>
  <si>
    <t xml:space="preserve">手話レパートリー</t>
  </si>
  <si>
    <t xml:space="preserve">手話言語のレパートリー</t>
  </si>
  <si>
    <t xml:space="preserve">手話テキストの構造</t>
  </si>
  <si>
    <t xml:space="preserve">手話テクストの構造</t>
  </si>
  <si>
    <t xml:space="preserve">手話の流暢さ</t>
  </si>
  <si>
    <t xml:space="preserve">社会言語的適切さ（場にふさわしい言葉づかい）</t>
  </si>
  <si>
    <t xml:space="preserve">社会言語的適切さ</t>
  </si>
  <si>
    <t xml:space="preserve">提案書の用語</t>
  </si>
  <si>
    <t xml:space="preserve">社会言語的適切さと文化レパートリー</t>
  </si>
  <si>
    <t xml:space="preserve">社会言語的な適切さと文化的レパートリー</t>
  </si>
  <si>
    <t xml:space="preserve">個々の音の調音</t>
  </si>
  <si>
    <t xml:space="preserve">調音技能の習熟</t>
  </si>
  <si>
    <t xml:space="preserve">テキストの整理・簡素化</t>
  </si>
  <si>
    <t xml:space="preserve">テクストの流れの潤滑化</t>
  </si>
  <si>
    <t xml:space="preserve">長めの一人語り：経験の描写</t>
  </si>
  <si>
    <t xml:space="preserve">纏まった独話：経験談</t>
  </si>
  <si>
    <t xml:space="preserve">長めの一人語り：情報提供</t>
  </si>
  <si>
    <t xml:space="preserve">纏まった独話：情報の提供</t>
  </si>
  <si>
    <t xml:space="preserve">長めの一人語り：立論（討論など）</t>
  </si>
  <si>
    <t xml:space="preserve">纏まった独話：論拠の提示（例：ディベートなどで）</t>
  </si>
  <si>
    <t xml:space="preserve">主題の展開</t>
  </si>
  <si>
    <t xml:space="preserve">話題の展開</t>
  </si>
  <si>
    <t xml:space="preserve">書かれたテキストの翻訳（口頭・手話）</t>
  </si>
  <si>
    <t xml:space="preserve">文字テクストの音声/手話テクストへの訳</t>
  </si>
  <si>
    <t xml:space="preserve">書かれたテキストの翻訳（文章）</t>
  </si>
  <si>
    <t xml:space="preserve">文字テクストの文字テクストへの訳</t>
  </si>
  <si>
    <t xml:space="preserve">発言権のやりとり（ターンテイキング）</t>
  </si>
  <si>
    <t xml:space="preserve">発言権の取得・維持</t>
  </si>
  <si>
    <t xml:space="preserve">能力と方略の両方に掲載</t>
  </si>
  <si>
    <t xml:space="preserve">対話相手の理解</t>
  </si>
  <si>
    <t xml:space="preserve">やり取りの相手を理解すること</t>
  </si>
  <si>
    <t xml:space="preserve">アナウンス・指示の聞き取り</t>
  </si>
  <si>
    <t xml:space="preserve">アナウンスや指示を聴く</t>
  </si>
  <si>
    <t xml:space="preserve">聴衆としての聞き取り（講演など）</t>
  </si>
  <si>
    <t xml:space="preserve">聴衆の一人としてライブで聴く</t>
  </si>
  <si>
    <t xml:space="preserve">音声メディア・録音の聞き取り</t>
  </si>
  <si>
    <t xml:space="preserve">音声または手話表現の録音/録画を理解する</t>
  </si>
  <si>
    <t xml:space="preserve">第三者どうしの会話の聞き取り</t>
  </si>
  <si>
    <t xml:space="preserve">他の人たちが交わす会話を理解する</t>
  </si>
  <si>
    <t xml:space="preserve">電話・通信の利用</t>
  </si>
  <si>
    <t xml:space="preserve">電信コミュニケーションの使用</t>
  </si>
  <si>
    <t xml:space="preserve">語彙の運用（使い分けの正確さ）</t>
  </si>
  <si>
    <t xml:space="preserve">語彙の使いこなし</t>
  </si>
  <si>
    <t xml:space="preserve">語彙の幅</t>
  </si>
  <si>
    <t xml:space="preserve">使用語彙の範囲</t>
  </si>
  <si>
    <t xml:space="preserve">テレビ・映画・動画の視聴</t>
  </si>
  <si>
    <t xml:space="preserve">テレビ・映画・ビデオを見る</t>
  </si>
  <si>
    <t xml:space="preserve">公式訳の出典：欧州評議会『言語の学習、教授、評価のためのヨーロッパ共通参照枠―新能力記述文を伴うCEFR随伴版』日本語版（翻訳権：ゲーテ・インスティトゥート東京、2024年3月版）。目次および本文の該当箇所を目視で採録。</t>
  </si>
  <si>
    <t xml:space="preserve">スケール（作業訳）</t>
  </si>
  <si>
    <r>
      <rPr>
        <b val="true"/>
        <sz val="10"/>
        <color rgb="FFFFFFFF"/>
        <rFont val="Arial"/>
        <family val="0"/>
        <charset val="1"/>
      </rPr>
      <t xml:space="preserve">Scale</t>
    </r>
    <r>
      <rPr>
        <b val="true"/>
        <sz val="10"/>
        <color rgb="FFFFFFFF"/>
        <rFont val="Noto Sans CJK SC"/>
        <family val="2"/>
      </rPr>
      <t xml:space="preserve">（原文）</t>
    </r>
  </si>
  <si>
    <t xml:space="preserve">EN:Mode</t>
  </si>
  <si>
    <t xml:space="preserve">EN:Activity</t>
  </si>
  <si>
    <t xml:space="preserve">総計</t>
  </si>
  <si>
    <t xml:space="preserve">例No.</t>
  </si>
  <si>
    <t xml:space="preserve">例：Descriptor（英文）</t>
  </si>
  <si>
    <t xml:space="preserve">例：和訳（作業訳）</t>
  </si>
  <si>
    <t xml:space="preserve">EN:Scale</t>
  </si>
  <si>
    <t xml:space="preserve">日常の馴染みのある語であれば、明確に限定された身近な文脈の中で、明瞭にゆっくり示されれば認識できる。</t>
  </si>
  <si>
    <t xml:space="preserve">非常にゆっくり注意深く発音され、意味を消化するための長い間が置かれれば、言葉についていける。</t>
  </si>
  <si>
    <t xml:space="preserve">最も差し迫った領域（ごく基本的な個人・家族情報、買い物、地元の地理、仕事など）に関わる句や表現を、明瞭にゆっくり話されれば理解できる。</t>
  </si>
  <si>
    <t xml:space="preserve">明瞭にゆっくり話してもらえれば、具体的な必要を満たせる程度に理解できる。</t>
  </si>
  <si>
    <t xml:space="preserve">仕事・学校・余暇などで日常的に出会う身近な事柄について、明瞭な標準語か馴染みのある変種で話されれば、短い物語を含め要点を理解できる。</t>
  </si>
  <si>
    <t xml:space="preserve">日常や仕事に関わる一般的な話題について、馴染みのある変種で明瞭に発音されていれば、全体の趣旨と具体的詳細の両方を聞き取り、率直な事実情報を理解できる。</t>
  </si>
  <si>
    <t xml:space="preserve">話題がある程度身近で、議論の方向が明示的な標識で示されていれば、長い談話や複雑な論の展開を追える。</t>
  </si>
  <si>
    <t xml:space="preserve">標準語または馴染みのある変種であれば、個人・社会・学業・職業生活で普通に出会う話題について、身近でも未知でも、生でも放送でも理解できる。極端な雑音、不十分な談話構成、慣用表現の多用だけが理解力に影響する。</t>
  </si>
  <si>
    <t xml:space="preserve">幅広い慣用表現や口語表現を認識し、言語使用域（レジスター）の変化を感じ取れる。</t>
  </si>
  <si>
    <t xml:space="preserve">生の発話でも放送でも、速い自然な速度で話されるほぼあらゆる種類の言葉を容易に理解できる。</t>
  </si>
  <si>
    <t xml:space="preserve">ゆっくり明瞭に話されれば、自分・家族・学校・趣味・身の回りについて話されている表現の一部を理解できる。</t>
  </si>
  <si>
    <t xml:space="preserve">非常にゆっくり明瞭に行われる短く簡単な社交のやりとりの概略を追える。</t>
  </si>
  <si>
    <t xml:space="preserve">ゆっくり明瞭に行われる会話の中で、人々が同意しているか反対しているかを認識できる。</t>
  </si>
  <si>
    <t xml:space="preserve">標準語または馴染みのある変種で明瞭に話されていれば、周囲で交わされる長めの議論のおおよその要点を追える。</t>
  </si>
  <si>
    <t xml:space="preserve">標準語または馴染みのある変種で明瞭に話されていれば、日常会話や議論の大部分を追える。</t>
  </si>
  <si>
    <t xml:space="preserve">物語や逸話など、長めのくだけた談話の時系列を追える。</t>
  </si>
  <si>
    <t xml:space="preserve">熟達した話者どうしの活発な会話についていける。</t>
  </si>
  <si>
    <t xml:space="preserve">抽象的で複雑な未知の話題でも、グループ討議や討論での第三者間の複雑なやりとりを容易に追える。</t>
  </si>
  <si>
    <t xml:space="preserve">自然な速度で行われる口語的な議論で使われる言葉の社会文化的含意を、ほとんど特定できる。</t>
  </si>
  <si>
    <t xml:space="preserve">ガイドツアーのような予測可能な状況で、非常にゆっくり明瞭に説明され、時々長い間が置かれれば、ごく簡単な情報の概略を理解できる。</t>
  </si>
  <si>
    <t xml:space="preserve">ガイドツアーのような予測可能な状況で与えられる簡単な情報（「ここが大統領官邸です」など）の概略を理解できる。</t>
  </si>
  <si>
    <t xml:space="preserve">身近で予測可能な話題についての実演やプレゼンテーションで、簡単な言葉でゆっくり明瞭に伝えられ、視覚的補助（スライド・配布資料など）があれば、概略を追える。</t>
  </si>
  <si>
    <t xml:space="preserve">明瞭で比較的ゆっくりした話し方であれば、率直な一人語り（ガイドツアーなど）の要点を理解できる。</t>
  </si>
  <si>
    <t xml:space="preserve">主題が身近で、提示が平明で構成が明確なら、自分の分野の講義や講演を追える。</t>
  </si>
  <si>
    <t xml:space="preserve">表明された見解を認識し、報告されている事実と区別できる。</t>
  </si>
  <si>
    <t xml:space="preserve">命題的にも言語的にも複雑な講義・講演・報告など、学術的・職業的なプレゼンテーションの要点を追える。</t>
  </si>
  <si>
    <t xml:space="preserve">たいていの講義・討議・討論を比較的容易に追える。</t>
  </si>
  <si>
    <t xml:space="preserve">プレゼンテーションの中の冗談やほのめかしの意図をつかめる。</t>
  </si>
  <si>
    <t xml:space="preserve">「止まって」「ドアを閉めて」などの短く簡単な指示を、対面でゆっくり伝えられ、絵や身振りが添えられ、必要なら繰り返されれば理解できる。</t>
  </si>
  <si>
    <t xml:space="preserve">注意深くゆっくり自分に向けられた指示を理解し、短く簡単な道順の指示に従える。</t>
  </si>
  <si>
    <t xml:space="preserve">短く明瞭で簡単なメッセージやアナウンスの要点をつかめる。</t>
  </si>
  <si>
    <t xml:space="preserve">ゆっくり明瞭に伝えられれば、率直なアナウンス（映画の上映案内、スポーツの試合、列車の遅延など）を理解できる。</t>
  </si>
  <si>
    <t xml:space="preserve">詳細な道順の指示を追える。</t>
  </si>
  <si>
    <t xml:space="preserve">詳細な指示を、それに従って実行できる程度に十分理解できる。</t>
  </si>
  <si>
    <t xml:space="preserve">操作説明書や馴染みのある製品・サービスの仕様書など、複雑な技術情報を理解できる。</t>
  </si>
  <si>
    <t xml:space="preserve">非常にゆっくり明瞭であれば、簡単で短い録音の中の既知の語・名前・数字を認識できる。</t>
  </si>
  <si>
    <t xml:space="preserve">非常にゆっくり明瞭に伝えられれば、身近な日常の話題の短い録音から具体的情報（場所や時刻など）を拾える。</t>
  </si>
  <si>
    <t xml:space="preserve">ゆっくり明瞭に語られれば、物語の重要な点を理解し、筋を追える。</t>
  </si>
  <si>
    <t xml:space="preserve">関心のある商品やサービス（CD、ゲーム、旅行など）の短いコマーシャルに含まれる最重要情報を理解できる。</t>
  </si>
  <si>
    <t xml:space="preserve">比較的ゆっくり明瞭に伝えられれば、ニュースや身近な題材の簡単な録音素材の要点を理解できる。</t>
  </si>
  <si>
    <t xml:space="preserve">明瞭な標準語で伝えられる、個人的関心のある話題の録音・放送素材の大部分の情報内容を理解できる。</t>
  </si>
  <si>
    <t xml:space="preserve">標準語で伝えられるドキュメンタリーその他の録音・放送素材の大半を理解し、気分・態度などを特定できる。</t>
  </si>
  <si>
    <t xml:space="preserve">社会・職業・学術生活で出会いそうな標準語の録音を理解し、情報内容だけでなく視点や態度も特定できる。</t>
  </si>
  <si>
    <t xml:space="preserve">一部の非標準的な語法を含む幅広い録音・放送素材を理解し、暗黙の態度や人間関係を含む細かな点を特定できる。</t>
  </si>
  <si>
    <t xml:space="preserve">視覚情報と既有知識から、映像資料の主題を特定できる。</t>
  </si>
  <si>
    <t xml:space="preserve">視覚情報と一般知識を手がかりに、ニュースの見出しの話題や広告の多くの商品について、既知の語句を認識し特定できる。</t>
  </si>
  <si>
    <t xml:space="preserve">事実を伝えるテレビニュースの話題の切り替わりを追い、主な内容の見当をつけられる。</t>
  </si>
  <si>
    <t xml:space="preserve">映像が解説を補っていれば、事件・事故などを報じるテレビニュースの要点を特定できる。</t>
  </si>
  <si>
    <t xml:space="preserve">比較的ゆっくり明瞭であれば、身近な話題のテレビ番組の要点をつかめる。</t>
  </si>
  <si>
    <t xml:space="preserve">比較的ゆっくり明瞭であれば、インタビュー、短い講演、ニュースなど個人的関心のある話題のテレビ番組の大部分を理解できる。</t>
  </si>
  <si>
    <t xml:space="preserve">テレビのニュースや時事番組の大半を理解できる。</t>
  </si>
  <si>
    <t xml:space="preserve">ニュースや時事番組の議論から要点を抽出できる。</t>
  </si>
  <si>
    <t xml:space="preserve">かなりの俗語や慣用表現を使う映画を追える。</t>
  </si>
  <si>
    <t xml:space="preserve">写真つきのファストフード店のメニューや馴染みの語彙を使った絵本など、絵に添えられた既知の語を認識できる。</t>
  </si>
  <si>
    <t xml:space="preserve">ごく短い簡単なテキストを、一句ずつ、既知の名前・語・基本的な句を拾い、必要に応じて読み返しながら理解できる。</t>
  </si>
  <si>
    <t xml:space="preserve">最高頻度の語彙と一部の国際共通語彙を含む、短く簡単なテキストを理解できる。</t>
  </si>
  <si>
    <t xml:space="preserve">高頻度の日常語や仕事関連の言葉で書かれた、具体的で身近な事柄の短く簡単なテキストを理解できる。</t>
  </si>
  <si>
    <t xml:space="preserve">関心分野に関わる率直な事実的テキストを、満足のいく理解度で読める。</t>
  </si>
  <si>
    <t xml:space="preserve">高い自立性をもって読め、テキストと目的に応じて読み方や速度を調整し、適切な参考資料を選んで使える。活発な読解語彙は幅広いが、低頻度の慣用句には苦労することがある。</t>
  </si>
  <si>
    <t xml:space="preserve">難しい箇所を読み返せるなら、自分の専門分野かどうかに関わらず、長く複雑なテキストを詳細に理解できる。</t>
  </si>
  <si>
    <t xml:space="preserve">長く複雑な多様なテキストを理解し、文体の微妙な違いや、明示的・暗示的な意味を味わえる。</t>
  </si>
  <si>
    <t xml:space="preserve">手紙・カード・メールから、招待されている行事と、日時・場所についての情報を理解できる。</t>
  </si>
  <si>
    <t xml:space="preserve">はがきの短く簡単なメッセージを理解できる。</t>
  </si>
  <si>
    <t xml:space="preserve">短く簡単な個人的な手紙を理解できる。</t>
  </si>
  <si>
    <t xml:space="preserve">身近な話題についての標準的・定型的な手紙やファクス（問い合わせ、注文、確認状など）の基本的な種類を理解できる。</t>
  </si>
  <si>
    <t xml:space="preserve">自分の職業的関心領域の標準的な公式通信文やオンライン投稿を理解できる。</t>
  </si>
  <si>
    <t xml:space="preserve">あまり馴染みのない主題の公式な通信文を、他の人に回すべきか判断できる程度に理解できる。</t>
  </si>
  <si>
    <t xml:space="preserve">関心分野に関わる通信文を読み、本質的な意味を容易につかめる。</t>
  </si>
  <si>
    <t xml:space="preserve">時々辞書を使えば、どんな通信文でも理解できる。</t>
  </si>
  <si>
    <t xml:space="preserve">複雑な話題の専門的・公式な通信文を理解できる。</t>
  </si>
  <si>
    <t xml:space="preserve">ポスター・チラシ・掲示から、場所・時間・価格についての情報を見つけられる。</t>
  </si>
  <si>
    <t xml:space="preserve">ホテルの基本情報（食事の時間など）を理解できる。</t>
  </si>
  <si>
    <t xml:space="preserve">リストの中から特定の情報を探し出し、必要な情報を選び出せる（例：職業別電話帳で業者を探す）。</t>
  </si>
  <si>
    <t xml:space="preserve">パンフレットやウェブサイトの商品（携帯情報端末、カメラなど）の短く簡単な説明の主要情報を理解できる。</t>
  </si>
  <si>
    <t xml:space="preserve">記事・報告・レビューが求めている話題を扱っているかどうか判断できる。</t>
  </si>
  <si>
    <t xml:space="preserve">長めのテキストを走査して必要な情報を探し出し、特定の課題を果たすためにテキストの各部や複数のテキストから情報を集められる。</t>
  </si>
  <si>
    <t xml:space="preserve">長く複雑なテキストを素早く走査し、関連する詳細を見つけられる。</t>
  </si>
  <si>
    <t xml:space="preserve">自分の分野と関連分野の複数の情報源（記事、報告書、ウェブサイト、書籍など）を並行して素早く走査し、目下の課題に対する各部分の関連性と有用性を特定できる。</t>
  </si>
  <si>
    <t xml:space="preserve">写真つきのファストフード店のメニューや、ごく簡単な日常語で書かれた絵物語のような、最も簡単な案内資料を理解できる。</t>
  </si>
  <si>
    <t xml:space="preserve">特に視覚的補助があれば、簡単な案内資料や短く簡単な説明の内容の見当をつけられる。</t>
  </si>
  <si>
    <t xml:space="preserve">絵入りのパンフレットや地図の情報（都市の主要な見どころなど）を理解できる。</t>
  </si>
  <si>
    <t xml:space="preserve">日常の話題（生活様式、趣味、スポーツ、天気など）を扱う短いテキストの要点を理解できる。</t>
  </si>
  <si>
    <t xml:space="preserve">身近な主題の率直な新聞記事の重要な点を認識できる。</t>
  </si>
  <si>
    <t xml:space="preserve">論の構成が明示された論説文の主な結論を特定できる。</t>
  </si>
  <si>
    <t xml:space="preserve">テキストが事実情報を提供しているのか、読者を説得しようとしているのかを見分けられる。</t>
  </si>
  <si>
    <t xml:space="preserve">自分の分野の高度に専門的な情報源から、情報・アイディア・意見を得られる。</t>
  </si>
  <si>
    <t xml:space="preserve">社会・職業・学術生活で出会いそうな長く複雑な幅広いテキストを詳細に理解し、態度や、明示された意見だけでなく暗示された意見も含め、細かな点を特定できる。</t>
  </si>
  <si>
    <t xml:space="preserve">専門外であっても、複雑な報告や記事の細部と含意を理解できる。</t>
  </si>
  <si>
    <t xml:space="preserve">特に絵が添えられていれば、身近な日常の文脈で使われるごく短い簡単な指示（「駐車禁止」「飲食禁止」など）を理解できる。</t>
  </si>
  <si>
    <t xml:space="preserve">短く簡単な道順（XからYへの行き方など）に従える。</t>
  </si>
  <si>
    <t xml:space="preserve">特に重要な手順に絵が添えられていれば、簡単なレシピに従える。</t>
  </si>
  <si>
    <t xml:space="preserve">簡単な言葉で書かれていれば、安全規則などの規定を理解できる。</t>
  </si>
  <si>
    <t xml:space="preserve">包装に書かれた簡単な指示（調理方法など）に従える。</t>
  </si>
  <si>
    <t xml:space="preserve">対象の工程や製品の種類に馴染みがあれば、マニュアルのような連続したテキスト形式の指示や手順を理解できる。</t>
  </si>
  <si>
    <t xml:space="preserve">難しい箇所を読み返せるなら、条件や警告の詳細を含む、自分の分野の長く複雑な説明書を理解できる。</t>
  </si>
  <si>
    <t xml:space="preserve">難しい箇所を読み返せるなら、専門分野かどうかに関わらず、新しい機械や手順についての長く複雑な説明書を詳細に理解できる。</t>
  </si>
  <si>
    <t xml:space="preserve">簡単な語で描かれた、日常の活動についての短い絵入りの物語を理解できる。</t>
  </si>
  <si>
    <t xml:space="preserve">簡単な言葉で書かれた、短い物語や人物の生涯の記述を理解できる。</t>
  </si>
  <si>
    <t xml:space="preserve">高頻度の日常語で書かれた、身近で具体的な状況を扱う短く簡単な物語や漫画を読める程度に理解できる。</t>
  </si>
  <si>
    <t xml:space="preserve">旅の出来事や書き手の経験・発見を主に描いた旅行記を理解できる。</t>
  </si>
  <si>
    <t xml:space="preserve">平明な言葉と文体であれば、簡単な詩や歌詞を理解できる。</t>
  </si>
  <si>
    <t xml:space="preserve">時間をかけて辞書を使えるなら、筋がはっきりしていて平明な言葉で書かれた小説を読める。</t>
  </si>
  <si>
    <t xml:space="preserve">特定の箇所を読み返し、望めば参考資料を使えるなら、多様な文学テキストを読んで味わえる。</t>
  </si>
  <si>
    <t xml:space="preserve">古典的・口語的な文学・非文学テキストを含むほぼあらゆる形式のテキストをジャンルを問わず読み、文体の微妙な違いや明示的・暗示的な意味を味わえる。</t>
  </si>
  <si>
    <t xml:space="preserve">添えられた絵やアイコンから語の意味を推測できる。</t>
  </si>
  <si>
    <t xml:space="preserve">普段使っている言語の語と似た未知の語の意味を推測できる。</t>
  </si>
  <si>
    <t xml:space="preserve">数字・日付・名前・固有名詞などを手がかりに、テキストの話題を特定できる。</t>
  </si>
  <si>
    <t xml:space="preserve">日常の決まった文脈で使われる短い表現の中で、既知の語の認識を手がかりに未知の語の意味を推測できる。</t>
  </si>
  <si>
    <t xml:space="preserve">短い物語を見聞きして、次に何が起こるか予測できる。</t>
  </si>
  <si>
    <t xml:space="preserve">テキスト全体を考慮に入れて、一節の意味を推定できる。</t>
  </si>
  <si>
    <t xml:space="preserve">要点への注意や文脈的手がかりによる理解確認など、さまざまな方略を使って理解を達成できる。</t>
  </si>
  <si>
    <t xml:space="preserve">文脈・文法・語彙の手がかりを使って態度・気分・意図を推測し、次の展開を予測することに長けている。</t>
  </si>
  <si>
    <t xml:space="preserve">自分について、基本的な個人情報（名前・住所・家族・国籍など）を伝える短い句を産出できる。</t>
  </si>
  <si>
    <t xml:space="preserve">人や場所について、簡単な、主に孤立した句を産出できる。</t>
  </si>
  <si>
    <t xml:space="preserve">人・生活や労働の条件・日課・好き嫌いなどを、簡単な句や文をつないだ短い列挙として、簡単に記述・発表できる。</t>
  </si>
  <si>
    <t xml:space="preserve">関心分野のさまざまな主題のひとつについて、論点を直線的に並べる形で、かなり流暢に率直な記述を続けられる。</t>
  </si>
  <si>
    <t xml:space="preserve">関心分野に関わる幅広い主題について、補助的な論点や適切な例でアイディアを広げ裏づけながら、明快で詳細な記述やプレゼンテーションができる。</t>
  </si>
  <si>
    <t xml:space="preserve">重要な点を適切に強調し、関連する詳細で裏づけた、明快で体系的に展開された記述やプレゼンテーションができる。</t>
  </si>
  <si>
    <t xml:space="preserve">複雑な主題について、下位テーマを組み込み、特定の点を展開し、適切な結論で締めくくる、明快で詳細な記述やプレゼンテーションができる。</t>
  </si>
  <si>
    <t xml:space="preserve">明快でよどみなく流れる、よく構成された談話を効果的な論理構造で産出し、受け手が重要な点に気づき記憶するのを助けられる。</t>
  </si>
  <si>
    <t xml:space="preserve">「うれしい」「疲れた」のような簡単な形容詞を身振りを添えて使い、自分の気分を表現できる。</t>
  </si>
  <si>
    <t xml:space="preserve">自分自身、していること、住んでいる場所を記述できる。</t>
  </si>
  <si>
    <t xml:space="preserve">人・場所・持ち物を簡単な言葉で記述できる。</t>
  </si>
  <si>
    <t xml:space="preserve">あるものについて何が好きか嫌いかを説明できる。</t>
  </si>
  <si>
    <t xml:space="preserve">物語を語れる。</t>
  </si>
  <si>
    <t xml:space="preserve">経験したことについての気持ちをはっきり表現し、その理由を説明できる。</t>
  </si>
  <si>
    <t xml:space="preserve">出来事や経験の個人的な意味を詳しく記述できる。</t>
  </si>
  <si>
    <t xml:space="preserve">複雑な主題を明快かつ詳細に記述できる。</t>
  </si>
  <si>
    <t xml:space="preserve">明快でよどみなく、入念で、しばしば印象に残る記述ができる。</t>
  </si>
  <si>
    <t xml:space="preserve">事前に準備できれば、基本的な語・句・定型表現を使い、物を見せながらその名前と形や色を示せる。</t>
  </si>
  <si>
    <t xml:space="preserve">「右に曲がる」「まっすぐ行く」のような基本表現と「まず」「それから」「次に」のような順序の接続語を使って、XからYへの簡単な道順を教えられる。</t>
  </si>
  <si>
    <t xml:space="preserve">事前に準備できれば、身近な話題の率直な事実情報（問題の性質の説明や詳しい道順など）を報告できる。</t>
  </si>
  <si>
    <t xml:space="preserve">詳細な指示を与えながら、何かのやり方を記述できる。</t>
  </si>
  <si>
    <t xml:space="preserve">詳細な情報を確実に伝えられる。</t>
  </si>
  <si>
    <t xml:space="preserve">自分の職務に関わるあらゆる事柄について、複雑な情報や助言を伝えられる。</t>
  </si>
  <si>
    <t xml:space="preserve">一連の複雑な職業的・学術的手順の実行について指示できる。</t>
  </si>
  <si>
    <t xml:space="preserve">相手が辛抱強ければ、自分の意見を簡単な言葉で提示できる。</t>
  </si>
  <si>
    <t xml:space="preserve">あるものの何が好きか嫌いか、なぜ一方を他方より好むかを、簡単で直接的な比較をしながら説明できる。</t>
  </si>
  <si>
    <t xml:space="preserve">意見・計画・行動について、理由や説明を手短に述べられる。</t>
  </si>
  <si>
    <t xml:space="preserve">身近な話題についての見解を正当化する簡単な理由を挙げられる。</t>
  </si>
  <si>
    <t xml:space="preserve">筋道立った論の連鎖を組み立てられる。</t>
  </si>
  <si>
    <t xml:space="preserve">重要な点を適切に強調し、関連する詳細で裏づけながら、体系的に論を展開できる。</t>
  </si>
  <si>
    <t xml:space="preserve">複雑な問題について、論点を精密に定式化し、効果的に強調を使いながら論を立てられる。</t>
  </si>
  <si>
    <t xml:space="preserve">予測可能な学習済みの内容のごく短い練習済みアナウンスを、集中して聞く用意のある相手に理解可能な形でできる。</t>
  </si>
  <si>
    <t xml:space="preserve">自分の分野の日常的な出来事に関わる話題について、短い練習済みのアナウンスができる。強勢やイントネーションに問題があっても、明瞭に理解可能である。</t>
  </si>
  <si>
    <t xml:space="preserve">大半の一般的な話題について、受け手に負担や不便をかけない明瞭さ・流暢さ・自発性でアナウンスできる。</t>
  </si>
  <si>
    <t xml:space="preserve">強勢とイントネーションで意味の微妙な陰影まで正確に伝えながら、ほとんど苦もなく流暢にアナウンスできる。</t>
  </si>
  <si>
    <t xml:space="preserve">ごく短い準備済みのテキストを使って、練習済みの発言ができる（人を正式に紹介する、乾杯の音頭を取るなど）。</t>
  </si>
  <si>
    <t xml:space="preserve">身近な主題について、短い練習済みの基本的なプレゼンテーションができる。</t>
  </si>
  <si>
    <t xml:space="preserve">限られた数の率直な追加質問に対応できる。</t>
  </si>
  <si>
    <t xml:space="preserve">追加質問を受けられるが、話し方が速いと繰り返しを求めることがある。</t>
  </si>
  <si>
    <t xml:space="preserve">自分の分野の身近な話題について、類似点と相違点（製品間、国・地域間、計画間など）を概説する準備済みのプレゼンテーションができる。</t>
  </si>
  <si>
    <t xml:space="preserve">自分にも聴衆にも負担にならない程度の流暢さと自発性で、一連の追加質問を受けられる。</t>
  </si>
  <si>
    <t xml:space="preserve">重要な点を強調し、関連する詳細で裏づけた、明快で体系的に展開されたプレゼンテーションができる。</t>
  </si>
  <si>
    <t xml:space="preserve">不規則な発言をうまく処理し、ほとんど苦もなく自発的に応答できる。</t>
  </si>
  <si>
    <t xml:space="preserve">難しい質問や敵対的な質問さえも処理できる。</t>
  </si>
  <si>
    <t xml:space="preserve">辞書を使ってもよいので、基本的な個人情報（名前・住所・国籍など）を書ける。</t>
  </si>
  <si>
    <t xml:space="preserve">簡単な孤立した句や文を産出できる。</t>
  </si>
  <si>
    <t xml:space="preserve">「そして」「しかし」「なぜなら」のような簡単な接続語でつないだ、簡単な句や文の連なりを産出できる。</t>
  </si>
  <si>
    <t xml:space="preserve">短い個別の要素を直線的につなげて、関心分野の身近な主題について率直なまとまったテキストを産出できる。</t>
  </si>
  <si>
    <t xml:space="preserve">関心分野に関わる多様な主題について、複数の情報源からの情報や論点を統合・評価しながら、明快で詳細なテキストを産出できる。</t>
  </si>
  <si>
    <t xml:space="preserve">多様なジャンルの構造と慣習を使い分け、宛先・テキストの種類・主題に応じて語調・文体・言語使用域を変えられる。</t>
  </si>
  <si>
    <t xml:space="preserve">適切で効果的な文体と、読み手が重要な点を見つけやすい論理構造をもつ、明快でよどみない複雑なテキストを産出できる。</t>
  </si>
  <si>
    <t xml:space="preserve">部屋の様子をごく簡単な言葉で記述できる。</t>
  </si>
  <si>
    <t xml:space="preserve">人物についての短く簡単な想像上の伝記や簡単な詩を作れる。</t>
  </si>
  <si>
    <t xml:space="preserve">出来事・過去の活動・個人的経験について、ごく短い基本的な記述ができる。</t>
  </si>
  <si>
    <t xml:space="preserve">物語を書ける。</t>
  </si>
  <si>
    <t xml:space="preserve">物語文の中で時間の順序を明確に示せる。</t>
  </si>
  <si>
    <t xml:space="preserve">映画・本・演劇のレビューを書ける。</t>
  </si>
  <si>
    <t xml:space="preserve">現実または想像上の出来事や経験について、アイディア間の関係を明確に示したまとまったテキストで、当該ジャンルの確立した慣習に従いながら、明快で詳細な記述ができる。</t>
  </si>
  <si>
    <t xml:space="preserve">慣用句やユーモアを取り込めるが、ユーモアの使用は必ずしも適切とは限らない。</t>
  </si>
  <si>
    <t xml:space="preserve">慣用句やユーモアを適切に活用してテキストの効果を高められる。</t>
  </si>
  <si>
    <t xml:space="preserve">「そして」「なぜなら」「それから」のような接続語で文をつなぎ、関心のある身近な主題について簡単なテキストを書ける。</t>
  </si>
  <si>
    <t xml:space="preserve">写真と短い文章ブロックを使って、短い報告やポスターで話題を提示できる。</t>
  </si>
  <si>
    <t xml:space="preserve">関心のある話題について、短く簡単なエッセイを書ける。</t>
  </si>
  <si>
    <t xml:space="preserve">複数の情報源からの情報と論点を統合できる。</t>
  </si>
  <si>
    <t xml:space="preserve">問題に対する異なるアイディアや解決策を評価できる。</t>
  </si>
  <si>
    <t xml:space="preserve">補助的な論点・理由・適切な例を挙げて、見解をある程度の長さで展開し裏づけられる。</t>
  </si>
  <si>
    <t xml:space="preserve">読み手が重要な点を見つけやすい、適切で効果的な論理構造を与えられる。</t>
  </si>
  <si>
    <t xml:space="preserve">自分のレパートリーから適切な言い回しを思い出して練習できる。</t>
  </si>
  <si>
    <t xml:space="preserve">使える手立てを活用し、思い出せる・表現手段を見つけられる範囲にメッセージを限定して、伝えたい要点の伝え方を工夫できる。</t>
  </si>
  <si>
    <t xml:space="preserve">新しい組み合わせや表現を練習して試し、フィードバックを求められる。</t>
  </si>
  <si>
    <t xml:space="preserve">受け手への効果を考慮して、言うべきことと言い方を計画できる。</t>
  </si>
  <si>
    <t xml:space="preserve">複雑または気まずくなりそうな状況に備えて、相手の異なる反応に応じて何を言うかを、どんな表現が適切かを考えながら計画できる。</t>
  </si>
  <si>
    <t xml:space="preserve">より公式なテキストを準備する際に、その種類のテキストに結びついた慣習（構成、丁寧さの度合いなど）を意識的に採用できる。</t>
  </si>
  <si>
    <t xml:space="preserve">何かを指してそれが何かを尋ねられる。</t>
  </si>
  <si>
    <t xml:space="preserve">必要を伝える際に、簡単な語を身振りで補える。</t>
  </si>
  <si>
    <t xml:space="preserve">指し示すことで意図を伝えられる（「これをください」など）。</t>
  </si>
  <si>
    <t xml:space="preserve">レパートリーの中の不十分な語を使い、身振りで意味を明確化できる。</t>
  </si>
  <si>
    <t xml:space="preserve">第一言語の語を「外国語風」にして使い、正しいか確認を求められる。</t>
  </si>
  <si>
    <t xml:space="preserve">語を思い出せない具体的な事物の特徴を説明できる。</t>
  </si>
  <si>
    <t xml:space="preserve">迂言を使うか難しい表現を避けることで、大半のコミュニケーション上の問題に対処できる。</t>
  </si>
  <si>
    <t xml:space="preserve">語彙や構造の欠落を迂言や言い換えで補える。</t>
  </si>
  <si>
    <t xml:space="preserve">語彙の選択肢を創造的に活用し、ほぼあらゆる状況で迂言をすぐに効果的に使える。</t>
  </si>
  <si>
    <t xml:space="preserve">思い出せない語の代わりに同等の語を、ほとんど気づかれないほど滑らかに使える。</t>
  </si>
  <si>
    <t xml:space="preserve">使った形が正しいか確認を求められる。</t>
  </si>
  <si>
    <t xml:space="preserve">相手が問題を指摘してくれれば、時制の混同や誤解を招く表現を修正できる。</t>
  </si>
  <si>
    <t xml:space="preserve">自分が繰り返す間違いを記録し、意識的に監視できる。</t>
  </si>
  <si>
    <t xml:space="preserve">時折の「言い間違い」や非体系的な誤り、文構造の小さな欠陥に後から気づいて修正できることが多い。</t>
  </si>
  <si>
    <t xml:space="preserve">非常に効果的に自己修正できる。</t>
  </si>
  <si>
    <t xml:space="preserve">相手がほとんど気づかないほど滑らかに、困難な箇所で言い直し、組み立て直せる。</t>
  </si>
  <si>
    <t xml:space="preserve">短い定型表現を使い、身振りで情報を補強しながら、自分自身や日課について質問し答えられる。</t>
  </si>
  <si>
    <t xml:space="preserve">簡単な方法でやりとりできるが、コミュニケーションは、ゆっくりした繰り返し・言い換え・修復に全面的に依存する。差し迫った必要やごく身近な話題について、簡単な質問をし、答え、簡単な発言を始め、それに応じられる。</t>
  </si>
  <si>
    <t xml:space="preserve">仕事や余暇に関わる身近で日常的な事柄について、簡単で直接的な情報交換を必要とする単純な日常的課題でコミュニケーションできる。ごく短い社交的なやりとりはこなせるが、自力で会話を続けられるほど理解できることはまれである。</t>
  </si>
  <si>
    <t xml:space="preserve">必要なら相手が助けてくれるという条件で、構造化された状況や短い会話で比較的楽にやりとりできる。簡単で日常的なやりとりを無理なくこなし、予測可能な日常の状況で、身近な話題について質問し答え、考えや情報を交換できる。</t>
  </si>
  <si>
    <t xml:space="preserve">旅行中に起こりそうな大半の状況に、幅広い簡単な言葉を活用して対処できる。身近な話題の会話に準備なしに入り、個人的な意見を述べ、身近な話題や個人的関心事、日常生活に関わる話題（家族、趣味、仕事、旅行、時事など）について情報交換できる。</t>
  </si>
  <si>
    <t xml:space="preserve">自分の関心や職業分野に関わる日常的・非日常的な事柄について、ある程度自信をもってコミュニケーションできる。情報を交換・照合・確認し、あまり日常的でない状況に対処し、何かが問題である理由を説明できる。映画・本・音楽など、より抽象的・文化的な話題についても考えを表現できる。</t>
  </si>
  <si>
    <t xml:space="preserve">目標言語の使用者との日常的なやりとりや継続的な関係を、双方に負担をかけずに十分可能にする程度の流暢さと自発性でやりとりできる。出来事や経験の個人的な意味を強調し、適切な説明や論拠で自分の見解をはっきり述べ、支持できる。</t>
  </si>
  <si>
    <t xml:space="preserve">一般・学術・職業・余暇の幅広い話題について、アイディア間の関係を明確に示しながら、流暢に正確に効果的に言葉を使える。言いたいことを制限する様子をあまり見せず、状況に応じた丁寧さで、優れた文法制御のもと自発的にコミュニケーションできる。</t>
  </si>
  <si>
    <t xml:space="preserve">流暢に自発的に、ほとんど苦もなく自己表現できる。広い語彙レパートリーを使いこなし、足りない部分は迂言ですぐに補える。表現探しや回避方略が目立つことは少なく、概念的に難しい主題だけが自然で滑らかな流れを妨げうる。</t>
  </si>
  <si>
    <t xml:space="preserve">慣用表現や口語表現を使いこなし、含意のレベルを意識している。幅広い修飾手段をかなり正確に使い、意味の微妙な陰影を正確に伝えられる。困難な箇所では、相手がほとんど気づかないほど滑らかに言い直せる。</t>
  </si>
  <si>
    <t xml:space="preserve">ゆっくり明瞭に尋ねられれば、自分に直接関わる簡単な質問（名前・年齢・住所など）を理解できる。</t>
  </si>
  <si>
    <t xml:space="preserve">注意深くゆっくり自分に向けられた質問や指示を理解し、短く簡単な道順の指示に従える。</t>
  </si>
  <si>
    <t xml:space="preserve">簡単な日常会話で、明瞭にゆっくり直接自分に向けて話されたことを理解できる。相手が手間をかけてくれれば、理解に至ることができる。</t>
  </si>
  <si>
    <t xml:space="preserve">簡単で日常的なやりとりを無理なくこなせる程度に理解できる。</t>
  </si>
  <si>
    <t xml:space="preserve">日常会話で自分に向けられた明瞭な話を追えるが、特定の語句の繰り返しを求めることが時々ある。</t>
  </si>
  <si>
    <t xml:space="preserve">騒がしい環境でも、標準語または馴染みのある変種で自分に向けられた話を詳細に理解できる。</t>
  </si>
  <si>
    <t xml:space="preserve">自分の分野を超えた専門的で抽象的・複雑な話題について、対話相手の話を詳細に理解できる。ただし、特に変種に馴染みがない場合、時折細部の確認が必要なことがある。</t>
  </si>
  <si>
    <t xml:space="preserve">あまり馴染みのない変種に慣れる機会があれば、自分の分野を超えた専門的で抽象的・複雑な話題でも、どんな対話相手でも理解できる。</t>
  </si>
  <si>
    <t xml:space="preserve">簡単な挨拶を認識できる。</t>
  </si>
  <si>
    <t xml:space="preserve">好きなものと嫌いなものを言える。</t>
  </si>
  <si>
    <t xml:space="preserve">自分の気持ちを簡単な言葉で表現し、感謝を伝えられる。</t>
  </si>
  <si>
    <t xml:space="preserve">身近な話題の会話に準備なしに入れる。</t>
  </si>
  <si>
    <t xml:space="preserve">相手が理解を支える努力をしてくれれば、共通の関心事について比較的長い会話ができる。</t>
  </si>
  <si>
    <t xml:space="preserve">感情の度合いを伝え、出来事や経験の個人的な意味を強調できる。</t>
  </si>
  <si>
    <t xml:space="preserve">留保やためらいを示し、依頼への同意や許可に条件をつけ、自分の立場への理解を求められる。</t>
  </si>
  <si>
    <t xml:space="preserve">感情表現・ほのめかし・冗談を含め、社交目的で言葉を柔軟かつ効果的に使える。</t>
  </si>
  <si>
    <t xml:space="preserve">言語的な制約に妨げられず、快適に適切に会話し、十全な社交・個人生活を送れる。</t>
  </si>
  <si>
    <t xml:space="preserve">明瞭にゆっくり直接話しかけられれば、限られた表現のレパートリーで、スポーツや食べ物などの好き嫌いを伝え合える。</t>
  </si>
  <si>
    <t xml:space="preserve">限られた形で意見を表明できる。</t>
  </si>
  <si>
    <t xml:space="preserve">他者に賛成・反対できる。</t>
  </si>
  <si>
    <t xml:space="preserve">信念・意見・賛否を丁寧に表現できる。</t>
  </si>
  <si>
    <t xml:space="preserve">なぜ問題なのかを説明できる。</t>
  </si>
  <si>
    <t xml:space="preserve">熟達した話者どうしの活発な議論についていける。</t>
  </si>
  <si>
    <t xml:space="preserve">抽象的で複雑な未知の話題でも、グループ討議での第三者間の複雑なやりとりを容易に追い、貢献できる。</t>
  </si>
  <si>
    <t xml:space="preserve">デリケートな問題について気まずさなく助言・議論でき、口語的な言及を理解し、意見の相違や批判に外交的に対処できる。</t>
  </si>
  <si>
    <t xml:space="preserve">必要なら要点の繰り返しを求められるという条件で、公式の会議で直接話を向けられたときに、物事についての考えを表明できる。</t>
  </si>
  <si>
    <t xml:space="preserve">ゆっくり明瞭に行われる自分の分野の公式討議で、話題の変化をおおむね追える。</t>
  </si>
  <si>
    <t xml:space="preserve">論点が比較的簡単な言葉で示されるか繰り返され、明確化の機会が与えられれば、身近または予測可能な話題の論証や議論を追える。</t>
  </si>
  <si>
    <t xml:space="preserve">見解を明確に伝えられるが、討論への参加は難しい。</t>
  </si>
  <si>
    <t xml:space="preserve">日常的・非日常的な公式討議に積極的に参加できる。</t>
  </si>
  <si>
    <t xml:space="preserve">専門家どうしで自分の専門分野を議論する際に、適切な専門用語を使える。</t>
  </si>
  <si>
    <t xml:space="preserve">批判や反対を外交的に表明できる。</t>
  </si>
  <si>
    <t xml:space="preserve">敵対的な質問に自信をもって対処し、発言権を保ち、反論を外交的に退けられる。</t>
  </si>
  <si>
    <t xml:space="preserve">物を頼み、物を渡せる。</t>
  </si>
  <si>
    <t xml:space="preserve">話についていっていることを示せる。相手が手間をかけてくれれば、必要なことを理解させてもらえる。</t>
  </si>
  <si>
    <t xml:space="preserve">次に何をするかを話し合い、提案をし、それに応じ、指示を求め、与えられる。</t>
  </si>
  <si>
    <t xml:space="preserve">進め方について他の人に意見を求められる。</t>
  </si>
  <si>
    <t xml:space="preserve">他者の見解に短いコメントができる。</t>
  </si>
  <si>
    <t xml:space="preserve">詳細な指示を確実に理解できる。</t>
  </si>
  <si>
    <t xml:space="preserve">パートナーやグループと行動方針を決める議論を組み立て、他者の発言を報告し、複数の視点を要約・敷衍・比較検討できる。</t>
  </si>
  <si>
    <t xml:space="preserve">指差しなどの身振りで言葉を補えるなら、簡単な買い物や飲食物の注文ができる。</t>
  </si>
  <si>
    <t xml:space="preserve">数・量・価格・時刻を扱える。</t>
  </si>
  <si>
    <t xml:space="preserve">食事を注文できる。</t>
  </si>
  <si>
    <t xml:space="preserve">旅行・宿泊・食事・買い物など、日常生活の一般的な側面に対処できる。</t>
  </si>
  <si>
    <t xml:space="preserve">賃貸契約など、より複雑なサービスについて、要件を述べ、詳細な質問ができる。</t>
  </si>
  <si>
    <t xml:space="preserve">公的・職業的・学術的生活における複雑またはデリケートな取引を交渉できる。</t>
  </si>
  <si>
    <t xml:space="preserve">電話番号を尋ね、教えられる。</t>
  </si>
  <si>
    <t xml:space="preserve">数・量・価格を限られた形で表現できる。</t>
  </si>
  <si>
    <t xml:space="preserve">個人情報を尋ね、提供できる。</t>
  </si>
  <si>
    <t xml:space="preserve">より詳しい情報を入手できる。</t>
  </si>
  <si>
    <t xml:space="preserve">自分の分野の身近な日常的・非日常的な事柄について、蓄積した事実情報をある程度自信をもって交換・照合・確認できる。</t>
  </si>
  <si>
    <t xml:space="preserve">詳細な情報を確実に伝達できる。</t>
  </si>
  <si>
    <t xml:space="preserve">自分の職務に関わるあらゆる事柄について、複雑な情報や助言を理解し、交換できる。</t>
  </si>
  <si>
    <t xml:space="preserve">個人的な事柄について、非常にゆっくり明瞭に、直接的で慣用表現のない言葉で尋ねられれば、面接で簡単で直接的な質問に答えられる。</t>
  </si>
  <si>
    <t xml:space="preserve">面接で簡単な質問に答え、簡単な発言に応じられる。</t>
  </si>
  <si>
    <t xml:space="preserve">風邪やインフルエンザのようなごく基本的な症状や不調を医師に説明できる。</t>
  </si>
  <si>
    <t xml:space="preserve">準備した質問票を使って構造化された面接を行い、いくらか自発的な追加質問もできる。</t>
  </si>
  <si>
    <t xml:space="preserve">面接や相談で求められる具体的な情報（医師に症状を説明するなど）を提供できるが、正確さは限られる。</t>
  </si>
  <si>
    <t xml:space="preserve">面接で主導権を取り、面接者の助けや促しをほとんど受けずにアイディアを広げ、展開できる。</t>
  </si>
  <si>
    <t xml:space="preserve">準備した質問から自発的に離れ、興味深い回答を追いかけて掘り下げながら、効果的で流暢な面接を行える。</t>
  </si>
  <si>
    <t xml:space="preserve">面接者・被面接者のいずれとしても面接に十全に参加でき、支援なしに論点を流暢に広げて展開し、不規則な発言もうまく処理できる。</t>
  </si>
  <si>
    <t xml:space="preserve">面接者・被面接者のいずれとしても、談話を組み立て、苦もない流暢さで堂々とやりとりし、他の参加者に引けを取らずに、自分の側の対話を非常にうまく維持できる。</t>
  </si>
  <si>
    <t xml:space="preserve">簡単な伝言（「飛行機が遅れて10時に着く」など）を理解し、内容を確認し、電話で関係者に伝えられる。</t>
  </si>
  <si>
    <t xml:space="preserve">友人と電話などで簡単な近況を伝え合い、計画を立て、会う約束ができる。</t>
  </si>
  <si>
    <t xml:space="preserve">個人的に知っている人と、比較的簡単だが長めの会話を電話などでできる。</t>
  </si>
  <si>
    <t xml:space="preserve">時々明確化を求められるという条件で、日常の個人的・職業的な目的で電話などの通信を使える。</t>
  </si>
  <si>
    <t xml:space="preserve">知っている人と、さまざまな話題について電話で長いくだけた会話ができる。</t>
  </si>
  <si>
    <t xml:space="preserve">大半の職業的・個人的な目的で、電話などの通信を効果的に使える。</t>
  </si>
  <si>
    <t xml:space="preserve">多少の雑音があったり相手のアクセントに馴染みがなくても、個人・職業の両方の目的で自信をもって効果的に電話などの通信を使える。</t>
  </si>
  <si>
    <t xml:space="preserve">辞書を使ってもよいので、基本情報（名前・住所・家族など）を用紙やメモに短い句で書ける。</t>
  </si>
  <si>
    <t xml:space="preserve">個人的な詳細を尋ね、伝えられる。</t>
  </si>
  <si>
    <t xml:space="preserve">差し迫った必要のある領域の事柄について、短く簡単な定型的メモを書ける。</t>
  </si>
  <si>
    <t xml:space="preserve">直接関わりのある簡単な情報を求めたり伝えたりする個人的な手紙やメモを書き、重要と思う点を伝えられる。</t>
  </si>
  <si>
    <t xml:space="preserve">抽象的・具体的な話題について情報や考えを伝え、情報を確認し、問題についてある程度正確に質問・説明できる。</t>
  </si>
  <si>
    <t xml:space="preserve">文章でニュースや見解を効果的に伝え、他者のそれに応じられる。</t>
  </si>
  <si>
    <t xml:space="preserve">明晰さと正確さをもって自己表現し、相手に柔軟かつ効果的に関われる。</t>
  </si>
  <si>
    <t xml:space="preserve">ほぼあらゆる種類の公式・非公式のやりとりで、適切な語調と文体で自己表現できる。</t>
  </si>
  <si>
    <t xml:space="preserve">辞書を参照しながら、基本的な個人情報を短い句や文で伝えられる。</t>
  </si>
  <si>
    <t xml:space="preserve">感謝や詫びを伝えるごく簡単な個人的な手紙を書ける。</t>
  </si>
  <si>
    <t xml:space="preserve">相手からの質問に答えながら、テキストメッセージ・メール・短い手紙で情報（新製品や活動についてなど）を交換できる。</t>
  </si>
  <si>
    <t xml:space="preserve">限られた裏づけ情報を添えた基本的な応募の手紙を書ける。</t>
  </si>
  <si>
    <t xml:space="preserve">適切な言語使用域と慣習を使って、招待・感謝・詫びの公式なメールや手紙を書ける。</t>
  </si>
  <si>
    <t xml:space="preserve">個人的な通信文で、感情・ほのめかし・冗談を含め言葉を柔軟かつ効果的に使い、明晰かつ正確に自己表現できる。</t>
  </si>
  <si>
    <t xml:space="preserve">職業生活で必要となるほぼあらゆる種類の通信文を、適切な語調と文体で書ける。</t>
  </si>
  <si>
    <t xml:space="preserve">氏名・住所・国籍・婚姻状況といった基本的な個人情報を、ごく簡単な登録用紙に記入できる。</t>
  </si>
  <si>
    <t xml:space="preserve">ホテルの宿泊カードなどに、数字・日付・氏名・国籍・住所・年齢・生年月日・入国日などを記入できる。</t>
  </si>
  <si>
    <t xml:space="preserve">差し迫った必要のある領域の事柄について、短く簡単なメモや伝言を作成できる。</t>
  </si>
  <si>
    <t xml:space="preserve">繰り返しや言い直しを求められるという条件で、短く簡単な伝言を受けられる。</t>
  </si>
  <si>
    <t xml:space="preserve">相手が明瞭に配慮して口述してくれれば、複数の要点を含む電話の伝言を受けられる。</t>
  </si>
  <si>
    <t xml:space="preserve">問い合わせを伝え、問題を説明する伝言を受けられる。</t>
  </si>
  <si>
    <t xml:space="preserve">必要に応じて明確化や詳述を求められるという条件で、複雑な個人的・職業的な伝言を受けたり残したりできる。</t>
  </si>
  <si>
    <t xml:space="preserve">基本的な定型表現や絵文字を使って、簡単なオンラインの挨拶を投稿できる。</t>
  </si>
  <si>
    <t xml:space="preserve">翻訳ツールの助けを借りながら、趣味や好き嫌いなどについて、ごく短い文の連なりとして、ごく簡単なメッセージや個人的なオンライン投稿を作れる。</t>
  </si>
  <si>
    <t xml:space="preserve">基本的な社交的コミュニケーションをオンラインで行える（特別な機会のバーチャルカードへの簡単なメッセージ、近況の共有、会う約束の設定・確認など）。</t>
  </si>
  <si>
    <t xml:space="preserve">日常の事柄・社交活動・気持ちについて、簡単な重要事項を添えた短い記述的なオンライン投稿ができる。</t>
  </si>
  <si>
    <t xml:space="preserve">事前にテキストを準備し、オンラインツールで言葉の欠落を補い正確さを確認できるなら、関心のある身近な話題のオンライン議論に理解可能な投稿ができる。</t>
  </si>
  <si>
    <t xml:space="preserve">埋め込みリンクやメディアに言及し、個人的な感想を共有しながら、社交行事・経験・活動についてオンラインに投稿できる。</t>
  </si>
  <si>
    <t xml:space="preserve">相手が協力的であれば、オンラインのやりとりで生じた誤解や意見の相違を認識し、対処できる。</t>
  </si>
  <si>
    <t xml:space="preserve">スレッド内の以前の投稿に自分の投稿を結びつけ、文化的含意を理解し、適切に反応しながら、オンラインのやりとりに参加できる。</t>
  </si>
  <si>
    <t xml:space="preserve">職業的・学術的なライブのオンラインチャットや議論で、論点を評価し、言い直し、反論できる。</t>
  </si>
  <si>
    <t xml:space="preserve">異なるオンライン環境・コミュニケーション目的・発話行為に合わせて、言語使用域と文体を容易かつ素早く適応させられる。</t>
  </si>
  <si>
    <t xml:space="preserve">視覚的な補助があれば、簡単なオンライン購入・申込フォームで選択（商品・サイズ・色を選ぶなど）ができる。</t>
  </si>
  <si>
    <t xml:space="preserve">基本的な個人情報（名前、メールアドレス、電話番号など）を入力して、ごく簡単なオンラインの購入や申し込みを完了できる。</t>
  </si>
  <si>
    <t xml:space="preserve">商品や機能の有無について基本的な質問ができる。</t>
  </si>
  <si>
    <t xml:space="preserve">オンライン取引で生じる日常的な問題（モデルや特価品の在庫、配達日、住所など）に定型表現で対応できる。</t>
  </si>
  <si>
    <t xml:space="preserve">共有課題をオンラインで達成するために、指示に応じ、質問や明確化の依頼ができる。</t>
  </si>
  <si>
    <t xml:space="preserve">プロジェクトに取り組むグループとオンラインでやりとりし、率直な指示に従い、明確化を求め、共有課題の達成を助けられる。</t>
  </si>
  <si>
    <t xml:space="preserve">プロジェクトに取り組むグループとオンラインで協働し、提案を正当化し、明確化を求め、共有課題の達成に向けて支援的な役割を果たせる。</t>
  </si>
  <si>
    <t xml:space="preserve">オンラインの協働や取引のやりとりで生じた誤解や予期しない問題に、解決を助けるため丁寧かつ適切に応じることで対処できる。</t>
  </si>
  <si>
    <t xml:space="preserve">サービス提供者の立場で複雑なオンライン取引（複雑な要件のある申請など）に対応し、議論や交渉を運ぶために言葉を柔軟に調整できる。</t>
  </si>
  <si>
    <t xml:space="preserve">協働の過程で生じる誤解を解消し、摩擦に効果的に対処できる。</t>
  </si>
  <si>
    <t xml:space="preserve">注意を求められる。</t>
  </si>
  <si>
    <t xml:space="preserve">対面の簡単な会話を開始・維持・終了できる。</t>
  </si>
  <si>
    <t xml:space="preserve">身近または個人的に関心のある話題について、対面の簡単な会話を開始・維持・終了できる。</t>
  </si>
  <si>
    <t xml:space="preserve">適切な言い回しで発言権を得て、身近な話題の議論に割って入れる。</t>
  </si>
  <si>
    <t xml:space="preserve">効果的な発言権のやりとりで、談話を適切に開始・維持・終了できる。</t>
  </si>
  <si>
    <t xml:space="preserve">発言権を得るため、あるいは考えながら時間を稼ぎ発言権を保つために、手持ちの談話機能の言い回しから適切なものを選んで前置きできる。</t>
  </si>
  <si>
    <t xml:space="preserve">話についていっていることを示せる。</t>
  </si>
  <si>
    <t xml:space="preserve">他の人を議論に招き入れられる。</t>
  </si>
  <si>
    <t xml:space="preserve">議論の到達点を要約し、論点の焦点化を助けられる。</t>
  </si>
  <si>
    <t xml:space="preserve">議論のある段階での到達点を要約し、次のステップを提案できる。</t>
  </si>
  <si>
    <t xml:space="preserve">発言や推論にフィードバックし、それを受けて話を進め、議論の発展を助けられる。</t>
  </si>
  <si>
    <t xml:space="preserve">自分の発言を他者の発言に巧みに関係づけられる。</t>
  </si>
  <si>
    <t xml:space="preserve">自分の発言を他者の発言に巧みに結びつけ、やりとりの幅を広げ、結論へ導く手助けができる。</t>
  </si>
  <si>
    <t xml:space="preserve">理解できないことを簡単な方法で表現できる。</t>
  </si>
  <si>
    <t xml:space="preserve">話についていけていないことを示せる。</t>
  </si>
  <si>
    <t xml:space="preserve">理解できないとき、ごく簡単に繰り返しを求められる。</t>
  </si>
  <si>
    <t xml:space="preserve">相手が今言ったことの明確化や詳述を求められる。</t>
  </si>
  <si>
    <t xml:space="preserve">議論を前に進めるために、グループの他のメンバーに詳細や明確化を求められる。</t>
  </si>
  <si>
    <t xml:space="preserve">複雑で抽象的な考えを確実に理解するために、説明や明確化を求められる。</t>
  </si>
  <si>
    <t xml:space="preserve">相手の言おうとしたことを理解できたか確認する追加質問をし、曖昧な点の明確化を得られる。</t>
  </si>
  <si>
    <t xml:space="preserve">職業的・学術的な文脈で（対面でもオンラインでも）、複雑で抽象的な考えを確実に理解するために説明や明確化を求められる。</t>
  </si>
  <si>
    <t xml:space="preserve">簡単な語や非言語的な合図でアイディアへの関心を示せる。短く簡単な標識・掲示・ポスター・プログラムで与えられる、直接関心のある簡単で予測可能な情報を伝えられる。</t>
  </si>
  <si>
    <t xml:space="preserve">簡単な語で、何かを説明してくれるよう頼める。困難が生じたことに気づき、問題のおおよその性質を簡単な言葉で示せる。日常の身近な主題についての短く簡単な会話やテキストの要点を、それらが簡単な言葉で明瞭に表現されていれば伝えられる。</t>
  </si>
  <si>
    <t xml:space="preserve">他の参加者がゆっくり話し、一人以上が貢献や提案の表明を助けてくれるなら、やりとりの中で支援的な役割を果たせる。具体的で身近な主題を簡単な日常語で書いた、明確に構成された短く簡単な情報テキストの関連情報を伝えられる。</t>
  </si>
  <si>
    <t xml:space="preserve">異なる背景をもつ人々を紹介できる。質問によっては受け取り方が違いうることへの気づきを示し、他の人にも専門知識・経験・見解を出すよう促せる。語彙の制約で時に表現に苦労するものの、身近または個人的・時事的関心のある主題について、明快でよく構成された情報テキストの情報を伝えられる。</t>
  </si>
  <si>
    <t xml:space="preserve">異なる背景をもつ人々と協働できる。簡単な質問をし、それに答えて関心と共感を示し、提案をし、提案に応じ、同意するか尋ね、別のやり方を提案できる。特定の表現の意味を確認できるなら、個人的関心のある話題について、平易な言葉で表現された長いテキストの要点を伝えられる。</t>
  </si>
  <si>
    <t xml:space="preserve">異なる背景をもつ人々と協働し、支援を提供し、共通の目標を特定する質問をし、達成方法の選択肢を比較し、次にすべきことの提案を説明することで、前向きな雰囲気を作れる。他者のアイディアをさらに発展させ、異なる視点からの反応を招く問いを立て、解決策や次のステップを提案できる。職業・学術・個人的関心分野の複雑だがよく構成されたテキストの重要な点など、詳細な情報や論点を確実に伝えられる。</t>
  </si>
  <si>
    <t xml:space="preserve">アイディアを共有しやすい支援的な環境を作り、異なる視点への理解を示し、問題の掘り下げを促し、表現の仕方を細やかに調整しながら、デリケートな問題の議論を促進できる。他者のアイディアを土台に、前進の道筋を提案できる。職業・学術・個人的関心分野の、よく構成されているが長く命題的に複雑なテキストの主な内容を、話し手の意見や目的を明確にしながら伝えられる。</t>
  </si>
  <si>
    <t xml:space="preserve">異なる視点を解釈し、曖昧さを処理し、誤解を予期し、会話の方向を変えるために外交的に介入して、良好なやりとりの維持を助ける仲介者として効果的に行動できる。議論への多様な貢献を土台に、一連の質問で思考を刺激できる。長く複雑なテキストの重要な考えを、自分の関心分野かどうかに関わらず、評価的側面とニュアンスの大半を含めて、よく構成された言葉で明快かつ流暢に伝えられる。</t>
  </si>
  <si>
    <t xml:space="preserve">関係者と状況の必要に応じてさまざまな役割を引き受け、ニュアンスや底流を見きわめ、デリケートな議論を導きながら、効果的かつ自然に仲介できる。事実と論拠の提示のされ方を、明快で流暢な、よく構成された言葉で説明し、評価的側面とニュアンスの大半を正確に伝え、社会文化的含意（言語使用域、控えめな表現、皮肉など）を指摘できる。</t>
  </si>
  <si>
    <t xml:space="preserve">短く簡単な絵入りのテキスト（A言語）から、ごく基本的な情報（数字や価格など）を（B言語で）伝えられる。</t>
  </si>
  <si>
    <t xml:space="preserve">短く簡単な文（A言語）で与えられる時間や場所についての簡単で予測可能な情報を（B言語で）伝えられる。</t>
  </si>
  <si>
    <t xml:space="preserve">原文（A言語）が明瞭にゆっくり示されるなら、一連の短く簡単な指示を（B言語で）簡単に伝えられる。</t>
  </si>
  <si>
    <t xml:space="preserve">身近な主題についての短く簡単なテキスト・ラベル・掲示（A言語）にある特定の関連情報を（B言語で）伝えられる。</t>
  </si>
  <si>
    <t xml:space="preserve">普通の速さで明瞭に伝えられる公共のアナウンスやメッセージ（A言語）の内容を（B言語で）伝えられる。</t>
  </si>
  <si>
    <t xml:space="preserve">一般的な主題や関心分野に関わる公式の通信文や報告書（A言語）の要点を（B言語で）伝えられる。</t>
  </si>
  <si>
    <t xml:space="preserve">会議での発表（A言語）や本の中の論文（A言語）のうち、特定の目的にとりわけ関連が深いものがどれかを（B言語で）伝えられる。</t>
  </si>
  <si>
    <t xml:space="preserve">長く複雑なテキスト（A言語）の特定の節にある特定情報の関連性を、（B言語で）説明できる。</t>
  </si>
  <si>
    <t xml:space="preserve">ごく簡単な言葉で書かれ挿絵のある、直接関心のあるテキスト（A言語）から、名前・数字・価格などのごく簡単な情報を（B言語で）列挙できる。</t>
  </si>
  <si>
    <t xml:space="preserve">非常にゆっくり明瞭に、繰り返しつきで発話されるなら、口頭のテキスト（A言語）から名前・数字・価格などのごく簡単な直接関心のある情報を（B言語で）列挙できる。</t>
  </si>
  <si>
    <t xml:space="preserve">直接の関心や必要に関わる日常的な主題の簡単なテキスト（A言語）にある特定情報を（B言語で）列挙できる。</t>
  </si>
  <si>
    <t xml:space="preserve">具体的で身近な主題を簡単な日常語で書いた短く簡単な情報テキスト（A言語）にある特定情報を、（B言語で）書いて伝えられる。</t>
  </si>
  <si>
    <t xml:space="preserve">身近な主題についての率直な情報テキスト（A言語）にある特定の関連情報を、（B言語で）書いて伝えられる。</t>
  </si>
  <si>
    <t xml:space="preserve">会議（A言語）で下された関連する決定を、報告書（B言語）にして伝えられる。</t>
  </si>
  <si>
    <t xml:space="preserve">学術誌・専門誌の論文（A言語）の関連する要点を、（B言語で）書いて伝えられる。</t>
  </si>
  <si>
    <t xml:space="preserve">間・言い直し・組み立て直しが非常に目立つことはあっても、身近な話題の簡単な視覚資料（天気図、基本的なフローチャートなど。テキストはA言語）を（B言語で）解釈・記述できる。</t>
  </si>
  <si>
    <t xml:space="preserve">語彙の制約で時に表現に苦労するものの、簡単な図（グラフ、棒グラフなど。テキストはA言語）が示す全体的傾向を（B言語で）解釈・記述できる。</t>
  </si>
  <si>
    <t xml:space="preserve">語彙の欠落でためらいや不正確な表現が生じることはあっても、関心分野の図（テキストはA言語）の詳細情報を（B言語で）解釈・記述できる。</t>
  </si>
  <si>
    <t xml:space="preserve">関心分野の話題の複雑な図・グラフなど視覚的に整理された情報（テキストはA言語）の詳細情報を、（B言語で）確実に解釈・記述できる。</t>
  </si>
  <si>
    <t xml:space="preserve">複雑な学術的・職業的話題の複雑な図表など視覚的に整理された情報（テキストはA言語）の要点と詳細を、（B言語で）明快かつ確実に解釈・記述できる。</t>
  </si>
  <si>
    <t xml:space="preserve">学術的・職業的話題に関わる概念的に複雑な研究のさまざまな実証データや視覚的に整理された情報（テキストはA言語）を、（B言語で）明快かつ確実に解釈・記述できる。</t>
  </si>
  <si>
    <t xml:space="preserve">身近な話題の視覚資料（天気図、基本的なフローチャートなど。テキストはA言語）が示す主な事実を、（B言語の）簡単な文で記述できる。</t>
  </si>
  <si>
    <t xml:space="preserve">辞書などの参考資料の助けがあれば、簡単な図（グラフ、棒グラフなど。テキストはA言語）が示す全体的傾向を（B言語で）書いて解釈・提示し、重要な点をより詳しく説明できる。</t>
  </si>
  <si>
    <t xml:space="preserve">関心分野の図や視覚的に整理されたデータ（テキストはA言語）の詳細情報を、（B言語で）確実に書いて解釈・提示できる。</t>
  </si>
  <si>
    <t xml:space="preserve">複雑な学術的・職業的話題の複雑な図表など視覚的に整理されたデータ（テキストはA言語）の顕著で関連する点を、（B言語で）明快かつ確実に書いて解釈・提示できる。</t>
  </si>
  <si>
    <t xml:space="preserve">学術的・職業的話題の概念的に複雑な研究のさまざまな実証データ（テキストはA言語）を、（B言語で）書いて解釈・提示できる。</t>
  </si>
  <si>
    <t xml:space="preserve">短くごく簡単な標識・掲示・ポスター・プログラム（A言語）で与えられる簡単で予測可能な情報を（B言語で）伝えられる。</t>
  </si>
  <si>
    <t xml:space="preserve">明確に構成された短く簡単なテキスト（A言語）の要点を、限られたレパートリーを他の手段（身振り、絵、他言語の語など）で補いながら（B言語で）伝えられる。</t>
  </si>
  <si>
    <t xml:space="preserve">身近な話題の簡単で短い情報テキスト（A言語）の要点を（B言語で）要約できる。</t>
  </si>
  <si>
    <t xml:space="preserve">何度か視聴できるなら、テレビ番組や動画クリップ（A言語）の要点を（B言語で）要約できる。</t>
  </si>
  <si>
    <t xml:space="preserve">複数の情報源（A言語）から短い情報を集め、他の人のために（B言語で）要約できる。</t>
  </si>
  <si>
    <t xml:space="preserve">映画や演劇（A言語）の筋と出来事の流れを（B言語で）要約できる。</t>
  </si>
  <si>
    <t xml:space="preserve">複雑な議論（A言語）の要点を、提示された異なる見解を比較検討しながら（B言語で）要約できる。</t>
  </si>
  <si>
    <t xml:space="preserve">長く難度の高いテキスト（A言語）を（B言語で）要約できる。</t>
  </si>
  <si>
    <t xml:space="preserve">つながりや含意が明示されていない場合に（A言語の）推意を（B言語で）説明し、表現形式の社会文化的含意（控えめな表現、皮肉など）を指摘できる。</t>
  </si>
  <si>
    <t xml:space="preserve">標準的な印刷形式で提示された単語や短いテキストを書き写せる。</t>
  </si>
  <si>
    <t xml:space="preserve">印刷または明瞭な手書きの短いテキストを書き写せる。</t>
  </si>
  <si>
    <t xml:space="preserve">自分の限られた能力と経験の範囲内で、短いテキストからキーワードや句、短い文を拾って再現できる。</t>
  </si>
  <si>
    <t xml:space="preserve">原文の語句と順序を使いながら、短い一節を簡単に言い換えられる。</t>
  </si>
  <si>
    <t xml:space="preserve">一般的または個人的関心のある主題のテキスト（A言語）に含まれる情報と論点を（B言語で）書いて要約できる。</t>
  </si>
  <si>
    <t xml:space="preserve">関心・専門分野に関わる複雑なテキスト（A言語）の主な内容を（B言語で）書いて要約できる。</t>
  </si>
  <si>
    <t xml:space="preserve">複雑なテキスト（A言語）で表明された見解を、原文の特定の情報に言及して自分の推論を裏づけながら、（B言語で）書いて説明できる。</t>
  </si>
  <si>
    <t xml:space="preserve">時折、特殊な専門用語の正確な意味を確認できるなら、長く複雑なテキスト（A言語）を、内容を適切に解釈しながら（B言語で）書いて要約できる。</t>
  </si>
  <si>
    <t xml:space="preserve">複数の情報源からの情報を要約し、論拠や経緯を再構成して、全体の結果を首尾一貫した形で提示できる。</t>
  </si>
  <si>
    <t xml:space="preserve">標識・掲示・ポスター・プログラム・チラシなどで出会う簡単な日常の語や句（A言語の文書）を、（B言語へ）簡単で大まかに口頭で翻訳できる。</t>
  </si>
  <si>
    <t xml:space="preserve">短く簡単なテキスト（身近な主題の掲示など。A言語の文書）の最も本質的な点をとらえ、（B言語へ）簡単で大まかな口頭翻訳ができる。</t>
  </si>
  <si>
    <t xml:space="preserve">短く簡単な日常のテキスト（パンフレットの項目、掲示、指示、手紙、メールなど。A言語の文書）を（B言語へ）およそ口頭で翻訳できる。</t>
  </si>
  <si>
    <t xml:space="preserve">語彙の制約で時に表現に苦労するものの、身近または個人的関心のある主題の明快でよく構成された情報テキスト（A言語の文書）を（B言語へ）およそ口頭で翻訳できる。</t>
  </si>
  <si>
    <t xml:space="preserve">平明な標準語で書かれていれば、職業・学術・個人的関心分野の情報や論点を含むテキスト（A言語の文書）を（B言語へ）口頭で翻訳できる。</t>
  </si>
  <si>
    <t xml:space="preserve">職業・学術・個人的関心分野の情報や論点を含む複雑なテキスト（A言語の文書）を（B言語へ）口頭で翻訳できる。</t>
  </si>
  <si>
    <t xml:space="preserve">一般・専門の幅広い話題の複雑なテキスト（A言語の文書）を、ニュアンスの大半をとらえながら（B言語へ）流暢に口頭で翻訳できる。</t>
  </si>
  <si>
    <t xml:space="preserve">個人・学術・職業的関心のある幅広い主題の抽象的なテキスト（A言語の文書）を、評価的側面や論点を、それに伴うニュアンスや含意も含めてうまく伝えながら、（B言語へ）流暢に口頭で翻訳できる。</t>
  </si>
  <si>
    <t xml:space="preserve">辞書の助けを借りて、簡単な語や句を（A言語からB言語へ）翻訳できるが、適切な意味を選べないことがある。</t>
  </si>
  <si>
    <t xml:space="preserve">最高頻度の語彙を含む、身近で日常的なテーマのごく短いテキストを、簡単な言葉で（A言語からB言語へ）およそ翻訳できる。誤りはあっても、訳は理解可能である。</t>
  </si>
  <si>
    <t xml:space="preserve">平明な標準語で書かれた短い事実的テキストの情報の、およその翻訳（A言語からB言語へ）を作れる。誤りはあっても、訳は理解可能である。</t>
  </si>
  <si>
    <t xml:space="preserve">平明な標準語で書かれた率直な事実的テキストの、原文の構造に密着したおよその翻訳（A言語からB言語へ）を作れる。言語的な誤りはあっても、訳は理解可能である。</t>
  </si>
  <si>
    <t xml:space="preserve">原文（A言語）の文と段落の構造に密着した翻訳（B言語へ）を作り、原文の要点を正確に伝えられる。ただし訳文はぎこちないことがある。</t>
  </si>
  <si>
    <t xml:space="preserve">通常の言語使用を反映した、明確に構成された翻訳（A言語からB言語へ）を作れる。ただし原文の語順・段落分け・句読点・特定の言い回しに引きずられることがある。</t>
  </si>
  <si>
    <t xml:space="preserve">自分の分野の社会・学術・職業的主題の抽象的なテキスト（A言語）を、評価的側面や論点を、含意の多くも含めてうまく伝えながら（B言語へ）翻訳できる。ただし一部の表現が原文に引きずられることがある。</t>
  </si>
  <si>
    <t xml:space="preserve">当該分野の専門家が内容の正確さを確認してくれるなら、専門外の技術的文書（A言語）を（B言語へ）翻訳できる。</t>
  </si>
  <si>
    <t xml:space="preserve">主題が身近で予測可能であり、発表者が明確化やメモ取りの余地をくれるなら、プレゼンテーションや実演で簡単なノートを取れる。</t>
  </si>
  <si>
    <t xml:space="preserve">簡単な言葉で表現され、十分な時間が与えられれば、身近な主題の会議で日常的な指示をメモできる。</t>
  </si>
  <si>
    <t xml:space="preserve">話題が関心分野内で、講義が明快でよく構成されていれば、後で自分で使えるだけ正確なノートを講義中に取れる。</t>
  </si>
  <si>
    <t xml:space="preserve">関心分野で起こりそうな大半の事柄について、会議やセミナーで正確なノートを取れる。</t>
  </si>
  <si>
    <t xml:space="preserve">馴染みのない事柄でも、講義やセミナーの進行に合わせて、何をメモし何を省くか判断できる。</t>
  </si>
  <si>
    <t xml:space="preserve">話の含意やほのめかしに気づき、実際に使われた語と併せてメモできる。</t>
  </si>
  <si>
    <t xml:space="preserve">簡単な語で、作品がどんな気持ちにさせたかを述べられる。</t>
  </si>
  <si>
    <t xml:space="preserve">作品が気に入ったかどうかを述べ、簡単な言葉で理由を説明できる。</t>
  </si>
  <si>
    <t xml:space="preserve">登場人物の性格を記述できる。</t>
  </si>
  <si>
    <t xml:space="preserve">作品への情緒的な反応を記述し、それがどのように喚起されたかを詳しく述べられる。</t>
  </si>
  <si>
    <t xml:space="preserve">作品についての個人的解釈を詳しく述べ、特定の特徴への自分の反応を概説し、その意味を説明できる。</t>
  </si>
  <si>
    <t xml:space="preserve">高頻度の日常語だけで書かれた、身近な状況を扱う短く簡単な物語の主要なテーマと登場人物を、基本的な定型表現で特定し手短に記述できる。</t>
  </si>
  <si>
    <t xml:space="preserve">高頻度の日常語だけで書かれた、身近な状況を扱う短い物語の主要なテーマと登場人物を記述できる。</t>
  </si>
  <si>
    <t xml:space="preserve">作品が登場人物への感情移入をどのように促しているかを、例を挙げて評価できる。</t>
  </si>
  <si>
    <t xml:space="preserve">作品がそのジャンルの慣習にどの程度従っているかを評価できる。</t>
  </si>
  <si>
    <t xml:space="preserve">文章における意図的な言語的慣習の逸脱を批評的に鑑賞できる。</t>
  </si>
  <si>
    <t xml:space="preserve">事前に準備した短く簡単な句を使って、ごく簡単な課題への他者の貢献を促せる。理解していることを示し、他の人が理解しているか尋ねられる。</t>
  </si>
  <si>
    <t xml:space="preserve">時々繰り返しや言い直しを求められるという条件で、他の人の考えを尋ね、提案をし、応答を理解しながら、簡単で実際的な課題で協働できる。</t>
  </si>
  <si>
    <t xml:space="preserve">他の参加者がゆっくり話し、一人以上が貢献と提案の表明を助けてくれるなら、簡単な共有課題で協働できる。</t>
  </si>
  <si>
    <t xml:space="preserve">グループの他の人に意見を出すよう促せる。</t>
  </si>
  <si>
    <t xml:space="preserve">議論の中で課題を基本的な言葉で定義し、他の人に専門知識や経験の提供を求められる。</t>
  </si>
  <si>
    <t xml:space="preserve">チームワークの目標設定を助け、達成方法の選択肢を比較できる。</t>
  </si>
  <si>
    <t xml:space="preserve">人々の反応に基づいて、質問の仕方を調整したり、グループのやりとりに介入したりできる。</t>
  </si>
  <si>
    <t xml:space="preserve">やりとりを発展させ、結論へ向けてそれとなく舵取りできる。</t>
  </si>
  <si>
    <t xml:space="preserve">事前に準備できれば、ごく簡単な語句を使ってアイディアを述べ、他の人の考えを尋ねられる。</t>
  </si>
  <si>
    <t xml:space="preserve">簡単な方法で提案ができる。</t>
  </si>
  <si>
    <t xml:space="preserve">適切な質問によって、話している相手が自分の意図を理解しているか確かめられる。</t>
  </si>
  <si>
    <t xml:space="preserve">グループのメンバーに、その見解の理由を尋ねられる。</t>
  </si>
  <si>
    <t xml:space="preserve">質問・コメント・簡単な言い換えを使って、議論の焦点を維持できる。</t>
  </si>
  <si>
    <t xml:space="preserve">他の人のアイディアや意見をさらに発展させられる。</t>
  </si>
  <si>
    <t xml:space="preserve">複雑な課題で解決すべき中心的な問題と考慮すべき重要な側面を強調できる。</t>
  </si>
  <si>
    <t xml:space="preserve">進め方を決めるために、協働の議論の中で問題・課題・提案を評価できる。</t>
  </si>
  <si>
    <t xml:space="preserve">解決策や進め方についての合意を促すために、さまざまな貢献を要約・評価し、結びつけられる。</t>
  </si>
  <si>
    <t xml:space="preserve">必要なときに言い方の助けがあれば、協力的なグループにごく簡単な指示を出せる。</t>
  </si>
  <si>
    <t xml:space="preserve">活動を組織するための簡単で明快な指示を出せる。</t>
  </si>
  <si>
    <t xml:space="preserve">議論で発言の順番を割り振り、参加者に見解の表明を促せる。</t>
  </si>
  <si>
    <t xml:space="preserve">新しい指示でグループを課題に引き戻したり、より均等な参加を促したりするために、必要に応じて介入できる。</t>
  </si>
  <si>
    <t xml:space="preserve">協働のグループワークを効率的に組織・運営できる。</t>
  </si>
  <si>
    <t xml:space="preserve">議論の方向を変えたり、一人の独占を防いだり、進行を乱す行動に対処したりするために、外交的に介入できる。</t>
  </si>
  <si>
    <t xml:space="preserve">やりとりの底流を認識し、議論の方向を導くために適切な手を打てる。</t>
  </si>
  <si>
    <t xml:space="preserve">簡単な孤立した語や非言語的な合図で、アイディアへの関心を示せる。</t>
  </si>
  <si>
    <t xml:space="preserve">あるアイディアをどう思うか尋ねられる。</t>
  </si>
  <si>
    <t xml:space="preserve">なぜそう考えるのか、それがどう機能すると思うのかを尋ねられる。</t>
  </si>
  <si>
    <t xml:space="preserve">推論の明確化を促す質問ができる。</t>
  </si>
  <si>
    <t xml:space="preserve">人々のアイディアを土台に、それらを一貫した思考の筋道へ結びつけられる。</t>
  </si>
  <si>
    <t xml:space="preserve">グループのメンバーに、自分の考えを記述し詳しく述べるよう促せる。</t>
  </si>
  <si>
    <t xml:space="preserve">論理的思考（仮説、推論、分析、正当化、予測など）を刺激するために、さまざまな貢献を踏まえた一連の開かれた質問ができる。</t>
  </si>
  <si>
    <t xml:space="preserve">複雑で抽象的な話題の議論で、的を絞った質問で方向づけ、推論の詳述を促しながら、アイディアの発展を効果的に主導できる。</t>
  </si>
  <si>
    <t xml:space="preserve">簡単な語や非言語的な合図で歓迎の態度と関心を示し、他の人に貢献を促し、直接話しかけられたときに理解しているかどうかを示すことで、異文化交流を円滑にできる。</t>
  </si>
  <si>
    <t xml:space="preserve">簡単な語で説明や明確化を求め、限られたレパートリーで同意・招待・感謝などを表現しながら、異文化交流に貢献できる。</t>
  </si>
  <si>
    <t xml:space="preserve">言語や文化への価値観や態度について簡単な方法で情報交換し、共有されたコミュニケーション文化の発展を助けられる。</t>
  </si>
  <si>
    <t xml:space="preserve">異文化間の出会いで、グループの他のメンバーの気持ちや異なる世界観を認めながら、支援的に振る舞える。</t>
  </si>
  <si>
    <t xml:space="preserve">異文化の人々と協働する際に、共有の手順を作るために自分の働き方を適応させられる。</t>
  </si>
  <si>
    <t xml:space="preserve">関係者全員にとって不慣れな状況での進め方について合意を作るために、社会文化的慣習の知識を活用できる。</t>
  </si>
  <si>
    <t xml:space="preserve">異文化間の出会いで仲介者として行動し、曖昧さを処理し、助言や支援を与え、誤解を未然に防いで、共有されたコミュニケーション文化に貢献できる。</t>
  </si>
  <si>
    <t xml:space="preserve">ニュアンスや底流を見きわめながら、デリケートな議論を効果的に導ける。</t>
  </si>
  <si>
    <t xml:space="preserve">他の人が言い方を助けてくれるなら、他者の個人情報やごく簡単で予測可能な情報（A言語）を（B言語で）伝えられる。</t>
  </si>
  <si>
    <t xml:space="preserve">他の人が言い方を助けてくれるなら、予測可能な日常の状況で（A言語で）言われたことの要点を、個人的な要望や必要についての情報を双方向に伝えながら（B言語で）伝えられる。</t>
  </si>
  <si>
    <t xml:space="preserve">明瞭に話され、繰り返しや明確化を求められるなら、日常の状況で（A言語で）言われたことの全体的な趣旨を、基本的な文化的慣習に従い、本質的な情報を伝えながら（B言語で）伝えられる。</t>
  </si>
  <si>
    <t xml:space="preserve">話し手が明瞭に話し、明確化を求めたり表現を考える間を取ったりできるなら、個人的関心のある主題について（A言語で）言われたことの主な趣旨を、重要な礼儀の慣習を守りながら（B言語で）伝えられる。</t>
  </si>
  <si>
    <t xml:space="preserve">事前に準備でき、話し手が日常語で明瞭に話すなら、関心分野の主題について（A言語で）言われたことの主な趣旨を、率直な事実情報と明示的な文化的言及を伝えながら（B言語で）伝えられる。</t>
  </si>
  <si>
    <t xml:space="preserve">関心分野の主題について、（A言語で）言われたことの趣旨を、必要なら相手が明確化してくれるという条件で、重要な発言や見解の意義を伝え、必要に応じて説明しながら（B言語で）伝えられる。</t>
  </si>
  <si>
    <t xml:space="preserve">詳細な情報を伝えながら（A言語とB言語の間で）仲介し、双方の注意を背景情報や社会文化的な手がかりに向けさせ、必要に応じて明確化や追加の質問・発言ができる。</t>
  </si>
  <si>
    <t xml:space="preserve">個人・学術・職業的関心のある幅広い主題について、（A言語で）言われたことの趣旨を、重要な情報を明快簡潔に伝え、文化的言及を説明しながら（B言語で）流暢に伝えられる。</t>
  </si>
  <si>
    <t xml:space="preserve">幅広い一般・専門的話題について、（A言語で）言われたことの趣旨を、適切な文体と言語使用域を保ち、意味の微妙な陰影を伝え、社会文化的含意を敷衍しながら、（B言語で）明快に流暢に、よく構成された形で伝えられる。</t>
  </si>
  <si>
    <t xml:space="preserve">意見の対立や誰かが困っていることに気づき、記憶した簡単な表現（「わかります」「大丈夫ですか」など）で共感を示せる。</t>
  </si>
  <si>
    <t xml:space="preserve">意見の対立ややりとりの困難に気づき、記憶した簡単な言い回しを応用して妥協や合意を探れる。</t>
  </si>
  <si>
    <t xml:space="preserve">身近な話題の対立における主要な論点を理解していることを示し、確認や明確化を簡単な形で求められる。</t>
  </si>
  <si>
    <t xml:space="preserve">話題が自分にとって身近で、当事者が明瞭に話すなら、意見が対立する当事者に見解の説明を求め、その説明に手短に応じられる。</t>
  </si>
  <si>
    <t xml:space="preserve">質問によって共通の土台を特定し、双方に可能な解決策の提示を促せる。</t>
  </si>
  <si>
    <t xml:space="preserve">合意された内容と各当事者に期待されることの、明確で正確な要約を作れる。</t>
  </si>
  <si>
    <t xml:space="preserve">説得力のある言葉を使って、対立する当事者が新しい立場へ歩み寄るよう促せる。</t>
  </si>
  <si>
    <t xml:space="preserve">他者の視点への敬意を示しながら、原則に関わる問題について、断固としつつも外交的な立場を自信をもって取れる。</t>
  </si>
  <si>
    <t xml:space="preserve">簡単な質問によって、新しい情報が既知のものとどう関係するかを示せる。</t>
  </si>
  <si>
    <t xml:space="preserve">人々の日常経験に基づく例を挙げて、何かの仕組みを説明できる。</t>
  </si>
  <si>
    <t xml:space="preserve">新しい概念や手順を、人々がすでに知っているものと比較・対照して説明できる。</t>
  </si>
  <si>
    <t xml:space="preserve">セッションの目標と参加者の個人的・職業的な関心や経験との結びつきを明確に説明できる。</t>
  </si>
  <si>
    <t xml:space="preserve">抽象的な問題についての既有知識を人々に想起させ、これから説明する内容との結びつきを作る手助けとなる一連の質問を、その場でできる。</t>
  </si>
  <si>
    <t xml:space="preserve">前提にできる既有知識を活用した詳しい定義や説明によって、複雑な概念（科学的概念など）を導入できる。</t>
  </si>
  <si>
    <t xml:space="preserve">日常の主題の簡単なメッセージの要点を、他の人の理解を助けるために別の言い方で繰り返せる。</t>
  </si>
  <si>
    <t xml:space="preserve">原文の順序を使いながら、短い一節を簡単に言い換えられる。</t>
  </si>
  <si>
    <t xml:space="preserve">身近な主題の短い率直なテキスト（短い雑誌記事、インタビューなど）の要点をより簡単に言い換えて、内容を他の人が理解できるようにできる。</t>
  </si>
  <si>
    <t xml:space="preserve">関心のある主題のテキスト（エッセイ、フォーラムの議論、プレゼンテーションなど）の主な内容を、より簡単な言葉で言い換えて他の人が理解できるようにできる。</t>
  </si>
  <si>
    <t xml:space="preserve">自分の分野の特定の複雑な情報を、より簡単な言葉で言い換えて、他の人により明確・明示的にできる。</t>
  </si>
  <si>
    <t xml:space="preserve">自分の専門分野の事柄について専門外の人と話すとき、専門用語や難しい概念を説明できる。</t>
  </si>
  <si>
    <t xml:space="preserve">非常に幅広いテキストの言葉を調整し、対象の聞き手に適した言語使用域・洗練度・詳しさで主な内容を提示できる。</t>
  </si>
  <si>
    <t xml:space="preserve">一まとまりの指示を、少しずつゆっくり繰り返し、言語・非言語の強調を使って、理解しやすくできる。</t>
  </si>
  <si>
    <t xml:space="preserve">短い説明・案内のテキストを、個別の項目のリストとして提示して理解しやすくできる。</t>
  </si>
  <si>
    <t xml:space="preserve">込み入った過程を一連の小さなステップに分解して、理解しやすくできる。</t>
  </si>
  <si>
    <t xml:space="preserve">論の構成要素を分けて提示することで、込み入った問題を理解しやすくできる。</t>
  </si>
  <si>
    <t xml:space="preserve">要点を強調・分類し、論理的につながった形で提示し、鍵となる側面をさまざまな言い方で繰り返してメッセージを強化することで、複雑な問題の理解を促進できる。</t>
  </si>
  <si>
    <t xml:space="preserve">部分と全体の関係を説明し、異なるアプローチを促すことで、複雑な問題の理解を促進できる。</t>
  </si>
  <si>
    <t xml:space="preserve">簡単な例を示して、日常の話題のある側面をより明確にできる。</t>
  </si>
  <si>
    <t xml:space="preserve">日常の話題のある側面を、主要な情報を別の形で伝えて、より明確・明示的にできる。</t>
  </si>
  <si>
    <t xml:space="preserve">繰り返しと図解を加えて、新しい情報をより取り付きやすくできる。</t>
  </si>
  <si>
    <t xml:space="preserve">関心分野の主題のテキストの内容を、例・推論・説明的コメントを加えて、対象の受け手により取り付きやすくできる。</t>
  </si>
  <si>
    <t xml:space="preserve">難しい側面をより明示的に説明し、役立つ詳細を加えて、複雑で難度の高い内容をより取り付きやすくできる。</t>
  </si>
  <si>
    <t xml:space="preserve">複雑な学術的・職業的話題のテキストの情報を、敷衍し例を示して解明できる。</t>
  </si>
  <si>
    <t xml:space="preserve">短い日常テキストの鍵となる文を特定し、（下線や強調で）印をつけられる。</t>
  </si>
  <si>
    <t xml:space="preserve">率直な情報テキストの本質的な情報を特定し、（下線や強調で）印をつけて、他の人に伝えられるようにできる。</t>
  </si>
  <si>
    <t xml:space="preserve">テキストの各所にある関連・重複情報を特定し、本質的なメッセージを明確にするために統合できる。</t>
  </si>
  <si>
    <t xml:space="preserve">対象の受け手を考慮し、無関係または重複する情報を除いて原文を簡略化できる。</t>
  </si>
  <si>
    <t xml:space="preserve">対象の受け手に最も関連の深い点に焦点を当てるように、複雑な原文を再構成できる。</t>
  </si>
  <si>
    <t xml:space="preserve">複雑な原文を、一貫性・結束性・論の流れを改善し、目的に不要な部分を除きながら書き直せる。</t>
  </si>
  <si>
    <t xml:space="preserve">数え方・距離の測り方・時刻の言い方などの違いを認識できる。ただし、具体的な日常の簡単な取引でもそれを適用するのは難しいことがある。</t>
  </si>
  <si>
    <t xml:space="preserve">日常の社交的なやりとりに伴う基本的な文化的慣習（挨拶や儀礼の違いなど）を認識し、適用できる。</t>
  </si>
  <si>
    <t xml:space="preserve">最もよく使われる文化的な手がかりに、おおむね適切に応じられる。</t>
  </si>
  <si>
    <t xml:space="preserve">当該文化の文化的な手がかりを、おおむね適切に解釈できる。</t>
  </si>
  <si>
    <t xml:space="preserve">社会言語的・語用論的慣習の違いを特定し、批判的に省察し、それに応じて自分のコミュニケーションを調整できる。</t>
  </si>
  <si>
    <t xml:space="preserve">文化差への意識を示し、誤解や文化的な行き違いを防ぎ・修復するための細やかな調整を行いながら、文脈に応じて自分の行動と表現形式を主体的に制御できる。</t>
  </si>
  <si>
    <t xml:space="preserve">国際共通語や複数言語に共通する語（haus/hus/houseなど）を認識して、簡単な標識や掲示の意味を推測し、短く簡単なテキストのおおよそのメッセージを特定し、目の前でごくゆっくり明瞭に交わされる短く簡単な社交のやりとりの概略を追い、ごくゆっくり明瞭に、必要なら繰り返して話されれば、自分に直接伝えようとしていることを推測できる。</t>
  </si>
  <si>
    <t xml:space="preserve">異なる言語で並記された簡単な警告・指示・製品情報を使って、関連情報を見つけられる。</t>
  </si>
  <si>
    <t xml:space="preserve">自分の分野の異なる言語の文書から情報を抽出できる（プレゼンテーションに含めるためなど）。</t>
  </si>
  <si>
    <t xml:space="preserve">理解を支えるために、複言語レパートリー内の諸言語のジャンル慣習やテキストパターンの対照的な知識を使える。</t>
  </si>
  <si>
    <t xml:space="preserve">協力的な相手となら、異なる言語のごく限られたレパートリーを使って、ごく基本的で具体的な日常の取引を行える。</t>
  </si>
  <si>
    <t xml:space="preserve">問題を説明したり、助けや明確化を求めたりするために、異なる言語の限られたレパートリーを動員できる。</t>
  </si>
  <si>
    <t xml:space="preserve">不測の状況に対処するために、日常的な文脈で、異なる言語の限られたレパートリーを創造的に活用できる。</t>
  </si>
  <si>
    <t xml:space="preserve">他の人がより楽に感じる言語を使えるように、複言語レパートリー内の異なる言語を使い分けられる。</t>
  </si>
  <si>
    <t xml:space="preserve">誰かが複言語レパートリー内の別の言語に切り替えたとき、適切な言語で自発的かつ柔軟に応じられる。</t>
  </si>
  <si>
    <t xml:space="preserve">修辞的効果のため、または楽しみのために、複言語レパートリー内の諸言語の比喩などの言葉のあやの類似点と相違点を探究できる。</t>
  </si>
  <si>
    <t xml:space="preserve">孤立した語や基本的な表現を使って、自分についての簡単な情報を伝えられる。</t>
  </si>
  <si>
    <t xml:space="preserve">個人的な事柄や具体的な必要についての、ごく基本的な簡単な表現のレパートリーをもつ。</t>
  </si>
  <si>
    <t xml:space="preserve">予測可能なサバイバル的状況をカバーする、短い記憶済みの言い回しの限られたレパートリーをもつ。日常から外れた状況では、中断や誤解が頻発する。</t>
  </si>
  <si>
    <t xml:space="preserve">予測可能な内容の日常の状況に対処できる基本的な言葉のレパートリーをもつが、一般に言いたいことを妥協し、語句を探すことになる。</t>
  </si>
  <si>
    <t xml:space="preserve">何とかやっていける程度の言葉をもつ。家族・趣味・関心事・仕事・旅行・時事などの話題について、ためらいや迂言を交えつつ表現できる語彙はあるが、語彙の制約から繰り返しが生じ、時に表現に苦労する。</t>
  </si>
  <si>
    <t xml:space="preserve">予測できない状況を記述し、考えや問題の要点をある程度正確に説明し、音楽や映画など抽象的・文化的な話題について考えを表現するのに十分な言葉の幅をもつ。</t>
  </si>
  <si>
    <t xml:space="preserve">明快な記述をし、見解を表明し、論を展開するのに十分な言葉の幅をもつ。語句を探す様子はあまり目立たず、複雑な文形もいくらか使える。</t>
  </si>
  <si>
    <t xml:space="preserve">言いたいことを制限する様子をあまり見せずに、明瞭に自己表現できる。</t>
  </si>
  <si>
    <t xml:space="preserve">幅広い複雑な文法構造を適切に、かなり柔軟に使える。</t>
  </si>
  <si>
    <t xml:space="preserve">非常に幅広い言葉の包括的で確実な運用力を活用して、考えを正確に定式化し、強調し、区別し、曖昧さを排除できる。言いたいことを制限する様子はない。</t>
  </si>
  <si>
    <t xml:space="preserve">特定の具体的状況に関わる語句の基本的な語彙レパートリーをもつ。</t>
  </si>
  <si>
    <t xml:space="preserve">簡単なサバイバル的必要に対処するのに十分な語彙をもつ。</t>
  </si>
  <si>
    <t xml:space="preserve">身近な状況・話題に関わる日常の決まった取引を行うのに十分な語彙をもつ。</t>
  </si>
  <si>
    <t xml:space="preserve">身近な話題と日常の状況に関わる十分な語彙をもつ。</t>
  </si>
  <si>
    <t xml:space="preserve">自分の分野に関わる事柄と大半の一般的話題について、十分な語彙をもつ。</t>
  </si>
  <si>
    <t xml:space="preserve">専門家どうしで自分の専門分野を議論する際、その分野の主要な専門用語を理解し、使える。</t>
  </si>
  <si>
    <t xml:space="preserve">一般的な慣用表現や口語表現を使いこなし、言葉遊びもかなりできる。</t>
  </si>
  <si>
    <t xml:space="preserve">慣用表現や口語表現を含む非常に広い語彙レパートリーを使いこなし、含意のレベルへの意識を示す。</t>
  </si>
  <si>
    <t xml:space="preserve">短い発話で、ごく簡単な語順の原則を使える。</t>
  </si>
  <si>
    <t xml:space="preserve">学習済みレパートリー内の少数の簡単な文法構造や文型の、限られた制御しか示さない。</t>
  </si>
  <si>
    <t xml:space="preserve">いくつかの簡単な構造を正しく使えるが、基本的な間違いを依然として体系的に犯す。それでも、何を言おうとしているかはたいてい明確である。</t>
  </si>
  <si>
    <t xml:space="preserve">より予測可能な状況に結びついた、高頻度の「決まり文句」やパターンのレパートリーをある程度正確に使える。</t>
  </si>
  <si>
    <t xml:space="preserve">身近な文脈では、母語の影響が目立つものの、おおむね良好な制御で、ある程度正確にコミュニケーションできる。誤りはあるが、何を言おうとしているかは明確である。</t>
  </si>
  <si>
    <t xml:space="preserve">比較的高い文法的制御を示す。誤解につながる間違いはしない。</t>
  </si>
  <si>
    <t xml:space="preserve">良好な文法的制御を示す。時折の「言い間違い」や非体系的な誤り、文構造の小さな欠陥はまだ起こりうるが、まれであり、後から修正できることが多い。</t>
  </si>
  <si>
    <t xml:space="preserve">一貫して高い文法的正確さを保つ。誤りはまれで、見つけにくい。</t>
  </si>
  <si>
    <t xml:space="preserve">注意が他に向いているとき（先の展開の計画や相手の反応の観察など）でも、複雑な言葉の一貫した文法的制御を保てる。</t>
  </si>
  <si>
    <t xml:space="preserve">具体的な日常の必要を扱う狭いレパートリーを制御できる。</t>
  </si>
  <si>
    <t xml:space="preserve">身近な話題を論じる際に、幅広い簡単な語彙を適切に使える。</t>
  </si>
  <si>
    <t xml:space="preserve">語彙の正確さは総じて高いが、コミュニケーションを妨げない範囲で、多少の混同や不適切な語の選択が起こる。</t>
  </si>
  <si>
    <t xml:space="preserve">低頻度の語彙を慣用的かつ適切に使う。</t>
  </si>
  <si>
    <t xml:space="preserve">一貫して正確かつ適切に語彙を使用する。</t>
  </si>
  <si>
    <t xml:space="preserve">学習済みの語句のごく限られたレパートリーの発音を、その言語グループの話者に慣れた相手なら、いくらかの努力で理解できる。簡単で身近な語句の限られた範囲の音と強勢を正しく再現できる。</t>
  </si>
  <si>
    <t xml:space="preserve">発音は理解できる程度に明瞭だが、相手は時々繰り返しを求める必要がある。他言語の強い影響が強勢・リズム・イントネーションに及び、明瞭さに影響して相手の協力を要することがある。それでも、馴染みのある語の発音は明瞭である。</t>
  </si>
  <si>
    <t xml:space="preserve">発音は総じて明瞭である。発話・語レベルのイントネーションや強勢がメッセージの理解を妨げることはない。訛りはたいてい話す他の言語の影響を受けている。</t>
  </si>
  <si>
    <t xml:space="preserve">おおむね適切なイントネーションを使い、強勢を正しく置き、個々の音を明瞭に調音できる。訛りは話す他の言語の影響を受けがちだが、明瞭さへの影響はほとんどない。</t>
  </si>
  <si>
    <t xml:space="preserve">全体を通して明瞭さを確保できる程度の制御で、目標言語の音韻的特徴の全域を使える。目標言語のほぼすべての音を調音できる。他言語由来の訛りが聞き取れることはあるが、明瞭さには影響しない。</t>
  </si>
  <si>
    <t xml:space="preserve">目標言語の音韻的特徴の全域を高い制御で使える。語強勢・文強勢・リズム・イントネーションなどの韻律的特徴も含まれ、メッセージの細部まで明確・正確である。他言語由来の訛りが残っていても、明瞭さや意味の伝達・強化にはまったく影響しない。</t>
  </si>
  <si>
    <t xml:space="preserve">注意深く導かれれば、目標言語の音を再現できる。</t>
  </si>
  <si>
    <t xml:space="preserve">相手が特定の音の理解に努力してくれれば、簡単な日常の状況でのコミュニケーションにおいて発音はおおむね理解可能である。</t>
  </si>
  <si>
    <t xml:space="preserve">個々の音や馴染みの薄い語の発音の誤りは定期的にあるものの、全体を通しておおむね理解可能である。</t>
  </si>
  <si>
    <t xml:space="preserve">自分のレパートリーから一般化して、大半の未知の語の音韻的特徴（語強勢など）をある程度正確に予測できる（読んでいるときなど）。</t>
  </si>
  <si>
    <t xml:space="preserve">目標言語のほぼすべての音を高い制御で調音できる。明らかな発音の誤りにはたいてい自分で気づいて修正できる。</t>
  </si>
  <si>
    <t xml:space="preserve">目標言語のほぼすべての音を明瞭かつ正確に調音できる。</t>
  </si>
  <si>
    <t xml:space="preserve">話す他の言語の非常に強い影響にもかかわらず、簡単な語句の限られたレパートリーの韻律的特徴を理解可能な形で使える。相手の協力が必要である。</t>
  </si>
  <si>
    <t xml:space="preserve">韻律的特徴（語強勢など）は、身近な日常語と簡単な発話には十分である。</t>
  </si>
  <si>
    <t xml:space="preserve">話す他の言語の強勢・イントネーション・リズムへの強い影響にもかかわらず、理解可能な形でメッセージを伝えられる。</t>
  </si>
  <si>
    <t xml:space="preserve">話す他の言語の影響はいくらかあるものの、伝えたいメッセージを支えるために韻律的特徴（強勢・イントネーション・リズムなど）を使える。</t>
  </si>
  <si>
    <t xml:space="preserve">言いたいことを正確に表現するために、イントネーションを変え、強勢を正しく置ける。</t>
  </si>
  <si>
    <t xml:space="preserve">意味の微妙な陰影（区別や強調など）を伝えるために、韻律的特徴（強勢・リズム・イントネーションなど）を適切かつ効果的に活用できる。</t>
  </si>
  <si>
    <t xml:space="preserve">基本的な句読点（終止符、疑問符など）を使える。</t>
  </si>
  <si>
    <t xml:space="preserve">日常の主題の短い文（どこかへの行き方の指示など）を書き写せる。</t>
  </si>
  <si>
    <t xml:space="preserve">全体を通しておおむね判読可能なまとまった文章を書ける。</t>
  </si>
  <si>
    <t xml:space="preserve">綴りと句読法はある程度正確だが、母語の影響の跡が見られることがある。</t>
  </si>
  <si>
    <t xml:space="preserve">綴りは、時折の書き損じを除けば正確である。</t>
  </si>
  <si>
    <t xml:space="preserve">表記は正書法上の誤りがない。</t>
  </si>
  <si>
    <t xml:space="preserve">挨拶と別れ、紹介、「お願いします」「ありがとう」「すみません」など、最も簡単な日常の丁寧な表現形式を使って、基本的な社交的接触を確立できる。</t>
  </si>
  <si>
    <t xml:space="preserve">招待・提案・詫びなどをし、それに応じられる。</t>
  </si>
  <si>
    <t xml:space="preserve">最も簡単な共通表現と基本的な決まりごとに従って、簡単ながら効果的に社交できる。</t>
  </si>
  <si>
    <t xml:space="preserve">顕著な礼儀の慣習を意識し、適切に振る舞える。</t>
  </si>
  <si>
    <t xml:space="preserve">状況に応じて適切に自己表現し、明白な言い間違いを避けられる。</t>
  </si>
  <si>
    <t xml:space="preserve">話が速く口語的でも、多少の努力でグループ討議についていき、貢献できる。</t>
  </si>
  <si>
    <t xml:space="preserve">批判や強い反対を外交的に組み立てて表明できる。</t>
  </si>
  <si>
    <t xml:space="preserve">慣用表現や口語表現を使いこなし、含意のレベルへの意識をもつ。</t>
  </si>
  <si>
    <t xml:space="preserve">学習済みの言い回しを、要素の簡単な組み替えで拡張できる。</t>
  </si>
  <si>
    <t xml:space="preserve">あまり日常的でない、難しい状況にも対処できるよう表現を適応させられる。</t>
  </si>
  <si>
    <t xml:space="preserve">言いたいことの言い方を変えられる。</t>
  </si>
  <si>
    <t xml:space="preserve">言う内容と表現手段を状況と受け手に合わせて調整し、状況に応じた丁寧さのレベルを採用できる。</t>
  </si>
  <si>
    <t xml:space="preserve">関与やためらい、確信や不確かさの度合いを表すように表現を修正できる。</t>
  </si>
  <si>
    <t xml:space="preserve">強調のため、状況や相手に応じた区別のため、また曖昧さの排除のために、考えを異なる言語形式で言い直す高い柔軟性を示す。</t>
  </si>
  <si>
    <t xml:space="preserve">物語を語り、または何かを簡単な項目の列挙として記述できる。</t>
  </si>
  <si>
    <t xml:space="preserve">率直な物語や記述を、論点の連なりとしてかなり流暢に語れる。</t>
  </si>
  <si>
    <t xml:space="preserve">事実と意見の違いを明確に示せる。</t>
  </si>
  <si>
    <t xml:space="preserve">複雑な論の筋道を説得力をもって提示し、それに応答できる。</t>
  </si>
  <si>
    <t xml:space="preserve">長く複雑なテキストにふさわしい序論と結論を書ける。</t>
  </si>
  <si>
    <t xml:space="preserve">対象の読み手の注意を容易に引きつけ、あらゆる伝達目的を果たしながら、複雑な考えを効果的に伝えられるだけの柔軟さで、当該テキスト種の慣習を使える。</t>
  </si>
  <si>
    <t xml:space="preserve">語や語群を、ごく基本的な線的接続語（and、then など）でつなげられる。</t>
  </si>
  <si>
    <t xml:space="preserve">語群を簡単な接続語（and、but、because など）でつなげられる。</t>
  </si>
  <si>
    <t xml:space="preserve">最も高頻度の接続語を使って簡単な文をつなぎ、物語を語ったり、何かを簡単な項目の列挙として記述したりできる。</t>
  </si>
  <si>
    <t xml:space="preserve">長めのテキストに簡単で論理的な段落分けを施せる。</t>
  </si>
  <si>
    <t xml:space="preserve">簡単な論述テキストに反論を導入できる（however を使うなど）。</t>
  </si>
  <si>
    <t xml:space="preserve">長めのテキストを明快で論理的な段落に構成できる。</t>
  </si>
  <si>
    <t xml:space="preserve">多様なつなぎ表現を効率的に使い、アイディア間の関係を明確に示せる。</t>
  </si>
  <si>
    <t xml:space="preserve">多様な結束手段と構成パターンを使い、よく構成された一貫性のあるテキストを産出できる。</t>
  </si>
  <si>
    <t xml:space="preserve">多様な構成パターンと幅広い結束手段を十全かつ適切に使い、一貫性と結束性のあるテキストを作れる。</t>
  </si>
  <si>
    <t xml:space="preserve">個人的な事柄についてのごく基本的な情報を、簡単な方法で伝えられる。</t>
  </si>
  <si>
    <t xml:space="preserve">個人的な事柄や具体的な必要についての基本情報を、簡単な方法で伝えられる。</t>
  </si>
  <si>
    <t xml:space="preserve">身近で日常的な事柄についての限られた情報の簡単で直接的な交換では、言いたいことを伝えられるが、それ以外の状況では一般にメッセージを妥協することになる。</t>
  </si>
  <si>
    <t xml:space="preserve">伝えたい要点を理解可能な形で表現できる。</t>
  </si>
  <si>
    <t xml:space="preserve">考えや問題の要点をある程度正確に説明できる。</t>
  </si>
  <si>
    <t xml:space="preserve">主張・論拠・立場の強さを示すために、言語的モダリティを効果的に使える。</t>
  </si>
  <si>
    <t xml:space="preserve">強調し、区別し、曖昧さを排除できる。</t>
  </si>
  <si>
    <t xml:space="preserve">必要に応じて身振りや助けを求める合図を使いながら、ごく短い、孤立した、練習済みの発話を何とか使える。</t>
  </si>
  <si>
    <t xml:space="preserve">ごく短い、孤立した、主に出来合いの発話を何とか使える。表現を探し、馴染みの薄い語を発音し、コミュニケーションを修復するための間が多い。</t>
  </si>
  <si>
    <t xml:space="preserve">非常に目立つためらいや言い直しはあるものの、短いやりとりをこなせる程度に楽に、身近な話題について句を組み立てられる。</t>
  </si>
  <si>
    <t xml:space="preserve">間・言い直し・組み立て直しが非常に目立っても、短い発言で理解してもらえる。</t>
  </si>
  <si>
    <t xml:space="preserve">文法や語彙の計画・修復のための間が、特に長い自由産出では非常に目立つものの、理解可能な形で話し続けられる。</t>
  </si>
  <si>
    <t xml:space="preserve">比較的楽に自己表現できる。表現上の問題から間や「行き止まり」が生じても、助けなしに効果的に続けられる。</t>
  </si>
  <si>
    <t xml:space="preserve">かなり均一なテンポで言葉を紡げる。パターンや表現を探してためらうことはあっても、目立って長い間はほとんどない。</t>
  </si>
  <si>
    <t xml:space="preserve">自発的にコミュニケーションでき、長く複雑な言葉の連なりでも、しばしば目覚ましい流暢さと表現の容易さを示す。</t>
  </si>
  <si>
    <t xml:space="preserve">流暢に自発的に、ほとんど苦もなく自己表現できる。概念的に難しい主題だけが、自然で滑らかな言葉の流れを妨げうる。</t>
  </si>
  <si>
    <t xml:space="preserve">自然で苦のない、よどみない流れで長く話せる。正確な表現手段や適切な例・説明を探すためにだけ間を置く。</t>
  </si>
  <si>
    <t xml:space="preserve">例文は各セル（スケール×レベル）の記述文のうち最短のものを選択。和訳は作業訳。記述文数はDataシートからのCOUNTIFS。手話能力は対象外。スケールの分類（A〜E列）は各ブロック先頭行のみ表示。</t>
  </si>
  <si>
    <t xml:space="preserve">記述文（英文）</t>
  </si>
  <si>
    <t xml:space="preserve">記述文（和訳・作業訳）</t>
  </si>
  <si>
    <t xml:space="preserve">訳出状況</t>
  </si>
  <si>
    <t xml:space="preserve">済</t>
  </si>
  <si>
    <t xml:space="preserve">あまり馴染みのない変種の場合は特に、時折細部の確認が必要なことはあっても、自分の分野を超えた抽象的で複雑な話題の長い談話を追える程度に理解できる。</t>
  </si>
  <si>
    <t xml:space="preserve">明確に構成されておらず、関係が明示されず暗示されるだけであっても、長い談話を追える。</t>
  </si>
  <si>
    <t xml:space="preserve">標準語または馴染みのある変種で話されれば、自分の専門分野の技術的議論を含め、具体的・抽象的な話題の命題的・言語的に複雑な談話の主旨を理解できる。</t>
  </si>
  <si>
    <t xml:space="preserve">ゆっくり明瞭に伝えられれば、日常生活で出会う身近な話題の具体的情報（場所や時刻など）を認識できる。</t>
  </si>
  <si>
    <t xml:space="preserve">ゆっくり明瞭に伝えられ、理解を助ける視覚資料や身振りが添えられ、必要なら繰り返されれば、短くごく簡単な質問や発言を理解できる。</t>
  </si>
  <si>
    <t xml:space="preserve">明確に限定された身近な日常の文脈で、ゆっくり明瞭に伝えられれば、数字・価格・日付・曜日を認識できる。</t>
  </si>
  <si>
    <t xml:space="preserve">馴染みのある変種で自然な速度で話され、発言の重なり・脱線・口語表現を特徴とする活発な議論で、各参加者の態度を特定できる。</t>
  </si>
  <si>
    <t xml:space="preserve">多少の努力で周囲で話されていることの大部分を聞き取れるが、言葉を一切調整しない複数の話者との議論に効果的に参加するのは難しいことがある。</t>
  </si>
  <si>
    <t xml:space="preserve">明瞭な標準語または馴染みのある変種で行われる議論で、ある論やアイディアへの賛否の主な理由を特定できる。</t>
  </si>
  <si>
    <t xml:space="preserve">ゆっくり明瞭に行われれば、周囲の議論の話題をおおむね特定できる。</t>
  </si>
  <si>
    <t xml:space="preserve">非常にゆっくり明瞭に話されれば、簡単な会話（店での客と店員の間など）の語や短い文を理解できる。</t>
  </si>
  <si>
    <t xml:space="preserve">口語表現・地域的用法・馴染みのない術語を用いる専門的な講義やプレゼンテーションを追える。</t>
  </si>
  <si>
    <t xml:space="preserve">つながりや含意が明示されていない場合に、適切な推論ができる。</t>
  </si>
  <si>
    <t xml:space="preserve">標準語または馴染みのある変種で話されれば、時事的な、または自分の専門分野に関わる話題について表明された見解を理解できる。</t>
  </si>
  <si>
    <t xml:space="preserve">話題がある程度身近であれば、明快に話された講義の複雑な論の筋道を追える。</t>
  </si>
  <si>
    <t xml:space="preserve">標準語または馴染みのある変種で話されれば、講義や講演の主題と余談を区別できる。</t>
  </si>
  <si>
    <t xml:space="preserve">明快な標準語または馴染みのある変種で話されれば、身近な主題の標準的な講義で、主要なアイディアと補助的詳細を区別できる。</t>
  </si>
  <si>
    <t xml:space="preserve">明快な標準語または馴染みのある変種で話されれば、身近な話題の率直な短い講演の概略を追える。</t>
  </si>
  <si>
    <t xml:space="preserve">自分の分野の話題や製品についての、視覚的補助（スライド・配布資料など）のある率直な会議発表や実演を、与えられる説明を理解しながら追える。</t>
  </si>
  <si>
    <t xml:space="preserve">スライド・具体例・図で示され、ゆっくり明瞭に繰り返しつきで伝えられ、話題が身近であれば、ごく簡単でよく構成されたプレゼンテーションや実演を追える。</t>
  </si>
  <si>
    <t xml:space="preserve">駅やスタジアムの構内放送や古い録音など、品質の悪い歪んだ公共アナウンスから、特定情報を抽出できる。</t>
  </si>
  <si>
    <t xml:space="preserve">普通の速さで標準語または馴染みのある変種で伝えられれば、具体的・抽象的な話題のアナウンスやメッセージを理解できる。</t>
  </si>
  <si>
    <t xml:space="preserve">日常機器の操作説明など、簡単な技術情報を理解できる。</t>
  </si>
  <si>
    <t xml:space="preserve">雑音の妨げが最小限で明快に伝えられれば、空港・駅・飛行機・バス・列車の公共アナウンスを理解できる。</t>
  </si>
  <si>
    <t xml:space="preserve">ゆっくり明瞭に伝えられれば、スポーツや料理など身近な日常活動についての一連の指示を理解し、それに従える。</t>
  </si>
  <si>
    <t xml:space="preserve">徒歩や公共交通機関でXからYへ行く簡単な道順を理解できる。</t>
  </si>
  <si>
    <t xml:space="preserve">時間・日付・数字などの基本的な指示や、こなすべき日常的な作業や課題についての指示を理解できる。</t>
  </si>
  <si>
    <t xml:space="preserve">対象が身の回りにあれば、何かがどこにあるかをゆっくり明瞭に教えられたときに理解できる。</t>
  </si>
  <si>
    <t xml:space="preserve">駅や店の構内放送などで、ゆっくり明瞭に伝えられる数字・価格・時刻を理解できる。</t>
  </si>
  <si>
    <t xml:space="preserve">ゆっくり明瞭に語られれば、物語などの語り（休暇の描写など）の要点と重要な詳細を理解できる。</t>
  </si>
  <si>
    <t xml:space="preserve">ゆっくり明瞭に話されれば、インタビューで人々が余暇に何をするか、特に何をするのが好きか、何が好きでないかを理解できる。</t>
  </si>
  <si>
    <t xml:space="preserve">ゆっくり明瞭に伝えられれば、予測可能な日常の事柄を扱う短い録音から本質的な情報を理解し抽出できる。</t>
  </si>
  <si>
    <t xml:space="preserve">明瞭に話されれば、短い放送（天気予報、コンサート案内、スポーツ結果など）から重要情報を抽出できる。</t>
  </si>
  <si>
    <t xml:space="preserve">時事番組・インタビュー・討論番組・トーク番組など、難度の高いテレビ放送で提示される論を詳細に理解できる。</t>
  </si>
  <si>
    <t xml:space="preserve">標準語または馴染みのある変種で伝えられれば、大半の映画・演劇・テレビ番組のニュアンスや含意を理解できる。</t>
  </si>
  <si>
    <t xml:space="preserve">標準語または馴染みのある変種であれば、ドキュメンタリー・生インタビュー・トークショー・演劇や大半の映画を理解できる。</t>
  </si>
  <si>
    <t xml:space="preserve">映像と動きが筋の大部分を担い、平明な言葉で明瞭に伝えられる映画の多くを追える。</t>
  </si>
  <si>
    <t xml:space="preserve">映像が理解を大いに助け、明瞭で比較的ゆっくり伝えられれば、テレビCMや映画の予告編・場面を、どんな話題かを理解しながら追える。</t>
  </si>
  <si>
    <t xml:space="preserve">抽象的・構造的に複雑・きわめて口語的な文学・非文学テキストを含む、ほぼあらゆる種類のテキストを理解できる。</t>
  </si>
  <si>
    <t xml:space="preserve">読み返す機会があり参考資料を使えるなら、文学作品・新聞雑誌記事・専門的な学術・職業出版物を含む多種多様なテキストを理解できる。</t>
  </si>
  <si>
    <t xml:space="preserve">読み返す機会があり参考資料を使えるなら、メール・討論フォーラム・ブログなどで表明された明示的・暗示的な態度・感情・意見を理解できる。</t>
  </si>
  <si>
    <t xml:space="preserve">私的な通信文の俗語・慣用表現・冗談を理解できる。</t>
  </si>
  <si>
    <t xml:space="preserve">多少の口語表現が使われていても、個人的なメールや投稿で言われていることを理解できる。</t>
  </si>
  <si>
    <t xml:space="preserve">文通相手と定期的にやりとりできる程度に、個人的な手紙の出来事・感情・願望の記述を理解できる。</t>
  </si>
  <si>
    <t xml:space="preserve">出来事や経験を比較的詳しく述べた率直な個人的手紙・メール・投稿を理解できる。</t>
  </si>
  <si>
    <t xml:space="preserve">友人や家族など身近な主題について書かれた、あるいはそれらについて質問する簡単な個人的手紙・メール・投稿を理解できる。</t>
  </si>
  <si>
    <t xml:space="preserve">予約やオンライン購入の確認など、ごく簡単な公式のメールや手紙を理解できる。</t>
  </si>
  <si>
    <t xml:space="preserve">ソーシャルメディアやメールで送られる短く簡単なメッセージ（何をするか、いつどこで会うかの提案など）を理解できる。</t>
  </si>
  <si>
    <t xml:space="preserve">略語がなければ、友人や同僚からのごく簡単なメモやテキストメッセージ（「4時に戻る」「会議室で」など）の時刻や場所を認識できる。</t>
  </si>
  <si>
    <t xml:space="preserve">幅広い職業的話題のニュース・記事・報告の内容と関連性を素早く見きわめ、詳しく読む価値があるか判断できる。</t>
  </si>
  <si>
    <t xml:space="preserve">雑誌・パンフレット・ウェブの率直な事実的テキストを走査して、何についてか特定し、実用的な情報を含むか判断できる。</t>
  </si>
  <si>
    <t xml:space="preserve">手紙・パンフレット・短い公式文書など、日常の資料から関連情報を見つけ理解できる。</t>
  </si>
  <si>
    <t xml:space="preserve">食品や薬品のラベルから、調理・使用についての重要情報を拾える。</t>
  </si>
  <si>
    <t xml:space="preserve">略語が多すぎなければ、新聞や雑誌の簡単で明確な広告の重要情報を理解できる。</t>
  </si>
  <si>
    <t xml:space="preserve">簡単な言葉で書かれていれば、実用的で具体的・予測可能なテキスト（旅行ガイド、レシピなど）から特定情報を見つけられる。</t>
  </si>
  <si>
    <t xml:space="preserve">広告・案内・メニュー・一覧・時刻表など、簡単な日常の資料から特定の予測可能な情報を見つけられる。</t>
  </si>
  <si>
    <t xml:space="preserve">街路・レストラン・駅などの公共の場や、職場の案内・指示・危険警告など、日常の標識や掲示を理解できる。</t>
  </si>
  <si>
    <t xml:space="preserve">最も一般的な日常の状況で、簡単な掲示の中の馴染みのある名前・語・ごく基本的な句を認識できる。</t>
  </si>
  <si>
    <t xml:space="preserve">店内案内（各階の売り場情報）や道案内（エレベーターの場所など）を理解できる。</t>
  </si>
  <si>
    <t xml:space="preserve">広告・特別行事のプログラム・チラシ・パンフレットから、簡単で重要な情報（内容・費用・日時・場所・出発時刻など）を見つけて理解できる。</t>
  </si>
  <si>
    <t xml:space="preserve">「駐車場」「駅」「食堂」「禁煙」などの簡単な日常の標識を理解できる。</t>
  </si>
  <si>
    <t xml:space="preserve">時々辞書で用語の解釈を確認できるなら、専門外の専門的記事を理解できる。</t>
  </si>
  <si>
    <t xml:space="preserve">特定の立場や見解が取られている、現代の問題に関わる記事や報告を理解できる。</t>
  </si>
  <si>
    <t xml:space="preserve">論述テキストの異なる構造（対比、問題-解決、因果関係）を認識できる。</t>
  </si>
  <si>
    <t xml:space="preserve">関心や学習に関わる主題の率直な事実的テキストを理解できる。</t>
  </si>
  <si>
    <t xml:space="preserve">人々が見解を述べる、身近または時事的な主題の短いテキスト（オンラインフォーラムへの批評的投稿、読者投書など）を理解できる。</t>
  </si>
  <si>
    <t xml:space="preserve">必ずしも詳細ではなくとも、提示された問題の扱いにおける論の筋道を認識できる。</t>
  </si>
  <si>
    <t xml:space="preserve">読み返す時間が十分あれば、関心のある身近な主題について出会いそうな事実情報の大半を理解できる。</t>
  </si>
  <si>
    <t xml:space="preserve">博物館の展示解説や展覧会の説明板のような記述メモの要点を理解できる。</t>
  </si>
  <si>
    <t xml:space="preserve">手紙・パンフレット・出来事を報じる短いニュース記事など、より簡単な資料から特定情報を特定できる。</t>
  </si>
  <si>
    <t xml:space="preserve">内容が身近で予測可能であれば、身近な種類の出来事のニュース報道の概略を追える。</t>
  </si>
  <si>
    <t xml:space="preserve">数字・名前・図・見出しが目立ち、意味を支えている短いニュースや簡単な記事から、主要情報を拾える。</t>
  </si>
  <si>
    <t xml:space="preserve">簡単な言葉が使われていれば、人・場所・日常生活・文化などを描いたテキストを理解できる。</t>
  </si>
  <si>
    <t xml:space="preserve">個人的関心のある主題（スポーツ、有名人など）の短いニュースの要点を理解できる。</t>
  </si>
  <si>
    <t xml:space="preserve">簡単な言葉が使われ予測できない詳細を含まなければ、自分の分野の短い事実的な記述や報告を理解できる。</t>
  </si>
  <si>
    <t xml:space="preserve">個人広告や投稿で人々が自分について述べていることや、他人の好みについて述べていることの大半を理解できる。</t>
  </si>
  <si>
    <t xml:space="preserve">ごく簡単な言葉で書かれ、挿絵や写真が添えられていれば、個人的関心のある主題（スポーツ・音楽・旅行の速報や物語など）の短いテキストを理解できる。</t>
  </si>
  <si>
    <t xml:space="preserve">機器についての明確で率直な指示を理解できる。</t>
  </si>
  <si>
    <t xml:space="preserve">公共交通機関や電気機器のマニュアルなど、大半の短い安全指示を理解できる。</t>
  </si>
  <si>
    <t xml:space="preserve">新技術の設置手順など、段階ごとに図解された短い指示を理解できる。</t>
  </si>
  <si>
    <t xml:space="preserve">公衆電話など、日常生活で出会う機器の簡単な指示を理解できる。</t>
  </si>
  <si>
    <t xml:space="preserve">図解され、連続した文章で提示されていなければ、簡単で短い指示を理解できる。</t>
  </si>
  <si>
    <t xml:space="preserve">「食前に服用」「運転時は服用しない」など、簡単な命令として表現された薬のラベルの指示を理解できる。</t>
  </si>
  <si>
    <t xml:space="preserve">標準語または馴染みのある変種で書かれた現代文学や実用書を、暗示的な意味やアイディアを味わいながら、あまり苦労せずに読める。</t>
  </si>
  <si>
    <t xml:space="preserve">雑誌・平易な小説・歴史書・伝記・紀行・歌詞・詩など、テキストに応じて読み方や速度を調整し、参考資料を選んで使いながら、高い自立性をもって楽しみのために読める。</t>
  </si>
  <si>
    <t xml:space="preserve">広い読者向けに書かれた映画・本・コンサートなどの新聞雑誌の記事を読み、要点を理解できる。</t>
  </si>
  <si>
    <t xml:space="preserve">高頻度の日常語を使う物語・ガイド・雑誌記事の、場所・出来事・明示された感情や視点の記述を理解できる。</t>
  </si>
  <si>
    <t xml:space="preserve">辞書を定期的に使えるなら、明確で直線的な筋と高頻度の日常語をもつ物語・簡単な小説・漫画の筋を追える。</t>
  </si>
  <si>
    <t xml:space="preserve">趣味・スポーツ・余暇・動物など具体的な日常の話題を扱う、短い雑誌記事やガイドの項目の要点を理解できる。</t>
  </si>
  <si>
    <t xml:space="preserve">フォトストーリー（ライフスタイル誌など）で何が起きているか理解し、登場人物の人物像の印象を得られる。</t>
  </si>
  <si>
    <t xml:space="preserve">人物（有名人など）の短い紹介で提供される情報の多くを理解できる。</t>
  </si>
  <si>
    <t xml:space="preserve">簡単な言葉で明確に書かれていれば、予測可能なパターンに従う出来事（アカデミー賞など）を報じる短い記事の要点を理解できる。</t>
  </si>
  <si>
    <t xml:space="preserve">画像が内容の推測を助けてくれれば、絵物語の短いテキストの概略を理解できる。</t>
  </si>
  <si>
    <t xml:space="preserve">テキストの論証をよりよく理解するために、さまざまな種類の接続語（数的・時間的・論理的）と、全体構成における鍵となる段落の役割を活用できる。</t>
  </si>
  <si>
    <t xml:space="preserve">自分の分野や関心に関わる話題について、文脈から未知の語の意味を特定できる。</t>
  </si>
  <si>
    <t xml:space="preserve">論じられている話題が身近であれば、文脈から時折の未知語の意味を推定し、文の意味を推測できる。</t>
  </si>
  <si>
    <t xml:space="preserve">見出し・題名・ヘッドラインからテキスト内容の基本的な推論や予測ができる。</t>
  </si>
  <si>
    <r>
      <rPr>
        <sz val="9"/>
        <rFont val="Arial"/>
        <family val="0"/>
        <charset val="1"/>
      </rPr>
      <t xml:space="preserve">however</t>
    </r>
    <r>
      <rPr>
        <sz val="9"/>
        <rFont val="Noto Sans CJK SC"/>
        <family val="2"/>
      </rPr>
      <t xml:space="preserve">、</t>
    </r>
    <r>
      <rPr>
        <sz val="9"/>
        <rFont val="Arial"/>
        <family val="0"/>
        <charset val="1"/>
      </rPr>
      <t xml:space="preserve">because </t>
    </r>
    <r>
      <rPr>
        <sz val="9"/>
        <rFont val="Noto Sans CJK SC"/>
        <family val="2"/>
      </rPr>
      <t xml:space="preserve">などの一般的な論理接続語や、</t>
    </r>
    <r>
      <rPr>
        <sz val="9"/>
        <rFont val="Arial"/>
        <family val="0"/>
        <charset val="1"/>
      </rPr>
      <t xml:space="preserve">after that</t>
    </r>
    <r>
      <rPr>
        <sz val="9"/>
        <rFont val="Noto Sans CJK SC"/>
        <family val="2"/>
      </rPr>
      <t xml:space="preserve">、</t>
    </r>
    <r>
      <rPr>
        <sz val="9"/>
        <rFont val="Arial"/>
        <family val="0"/>
        <charset val="1"/>
      </rPr>
      <t xml:space="preserve">beforehand </t>
    </r>
    <r>
      <rPr>
        <sz val="9"/>
        <rFont val="Noto Sans CJK SC"/>
        <family val="2"/>
      </rPr>
      <t xml:space="preserve">などの時間接続語に注目して、物語の論の筋道や出来事の流れを追える。</t>
    </r>
  </si>
  <si>
    <t xml:space="preserve">構成要素（語根・語彙要素・接尾辞・接頭辞）を特定することで、テキスト中の未知語のおおよその意味を推測できる。</t>
  </si>
  <si>
    <t xml:space="preserve">具体的で日常的な話題の短いテキストや発話の全体的な意味の見当を活用して、文脈から未知語のおおよその意味を導ける。</t>
  </si>
  <si>
    <t xml:space="preserve">書式・体裁・活字上の特徴を活用して、テキストの種類（ニュース、宣伝、記事、教科書、チャット、フォーラムなど）を特定できる。</t>
  </si>
  <si>
    <t xml:space="preserve">未知の定型表現の意味と機能を、テキスト中の位置（手紙の冒頭や末尾など）から推測できる。</t>
  </si>
  <si>
    <t xml:space="preserve">周囲のテキストがごく簡単で、身近な日常の主題であれば、具体的な動作や物を表す未知語の意味を推測できる。</t>
  </si>
  <si>
    <t xml:space="preserve">下位テーマを組み込み、特定の点を展開し、適切な結論で締めくくる、入念な記述や語りができる。</t>
  </si>
  <si>
    <t xml:space="preserve">関心分野に関わる幅広い主題について、明快で詳細な記述ができる。</t>
  </si>
  <si>
    <t xml:space="preserve">関心分野内のさまざまな身近な主題について、率直な記述ができる。</t>
  </si>
  <si>
    <t xml:space="preserve">感情や反応を描写しながら、経験を詳しく語れる。</t>
  </si>
  <si>
    <t xml:space="preserve">事故など予測できない出来事の詳細を語れる。</t>
  </si>
  <si>
    <t xml:space="preserve">本や映画の筋を語り、自分の反応を記述できる。</t>
  </si>
  <si>
    <t xml:space="preserve">夢・希望・野心を記述できる。</t>
  </si>
  <si>
    <t xml:space="preserve">現実または想像上の出来事を記述できる。</t>
  </si>
  <si>
    <t xml:space="preserve">人・場所・仕事や学習経験など、身の回りの日常的な事柄を記述できる。</t>
  </si>
  <si>
    <t xml:space="preserve">出来事や活動について、短く基本的な記述ができる。</t>
  </si>
  <si>
    <t xml:space="preserve">計画・予定・習慣・日課・過去の活動・個人的経験を記述できる。</t>
  </si>
  <si>
    <t xml:space="preserve">簡単な描写的言葉を使って、物や持ち物について手短に述べ、比較できる。</t>
  </si>
  <si>
    <t xml:space="preserve">家族・生活状況・学歴・現在または直近の仕事を記述できる。</t>
  </si>
  <si>
    <t xml:space="preserve">得意なことと不得意なこと（スポーツ・ゲーム・技能・科目など）を表現できる。</t>
  </si>
  <si>
    <t xml:space="preserve">週末や休暇に何をするつもりか手短に記述できる。</t>
  </si>
  <si>
    <t xml:space="preserve">事前に準備できれば、簡単な語や基本的な句を使って、日常生活の簡単な側面を一連の簡単な文で記述できる。</t>
  </si>
  <si>
    <t xml:space="preserve">事前に準備できれば、簡単な語や定型表現を使って、自分について（名前・年齢・家族など）記述できる。</t>
  </si>
  <si>
    <t xml:space="preserve">よく似たアイディア・概念・事物の間の詳細な区別を明確に伝えられる。</t>
  </si>
  <si>
    <t xml:space="preserve">ある手順の実行方法を明快かつ詳細に記述できる。</t>
  </si>
  <si>
    <t xml:space="preserve">相手の視点を考慮し、裏づけの例で重要な点を強調し、適切に締めくくりながら、よく構成された言葉で体系的に論を展開できる。</t>
  </si>
  <si>
    <t xml:space="preserve">補助的な論点や適切な例で見解をある程度の長さで広げ裏づけながら、明確な論を展開できる。</t>
  </si>
  <si>
    <t xml:space="preserve">さまざまな選択肢の利点と欠点を挙げながら、時事的な問題についての見解を説明できる。</t>
  </si>
  <si>
    <t xml:space="preserve">たいていの場合、難なく追える程度に論を展開できる。</t>
  </si>
  <si>
    <t xml:space="preserve">簡単な表現を使って、日常生活に関わる主題について意見を表現できる。</t>
  </si>
  <si>
    <t xml:space="preserve">誰かがしたことに賛成か否かを述べ、その意見を正当化する理由を挙げられる。</t>
  </si>
  <si>
    <t xml:space="preserve">聞き手の必要に合わせて話を柔軟に構成・調整しながら、その話題に馴染みのない聞き手に、複雑な話題を自信をもって明快に提示できる。</t>
  </si>
  <si>
    <t xml:space="preserve">補助的な論点・理由・適切な例で見解をある程度の長さで広げ裏づけながら、複雑な主題について明快でよく構成されたプレゼンテーションができる。</t>
  </si>
  <si>
    <t xml:space="preserve">聞き手がアイディアの流れを追い全体の論証を理解しやすいように、長めのプレゼンテーションを適切に構成できる。</t>
  </si>
  <si>
    <t xml:space="preserve">複雑な主題を提示する際に、代替案や論を比較・評価しながら、推測や仮説を立てられる。</t>
  </si>
  <si>
    <t xml:space="preserve">準備したテキストから自発的に離れ、聴衆が出した興味深い点を追いかけられる。しばしば目覚ましい流暢さと表現の容易さを示す。</t>
  </si>
  <si>
    <t xml:space="preserve">ある見解への賛否の理由と、さまざまな選択肢の利点・欠点を挙げながら、明快な準備済みプレゼンテーションができる。</t>
  </si>
  <si>
    <t xml:space="preserve">自分の分野の身近な話題について、たいてい難なく追える程度に明確で、要点がある程度正確に説明された、準備済みの率直なプレゼンテーションができる。</t>
  </si>
  <si>
    <t xml:space="preserve">日常生活に関わる話題について短い練習済みのプレゼンテーションを行い、意見・計画・行動の理由や説明を手短に述べられる。</t>
  </si>
  <si>
    <t xml:space="preserve">繰り返しを求められ、回答の言い方に多少の助けがあれば、率直な追加質問に答えられる。</t>
  </si>
  <si>
    <t xml:space="preserve">関連する重要な問題に下線を引き、補助的な論点・理由・適切な例で見解をある程度の長さで広げ裏づけ、適切な結論で締めくくりながら、複雑な主題の明快でよく構成されたテキストを産出できる。</t>
  </si>
  <si>
    <t xml:space="preserve">簡単な語や基本的な表現を使って、個人的に関わる事柄（好き嫌い・家族・ペットなど）についての情報を伝えられる。</t>
  </si>
  <si>
    <t xml:space="preserve">採用したジャンルにふさわしい文体で、明快でよどみなく、引き込む物語や経験の記述を語れる。</t>
  </si>
  <si>
    <t xml:space="preserve">想定した読者にふさわしい、自信ある個人的で自然な文体で、明快で詳細な、よく構成され展開された記述や創作テキストを産出できる。</t>
  </si>
  <si>
    <t xml:space="preserve">文化的行事（演劇・映画・コンサートなど）や文学作品の詳細で批評的なレビューを書ける。</t>
  </si>
  <si>
    <t xml:space="preserve">関心分野に関わるさまざまな主題について、明快で詳細な記述ができる。</t>
  </si>
  <si>
    <t xml:space="preserve">限られた言葉の幅で、映画・本・テレビ番組の簡単なレビューを書ける。</t>
  </si>
  <si>
    <t xml:space="preserve">関心分野内の一連の身近な主題について、率直で詳細な記述ができる。</t>
  </si>
  <si>
    <t xml:space="preserve">簡単でまとまったテキストで、感情や反応を描写しながら経験を語れる。</t>
  </si>
  <si>
    <t xml:space="preserve">現実または想像上の、出来事や最近の旅行の記述ができる。</t>
  </si>
  <si>
    <t xml:space="preserve">人・場所・仕事や学習経験など、身の回りの日常的な事柄を、つながりのある文で記述できる。</t>
  </si>
  <si>
    <t xml:space="preserve">簡単な物語（休暇の出来事や遠い未来の生活についてなど）を語れる。</t>
  </si>
  <si>
    <t xml:space="preserve">家族・生活状況・学歴・現在または直近の仕事について、一連の簡単な句や文を産出できる。</t>
  </si>
  <si>
    <t xml:space="preserve">基本的で具体的な語彙と、and・but・because のような簡単な接続語を用いた簡単な句や文で、活動（日課・外出・スポーツ・趣味など）・人・場所を描いた日記を書ける。</t>
  </si>
  <si>
    <t xml:space="preserve">辞書や参考資料（教科書の動詞活用表など）を参照できれば、物語の導入を書いたり、物語を続けたりできる。</t>
  </si>
  <si>
    <t xml:space="preserve">自分や想像上の人物、その住まいや活動について、簡単な句や文を産出できる。</t>
  </si>
  <si>
    <t xml:space="preserve">簡単な語や句を使って、日常の事物（車の色、大小など）を記述できる。</t>
  </si>
  <si>
    <t xml:space="preserve">主張を提示したり、提案や文学作品への批評的評価を述べたりする、明快でよどみない複雑な報告・記事・エッセイを産出できる。</t>
  </si>
  <si>
    <t xml:space="preserve">自分のアイディアや意見を出典のそれと明確に区別しながら、複雑な学術的・職業的話題についての複数の視点を提示できる。</t>
  </si>
  <si>
    <t xml:space="preserve">関連する重要な問題に下線を引きながら、複雑な主題の明快でよく構成された論説を産出できる。</t>
  </si>
  <si>
    <t xml:space="preserve">話題が関心分野内で、推敲・修正の機会があれば、複雑な学術的・職業的話題の長めの報告・記事・論文にふさわしい序論と結論を書ける。</t>
  </si>
  <si>
    <t xml:space="preserve">重要な点を適切に強調し、関連する裏づけの詳細を添えて、体系的に論を展開するエッセイや報告を書ける。</t>
  </si>
  <si>
    <t xml:space="preserve">複雑な過程の詳細な記述を産出できる。</t>
  </si>
  <si>
    <t xml:space="preserve">ある見解への賛否の理由を挙げ、さまざまな選択肢の利点・欠点を説明しながら、論を展開するエッセイや報告を書ける。</t>
  </si>
  <si>
    <t xml:space="preserve">利点と欠点を挙げ、意見を述べ正当化するのに簡単な言葉を使って、個人的関心のある時事的な主題のテキストを産出できる。</t>
  </si>
  <si>
    <t xml:space="preserve">自分の分野の身近な日常的・非日常的な事柄について、蓄積した事実情報をある程度自信をもって要約・報告し、意見を述べられる。</t>
  </si>
  <si>
    <t xml:space="preserve">日常的な事実情報を伝え、行動の理由を述べる、標準的な定型書式のごく簡単な報告を産出できる。</t>
  </si>
  <si>
    <t xml:space="preserve">基本的な日常語彙と表現を使って、個人的関心のある話題（生活様式・文化・物語など）についての印象や意見を述べられる。</t>
  </si>
  <si>
    <t xml:space="preserve">似た意味の語を修飾して意味を伝えられる（人を運ぶトラック＝バスなど）。</t>
  </si>
  <si>
    <t xml:space="preserve">伝えたい概念に似た意味の簡単な語を使い、「訂正」を促せる。</t>
  </si>
  <si>
    <t xml:space="preserve">困難に出会ったときに、言葉の流れを完全には中断せずに、言い直し、言いたいことを組み立て直せる。</t>
  </si>
  <si>
    <t xml:space="preserve">自分で気づいた、あるいは誤解につながった言い間違いや誤りを修正できる。</t>
  </si>
  <si>
    <t xml:space="preserve">コミュニケーションが行き詰まったとき、別の手を使ってやり直せる。</t>
  </si>
  <si>
    <t xml:space="preserve">時々繰り返しや言い直しを求められるなら、身近な事柄について自分に向けられた明瞭な標準的な話をおおむね理解できる。</t>
  </si>
  <si>
    <t xml:space="preserve">好意的な相手が、明瞭にゆっくり繰り返しながら直接自分に向けて話してくれれば、具体的な簡単な必要を満たすための日常表現を理解できる。</t>
  </si>
  <si>
    <t xml:space="preserve">他の人がゆっくり明瞭に直接自分に向けて自己紹介すれば、簡単な個人情報（名前・年齢・居住地・出身）を理解でき、このテーマについて自分に向けられた質問も、繰り返しが必要なことはあっても理解できる。</t>
  </si>
  <si>
    <t xml:space="preserve">非常にゆっくり、必要なら繰り返して伝えられれば、いくつかの馴染みのある語を理解し、鍵となる情報（数字・価格・日付・曜日など）を認識できる。</t>
  </si>
  <si>
    <t xml:space="preserve">好意的な質問や同意の表明、必要に応じて第三者や共通の状況についてのコメントを通じて、対話相手との関係を築ける。</t>
  </si>
  <si>
    <t xml:space="preserve">騒がしい環境でも、大半の一般的話題について、明確に参加する形で長い会話を続けられる。</t>
  </si>
  <si>
    <t xml:space="preserve">意図せず相手を面白がらせたり苛立たせたりせず、他の熟達した話者に対するのと違う振る舞いを求めることもなく、目標言語の話者との関係を維持できる。</t>
  </si>
  <si>
    <t xml:space="preserve">特別な経験や出来事について比較的自発的な質問をし、身近な主題について反応や意見を表明することで、会話を始め、続ける手助けができる。</t>
  </si>
  <si>
    <t xml:space="preserve">日常会話で自分に向けられた明快な言葉を追えるが、特定の語の繰り返しを求めることが時々ある。</t>
  </si>
  <si>
    <t xml:space="preserve">会話や議論を維持できるが、言いたいことを正確に表現しようとするとき、時に追いにくくなることがある。</t>
  </si>
  <si>
    <t xml:space="preserve">驚き・喜び・悲しみ・関心・無関心などの感情を表現し、それに応じられる。</t>
  </si>
  <si>
    <t xml:space="preserve">時々繰り返しや言い直しを求められるなら、身近な事柄について自分に向けられた明瞭な標準語をおおむね理解できる。</t>
  </si>
  <si>
    <t xml:space="preserve">関心のある話題について、日常的な文脈での短い会話に参加できる。</t>
  </si>
  <si>
    <t xml:space="preserve">頼み事（物を借りるなど）をし、頼み事を申し出て、頼まれたら応じられる。</t>
  </si>
  <si>
    <t xml:space="preserve">ごく短い社交的なやりとりはこなせるが、自力で会話を続けられるほど理解できることはまれである。ただし相手が手間をかけてくれれば、理解させてもらえる。</t>
  </si>
  <si>
    <t xml:space="preserve">同僚・仲間・ホストファミリーと簡単な言葉で会話し、大半の日常的な事柄について質問し、答えを理解できる。</t>
  </si>
  <si>
    <t xml:space="preserve">招待・提案・詫びをし、それに応じられる。</t>
  </si>
  <si>
    <t xml:space="preserve">ごく基本的な決まり文句を使って、自分の気分を表現できる。</t>
  </si>
  <si>
    <t xml:space="preserve">好意的な相手が、明瞭にゆっくり繰り返して直接自分に向けて話してくれれば、具体的な簡単な必要を満たすための日常表現を理解できる。</t>
  </si>
  <si>
    <t xml:space="preserve">予測可能な話題（自国・家族・学校など）について、基本的な事実に関する簡単な会話に参加できる。</t>
  </si>
  <si>
    <t xml:space="preserve">自分のアイディアや意見を正確に表現し、複雑な論の筋道を説得力をもって提示し、それに応答できる。</t>
  </si>
  <si>
    <t xml:space="preserve">身近な文脈での非公式な議論に積極的に参加し、コメントをし、見解を明確に述べ、代替案を評価し、仮説を立て、それに応じられる。</t>
  </si>
  <si>
    <t xml:space="preserve">多少の努力で周囲の議論の大部分を聞き取れるが、言葉を一切調整しない複数の話者との議論に効果的に参加するのは難しいことがある。</t>
  </si>
  <si>
    <t xml:space="preserve">対話相手が非常に慣用的な用法を避け明瞭に話せば、一般的な話題について周囲で話されていることの多くを追える。</t>
  </si>
  <si>
    <t xml:space="preserve">何をするか、どこへ行くか、誰を・どれを選ぶかなどを話し合いながら、選択肢を比較・対照できる。</t>
  </si>
  <si>
    <t xml:space="preserve">友人が標準語または馴染みのある変種で明瞭に話せば、非公式な議論の要点をおおむね追える。</t>
  </si>
  <si>
    <t xml:space="preserve">関心のある話題を論じる中で、個人的な見解や意見を述べ、または求められる。</t>
  </si>
  <si>
    <t xml:space="preserve">問題の解決策や、どこへ行くか・何をするか・行事（外出など）をどう企画するかといった実際的な問いについて、自分の意見や反応を理解させられる。</t>
  </si>
  <si>
    <t xml:space="preserve">夜や週末に何をするか話し合える。</t>
  </si>
  <si>
    <t xml:space="preserve">提案をし、それに応じられる。</t>
  </si>
  <si>
    <t xml:space="preserve">明瞭にゆっくり直接話しかけられれば、日常の実際的な問題を簡単な方法で話し合える。</t>
  </si>
  <si>
    <t xml:space="preserve">何をするか・どこへ行くかを話し合い、会う約束をできる。</t>
  </si>
  <si>
    <t xml:space="preserve">複雑な問題の公式討議で、他の参加者に引けを取らず、明確で説得力のある論を述べて自分の立場を保てる。</t>
  </si>
  <si>
    <t xml:space="preserve">必要な専門知識があれば、複雑・デリケート・論争的な問題について助言・対処できる。</t>
  </si>
  <si>
    <t xml:space="preserve">抽象的で複雑な未知の話題でも、討論に楽についていける。</t>
  </si>
  <si>
    <t xml:space="preserve">質問やコメントに応じ、複雑な反論に流暢・自発的・適切に答えながら、公式の立場を説得力をもって論じられる。</t>
  </si>
  <si>
    <t xml:space="preserve">自分の学術的・職業的能力の範囲内の事柄について、他の参加者の発言を言い直し、評価し、反論できる。</t>
  </si>
  <si>
    <t xml:space="preserve">詳細を掘り下げる質問で追及し、質問が誤解されたら言い換えられる。</t>
  </si>
  <si>
    <t xml:space="preserve">活発な議論についていき、見解への賛否の論を正確に特定できる。</t>
  </si>
  <si>
    <t xml:space="preserve">自分の分野に関わる議論を追い、目立たせられた点を詳細に理解できる。</t>
  </si>
  <si>
    <t xml:space="preserve">自分の意見を述べ、その理由を挙げて支持し、代替案を評価し、仮説を立て、それに応じられる。</t>
  </si>
  <si>
    <t xml:space="preserve">対話相手が非常に慣用的な用法を避け明瞭に話せば、自分の分野に関わる話の多くを追える。</t>
  </si>
  <si>
    <t xml:space="preserve">標準語または馴染みのある変種で明快に話され、事実情報の交換・指示の受領・実際的問題の解決策の議論を含む、身近な主題の日常的な公式討議に参加できる。</t>
  </si>
  <si>
    <t xml:space="preserve">言い方に多少の助けがあり、必要なら要点の繰り返しを求められるなら、直接尋ねられたときに関連情報を交換し、実際的問題について意見を述べられる。</t>
  </si>
  <si>
    <t xml:space="preserve">他の人に参加を促し、考えを述べてもらうなどして、作業の進行を助けられる。</t>
  </si>
  <si>
    <t xml:space="preserve">原因や結果を推測し、異なるアプローチの利点・欠点を比較検討しながら、問題や課題を明確に概説できる。</t>
  </si>
  <si>
    <t xml:space="preserve">議論が速かったり長かったりする場合に時々繰り返しや明確化を求める必要はあっても、話されていることを追える。</t>
  </si>
  <si>
    <t xml:space="preserve">なぜ問題なのかを説明し、次に何をするか話し合い、選択肢を比較・対照できる。</t>
  </si>
  <si>
    <t xml:space="preserve">話されていることをおおむね追い、必要なら相手の言ったことの一部を繰り返して相互理解を確認できる。</t>
  </si>
  <si>
    <t xml:space="preserve">可能な解決策や次に何をするかの問いについて、簡単な理由や説明を添えて自分の意見や反応を理解させられる。</t>
  </si>
  <si>
    <t xml:space="preserve">理解できないときにごく簡単に繰り返しを求めながら、簡単で日常的な作業を無理なくこなせる程度に理解できる。</t>
  </si>
  <si>
    <t xml:space="preserve">物を頼み提供し、簡単な情報を得て、次に何をするか話し合うのに簡単な句を使って、簡単で日常的な作業でコミュニケーションできる。</t>
  </si>
  <si>
    <t xml:space="preserve">時間・場所・数字などを含む基本的な指示に基づいて行動できる。</t>
  </si>
  <si>
    <t xml:space="preserve">生じた問題を説明し、サービス提供者／客が譲歩すべきことを明確にできる。</t>
  </si>
  <si>
    <t xml:space="preserve">旅行や宿泊の手配、外国訪問中の当局への対応など、旅行中に生じそうな大半の取引に対処できる。</t>
  </si>
  <si>
    <t xml:space="preserve">決定するために、店で同じ目的の二つ以上の製品の違いの説明を求め、必要に応じて追加質問できる。</t>
  </si>
  <si>
    <t xml:space="preserve">代理店を通じた旅行手配や実際の旅行で生じそうな大半の状況に対処できる。馴染みのない目的地でどこで降りるか乗客に尋ねるなど。</t>
  </si>
  <si>
    <t xml:space="preserve">幅広い簡単な表現を使って、予測可能な日常の状況（郵便局・駅・店など）でやりとりできる。</t>
  </si>
  <si>
    <t xml:space="preserve">率直で専門的でない性質のものであれば、観光案内所で必要な情報をすべて得られる。</t>
  </si>
  <si>
    <t xml:space="preserve">日常の物やサービスを求め、提供できる。</t>
  </si>
  <si>
    <t xml:space="preserve">旅行についての簡単な情報を得て、公共交通機関（バス・列車・タクシーなど）を使い、道順を尋ね教え、切符を買える。</t>
  </si>
  <si>
    <t xml:space="preserve">店・郵便局・銀行で物事を尋ね、簡単な取引ができる。</t>
  </si>
  <si>
    <t xml:space="preserve">量・数・価格などについての情報を伝え合える。</t>
  </si>
  <si>
    <t xml:space="preserve">何が欲しいか述べ、値段を尋ねて簡単な買い物ができる。</t>
  </si>
  <si>
    <t xml:space="preserve">（対面で）診察の予約を求め、その返答を理解できる。身振りやボディランゲージを使ってでも、医療従事者に問題の性質を示せる。</t>
  </si>
  <si>
    <t xml:space="preserve">基本的な表現を使って飲食物を求められる。</t>
  </si>
  <si>
    <t xml:space="preserve">専門家どうしで情報を交換したり自分の専門分野を議論したりする際に、適切な専門用語を使える。</t>
  </si>
  <si>
    <t xml:space="preserve">短い物語・記事・講演・議論・インタビュー・ドキュメンタリーを要約し、意見を述べ、詳細についての追加質問に答えられる。</t>
  </si>
  <si>
    <t xml:space="preserve">率直な事実情報を調べ、伝えられる。</t>
  </si>
  <si>
    <t xml:space="preserve">詳細な道順を尋ね、それに従える。</t>
  </si>
  <si>
    <t xml:space="preserve">自分の経験分野内の簡単な事柄について助言を申し出られる。</t>
  </si>
  <si>
    <t xml:space="preserve">実際的な日常の要求に対処できる：率直な事実情報を調べ、伝える。</t>
  </si>
  <si>
    <t xml:space="preserve">娯楽や過去の活動について質問し、答えられる。</t>
  </si>
  <si>
    <t xml:space="preserve">簡単な道順や指示を与え、それに従える。どこかへの行き方の説明など。</t>
  </si>
  <si>
    <t xml:space="preserve">簡単で直接的な情報交換を必要とする簡単で日常的な作業でコミュニケーションできる。</t>
  </si>
  <si>
    <t xml:space="preserve">身近で日常的な業務上の事柄について、限られた情報を交換できる。</t>
  </si>
  <si>
    <t xml:space="preserve">仕事や余暇に何をするかについて質問し、答えられる。</t>
  </si>
  <si>
    <t xml:space="preserve">出来事について簡単な質問をし、答えられる（どこでいつ起きたか、誰がいたか、どうだったかを尋ねるなど）。</t>
  </si>
  <si>
    <t xml:space="preserve">差し迫った必要のある領域やごく身近な話題について、簡単な質問をし、答え、簡単な発言を始め、それに応じられる。</t>
  </si>
  <si>
    <t xml:space="preserve">「来週」「先週の金曜日」「11月に」「3時」のような語彙化された句で時を示せる。</t>
  </si>
  <si>
    <t xml:space="preserve">衣服や身近な物の色の名前を言え、そうした物の色を尋ねられる。</t>
  </si>
  <si>
    <t xml:space="preserve">日常会話で簡単な数字を使い、理解できる。</t>
  </si>
  <si>
    <t xml:space="preserve">生年月日を尋ね、答えられる。</t>
  </si>
  <si>
    <t xml:space="preserve">自分の年齢を言え、人に年齢を尋ねられる。</t>
  </si>
  <si>
    <t xml:space="preserve">「これは何ですか」のようなごく簡単な情報の質問をし、1〜2語の答えを理解できる。</t>
  </si>
  <si>
    <t xml:space="preserve">相手の返答が速かったり長かったりする場合に時々繰り返しを求める必要はあっても、情報を確認しながら準備した面接を行える。</t>
  </si>
  <si>
    <t xml:space="preserve">面接や相談で多少の主導権を取れる（新しい話題を持ち出すなど）が、やりとりでは面接者に大きく依存する。</t>
  </si>
  <si>
    <t xml:space="preserve">日常語で明確に答えてもらえれば、医療サービスを利用する際に症状を簡単に説明し、助言を求め、答えを理解できる。</t>
  </si>
  <si>
    <t xml:space="preserve">時々明確化を求められ、言いたいことの表現に多少の助けがあれば、面接で自分を理解させ、身近な話題についての考えや情報を伝えられる。</t>
  </si>
  <si>
    <t xml:space="preserve">身振りやボディランゲージを使ってでも、医療従事者に問題の性質を簡単な言葉で示せる。</t>
  </si>
  <si>
    <t xml:space="preserve">身振りやボディランゲージでメッセージを補強しながらでも、医療従事者に問題の性質を簡単な言葉で述べ、「そこは痛みますか」のような簡単な質問に答えられる。</t>
  </si>
  <si>
    <t xml:space="preserve">アクセントや用語に馴染みがない場合に明確化を求められるなら、さまざまな個人的・職業的目的で電話などの通信を使える。</t>
  </si>
  <si>
    <t xml:space="preserve">予期しない出来事（ホテルや旅行手配、レンタカーの問題など）について、（テレビ）電話で重要な詳細を伝えられる。</t>
  </si>
  <si>
    <t xml:space="preserve">日常的な伝言（会合の手配など）や基本的なサービスの利用（ホテルの予約、診察の予約など）に、電話などの通信を使える。</t>
  </si>
  <si>
    <t xml:space="preserve">繰り返しや明確化があれば、到着時刻や会う約束など予測可能な話題について、知っている人と短く簡単な電話の会話に参加できる。</t>
  </si>
  <si>
    <t xml:space="preserve">経験を詳しく描写し、思いやりのある質問をし、共通の関心事を掘り下げるのに言葉を流暢かつ効果的に使って、個人的な文通で関係を維持できる。</t>
  </si>
  <si>
    <t xml:space="preserve">通信文などの慣用表現や口語表現をたいてい理解し、最も一般的なものを状況に応じて自分でも使える。</t>
  </si>
  <si>
    <t xml:space="preserve">感情の度合いを伝え、出来事や経験の個人的な意味を強調し、相手の近況や見解にコメントする手紙を書ける。</t>
  </si>
  <si>
    <t xml:space="preserve">個人的・職業的な手紙やメールを書く際に、文脈にふさわしい形式や慣習を使える。</t>
  </si>
  <si>
    <t xml:space="preserve">事実の事柄に限られていれば、適切な構成と慣習を使って、非日常的な職業上の手紙を書ける。</t>
  </si>
  <si>
    <t xml:space="preserve">特定の目的に必要な情報を手紙やメールで入手し、まとめ、メールで他の人に転送できる。</t>
  </si>
  <si>
    <t xml:space="preserve">近況を伝え、音楽や映画などの抽象的・文化的な話題についての考えを表現する個人的な手紙を書ける。</t>
  </si>
  <si>
    <t xml:space="preserve">異なる意見を表明し、個人的な感情や経験を詳しく述べる手紙を書ける。</t>
  </si>
  <si>
    <t xml:space="preserve">広告に文書で返信し、関心のある品目についてさらに情報を求められる。</t>
  </si>
  <si>
    <t xml:space="preserve">経験・感情・出来事をある程度詳しく描写する個人的な手紙を書ける。</t>
  </si>
  <si>
    <t xml:space="preserve">事実に関わる基本的なメールや手紙（情報を求める、確認を求め与えるなど）を書ける。</t>
  </si>
  <si>
    <t xml:space="preserve">日常的な性質の個人情報を伝えられる。自己紹介する短いメールや手紙など。</t>
  </si>
  <si>
    <t xml:space="preserve">短く簡単なメモ・メール・テキストメッセージを書ける（招待の送付や返信、手配の確認や変更など）。</t>
  </si>
  <si>
    <t xml:space="preserve">グリーティングカードに短い文（誕生日祝いや新年の挨拶など）を書ける。</t>
  </si>
  <si>
    <t xml:space="preserve">辞書を参照しながら、簡単な語や定型表現を使って、趣味や好き嫌いについてのごく短い文の連なりとして、メッセージやオンライン投稿を書ける。</t>
  </si>
  <si>
    <t xml:space="preserve">友人に情報を伝えたり質問したりする、短くごく簡単なメッセージ（テキストメッセージなど）を書ける。</t>
  </si>
  <si>
    <t xml:space="preserve">個人的・職業的・学術的な文脈で起こりそうな日常的な伝言を受けられる。</t>
  </si>
  <si>
    <t xml:space="preserve">友人・サービス業者・教師など日常生活に登場する人々に、直接関わりのある簡単な情報を伝えるメモを作成し、重要と思う点を理解可能な形で伝えられる。</t>
  </si>
  <si>
    <t xml:space="preserve">銀行口座の開設や書留の送付など、大半の日常の用紙に個人情報などを記入できる。</t>
  </si>
  <si>
    <t xml:space="preserve">どこへ行ったか、何時に戻るかなどの情報を伝える簡単な伝言を残せる（「買い物：午後5時に戻る」など）。</t>
  </si>
  <si>
    <t xml:space="preserve">感情表現・ほのめかし・冗談を含め、文脈に合わせて言葉を柔軟かつ細やかに調整しながら、リアルタイムのオンライン議論で明晰かつ正確に自己表現できる。</t>
  </si>
  <si>
    <t xml:space="preserve">オンライン議論で起こりうる誤解（文化的なものを含む）・コミュニケーション上の問題・感情的な反応を予期し、効果的に対処できる。</t>
  </si>
  <si>
    <t xml:space="preserve">さまざまな貢献の伝達意図と文化的含意を理解しながら、複数の参加者とのリアルタイムのオンラインのやりとりに参加できる。</t>
  </si>
  <si>
    <t xml:space="preserve">必要に応じて複雑で抽象的な問題の明確化を求め、与えながら、ライブのオンライン専門的・学術的議論に効果的に参加できる。</t>
  </si>
  <si>
    <t xml:space="preserve">オンラインのやりとりの文脈に応じて言語使用域を調整し、必要なら同じやりとりの中である使用域から別の使用域へ移れる。</t>
  </si>
  <si>
    <t xml:space="preserve">参加者が珍しい・複雑な言葉を避け、応答の時間をくれれば、関心のある話題について意見を述べ、それに応じながら、オンライン議論にある程度の長さで積極的に参加できる。</t>
  </si>
  <si>
    <t xml:space="preserve">進行役が議論の運営を助けてくれれば、複数参加者のオンラインのやりとりで、自分の貢献をスレッドの以前の投稿に効果的に結びつけられる。</t>
  </si>
  <si>
    <t xml:space="preserve">複数の参加者とのリアルタイムのオンラインのやりとりで、各参加者の伝達意図を認識できるが、さらなる説明なしには詳細や含意を理解できないことがある。</t>
  </si>
  <si>
    <t xml:space="preserve">語彙の制約から時に繰り返しや不適切な表現が生じるものの、経験・感情・出来事についての個人的なオンライン投稿をし、他者のコメントにある程度詳しく個別に応じられる。</t>
  </si>
  <si>
    <t xml:space="preserve">応答を組み立てる時間が十分あり、一度に一人の相手とやりとりするなら、自己紹介をし、予測可能な日常の話題について質問し答え、アイディアを交換する簡単なオンラインのやりとりをこなせる。</t>
  </si>
  <si>
    <t xml:space="preserve">簡単な言葉で書かれていれば、埋め込みメディアに驚き・関心・無関心を簡単な方法で表しながら、他の人のオンライン投稿にコメントできる。</t>
  </si>
  <si>
    <t xml:space="preserve">通常はオンライン翻訳ツールなどの資料に頼る必要はあるものの、基本的な言葉のレパートリーで、埋め込みリンクやメディアについて短い肯定的・否定的コメントをオンラインでできる。</t>
  </si>
  <si>
    <t xml:space="preserve">定型表現と簡単な語の組み合わせを使って、簡単なオンライン投稿とその埋め込みリンク・メディアに短い肯定的・否定的反応を投稿し、標準的な感謝や詫びの表現でさらなるコメントに応じられる。</t>
  </si>
  <si>
    <t xml:space="preserve">メニューから選択したりオンライン翻訳ツールを参照したりできれば、自分についての短く簡単な情報（交際状況・国籍・職業など）をオンラインに投稿できる。</t>
  </si>
  <si>
    <t xml:space="preserve">協働作業の推敲・編集段階で、グループの作業に指針を与え、精度を高められる。</t>
  </si>
  <si>
    <t xml:space="preserve">詳細な指示を作成・修正し、チームメンバーの提案を評価し、共有課題の達成のために明確化を与えながら、オンラインでプロジェクトに取り組むグループを調整できる。</t>
  </si>
  <si>
    <t xml:space="preserve">協働の執筆・推敲その他のオンライン協働を必要とする複雑なプロジェクトに参加し、目標達成のために指示を正確に追い、伝えられる。</t>
  </si>
  <si>
    <t xml:space="preserve">メディア（視覚・音声・図表）を通じて言い換え・明確化・例示を行い、オンライン協働や取引のやりとりで生じるコミュニケーション上の問題や文化的問題に効果的に対処できる。</t>
  </si>
  <si>
    <t xml:space="preserve">設定された目標達成のため、役割・責任・締切をグループに思い出させて課題に集中させながら、自分の専門領域内のオンライン協働作業で主導的役割を担える。</t>
  </si>
  <si>
    <t xml:space="preserve">条件の交渉や込み入った詳細・特別な要件の説明を必要とする、自分の専門領域内のオンライン協働・取引のやりとりに参加できる。</t>
  </si>
  <si>
    <t xml:space="preserve">相手が複雑な言葉を避け、必要に応じて繰り返し言い直してくれれば、長い情報交換を必要とするオンライン取引に参加できる。</t>
  </si>
  <si>
    <t xml:space="preserve">講座・ツアー・行事への登録や会員申請など、関連する詳細の簡単な明確化や説明を必要とするオンライン協働・取引のやりとりに参加できる。</t>
  </si>
  <si>
    <t xml:space="preserve">より複雑な概念を明確にする画像・統計・グラフなどの視覚的補助があれば、プロジェクトに取り組むパートナーや小グループとオンラインでやりとりできる。</t>
  </si>
  <si>
    <t xml:space="preserve">関わる概念を明確にする画像・統計・グラフなどの視覚的補助があれば、協力的な相手との簡単な協働作業で、基本的な指示に応じ明確化を求めながらオンラインでやりとりできる。</t>
  </si>
  <si>
    <t xml:space="preserve">個人情報を入力し、利用規約への同意を確認し、追加サービスを断るなどして、オンラインの用紙や質問票に記入し、簡単なオンライン取引（商品の注文や講座への登録など）ができる。</t>
  </si>
  <si>
    <t xml:space="preserve">協力的な相手の助けがあれば、簡単な指示に応じ簡単な質問をして、オンラインで共有課題を達成できる。</t>
  </si>
  <si>
    <t xml:space="preserve">適切な言葉を活用して、議論に適切に介入できる。</t>
  </si>
  <si>
    <t xml:space="preserve">いつも優雅にとはいかないかもしれないが、談話を始め、適切なときに発言し、必要なときに会話を終えられる。</t>
  </si>
  <si>
    <t xml:space="preserve">言いたいことを組み立てる間、時間を稼ぎ発言権を保つために、決まり文句（「それは答えの難しい質問ですね」など）を使える。</t>
  </si>
  <si>
    <t xml:space="preserve">簡単な技法を使って短い会話を始め、維持し、終えられる。</t>
  </si>
  <si>
    <t xml:space="preserve">自分の学術的・職業的能力の範囲内の事柄について、議論の要点を要約し評価できる。</t>
  </si>
  <si>
    <t xml:space="preserve">身近な話題について、理解を確認したり他の人を招き入れたりして、議論の進行を助けられる。</t>
  </si>
  <si>
    <t xml:space="preserve">基本的な言葉と方略のレパートリーを活用して、会話や議論を続ける手助けができる。</t>
  </si>
  <si>
    <t xml:space="preserve">相互理解を確認しアイディアの展開を軌道に保つために、相手の言ったことの一部を繰り返せる。</t>
  </si>
  <si>
    <t xml:space="preserve">暗示的または不十分にしか表現されていない問題を明確にするために、グループのメンバーに追加質問を組み立てられる。</t>
  </si>
  <si>
    <t xml:space="preserve">決まり文句を使って、理解できなかった鍵となる語や句の明確化を求められる。</t>
  </si>
  <si>
    <t xml:space="preserve">理解していないことを示し、語のつづりを言ってもらうよう求められる。</t>
  </si>
  <si>
    <t xml:space="preserve">簡単な語・イントネーション・身振りで、理解していないことを示せる。</t>
  </si>
  <si>
    <t xml:space="preserve">（A言語で）明快に話されれば、詳細な指示や道順の内容を（B言語で）伝えられる。</t>
  </si>
  <si>
    <t xml:space="preserve">率直な情報テキスト（チラシ・パンフレットの項目・掲示・手紙・メールなど。A言語）で与えられる特定情報を（B言語で）伝えられる。</t>
  </si>
  <si>
    <t xml:space="preserve">メッセージを簡略化し語を探す必要はあっても、身近な日常の主題についての明確なアナウンス（A言語）の要点を（B言語で）伝えられる。</t>
  </si>
  <si>
    <t xml:space="preserve">簡単な言葉でゆっくり明瞭に表現されていれば、短く明確で簡単なメッセージ・指示・アナウンス（A言語）の要点を（B言語で）伝えられる。</t>
  </si>
  <si>
    <t xml:space="preserve">非常にゆっくり明瞭に繰り返されれば、場所や時間についての簡単な指示（A言語）を（B言語で）伝えられる。</t>
  </si>
  <si>
    <t xml:space="preserve">会議での発表（A言語）のうちどれが関連するかを（B言語で）書いて伝え、どれが詳しく検討する価値があるか指摘できる。</t>
  </si>
  <si>
    <t xml:space="preserve">職業・学術・個人的関心分野の、命題的に複雑だがよく構成されたテキスト（A言語）の関連する要点を（B言語で）書いて伝えられる。</t>
  </si>
  <si>
    <t xml:space="preserve">公式の通信文（A言語）に含まれる重要な要点を（B言語で）書いて伝えられる。</t>
  </si>
  <si>
    <t xml:space="preserve">身近な主題について（A言語で）伝えられるテキスト（通話・アナウンス・指示など）の特定の情報点を（B言語で）書いて伝えられる。</t>
  </si>
  <si>
    <t xml:space="preserve">話題が身近でゆっくり明瞭に伝えられれば、率直な録音メッセージ（A言語で残されたもの）で与えられる特定情報を（B言語で）書いて伝えられる。</t>
  </si>
  <si>
    <t xml:space="preserve">明瞭にゆっくり話されれば、短く明確で簡単なメッセージやアナウンス（A言語）の要点を（B言語で）列挙できる。</t>
  </si>
  <si>
    <t xml:space="preserve">自分の学術的・職業的能力の範囲内の事柄について、議論（A言語）を、異なる見解を敷衍・比較検討し最重要点を特定しながら（B言語で）要約できる。</t>
  </si>
  <si>
    <t xml:space="preserve">時折特定の専門概念を確認することはあっても、専門外の分野の複雑なテキスト（A言語）の要点を、よく構成された言葉で明快に（B言語で）要約できる。</t>
  </si>
  <si>
    <t xml:space="preserve">事実と論拠の提示（A言語）における微妙な区別を（B言語で）説明できる。</t>
  </si>
  <si>
    <t xml:space="preserve">複雑なテキスト（A言語）の情報と論点を活用して、評価的コメントを付し意見を加えるなどしながら、話題（B言語）を論じられる。</t>
  </si>
  <si>
    <t xml:space="preserve">専門的話題の原文（A言語）で表明された態度や意見を、原文の特定の箇所に言及して自分の推論を裏づけながら（B言語で）説明できる。</t>
  </si>
  <si>
    <t xml:space="preserve">関心・専門分野に関わる幅広い主題の複雑なテキスト（A言語）に含まれる情報と論点を、よく構成された言葉で明快に（B言語で）要約できる。</t>
  </si>
  <si>
    <t xml:space="preserve">複数の情報源（A言語）からの情報と論点を統合し（B言語で）報告できる。</t>
  </si>
  <si>
    <t xml:space="preserve">対比的な見解と主要テーマにコメントし論じながら、幅広い事実的・創作的テキスト（A言語）を（B言語で）要約できる。</t>
  </si>
  <si>
    <t xml:space="preserve">自分の特別な関心分野を含め、時事的な主題の長く複雑なテキスト（A言語）の重要な点を（B言語で）要約できる。</t>
  </si>
  <si>
    <t xml:space="preserve">関心のある話題のテキスト（A言語）の想定読者を認識し、著者の目的・態度・意見を（B言語で）説明できる。</t>
  </si>
  <si>
    <t xml:space="preserve">意見・論拠・議論を含むニュース・インタビュー・ドキュメンタリーの抜粋（A言語）を（B言語で）要約できる。</t>
  </si>
  <si>
    <t xml:space="preserve">特定の表現の意味を確認できれば、関心分野の話題の長いテキスト（A言語）の要点を（B言語で）要約できる。</t>
  </si>
  <si>
    <t xml:space="preserve">短い物語・記事・講演・議論・インタビュー・ドキュメンタリー（A言語）を（B言語で）要約し、詳細についての追加質問に答えられる。</t>
  </si>
  <si>
    <t xml:space="preserve">語彙の制約で時に表現に苦労するものの、身近または個人的関心のある主題の明確でよく構成されたテキスト（A言語）の要点を（B言語で）要約できる。</t>
  </si>
  <si>
    <t xml:space="preserve">身近な主題の率直なテキスト（インタビューの短い記録・雑誌記事・旅行パンフレットなど。A言語）の主要な情報内容を（B言語で）簡単に要約できる。</t>
  </si>
  <si>
    <t xml:space="preserve">人々が明瞭に話せば、個人的または時事的関心のある主題についての会話（A言語）の要点を（B言語で）要約できる。</t>
  </si>
  <si>
    <t xml:space="preserve">何度か聞いたり見たりできれば、関心分野の話題について口頭で伝えられる長いテキスト（A言語）の要点を（B言語で）報告できる。</t>
  </si>
  <si>
    <t xml:space="preserve">話題が身近でゆっくり明瞭に伝えられれば、出来事・スポーツ・事故などを報じる簡単なテレビ・ラジオのニュース（A言語）の要点を（B言語で）報告できる。</t>
  </si>
  <si>
    <t xml:space="preserve">挿絵や表のある、明確に構成された短く簡単なテキスト（A言語）に含まれる情報を（B言語の）簡単な文で報告できる。</t>
  </si>
  <si>
    <t xml:space="preserve">特に他者の立場が報告されている場合に、控えめな表現・遠回しの批判・皮肉の使用に注意を促しながら、テキスト（A言語）で事実と論拠が提示される方法を（B言語で）書いて説明できる。</t>
  </si>
  <si>
    <t xml:space="preserve">原文の文体と言語使用域を尊重しながら、特定の読者向けに、長く複雑なテキスト（A言語。学術論文・政治分析記事・小説の抜粋・社説・書評・報告・科学書の抜粋など）を書いて要約できる。</t>
  </si>
  <si>
    <t xml:space="preserve">職業・学術・個人的関心分野の、よく構成されているが命題的に複雑なテキスト（A言語）の主な内容を（B言語で）書いて要約できる。</t>
  </si>
  <si>
    <t xml:space="preserve">自分の特別な関心分野の学術・専門出版物（A言語）に含まれる情報と見解を（B言語で）書いて比較・対照・統合できる。</t>
  </si>
  <si>
    <t xml:space="preserve">口頭テキストが明瞭に話されれば、個人的または時事的関心のある主題の率直な情報テキスト（A言語）の要点を（B言語で）書いて要約できる。</t>
  </si>
  <si>
    <t xml:space="preserve">具体的で身近な主題で簡単な日常語のみを含むなら、短く簡単なテキスト（A言語）の関連情報を、箇条書きの形で（B言語で）列挙できる。</t>
  </si>
  <si>
    <t xml:space="preserve">最高頻度の語彙を含む、身近で日常的なテーマのごく短いテキスト（A言語）の要点を、簡単な言葉で（B言語で）伝えられる。誤りはあっても、テキストは理解可能である。</t>
  </si>
  <si>
    <t xml:space="preserve">辞書の助けを借りて、身近で日常的なテーマの簡単な句（A言語）の意味を（B言語で）伝えられる。</t>
  </si>
  <si>
    <t xml:space="preserve">簡単な文で書かれた、身近な日常の主題の日常的な情報（A言語。個人的な近況・短い物語・道順・掲示・指示など）を、（B言語へ）簡単で大まかに口頭で翻訳できる。</t>
  </si>
  <si>
    <t xml:space="preserve">主題が複雑または馴染みのないものであっても、会議やセミナーに参加し続けながら、欠席者のために信頼できるノート（議事録）を作れる。</t>
  </si>
  <si>
    <t xml:space="preserve">抽象的な概念やアイディア間の関係をとらえるために、うまく言い換え・省略しながら選択的にノートを取れる。</t>
  </si>
  <si>
    <t xml:space="preserve">関心分野の話題の講義中に、他の人にも役立つほど正確に原文に忠実に情報を記録して、詳細なノートを取れる。</t>
  </si>
  <si>
    <t xml:space="preserve">普通の速さで伝えられれば、複数の口頭情報源（講義・ポッドキャスト・公式討議・討論・インタビューなど）から、複雑で抽象的な話題の関連する詳細な情報や論点を選び取れる。</t>
  </si>
  <si>
    <t xml:space="preserve">実際の言い回しに集中しがちで一部の情報を取り逃す傾向はあっても、身近な主題の明確に構成された講義を理解し、重要と思う点をメモできる。</t>
  </si>
  <si>
    <t xml:space="preserve">話題が身近で、講義が簡単な言葉で構成され明瞭に話されれば、率直な講義中に要点のリストとしてノートを取れる。</t>
  </si>
  <si>
    <t xml:space="preserve">作品の登場人物についての個人的解釈を概説できる：その心理・情緒の状態、行動の動機、その結果。</t>
  </si>
  <si>
    <t xml:space="preserve">アイディアを展開し、例や論拠で裏づけながら、作品への自分の反応を明確に提示できる。</t>
  </si>
  <si>
    <t xml:space="preserve">物語・小説・映画・演劇の筋の展開・登場人物・テーマについて、個人的な解釈を述べられる。</t>
  </si>
  <si>
    <t xml:space="preserve">何を評価したか、なぜかを説明しながら、作品の表現形式・文体・内容への反応をある程度詳しく表現できる。</t>
  </si>
  <si>
    <t xml:space="preserve">作品の特定の部分や側面がなぜ特に興味を引いたかを説明できる。</t>
  </si>
  <si>
    <t xml:space="preserve">どの登場人物に最も共感したか、なぜかをある程度詳しく説明できる。</t>
  </si>
  <si>
    <t xml:space="preserve">物語・映画・演劇の出来事を、自分が経験したり聞いたりした似た出来事に関連づけられる。</t>
  </si>
  <si>
    <t xml:space="preserve">登場人物が経験した感情を、自分が経験した感情に関連づけられる。</t>
  </si>
  <si>
    <t xml:space="preserve">物語のある時点（登場人物を案じた時点など）で経験した感情を記述し、その理由を説明できる。</t>
  </si>
  <si>
    <t xml:space="preserve">作品が自分に呼び起こした感情や意見を手短に説明できる。</t>
  </si>
  <si>
    <t xml:space="preserve">登場人物の感情を記述し、その理由を説明できる。</t>
  </si>
  <si>
    <t xml:space="preserve">感情やアイディアを簡単な言葉で伝えながら、作品への反応を表現できる。</t>
  </si>
  <si>
    <t xml:space="preserve">作品のどの側面が特に興味を引いたかを簡単な言葉で述べられる。</t>
  </si>
  <si>
    <t xml:space="preserve">文体の微妙な違いや明示的・暗示的な意味を味わいながら、異なる時代やジャンルの作品（小説・詩・戯曲など）を批評的に評価できる。</t>
  </si>
  <si>
    <t xml:space="preserve">ニュアンスに富んだ言葉・修辞的効果・文体的用法（比喩・異常な統語・曖昧さなど）の細やかな機微を認識し、意味や含意を解釈し「読み解く」ことができる。</t>
  </si>
  <si>
    <t xml:space="preserve">特定の目的のために作品で構造・言葉・修辞技法がどう活用されているかを批評的に評価し、その適切さと効果について筋道立てた論を述べられる。</t>
  </si>
  <si>
    <t xml:space="preserve">異なる時代やジャンルの文学作品を含む多種多様なテキストを批評的に評価できる。</t>
  </si>
  <si>
    <t xml:space="preserve">作品が聴衆を引き込む方法（期待の構築と裏切りなど）を記述しコメントできる。</t>
  </si>
  <si>
    <t xml:space="preserve">テーマ・登場人物・場面を考慮し、類似点と対照を探り、それらのつながりの意義を説明しながら、二つの作品を比較できる。</t>
  </si>
  <si>
    <t xml:space="preserve">テーマ的・構造的・形式的特徴を意識し、他者の意見や論に言及しながら、作品について筋道立てた意見を述べられる。</t>
  </si>
  <si>
    <t xml:space="preserve">異なる作品が同じテーマをどう異なって扱っているかを記述できる。</t>
  </si>
  <si>
    <t xml:space="preserve">日常語で明確に構成された物語の最も重要な挿話や出来事を指摘し、出来事の意義とそれらのつながりを説明できる。</t>
  </si>
  <si>
    <t xml:space="preserve">貢献を認め、留保・不同意・批判をいかなる不快感も避け最小化する形で述べながら、グループ内の異なる視点に配慮を示せる。</t>
  </si>
  <si>
    <t xml:space="preserve">グループ討議で報告者を務め、アイディアや決定をメモし、グループと話し合い、後で全体会議でグループの見解を要約できる。</t>
  </si>
  <si>
    <t xml:space="preserve">協働作業をどう組織するかについての議論を促す質問ができる。</t>
  </si>
  <si>
    <t xml:space="preserve">次に何を考慮するか、どう進めるかを提案して、議論の焦点を変えられる。</t>
  </si>
  <si>
    <t xml:space="preserve">提案をし応じ、同意するか尋ね、別のやり方を提案するなどして、共有課題で協働できる。</t>
  </si>
  <si>
    <t xml:space="preserve">率直な質問をし答えることで、簡単な共有課題で協働し、グループで共通の目標に向かえる。</t>
  </si>
  <si>
    <t xml:space="preserve">合意に至ろうとする過程で、思考の矛盾を指摘し、他者のアイディアに異議を唱えられる。</t>
  </si>
  <si>
    <t xml:space="preserve">アイディアを表現し共に発展させ、詳細を説明し、今後の行動を提案しながら、協働の意思決定や問題解決に貢献できる。</t>
  </si>
  <si>
    <t xml:space="preserve">他者の発言を報告し、要約・敷衍し、異なる視点を比較検討して、グループの議論の組織を助けられる。</t>
  </si>
  <si>
    <t xml:space="preserve">グループで自分のアイディアを提示し、他のメンバーの視点からの反応を招く問いを立てられる。</t>
  </si>
  <si>
    <t xml:space="preserve">賛否の論を挙げて問題の二つの異なる側面を検討し、解決策や妥協案を提案できる。</t>
  </si>
  <si>
    <t xml:space="preserve">目的を述べ、解決すべき中心的な問題を簡単に説明して、率直な協働作業の進め方を組織できる。</t>
  </si>
  <si>
    <t xml:space="preserve">話についていっていることを示すために、簡単なコメントをし、時折質問できる。</t>
  </si>
  <si>
    <t xml:space="preserve">参加者の必要と活動の要件に応じてさまざまな役割（情報提供者・仲介者・監督者など）を引き受け、適切な個別支援を提供できる。</t>
  </si>
  <si>
    <t xml:space="preserve">全体・グループ・個人の作業の多彩でバランスの取れた流れを組織し、各段階間の滑らかな移行を確保できる。</t>
  </si>
  <si>
    <t xml:space="preserve">個人やグループの作業をさりげなく見守り、グループを課題に引き戻したり均等な参加を確保したりするために介入できる。</t>
  </si>
  <si>
    <t xml:space="preserve">的を絞った質問をし提案を促すことで、課題の側面に人々の注意を向けさせるように支援的に介入できる。</t>
  </si>
  <si>
    <t xml:space="preserve">協働過程における参加者の異なる役割を説明し、グループワークの明確な指示を出せる。</t>
  </si>
  <si>
    <t xml:space="preserve">問題解決や代替案の評価を伴う小グループの協働議論の基本ルールを説明できる。</t>
  </si>
  <si>
    <t xml:space="preserve">グループのメンバーが互いの情報やアイディアを土台に、概念や解決策を生み出すよう促せる。</t>
  </si>
  <si>
    <t xml:space="preserve">人々が思考を敷衍し意見を正当化・明確化するよう促す質問やフィードバックを組み立てられる。</t>
  </si>
  <si>
    <t xml:space="preserve">あるアイディアが議論中の主題とどう合致するか説明するよう人々に求められる。</t>
  </si>
  <si>
    <t xml:space="preserve">最初の説明で述べた特定の点を敷衍するよう人々に求められる。</t>
  </si>
  <si>
    <t xml:space="preserve">説明された概念の理解を確認する適切な質問ができる。</t>
  </si>
  <si>
    <t xml:space="preserve">社会文化的・社会言語的な違いを考慮しながら、自分のコミュニティと他のコミュニティのメンバーの間を効果的かつ自然に仲介できる。</t>
  </si>
  <si>
    <t xml:space="preserve">話されたり書かれたりしたことを人々がどう誤解しうるか予期でき、当該問題への異なる文化的視点にコメントし解釈することで、良好なやりとりの維持を助けられる。</t>
  </si>
  <si>
    <t xml:space="preserve">異文化間の出会いで、自分の世界観以外の視点への理解を示し、文脈にふさわしい形で自己表現できる。</t>
  </si>
  <si>
    <t xml:space="preserve">場を和ませ議論を前に進めるために、実際にはどう意図されていたかを示唆しながら、異文化間の出会いで生じた誤解や誤った解釈を明確にできる。</t>
  </si>
  <si>
    <t xml:space="preserve">異なるアイディア・感情・視点への理解と評価を表明し、参加者に互いのアイディアへの貢献や反応を促すことで、共有されたコミュニケーション文化を育める。</t>
  </si>
  <si>
    <t xml:space="preserve">見解や視点の類似点と相違点を論じながら、異なる文化的志向をもつ人々と協働できる。</t>
  </si>
  <si>
    <t xml:space="preserve">会話を始め、簡単な質問をし答えて関心と共感を示し、同意や理解を表明することで、異文化間のコミュニケーションを支えられる。</t>
  </si>
  <si>
    <t xml:space="preserve">限られたレパートリーを使って、異なる文化的背景の人々を紹介し、質問し答えながら、質問によっては当該文化で受け取り方が違いうることへの気づきを示して、異文化交流を支えられる。</t>
  </si>
  <si>
    <t xml:space="preserve">発表者が時間を取るために頻繁に止まってくれれば、自分の分野の歓迎の挨拶・逸話・プレゼンテーション（A言語）の趣旨を、文化的な手がかりを適切に解釈し必要に応じて追加説明を加えながら（B言語で）伝えられる。</t>
  </si>
  <si>
    <t xml:space="preserve">状況や文化的認識に照らしてあらゆる発言を外交的に組み立てながら、進行を乱す参加者に如才なく対処できる。</t>
  </si>
  <si>
    <t xml:space="preserve">繰り返しや言い換えを使って、合意に向けた各当事者の要求への詳細な理解を示しながら、異なる視点への感受性を示せる。</t>
  </si>
  <si>
    <t xml:space="preserve">対立する各側に、その立場の中心が何か、どんな状況でなら何を譲りうるかを見きわめる外交的な依頼を組み立てられる。</t>
  </si>
  <si>
    <t xml:space="preserve">当惑や不快を最小化する開かれた中立的な質問を組み立てて、対立する当事者から可能な解決策を引き出し、合意到達を助けられる。</t>
  </si>
  <si>
    <t xml:space="preserve">立場をより明確に言い直し・再構成し、必要と目標に優先順位をつけることで、対立する当事者が互いをよりよく理解する手助けができる。</t>
  </si>
  <si>
    <t xml:space="preserve">対立の要点をある程度正確に概説し、関係する当事者の立場を説明できる。</t>
  </si>
  <si>
    <t xml:space="preserve">双方の発言を要約し、合意できる点と合意への障害を強調できる。</t>
  </si>
  <si>
    <t xml:space="preserve">既有の知識や経験への結びつきを作るよう促す質問やフィードバックを組み立てられる。</t>
  </si>
  <si>
    <t xml:space="preserve">複雑な専門的話題を、それに馴染みのない受け手に理解できるように、自分の言葉（統語・慣用度・専門用語など）を調整できる。</t>
  </si>
  <si>
    <t xml:space="preserve">専門知識のない受け手向けに適切に平易な言葉を使って、複雑な技術的テキストを言い換え解釈できる。</t>
  </si>
  <si>
    <t xml:space="preserve">専門知識のない受け手向けに適切に平易な言葉を使って、自分の分野の技術的話題を説明できる。</t>
  </si>
  <si>
    <t xml:space="preserve">冗長さを加え、説明し、文体や言語使用域を変えることで、複雑なテキストの要点を対象の受け手により取り付きやすくできる。</t>
  </si>
  <si>
    <t xml:space="preserve">具体例を挙げ、段階を追って要約し、要点を繰り返すことで、関心分野の主題の概念をより取り付きやすくできる。</t>
  </si>
  <si>
    <t xml:space="preserve">特定の受け手にとって関連する新情報を加えない部分を削除して原文を編集し、重要な内容をより取り付きやすくできる。</t>
  </si>
  <si>
    <t xml:space="preserve">異文化間の出会い・読書・映画などを活かして、文化的価値観や慣習の背景を細やかに説明し、その側面を解釈し論じられる。</t>
  </si>
  <si>
    <t xml:space="preserve">異文化コミュニケーションの曖昧さに対処し、明確化のために自分の反応を建設的かつ文化的に適切に表現できる。</t>
  </si>
  <si>
    <t xml:space="preserve">判断や偏見がしばしば基づく暗黙の価値観への気づきを示しながら、自分と他の社会集団の視点や慣習を記述し評価できる。</t>
  </si>
  <si>
    <t xml:space="preserve">自分のコミュニティと馴染みのある他のコミュニティの文化的前提・先入観・ステレオタイプ・偏見についての自分の解釈を説明できる。</t>
  </si>
  <si>
    <t xml:space="preserve">別の文化の文書や出来事を解釈・説明し、自分の文化や馴染みのある文化の文書や出来事に関連づけられる。</t>
  </si>
  <si>
    <t xml:space="preserve">自分と他のコミュニティについてメディアで表明される情報や意見の客観性とバランスを論じられる。</t>
  </si>
  <si>
    <t xml:space="preserve">文化的に決定された行動パターン（身振り・声量、手話であれば手話の大きさなど）の類似点と相違点を特定・省察し、相互理解を交渉するためにその意義を論じられる。</t>
  </si>
  <si>
    <t xml:space="preserve">異文化間の出会いで、特定の状況で通常当然と思うことが必ずしも他者と共有されていないと認識し、適切に反応・自己表現できる。</t>
  </si>
  <si>
    <t xml:space="preserve">自分と他の文化における特定のコミュニケーションの仕方と、それが生む誤解のリスクを省察し説明できる。</t>
  </si>
  <si>
    <t xml:space="preserve">姿勢・視線・他者との距離についての慣習に、おおむね従って行動できる。</t>
  </si>
  <si>
    <t xml:space="preserve">自分の文化の特徴を別の文化のメンバーに、あるいは別の文化の特徴を自分の文化のメンバーに説明できる。</t>
  </si>
  <si>
    <t xml:space="preserve">自分の価値観や行動が他者の価値観や行動への見方にどう影響するかを、簡単な言葉で説明できる。</t>
  </si>
  <si>
    <t xml:space="preserve">別の社会文化的文脈で「奇妙」に見えることが、当の人々には「普通」でありうることを、簡単な言葉で論じられる。</t>
  </si>
  <si>
    <t xml:space="preserve">文化的に決定された自分の行動が、他の文化の人々に異なって受け取られうることを、簡単な言葉で論じられる。</t>
  </si>
  <si>
    <t xml:space="preserve">日常から外れると対処に苦労はするものの、日常の挨拶・別れ・感謝や詫びの表現で適切に振る舞える。</t>
  </si>
  <si>
    <t xml:space="preserve">日常の取引での自分の振る舞いが意図と異なるメッセージを伝えうると認識し、それを簡単に説明しようとできる。</t>
  </si>
  <si>
    <t xml:space="preserve">その状況でどう振る舞うべきか確信はもてなくとも、他の文化のメンバーとのやりとりで困難が生じたことを認識できる。</t>
  </si>
  <si>
    <t xml:space="preserve">ある言語で理解したことを使って、別の言語のテキストの話題と主なメッセージを理解できる（同じテーマの短い新聞記事を異なる言語で読むときなど）。</t>
  </si>
  <si>
    <t xml:space="preserve">テキストの対訳（雑誌記事・物語・小説の抜粋など）を使って、異なる言語の理解を深められる。</t>
  </si>
  <si>
    <t xml:space="preserve">同じテーマのテキストを異なる言語で理解したことを活用して、あるテキストのメッセージを推測できる（短信・博物館パンフレット・オンラインレビューなど）。</t>
  </si>
  <si>
    <t xml:space="preserve">同じ語の同一の用法と「空似言葉」を区別するために、異なる言語で概念が表現される仕方の類似点と対照を認識できる。</t>
  </si>
  <si>
    <t xml:space="preserve">理解を支えるために、複言語レパートリー内の諸言語の対照的な文法構造や機能表現の知識を使える。</t>
  </si>
  <si>
    <t xml:space="preserve">異なる言語で入手できる版から理解したことをつなぎ合わせて、明快に話された短いアナウンスを理解できる。</t>
  </si>
  <si>
    <t xml:space="preserve">異なる言語の版から理解したことをつなぎ合わせて、明快に表現された短いメッセージや指示を理解できる。</t>
  </si>
  <si>
    <t xml:space="preserve">複言語レパートリー内の言語を柔軟に切り替え、必要ならさまざまな貢献を説明しながら、抽象的・専門的な話題について多言語の文脈でやりとりできる。</t>
  </si>
  <si>
    <t xml:space="preserve">複言語レパートリー内の異なる言語で議論への貢献や参照テキストを要約・注解しながら、多言語の文脈でのコミュニケーションを円滑にするために言語を柔軟に切り替えられる。</t>
  </si>
  <si>
    <t xml:space="preserve">言語の切り替えに順応し、対話相手の必要と言語能力に配慮しながら、複言語レパートリー内の二つ以上の言語での会話に効果的に参加できる。</t>
  </si>
  <si>
    <t xml:space="preserve">抽象的・専門的な話題の議論で理解を高めるために、対話相手により馴染みのある、複言語レパートリー内の別の言語の専門用語を使い、説明できる。</t>
  </si>
  <si>
    <t xml:space="preserve">ある言語で話され・手話で表され・書かれたテキストを、複言語レパートリー内の別の言語で説明・要約・明確化・敷衍することで、その理解と議論を支えられる。</t>
  </si>
  <si>
    <t xml:space="preserve">コミュニケーションの効率を高めるために、特定の状況で複言語レパートリー内の異なる言語を柔軟に使うことがどの程度適切かを認識できる。</t>
  </si>
  <si>
    <t xml:space="preserve">共通言語をもたない第三者との間・第三者間の理解を円滑にするために、複言語レパートリー内の言語を効率的に切り替えられる。</t>
  </si>
  <si>
    <t xml:space="preserve">論じている状況や概念に特にふさわしい、複言語レパートリー内の別の言語の表現を発話に取り入れ、必要なら対話相手のために説明できる。</t>
  </si>
  <si>
    <t xml:space="preserve">関心分野の主題についての専門的な情報や問題を異なる対話相手に伝えるために、複言語レパートリー内の言語を切り替えられる。</t>
  </si>
  <si>
    <t xml:space="preserve">課題の性質・主な手順・下すべき決定・期待される成果を明確にするために、協働のやりとりの中で複言語レパートリー内の異なる言語を活用できる。</t>
  </si>
  <si>
    <t xml:space="preserve">複言語レパートリー内の異なる言語の簡単な語や句を使って、簡単で実際的な取引や情報交換を行える。</t>
  </si>
  <si>
    <t xml:space="preserve">使用中の言語で適切な表現が思いつかないとき、日常の状況で自分を理解させるために、複言語レパートリー内の別の言語の簡単な語を使える。</t>
  </si>
  <si>
    <t xml:space="preserve">言いたいことを制限せずに明快に自己表現するために、幅広い言葉から適切な表現を選べる。</t>
  </si>
  <si>
    <t xml:space="preserve">具体的な簡単な必要（個人情報・日課・要望・情報の依頼など）を満たすために、短い日常表現を産出できる。</t>
  </si>
  <si>
    <t xml:space="preserve">自分や他の人、その活動・場所・持ち物などについて、基本的な文型と記憶した句・数語のまとまり・定型表現でコミュニケーションできる。</t>
  </si>
  <si>
    <t xml:space="preserve">要素の省略や簡略化を伴いつつ、一節からなる文でいくつかの基本構造を使える。</t>
  </si>
  <si>
    <t xml:space="preserve">広い語彙レパートリーを使いこなし、足りない部分は迂言ですぐに補える。表現探しや回避方略が目立つことは少ない。</t>
  </si>
  <si>
    <t xml:space="preserve">あまり出会わない語の同義語まで活用して、ほぼあらゆる状況で複数の語彙選択肢から選べる。</t>
  </si>
  <si>
    <t xml:space="preserve">自分の専門領域に共通する専門語彙や慣用表現の範囲を理解し、適切に使える。</t>
  </si>
  <si>
    <t xml:space="preserve">頻繁な繰り返しを避けるために言い方を変えられるが、語彙の欠落からためらいや迂言が生じることもある。</t>
  </si>
  <si>
    <t xml:space="preserve">大半の文脈で、多くの語の適切なコロケーションをかなり体系的に産出できる。</t>
  </si>
  <si>
    <t xml:space="preserve">自分の分野の専門語彙の多くを理解し使えるが、専門外の専門用語には問題がある。</t>
  </si>
  <si>
    <t xml:space="preserve">家族・趣味・関心事・仕事・旅行・時事など、日常生活に関わる大半の話題について、多少の迂言を交えて自己表現するのに十分な語彙をもつ。</t>
  </si>
  <si>
    <t xml:space="preserve">基本的な伝達の必要を表現するのに十分な語彙をもつ。</t>
  </si>
  <si>
    <t xml:space="preserve">簡単な言語構造といくつかの複雑な文法形式を使いこなすが、複雑な構造は硬直的に、いくらか不正確に使う傾向がある。</t>
  </si>
  <si>
    <t xml:space="preserve">時折の小さな言い間違いはあるが、重大な語彙の誤りはない。</t>
  </si>
  <si>
    <t xml:space="preserve">初歩的な語彙の良好な制御を示すが、より複雑な考えを表現したり馴染みのない話題や状況を扱ったりするときには大きな誤りが依然として起こる。</t>
  </si>
  <si>
    <t xml:space="preserve">目標言語の音の高い割合を、長めの産出でも明瞭に調音できる。いくつかの体系的な発音の誤りはあっても、全体を通して理解可能である。</t>
  </si>
  <si>
    <t xml:space="preserve">相手が話し手の言語的背景の発音への影響を認識し順応する努力をしてくれれば、音素の体系的な発音の誤りは理解可能性を妨げない。</t>
  </si>
  <si>
    <t xml:space="preserve">限られた数の音しか調音できないため、相手が支援（正しく繰り返す、新しい音の反復を促すなど）を提供しなければ理解されない。</t>
  </si>
  <si>
    <t xml:space="preserve">強勢・リズム・イントネーションの制御に時折の乱れはあるものの、それが理解可能性や効果に影響せず、滑らかで理解可能な話し言葉を産出できる。</t>
  </si>
  <si>
    <t xml:space="preserve">話す他の言語の強勢・イントネーション・リズムへの強い影響にもかかわらず、日常語や句の韻律的特徴を理解可能な形で使える。</t>
  </si>
  <si>
    <t xml:space="preserve">レイアウト・段落分け・句読法は一貫しており、理解の助けになる。</t>
  </si>
  <si>
    <t xml:space="preserve">標準的なレイアウトと段落分けの慣習に従った、明確に判読可能なまとまった文章を書ける。</t>
  </si>
  <si>
    <t xml:space="preserve">綴り・句読法・レイアウトは、たいてい理解できる程度に正確である。</t>
  </si>
  <si>
    <t xml:space="preserve">口頭語彙にある短い語を、必ずしも完全に標準的な綴りではなくとも、ある程度音声的に正確に書ける。</t>
  </si>
  <si>
    <t xml:space="preserve">馴染みのある語や短い句（簡単な標識や指示、日用品の名前、店の名前、よく使う決まり文句など）を書き写せる。</t>
  </si>
  <si>
    <t xml:space="preserve">自分の住所・国籍その他の個人情報を綴れる。</t>
  </si>
  <si>
    <t xml:space="preserve">社会文化的・社会言語的な違いを考慮しながら、目標言語の話者と自分のコミュニティのメンバーの間を効果的かつ自然に仲介できる。</t>
  </si>
  <si>
    <t xml:space="preserve">目標言語の熟達した話者が使う言葉の社会言語的・社会文化的含意のほぼすべてを味わい、それに応じて反応できる。</t>
  </si>
  <si>
    <t xml:space="preserve">命令・論証・説得・説得の撤回・交渉・助言のために、洗練された多彩な言葉を口頭でも文章でも効果的に使える。</t>
  </si>
  <si>
    <t xml:space="preserve">幅広い慣用表現や口語表現を認識し、言語使用域の変化を味わえる。ただし、特にアクセントに馴染みがない場合、時折細部の確認が必要なことがある。</t>
  </si>
  <si>
    <t xml:space="preserve">ユーモア・皮肉・暗示的な文化的言及を理解し、意味のニュアンスを拾える。</t>
  </si>
  <si>
    <t xml:space="preserve">社会的文脈に合わせて形式（言語使用域と文体）を、公式・非公式・口語と適切に調整し、一貫した言語使用域を保てる。</t>
  </si>
  <si>
    <t xml:space="preserve">社会文化的・社会言語的な手がかりを認識・解釈し、その状況にふさわしく自己表現するために自分の言語形式を意識的に修正できる。</t>
  </si>
  <si>
    <t xml:space="preserve">状況や相手にふさわしい公式・非公式の言語使用域で、自信をもって明晰かつ丁寧に自己表現できる。</t>
  </si>
  <si>
    <t xml:space="preserve">公式・非公式の言語使用域を区別するように表現を調整できるが、必ずしも適切にできるとは限らない。</t>
  </si>
  <si>
    <t xml:space="preserve">中立的な言語使用域で最も一般的な言い回しを使って、幅広い言語機能を果たし、それに応じられる。</t>
  </si>
  <si>
    <t xml:space="preserve">当該コミュニティと自分のコミュニティに広まる習慣・用法・態度・価値観・信念の間の最も重要な違いを意識し、その兆候に注意を払う。</t>
  </si>
  <si>
    <t xml:space="preserve">基本的な言語機能（情報交換・依頼など）を果たしそれに応じ、意見や態度を簡単な方法で表現できる。</t>
  </si>
  <si>
    <t xml:space="preserve">日常の丁寧な挨拶や呼びかけの表現を使って、ごく短い社交的なやりとりをこなせる。</t>
  </si>
  <si>
    <t xml:space="preserve">表現の文体や文の長さ、高度な語彙や語順を効果的に変えることで、想定した聞き手に好ましい印象を与えられる。</t>
  </si>
  <si>
    <t xml:space="preserve">会話で通常見られる方向・文体・強調の変化に順応できる。</t>
  </si>
  <si>
    <t xml:space="preserve">ある点を強調・説明するためにアイディアを言い直せる。</t>
  </si>
  <si>
    <t xml:space="preserve">幅広い簡単な言葉を柔軟に活用して、言いたいことの多くを表現できる。</t>
  </si>
  <si>
    <t xml:space="preserve">よく練習した記憶済みの簡単な句を、限られた語彙の入れ替えで特定の状況に適応させられる。</t>
  </si>
  <si>
    <t xml:space="preserve">当該テキスト種の慣習を使って、対象の読み手の注意を引きつけ、複雑なアイディアを伝えられる。</t>
  </si>
  <si>
    <t xml:space="preserve">補助的な論点・理由・適切な例で、要点をある程度の長さで広げ裏づけられる。</t>
  </si>
  <si>
    <t xml:space="preserve">重要な点を適切に強調し、関連する裏づけの詳細を添えて、体系的に論を展開できる。</t>
  </si>
  <si>
    <t xml:space="preserve">アイディアを伝える際に、当該伝達課題の慣習的な構造に従える。</t>
  </si>
  <si>
    <t xml:space="preserve">関連する裏づけの詳細や例で要点を広げ裏づけながら、明確な記述や語りを展開できる。</t>
  </si>
  <si>
    <t xml:space="preserve">さまざまな選択肢の利点と欠点を評価できる。</t>
  </si>
  <si>
    <t xml:space="preserve">アイディアを伝える際に、当該テキスト種の慣習的な構造への意識を示す。</t>
  </si>
  <si>
    <t xml:space="preserve">「〜のような」「たとえば」を使って、ごく簡単なテキストの中で何かの例を挙げられる。</t>
  </si>
  <si>
    <t xml:space="preserve">構成パターン・接続語・結束手段の制御された使用を示しながら、明快でよどみない、よく構成された言葉を産出できる。</t>
  </si>
  <si>
    <t xml:space="preserve">長い発言では多少の「飛び」があるかもしれないが、限られた数の結束手段で発話をつなぎ、明快でまとまった談話にできる。</t>
  </si>
  <si>
    <t xml:space="preserve">一連のつなぎ表現と結束手段を使って、おおむねよく組織されたまとまりのあるテキストを産出できる。</t>
  </si>
  <si>
    <t xml:space="preserve">短い個別の簡単な要素を、つながりのある直線的な論点の連なりにまとめられる。</t>
  </si>
  <si>
    <t xml:space="preserve">限られた数の結束手段を使って、より長い文を作りつなげられる。物語の中などで。</t>
  </si>
  <si>
    <t xml:space="preserve">程度を表す副詞や制限を表す節など、幅広い修飾手段をある程度正確に使って、意味の微妙な陰影を正確に伝えられる。</t>
  </si>
  <si>
    <t xml:space="preserve">確信/不確か、信念/疑い、蓋然性などの度合いに関連づけて、意見や発言を正確に限定できる。</t>
  </si>
  <si>
    <t xml:space="preserve">表現力や慣用度には欠けるものの、より難度の高い状況でも本質的な点を伝えられる。</t>
  </si>
  <si>
    <t xml:space="preserve">直接関わりのある簡単で率直な情報を伝え、最も重要と思う点を理解可能な形で伝えられる。</t>
  </si>
  <si>
    <t xml:space="preserve">目標言語の話者との日常的なやりとりを双方に負担をかけずに十分可能にする程度の流暢さと自発性でやりとりできる。</t>
  </si>
  <si>
    <t xml:space="preserve">対象外</t>
  </si>
  <si>
    <t xml:space="preserve">分類列と英文はDataシート・対訳マスタからの式参照（単一情報源）。和訳は作業訳：「済」650件は実例シート採用分。「未」は音声言語の未訳分（順次訳出）。手話能力は「対象外」、プレースホルダ行は「—」。</t>
  </si>
</sst>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charset val="1"/>
    </font>
    <font>
      <i val="true"/>
      <sz val="9"/>
      <name val="Noto Sans CJK SC"/>
      <family val="2"/>
      <charset val="1"/>
    </font>
    <font>
      <b val="true"/>
      <sz val="10"/>
      <color rgb="FFFFFFFF"/>
      <name val="Noto Sans CJK SC"/>
      <family val="2"/>
      <charset val="1"/>
    </font>
    <font>
      <b val="true"/>
      <sz val="10"/>
      <color rgb="FFFFFFFF"/>
      <name val="Arial"/>
      <family val="0"/>
      <charset val="1"/>
    </font>
    <font>
      <b val="true"/>
      <sz val="10"/>
      <color rgb="FFFFFFFF"/>
      <name val="Noto Sans CJK SC"/>
      <family val="2"/>
    </font>
    <font>
      <sz val="9"/>
      <name val="Noto Sans CJK SC"/>
      <family val="2"/>
      <charset val="1"/>
    </font>
    <font>
      <sz val="9"/>
      <name val="Arial"/>
      <family val="0"/>
      <charset val="1"/>
    </font>
    <font>
      <sz val="9"/>
      <name val="Noto Sans CJK SC"/>
      <family val="2"/>
    </font>
    <font>
      <b val="true"/>
      <sz val="11"/>
      <color rgb="FFFFFFFF"/>
      <name val="Arial"/>
      <family val="0"/>
      <charset val="1"/>
    </font>
    <font>
      <b val="true"/>
      <sz val="11"/>
      <color rgb="FFFFFFFF"/>
      <name val="Noto Sans CJK SC"/>
      <family val="2"/>
    </font>
    <font>
      <sz val="9.5"/>
      <name val="Noto Sans CJK SC"/>
      <family val="2"/>
      <charset val="1"/>
    </font>
    <font>
      <b val="true"/>
      <sz val="13"/>
      <color rgb="FFFFFFFF"/>
      <name val="Noto Sans CJK SC"/>
      <family val="2"/>
    </font>
    <font>
      <b val="true"/>
      <sz val="13"/>
      <color rgb="FFFFFFFF"/>
      <name val="Arial"/>
      <family val="0"/>
      <charset val="1"/>
    </font>
    <font>
      <i val="true"/>
      <sz val="9"/>
      <name val="Noto Sans CJK SC"/>
      <family val="2"/>
    </font>
    <font>
      <i val="true"/>
      <sz val="9"/>
      <name val="Arial"/>
      <family val="0"/>
      <charset val="1"/>
    </font>
    <font>
      <sz val="9.5"/>
      <name val="Noto Sans CJK SC"/>
      <family val="2"/>
    </font>
    <font>
      <sz val="9.5"/>
      <name val="Arial"/>
      <family val="0"/>
      <charset val="1"/>
    </font>
    <font>
      <b val="true"/>
      <sz val="12"/>
      <color rgb="FFFFFFFF"/>
      <name val="Noto Sans CJK SC"/>
      <family val="2"/>
    </font>
    <font>
      <b val="true"/>
      <sz val="10"/>
      <name val="Noto Sans CJK SC"/>
      <family val="2"/>
    </font>
    <font>
      <b val="true"/>
      <sz val="10"/>
      <name val="Arial"/>
      <family val="0"/>
      <charset val="1"/>
    </font>
    <font>
      <i val="true"/>
      <sz val="8"/>
      <name val="Noto Sans CJK SC"/>
      <family val="2"/>
    </font>
    <font>
      <i val="true"/>
      <sz val="8"/>
      <name val="Arial"/>
      <family val="0"/>
      <charset val="1"/>
    </font>
    <font>
      <i val="true"/>
      <sz val="8"/>
      <name val="Noto Sans CJK SC"/>
      <family val="2"/>
      <charset val="1"/>
    </font>
    <font>
      <b val="true"/>
      <sz val="13"/>
      <name val="Arial"/>
      <family val="0"/>
      <charset val="1"/>
    </font>
    <font>
      <b val="true"/>
      <sz val="13"/>
      <name val="Noto Sans CJK SC"/>
      <family val="2"/>
    </font>
    <font>
      <sz val="10"/>
      <name val="Noto Sans CJK SC"/>
      <family val="2"/>
      <charset val="1"/>
    </font>
    <font>
      <b val="true"/>
      <sz val="11"/>
      <name val="Noto Sans CJK SC"/>
      <family val="2"/>
      <charset val="1"/>
    </font>
    <font>
      <b val="true"/>
      <sz val="9"/>
      <name val="Noto Sans CJK SC"/>
      <family val="2"/>
      <charset val="1"/>
    </font>
  </fonts>
  <fills count="11">
    <fill>
      <patternFill patternType="none"/>
    </fill>
    <fill>
      <patternFill patternType="gray125"/>
    </fill>
    <fill>
      <patternFill patternType="solid">
        <fgColor rgb="FF2F5496"/>
        <bgColor rgb="FF666699"/>
      </patternFill>
    </fill>
    <fill>
      <patternFill patternType="solid">
        <fgColor rgb="FFE2EFDA"/>
        <bgColor rgb="FFEDEDED"/>
      </patternFill>
    </fill>
    <fill>
      <patternFill patternType="solid">
        <fgColor rgb="FFDDEBF7"/>
        <bgColor rgb="FFEDEDED"/>
      </patternFill>
    </fill>
    <fill>
      <patternFill patternType="solid">
        <fgColor rgb="FF7F7F7F"/>
        <bgColor rgb="FF969696"/>
      </patternFill>
    </fill>
    <fill>
      <patternFill patternType="solid">
        <fgColor rgb="FFFCE4D6"/>
        <bgColor rgb="FFFFF2CC"/>
      </patternFill>
    </fill>
    <fill>
      <patternFill patternType="solid">
        <fgColor rgb="FFFFF2CC"/>
        <bgColor rgb="FFFCE4D6"/>
      </patternFill>
    </fill>
    <fill>
      <patternFill patternType="solid">
        <fgColor rgb="FFEDEDED"/>
        <bgColor rgb="FFF2F2F2"/>
      </patternFill>
    </fill>
    <fill>
      <patternFill patternType="solid">
        <fgColor rgb="FFF2F2F2"/>
        <bgColor rgb="FFEDEDED"/>
      </patternFill>
    </fill>
    <fill>
      <patternFill patternType="solid">
        <fgColor rgb="FFF2F7FC"/>
        <bgColor rgb="FFF2F2F2"/>
      </patternFill>
    </fill>
  </fills>
  <borders count="4">
    <border diagonalUp="false" diagonalDown="false">
      <left/>
      <right/>
      <top/>
      <bottom/>
      <diagonal/>
    </border>
    <border diagonalUp="false" diagonalDown="false">
      <left style="thin">
        <color rgb="FFBFBFBF"/>
      </left>
      <right style="thin">
        <color rgb="FFBFBFBF"/>
      </right>
      <top style="medium">
        <color rgb="FF2F5496"/>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3" borderId="2" xfId="0" applyFont="true" applyBorder="true" applyAlignment="true" applyProtection="false">
      <alignment horizontal="center" vertical="top" textRotation="0" wrapText="true" indent="0" shrinkToFit="false"/>
      <protection locked="true" hidden="false"/>
    </xf>
    <xf numFmtId="164" fontId="10" fillId="0" borderId="2" xfId="0" applyFont="true" applyBorder="true" applyAlignment="true" applyProtection="false">
      <alignment horizontal="center" vertical="top"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2" xfId="0" applyFont="true" applyBorder="true" applyAlignment="true" applyProtection="false">
      <alignment horizontal="center" vertical="top" textRotation="0" wrapText="true" indent="0" shrinkToFit="false"/>
      <protection locked="true" hidden="false"/>
    </xf>
    <xf numFmtId="164" fontId="12" fillId="5" borderId="0"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3" borderId="2" xfId="0" applyFont="true" applyBorder="true" applyAlignment="true" applyProtection="false">
      <alignment horizontal="center" vertical="top"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4" borderId="2" xfId="0" applyFont="true" applyBorder="true" applyAlignment="true" applyProtection="false">
      <alignment horizontal="center" vertical="top" textRotation="0" wrapText="true" indent="0" shrinkToFit="false"/>
      <protection locked="true" hidden="false"/>
    </xf>
    <xf numFmtId="164" fontId="19" fillId="0" borderId="3" xfId="0" applyFont="true" applyBorder="true" applyAlignment="true" applyProtection="false">
      <alignment horizontal="left" vertical="top" textRotation="0" wrapText="tru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22" fillId="6"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22" fillId="7" borderId="2" xfId="0" applyFont="true" applyBorder="true" applyAlignment="true" applyProtection="false">
      <alignment horizontal="general" vertical="top" textRotation="0" wrapText="true" indent="0" shrinkToFit="false"/>
      <protection locked="true" hidden="false"/>
    </xf>
    <xf numFmtId="164" fontId="22" fillId="3" borderId="2" xfId="0" applyFont="true" applyBorder="true" applyAlignment="true" applyProtection="false">
      <alignment horizontal="general" vertical="top" textRotation="0" wrapText="true" indent="0" shrinkToFit="false"/>
      <protection locked="true" hidden="false"/>
    </xf>
    <xf numFmtId="164" fontId="22" fillId="4" borderId="2"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9" fillId="6"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9" fillId="3" borderId="2"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8" borderId="2" xfId="0" applyFont="true" applyBorder="true" applyAlignment="true" applyProtection="false">
      <alignment horizontal="general"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true" indent="0" shrinkToFit="false"/>
      <protection locked="true" hidden="false"/>
    </xf>
    <xf numFmtId="164" fontId="9" fillId="7" borderId="2" xfId="0" applyFont="true" applyBorder="true" applyAlignment="true" applyProtection="false">
      <alignment horizontal="general" vertical="bottom" textRotation="0" wrapText="false" indent="0" shrinkToFit="false"/>
      <protection locked="true" hidden="false"/>
    </xf>
    <xf numFmtId="164" fontId="10" fillId="7" borderId="2" xfId="0" applyFont="true" applyBorder="tru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general" vertical="bottom" textRotation="0" wrapText="false" indent="0" shrinkToFit="false"/>
      <protection locked="true" hidden="false"/>
    </xf>
    <xf numFmtId="164" fontId="9" fillId="6" borderId="2" xfId="0" applyFont="true" applyBorder="true" applyAlignment="tru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general" vertical="bottom" textRotation="0" wrapText="false" indent="0" shrinkToFit="false"/>
      <protection locked="true" hidden="false"/>
    </xf>
    <xf numFmtId="164" fontId="9" fillId="9" borderId="2" xfId="0" applyFont="true" applyBorder="true" applyAlignment="true" applyProtection="false">
      <alignment horizontal="general" vertical="bottom" textRotation="0" wrapText="false" indent="0" shrinkToFit="false"/>
      <protection locked="true" hidden="false"/>
    </xf>
    <xf numFmtId="164" fontId="10" fillId="9" borderId="2"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false" indent="0" shrinkToFit="false"/>
      <protection locked="true" hidden="false"/>
    </xf>
    <xf numFmtId="164" fontId="10" fillId="10" borderId="1" xfId="0" applyFont="true" applyBorder="true" applyAlignment="true" applyProtection="false">
      <alignment horizontal="general" vertical="top" textRotation="0" wrapText="fals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10" borderId="2" xfId="0" applyFont="true" applyBorder="true" applyAlignment="true" applyProtection="false">
      <alignment horizontal="general" vertical="top" textRotation="0" wrapText="false" indent="0" shrinkToFit="false"/>
      <protection locked="true" hidden="false"/>
    </xf>
    <xf numFmtId="164" fontId="10" fillId="10" borderId="2" xfId="0" applyFont="true" applyBorder="true" applyAlignment="true" applyProtection="false">
      <alignment horizontal="general" vertical="top" textRotation="0" wrapText="true" indent="0" shrinkToFit="false"/>
      <protection locked="true" hidden="false"/>
    </xf>
    <xf numFmtId="164" fontId="9" fillId="10" borderId="2"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5" fontId="10" fillId="9" borderId="2" xfId="0" applyFont="true" applyBorder="true" applyAlignment="true" applyProtection="false">
      <alignment horizontal="general" vertical="top" textRotation="0" wrapText="false" indent="0" shrinkToFit="false"/>
      <protection locked="true" hidden="false"/>
    </xf>
    <xf numFmtId="164" fontId="10" fillId="9" borderId="2" xfId="0" applyFont="true" applyBorder="true" applyAlignment="true" applyProtection="false">
      <alignment horizontal="general" vertical="top" textRotation="0" wrapText="true" indent="0" shrinkToFit="false"/>
      <protection locked="true" hidden="false"/>
    </xf>
    <xf numFmtId="164" fontId="9" fillId="9"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496"/>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7FC"/>
      <rgbColor rgb="FFE2EFDA"/>
      <rgbColor rgb="FFF2F2F2"/>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5"/>
    <col collapsed="false" customWidth="true" hidden="false" outlineLevel="0" max="4" min="4" style="1" width="40"/>
    <col collapsed="false" customWidth="true" hidden="false" outlineLevel="0" max="5" min="5" style="1" width="30"/>
    <col collapsed="false" customWidth="true" hidden="false" outlineLevel="0" max="6" min="6" style="1" width="42"/>
    <col collapsed="false" customWidth="true" hidden="false" outlineLevel="0" max="7" min="7" style="1" width="22"/>
    <col collapsed="false" customWidth="true" hidden="false" outlineLevel="0" max="8" min="8" style="1" width="18"/>
    <col collapsed="false" customWidth="true" hidden="false" outlineLevel="0" max="9" min="9" style="1" width="46"/>
    <col collapsed="false" customWidth="true" hidden="false" outlineLevel="0" max="10" min="10" style="1" width="34"/>
  </cols>
  <sheetData>
    <row r="1" customFormat="false" ht="24" hidden="false" customHeight="true" outlineLevel="0" collapsed="false">
      <c r="A1" s="2" t="s">
        <v>0</v>
      </c>
      <c r="B1" s="2"/>
      <c r="C1" s="2"/>
      <c r="D1" s="2"/>
      <c r="E1" s="2"/>
      <c r="F1" s="2"/>
      <c r="G1" s="2"/>
      <c r="H1" s="2"/>
      <c r="I1" s="2"/>
      <c r="J1" s="2"/>
    </row>
    <row r="2" customFormat="false" ht="30" hidden="false" customHeight="true" outlineLevel="0" collapsed="false">
      <c r="A2" s="3" t="s">
        <v>1</v>
      </c>
      <c r="B2" s="3"/>
      <c r="C2" s="3"/>
      <c r="D2" s="3"/>
      <c r="E2" s="3"/>
      <c r="F2" s="3"/>
      <c r="G2" s="3"/>
      <c r="H2" s="3"/>
      <c r="I2" s="3"/>
      <c r="J2" s="3"/>
    </row>
    <row r="4" customFormat="false" ht="15" hidden="false" customHeight="true" outlineLevel="0" collapsed="false">
      <c r="A4" s="4" t="s">
        <v>2</v>
      </c>
      <c r="B4" s="4" t="s">
        <v>3</v>
      </c>
      <c r="C4" s="5" t="s">
        <v>4</v>
      </c>
      <c r="D4" s="5" t="s">
        <v>5</v>
      </c>
      <c r="E4" s="4" t="s">
        <v>6</v>
      </c>
      <c r="F4" s="4" t="s">
        <v>7</v>
      </c>
      <c r="G4" s="4" t="s">
        <v>8</v>
      </c>
      <c r="H4" s="4" t="s">
        <v>9</v>
      </c>
      <c r="I4" s="4" t="s">
        <v>10</v>
      </c>
      <c r="J4" s="4" t="s">
        <v>11</v>
      </c>
    </row>
    <row r="5" customFormat="false" ht="108" hidden="false" customHeight="true" outlineLevel="0" collapsed="false">
      <c r="A5" s="6" t="s">
        <v>12</v>
      </c>
      <c r="B5" s="7" t="s">
        <v>13</v>
      </c>
      <c r="C5" s="7" t="n">
        <v>544</v>
      </c>
      <c r="D5" s="8" t="s">
        <v>14</v>
      </c>
      <c r="E5" s="9" t="s">
        <v>15</v>
      </c>
      <c r="F5" s="8" t="s">
        <v>16</v>
      </c>
      <c r="G5" s="9" t="s">
        <v>17</v>
      </c>
      <c r="H5" s="9" t="s">
        <v>18</v>
      </c>
      <c r="I5" s="9" t="s">
        <v>19</v>
      </c>
      <c r="J5" s="9" t="s">
        <v>20</v>
      </c>
    </row>
    <row r="6" customFormat="false" ht="108" hidden="false" customHeight="true" outlineLevel="0" collapsed="false">
      <c r="A6" s="10" t="s">
        <v>12</v>
      </c>
      <c r="B6" s="11" t="s">
        <v>21</v>
      </c>
      <c r="C6" s="11" t="n">
        <v>533</v>
      </c>
      <c r="D6" s="12" t="s">
        <v>22</v>
      </c>
      <c r="E6" s="13" t="s">
        <v>23</v>
      </c>
      <c r="F6" s="12" t="s">
        <v>24</v>
      </c>
      <c r="G6" s="13" t="s">
        <v>25</v>
      </c>
      <c r="H6" s="13" t="s">
        <v>26</v>
      </c>
      <c r="I6" s="13" t="s">
        <v>27</v>
      </c>
      <c r="J6" s="12" t="s">
        <v>28</v>
      </c>
    </row>
    <row r="7" customFormat="false" ht="108" hidden="false" customHeight="true" outlineLevel="0" collapsed="false">
      <c r="A7" s="10" t="s">
        <v>12</v>
      </c>
      <c r="B7" s="11" t="s">
        <v>21</v>
      </c>
      <c r="C7" s="11" t="n">
        <v>532</v>
      </c>
      <c r="D7" s="12" t="s">
        <v>29</v>
      </c>
      <c r="E7" s="13" t="s">
        <v>30</v>
      </c>
      <c r="F7" s="12" t="s">
        <v>31</v>
      </c>
      <c r="G7" s="13" t="s">
        <v>32</v>
      </c>
      <c r="H7" s="13" t="s">
        <v>33</v>
      </c>
      <c r="I7" s="13" t="s">
        <v>34</v>
      </c>
      <c r="J7" s="13" t="s">
        <v>35</v>
      </c>
    </row>
    <row r="8" customFormat="false" ht="108" hidden="false" customHeight="true" outlineLevel="0" collapsed="false">
      <c r="A8" s="10" t="s">
        <v>12</v>
      </c>
      <c r="B8" s="11" t="s">
        <v>36</v>
      </c>
      <c r="C8" s="11" t="n">
        <v>526</v>
      </c>
      <c r="D8" s="12" t="s">
        <v>37</v>
      </c>
      <c r="E8" s="13" t="s">
        <v>38</v>
      </c>
      <c r="F8" s="12" t="s">
        <v>39</v>
      </c>
      <c r="G8" s="13" t="s">
        <v>40</v>
      </c>
      <c r="H8" s="13" t="s">
        <v>41</v>
      </c>
      <c r="I8" s="13" t="s">
        <v>42</v>
      </c>
      <c r="J8" s="13" t="s">
        <v>43</v>
      </c>
    </row>
    <row r="9" customFormat="false" ht="108" hidden="false" customHeight="true" outlineLevel="0" collapsed="false">
      <c r="A9" s="10" t="s">
        <v>12</v>
      </c>
      <c r="B9" s="11" t="s">
        <v>36</v>
      </c>
      <c r="C9" s="11" t="n">
        <v>527</v>
      </c>
      <c r="D9" s="12" t="s">
        <v>44</v>
      </c>
      <c r="E9" s="13" t="s">
        <v>45</v>
      </c>
      <c r="F9" s="12" t="s">
        <v>46</v>
      </c>
      <c r="G9" s="13" t="s">
        <v>47</v>
      </c>
      <c r="H9" s="13" t="s">
        <v>48</v>
      </c>
      <c r="I9" s="13" t="s">
        <v>49</v>
      </c>
      <c r="J9" s="13" t="s">
        <v>50</v>
      </c>
    </row>
    <row r="10" customFormat="false" ht="108" hidden="false" customHeight="true" outlineLevel="0" collapsed="false">
      <c r="A10" s="14" t="s">
        <v>51</v>
      </c>
      <c r="B10" s="7" t="s">
        <v>52</v>
      </c>
      <c r="C10" s="7" t="n">
        <v>638</v>
      </c>
      <c r="D10" s="8" t="s">
        <v>53</v>
      </c>
      <c r="E10" s="9" t="s">
        <v>54</v>
      </c>
      <c r="F10" s="8" t="s">
        <v>55</v>
      </c>
      <c r="G10" s="9" t="s">
        <v>56</v>
      </c>
      <c r="H10" s="9" t="s">
        <v>57</v>
      </c>
      <c r="I10" s="9" t="s">
        <v>58</v>
      </c>
      <c r="J10" s="9" t="s">
        <v>59</v>
      </c>
    </row>
    <row r="11" customFormat="false" ht="108" hidden="false" customHeight="true" outlineLevel="0" collapsed="false">
      <c r="A11" s="15" t="s">
        <v>51</v>
      </c>
      <c r="B11" s="11" t="s">
        <v>36</v>
      </c>
      <c r="C11" s="11" t="n">
        <v>629</v>
      </c>
      <c r="D11" s="12" t="s">
        <v>60</v>
      </c>
      <c r="E11" s="13" t="s">
        <v>61</v>
      </c>
      <c r="F11" s="12" t="s">
        <v>62</v>
      </c>
      <c r="G11" s="13" t="s">
        <v>63</v>
      </c>
      <c r="H11" s="13" t="s">
        <v>64</v>
      </c>
      <c r="I11" s="13" t="s">
        <v>65</v>
      </c>
      <c r="J11" s="13" t="s">
        <v>66</v>
      </c>
    </row>
    <row r="12" customFormat="false" ht="108" hidden="false" customHeight="true" outlineLevel="0" collapsed="false">
      <c r="A12" s="15" t="s">
        <v>51</v>
      </c>
      <c r="B12" s="11" t="s">
        <v>36</v>
      </c>
      <c r="C12" s="11" t="n">
        <v>628</v>
      </c>
      <c r="D12" s="12" t="s">
        <v>67</v>
      </c>
      <c r="E12" s="13" t="s">
        <v>68</v>
      </c>
      <c r="F12" s="12" t="s">
        <v>69</v>
      </c>
      <c r="G12" s="13" t="s">
        <v>70</v>
      </c>
      <c r="H12" s="13" t="s">
        <v>71</v>
      </c>
      <c r="I12" s="13" t="s">
        <v>72</v>
      </c>
      <c r="J12" s="13" t="s">
        <v>73</v>
      </c>
    </row>
    <row r="13" customFormat="false" ht="108" hidden="false" customHeight="true" outlineLevel="0" collapsed="false">
      <c r="A13" s="15" t="s">
        <v>51</v>
      </c>
      <c r="B13" s="11" t="s">
        <v>74</v>
      </c>
      <c r="C13" s="11" t="n">
        <v>625</v>
      </c>
      <c r="D13" s="12" t="s">
        <v>75</v>
      </c>
      <c r="E13" s="13" t="s">
        <v>76</v>
      </c>
      <c r="F13" s="12" t="s">
        <v>77</v>
      </c>
      <c r="G13" s="13" t="s">
        <v>78</v>
      </c>
      <c r="H13" s="13" t="s">
        <v>79</v>
      </c>
      <c r="I13" s="12" t="s">
        <v>80</v>
      </c>
      <c r="J13" s="12" t="s">
        <v>81</v>
      </c>
    </row>
    <row r="15" customFormat="false" ht="21.75" hidden="false" customHeight="true" outlineLevel="0" collapsed="false">
      <c r="A15" s="16" t="s">
        <v>82</v>
      </c>
      <c r="B15" s="16"/>
      <c r="C15" s="16"/>
      <c r="D15" s="16"/>
      <c r="E15" s="16"/>
      <c r="F15" s="16"/>
      <c r="G15" s="16"/>
      <c r="H15" s="16"/>
      <c r="I15" s="16"/>
      <c r="J15" s="16"/>
    </row>
    <row r="16" customFormat="false" ht="439.5" hidden="false" customHeight="true" outlineLevel="0" collapsed="false">
      <c r="A16" s="17" t="s">
        <v>83</v>
      </c>
      <c r="B16" s="17"/>
      <c r="C16" s="17"/>
      <c r="D16" s="17"/>
      <c r="E16" s="17"/>
      <c r="F16" s="17"/>
      <c r="G16" s="17"/>
      <c r="H16" s="17"/>
      <c r="I16" s="17"/>
      <c r="J16" s="17"/>
    </row>
  </sheetData>
  <mergeCells count="4">
    <mergeCell ref="A1:J1"/>
    <mergeCell ref="A2:J2"/>
    <mergeCell ref="A15:J15"/>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5"/>
    <col collapsed="false" customWidth="true" hidden="false" outlineLevel="0" max="4" min="4" style="1" width="40"/>
    <col collapsed="false" customWidth="true" hidden="false" outlineLevel="0" max="5" min="5" style="1" width="30"/>
    <col collapsed="false" customWidth="true" hidden="false" outlineLevel="0" max="6" min="6" style="1" width="42"/>
    <col collapsed="false" customWidth="true" hidden="false" outlineLevel="0" max="7" min="7" style="1" width="22"/>
    <col collapsed="false" customWidth="true" hidden="false" outlineLevel="0" max="8" min="8" style="1" width="18"/>
    <col collapsed="false" customWidth="true" hidden="false" outlineLevel="0" max="9" min="9" style="1" width="46"/>
    <col collapsed="false" customWidth="true" hidden="false" outlineLevel="0" max="10" min="10" style="1" width="34"/>
  </cols>
  <sheetData>
    <row r="1" customFormat="false" ht="24" hidden="false" customHeight="true" outlineLevel="0" collapsed="false">
      <c r="A1" s="2" t="s">
        <v>84</v>
      </c>
      <c r="B1" s="2"/>
      <c r="C1" s="2"/>
      <c r="D1" s="2"/>
      <c r="E1" s="2"/>
      <c r="F1" s="2"/>
      <c r="G1" s="2"/>
      <c r="H1" s="2"/>
      <c r="I1" s="2"/>
      <c r="J1" s="2"/>
    </row>
    <row r="2" customFormat="false" ht="30" hidden="false" customHeight="true" outlineLevel="0" collapsed="false">
      <c r="A2" s="3" t="s">
        <v>85</v>
      </c>
      <c r="B2" s="3"/>
      <c r="C2" s="3"/>
      <c r="D2" s="3"/>
      <c r="E2" s="3"/>
      <c r="F2" s="3"/>
      <c r="G2" s="3"/>
      <c r="H2" s="3"/>
      <c r="I2" s="3"/>
      <c r="J2" s="3"/>
    </row>
    <row r="4" customFormat="false" ht="15" hidden="false" customHeight="true" outlineLevel="0" collapsed="false">
      <c r="A4" s="4" t="s">
        <v>2</v>
      </c>
      <c r="B4" s="4" t="s">
        <v>3</v>
      </c>
      <c r="C4" s="5" t="s">
        <v>4</v>
      </c>
      <c r="D4" s="5" t="s">
        <v>5</v>
      </c>
      <c r="E4" s="4" t="s">
        <v>6</v>
      </c>
      <c r="F4" s="4" t="s">
        <v>7</v>
      </c>
      <c r="G4" s="4" t="s">
        <v>8</v>
      </c>
      <c r="H4" s="4" t="s">
        <v>9</v>
      </c>
      <c r="I4" s="4" t="s">
        <v>10</v>
      </c>
      <c r="J4" s="4" t="s">
        <v>11</v>
      </c>
    </row>
    <row r="5" customFormat="false" ht="108" hidden="false" customHeight="true" outlineLevel="0" collapsed="false">
      <c r="A5" s="6" t="s">
        <v>12</v>
      </c>
      <c r="B5" s="7" t="s">
        <v>86</v>
      </c>
      <c r="C5" s="7" t="n">
        <v>453</v>
      </c>
      <c r="D5" s="8" t="s">
        <v>87</v>
      </c>
      <c r="E5" s="9" t="s">
        <v>88</v>
      </c>
      <c r="F5" s="8" t="s">
        <v>89</v>
      </c>
      <c r="G5" s="9" t="s">
        <v>90</v>
      </c>
      <c r="H5" s="9" t="s">
        <v>91</v>
      </c>
      <c r="I5" s="8" t="s">
        <v>92</v>
      </c>
      <c r="J5" s="9" t="s">
        <v>93</v>
      </c>
    </row>
    <row r="6" customFormat="false" ht="108" hidden="false" customHeight="true" outlineLevel="0" collapsed="false">
      <c r="A6" s="10" t="s">
        <v>12</v>
      </c>
      <c r="B6" s="11" t="s">
        <v>86</v>
      </c>
      <c r="C6" s="11" t="n">
        <v>455</v>
      </c>
      <c r="D6" s="12" t="s">
        <v>94</v>
      </c>
      <c r="E6" s="13" t="s">
        <v>95</v>
      </c>
      <c r="F6" s="12" t="s">
        <v>96</v>
      </c>
      <c r="G6" s="13" t="s">
        <v>97</v>
      </c>
      <c r="H6" s="13" t="s">
        <v>98</v>
      </c>
      <c r="I6" s="13" t="s">
        <v>99</v>
      </c>
      <c r="J6" s="13" t="s">
        <v>100</v>
      </c>
    </row>
    <row r="7" customFormat="false" ht="108" hidden="false" customHeight="true" outlineLevel="0" collapsed="false">
      <c r="A7" s="10" t="s">
        <v>12</v>
      </c>
      <c r="B7" s="11" t="s">
        <v>101</v>
      </c>
      <c r="C7" s="11" t="n">
        <v>451</v>
      </c>
      <c r="D7" s="12" t="s">
        <v>102</v>
      </c>
      <c r="E7" s="13" t="s">
        <v>103</v>
      </c>
      <c r="F7" s="12" t="s">
        <v>104</v>
      </c>
      <c r="G7" s="13" t="s">
        <v>105</v>
      </c>
      <c r="H7" s="13" t="s">
        <v>106</v>
      </c>
      <c r="I7" s="12" t="s">
        <v>107</v>
      </c>
      <c r="J7" s="12" t="s">
        <v>108</v>
      </c>
    </row>
    <row r="8" customFormat="false" ht="108" hidden="false" customHeight="true" outlineLevel="0" collapsed="false">
      <c r="A8" s="10" t="s">
        <v>12</v>
      </c>
      <c r="B8" s="11" t="s">
        <v>101</v>
      </c>
      <c r="C8" s="11" t="n">
        <v>452</v>
      </c>
      <c r="D8" s="12" t="s">
        <v>109</v>
      </c>
      <c r="E8" s="13" t="s">
        <v>110</v>
      </c>
      <c r="F8" s="12" t="s">
        <v>111</v>
      </c>
      <c r="G8" s="13" t="s">
        <v>112</v>
      </c>
      <c r="H8" s="13" t="s">
        <v>113</v>
      </c>
      <c r="I8" s="12" t="s">
        <v>114</v>
      </c>
      <c r="J8" s="13" t="s">
        <v>115</v>
      </c>
    </row>
    <row r="9" customFormat="false" ht="108" hidden="false" customHeight="true" outlineLevel="0" collapsed="false">
      <c r="A9" s="10" t="s">
        <v>12</v>
      </c>
      <c r="B9" s="11" t="s">
        <v>13</v>
      </c>
      <c r="C9" s="11" t="n">
        <v>444</v>
      </c>
      <c r="D9" s="12" t="s">
        <v>116</v>
      </c>
      <c r="E9" s="13" t="s">
        <v>117</v>
      </c>
      <c r="F9" s="12" t="s">
        <v>118</v>
      </c>
      <c r="G9" s="13" t="s">
        <v>119</v>
      </c>
      <c r="H9" s="13" t="s">
        <v>120</v>
      </c>
      <c r="I9" s="13" t="s">
        <v>121</v>
      </c>
      <c r="J9" s="12" t="s">
        <v>122</v>
      </c>
    </row>
    <row r="10" customFormat="false" ht="108" hidden="false" customHeight="true" outlineLevel="0" collapsed="false">
      <c r="A10" s="10" t="s">
        <v>12</v>
      </c>
      <c r="B10" s="11" t="s">
        <v>123</v>
      </c>
      <c r="C10" s="11" t="n">
        <v>438</v>
      </c>
      <c r="D10" s="12" t="s">
        <v>124</v>
      </c>
      <c r="E10" s="13" t="s">
        <v>125</v>
      </c>
      <c r="F10" s="12" t="s">
        <v>126</v>
      </c>
      <c r="G10" s="13" t="s">
        <v>127</v>
      </c>
      <c r="H10" s="13" t="s">
        <v>128</v>
      </c>
      <c r="I10" s="13" t="s">
        <v>129</v>
      </c>
      <c r="J10" s="13" t="s">
        <v>130</v>
      </c>
    </row>
    <row r="11" customFormat="false" ht="108" hidden="false" customHeight="true" outlineLevel="0" collapsed="false">
      <c r="A11" s="14" t="s">
        <v>51</v>
      </c>
      <c r="B11" s="7" t="s">
        <v>86</v>
      </c>
      <c r="C11" s="7" t="n">
        <v>686</v>
      </c>
      <c r="D11" s="8" t="s">
        <v>131</v>
      </c>
      <c r="E11" s="9" t="s">
        <v>132</v>
      </c>
      <c r="F11" s="8" t="s">
        <v>133</v>
      </c>
      <c r="G11" s="8" t="s">
        <v>134</v>
      </c>
      <c r="H11" s="9" t="s">
        <v>135</v>
      </c>
      <c r="I11" s="9" t="s">
        <v>136</v>
      </c>
      <c r="J11" s="9" t="s">
        <v>137</v>
      </c>
    </row>
    <row r="12" customFormat="false" ht="108" hidden="false" customHeight="true" outlineLevel="0" collapsed="false">
      <c r="A12" s="15" t="s">
        <v>51</v>
      </c>
      <c r="B12" s="11" t="s">
        <v>101</v>
      </c>
      <c r="C12" s="11" t="n">
        <v>648</v>
      </c>
      <c r="D12" s="12" t="s">
        <v>138</v>
      </c>
      <c r="E12" s="13" t="s">
        <v>139</v>
      </c>
      <c r="F12" s="12" t="s">
        <v>140</v>
      </c>
      <c r="G12" s="13" t="s">
        <v>141</v>
      </c>
      <c r="H12" s="13" t="s">
        <v>142</v>
      </c>
      <c r="I12" s="13" t="s">
        <v>143</v>
      </c>
      <c r="J12" s="13" t="s">
        <v>144</v>
      </c>
    </row>
    <row r="13" customFormat="false" ht="108" hidden="false" customHeight="true" outlineLevel="0" collapsed="false">
      <c r="A13" s="15" t="s">
        <v>51</v>
      </c>
      <c r="B13" s="11" t="s">
        <v>13</v>
      </c>
      <c r="C13" s="11" t="n">
        <v>682</v>
      </c>
      <c r="D13" s="12" t="s">
        <v>145</v>
      </c>
      <c r="E13" s="13" t="s">
        <v>146</v>
      </c>
      <c r="F13" s="12" t="s">
        <v>147</v>
      </c>
      <c r="G13" s="13" t="s">
        <v>148</v>
      </c>
      <c r="H13" s="13" t="s">
        <v>149</v>
      </c>
      <c r="I13" s="12" t="s">
        <v>150</v>
      </c>
      <c r="J13" s="13" t="s">
        <v>151</v>
      </c>
    </row>
    <row r="15" customFormat="false" ht="21.75" hidden="false" customHeight="true" outlineLevel="0" collapsed="false">
      <c r="A15" s="16" t="s">
        <v>82</v>
      </c>
      <c r="B15" s="16"/>
      <c r="C15" s="16"/>
      <c r="D15" s="16"/>
      <c r="E15" s="16"/>
      <c r="F15" s="16"/>
      <c r="G15" s="16"/>
      <c r="H15" s="16"/>
      <c r="I15" s="16"/>
      <c r="J15" s="16"/>
    </row>
    <row r="16" customFormat="false" ht="459.75" hidden="false" customHeight="true" outlineLevel="0" collapsed="false">
      <c r="A16" s="17" t="s">
        <v>152</v>
      </c>
      <c r="B16" s="17"/>
      <c r="C16" s="17"/>
      <c r="D16" s="17"/>
      <c r="E16" s="17"/>
      <c r="F16" s="17"/>
      <c r="G16" s="17"/>
      <c r="H16" s="17"/>
      <c r="I16" s="17"/>
      <c r="J16" s="17"/>
    </row>
  </sheetData>
  <mergeCells count="4">
    <mergeCell ref="A1:J1"/>
    <mergeCell ref="A2:J2"/>
    <mergeCell ref="A15:J15"/>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5"/>
    <col collapsed="false" customWidth="true" hidden="false" outlineLevel="0" max="4" min="4" style="0" width="40"/>
    <col collapsed="false" customWidth="true" hidden="false" outlineLevel="0" max="5" min="5" style="0" width="30"/>
    <col collapsed="false" customWidth="true" hidden="false" outlineLevel="0" max="6" min="6" style="0" width="42"/>
    <col collapsed="false" customWidth="true" hidden="false" outlineLevel="0" max="7" min="7" style="0" width="22"/>
    <col collapsed="false" customWidth="true" hidden="false" outlineLevel="0" max="8" min="8" style="0" width="18"/>
    <col collapsed="false" customWidth="true" hidden="false" outlineLevel="0" max="9" min="9" style="0" width="46"/>
    <col collapsed="false" customWidth="true" hidden="false" outlineLevel="0" max="10" min="10" style="0" width="34"/>
  </cols>
  <sheetData>
    <row r="1" customFormat="false" ht="24" hidden="false" customHeight="true" outlineLevel="0" collapsed="false">
      <c r="A1" s="18" t="s">
        <v>153</v>
      </c>
      <c r="B1" s="18"/>
      <c r="C1" s="18"/>
      <c r="D1" s="18"/>
      <c r="E1" s="18"/>
      <c r="F1" s="18"/>
      <c r="G1" s="18"/>
      <c r="H1" s="18"/>
      <c r="I1" s="18"/>
      <c r="J1" s="18"/>
    </row>
    <row r="2" customFormat="false" ht="31.5" hidden="false" customHeight="true" outlineLevel="0" collapsed="false">
      <c r="A2" s="19" t="s">
        <v>154</v>
      </c>
      <c r="B2" s="19"/>
      <c r="C2" s="19"/>
      <c r="D2" s="19"/>
      <c r="E2" s="19"/>
      <c r="F2" s="19"/>
      <c r="G2" s="19"/>
      <c r="H2" s="19"/>
      <c r="I2" s="19"/>
      <c r="J2" s="19"/>
    </row>
    <row r="4" customFormat="false" ht="15" hidden="false" customHeight="false" outlineLevel="0" collapsed="false">
      <c r="A4" s="20" t="s">
        <v>2</v>
      </c>
      <c r="B4" s="20" t="s">
        <v>3</v>
      </c>
      <c r="C4" s="5" t="s">
        <v>4</v>
      </c>
      <c r="D4" s="5" t="s">
        <v>5</v>
      </c>
      <c r="E4" s="20" t="s">
        <v>6</v>
      </c>
      <c r="F4" s="20" t="s">
        <v>155</v>
      </c>
      <c r="G4" s="20" t="s">
        <v>8</v>
      </c>
      <c r="H4" s="20" t="s">
        <v>156</v>
      </c>
      <c r="I4" s="20" t="s">
        <v>157</v>
      </c>
      <c r="J4" s="20" t="s">
        <v>11</v>
      </c>
    </row>
    <row r="5" customFormat="false" ht="111.75" hidden="false" customHeight="true" outlineLevel="0" collapsed="false">
      <c r="A5" s="21" t="s">
        <v>12</v>
      </c>
      <c r="B5" s="7" t="s">
        <v>86</v>
      </c>
      <c r="C5" s="7" t="n">
        <v>579</v>
      </c>
      <c r="D5" s="8" t="s">
        <v>158</v>
      </c>
      <c r="E5" s="22" t="s">
        <v>159</v>
      </c>
      <c r="F5" s="8" t="s">
        <v>160</v>
      </c>
      <c r="G5" s="22" t="s">
        <v>161</v>
      </c>
      <c r="H5" s="22" t="s">
        <v>162</v>
      </c>
      <c r="I5" s="22" t="s">
        <v>163</v>
      </c>
      <c r="J5" s="22" t="s">
        <v>164</v>
      </c>
    </row>
    <row r="6" customFormat="false" ht="111.75" hidden="false" customHeight="true" outlineLevel="0" collapsed="false">
      <c r="A6" s="23" t="s">
        <v>12</v>
      </c>
      <c r="B6" s="11" t="s">
        <v>86</v>
      </c>
      <c r="C6" s="11" t="n">
        <v>585</v>
      </c>
      <c r="D6" s="12" t="s">
        <v>165</v>
      </c>
      <c r="E6" s="24" t="s">
        <v>166</v>
      </c>
      <c r="F6" s="12" t="s">
        <v>167</v>
      </c>
      <c r="G6" s="24" t="s">
        <v>168</v>
      </c>
      <c r="H6" s="24" t="s">
        <v>169</v>
      </c>
      <c r="I6" s="24" t="s">
        <v>170</v>
      </c>
      <c r="J6" s="24" t="s">
        <v>171</v>
      </c>
    </row>
    <row r="7" customFormat="false" ht="111.75" hidden="false" customHeight="true" outlineLevel="0" collapsed="false">
      <c r="A7" s="23" t="s">
        <v>12</v>
      </c>
      <c r="B7" s="11" t="s">
        <v>86</v>
      </c>
      <c r="C7" s="11" t="n">
        <v>581</v>
      </c>
      <c r="D7" s="12" t="s">
        <v>172</v>
      </c>
      <c r="E7" s="24" t="s">
        <v>173</v>
      </c>
      <c r="F7" s="12" t="s">
        <v>174</v>
      </c>
      <c r="G7" s="24" t="s">
        <v>175</v>
      </c>
      <c r="H7" s="24" t="s">
        <v>176</v>
      </c>
      <c r="I7" s="24" t="s">
        <v>177</v>
      </c>
      <c r="J7" s="24" t="s">
        <v>178</v>
      </c>
    </row>
    <row r="8" customFormat="false" ht="111.75" hidden="false" customHeight="true" outlineLevel="0" collapsed="false">
      <c r="A8" s="23" t="s">
        <v>12</v>
      </c>
      <c r="B8" s="11" t="s">
        <v>101</v>
      </c>
      <c r="C8" s="11" t="n">
        <v>575</v>
      </c>
      <c r="D8" s="12" t="s">
        <v>179</v>
      </c>
      <c r="E8" s="24" t="s">
        <v>180</v>
      </c>
      <c r="F8" s="12" t="s">
        <v>181</v>
      </c>
      <c r="G8" s="24" t="s">
        <v>182</v>
      </c>
      <c r="H8" s="24" t="s">
        <v>183</v>
      </c>
      <c r="I8" s="12" t="s">
        <v>184</v>
      </c>
      <c r="J8" s="12" t="s">
        <v>185</v>
      </c>
    </row>
    <row r="9" customFormat="false" ht="111.75" hidden="false" customHeight="true" outlineLevel="0" collapsed="false">
      <c r="A9" s="23" t="s">
        <v>12</v>
      </c>
      <c r="B9" s="11" t="s">
        <v>13</v>
      </c>
      <c r="C9" s="11" t="n">
        <v>572</v>
      </c>
      <c r="D9" s="12" t="s">
        <v>186</v>
      </c>
      <c r="E9" s="24" t="s">
        <v>187</v>
      </c>
      <c r="F9" s="12" t="s">
        <v>188</v>
      </c>
      <c r="G9" s="24" t="s">
        <v>189</v>
      </c>
      <c r="H9" s="24" t="s">
        <v>190</v>
      </c>
      <c r="I9" s="24" t="s">
        <v>191</v>
      </c>
      <c r="J9" s="24" t="s">
        <v>192</v>
      </c>
    </row>
    <row r="10" customFormat="false" ht="111.75" hidden="false" customHeight="true" outlineLevel="0" collapsed="false">
      <c r="A10" s="23" t="s">
        <v>12</v>
      </c>
      <c r="B10" s="11" t="s">
        <v>13</v>
      </c>
      <c r="C10" s="11" t="n">
        <v>570</v>
      </c>
      <c r="D10" s="12" t="s">
        <v>193</v>
      </c>
      <c r="E10" s="24" t="s">
        <v>194</v>
      </c>
      <c r="F10" s="12" t="s">
        <v>195</v>
      </c>
      <c r="G10" s="24" t="s">
        <v>196</v>
      </c>
      <c r="H10" s="24" t="s">
        <v>197</v>
      </c>
      <c r="I10" s="24" t="s">
        <v>198</v>
      </c>
      <c r="J10" s="24" t="s">
        <v>199</v>
      </c>
    </row>
    <row r="11" customFormat="false" ht="111.75" hidden="false" customHeight="true" outlineLevel="0" collapsed="false">
      <c r="A11" s="23" t="s">
        <v>12</v>
      </c>
      <c r="B11" s="11" t="s">
        <v>123</v>
      </c>
      <c r="C11" s="11" t="n">
        <v>563</v>
      </c>
      <c r="D11" s="12" t="s">
        <v>200</v>
      </c>
      <c r="E11" s="24" t="s">
        <v>201</v>
      </c>
      <c r="F11" s="12" t="s">
        <v>202</v>
      </c>
      <c r="G11" s="24" t="s">
        <v>203</v>
      </c>
      <c r="H11" s="24" t="s">
        <v>204</v>
      </c>
      <c r="I11" s="24" t="s">
        <v>205</v>
      </c>
      <c r="J11" s="24" t="s">
        <v>206</v>
      </c>
    </row>
    <row r="12" customFormat="false" ht="111.75" hidden="false" customHeight="true" outlineLevel="0" collapsed="false">
      <c r="A12" s="23" t="s">
        <v>12</v>
      </c>
      <c r="B12" s="11" t="s">
        <v>123</v>
      </c>
      <c r="C12" s="11" t="n">
        <v>565</v>
      </c>
      <c r="D12" s="12" t="s">
        <v>207</v>
      </c>
      <c r="E12" s="24" t="s">
        <v>208</v>
      </c>
      <c r="F12" s="12" t="s">
        <v>209</v>
      </c>
      <c r="G12" s="24" t="s">
        <v>210</v>
      </c>
      <c r="H12" s="24" t="s">
        <v>211</v>
      </c>
      <c r="I12" s="24" t="s">
        <v>212</v>
      </c>
      <c r="J12" s="24" t="s">
        <v>213</v>
      </c>
    </row>
    <row r="13" customFormat="false" ht="111.75" hidden="false" customHeight="true" outlineLevel="0" collapsed="false">
      <c r="A13" s="25" t="s">
        <v>51</v>
      </c>
      <c r="B13" s="7" t="s">
        <v>101</v>
      </c>
      <c r="C13" s="7" t="n">
        <v>643</v>
      </c>
      <c r="D13" s="8" t="s">
        <v>214</v>
      </c>
      <c r="E13" s="22" t="s">
        <v>215</v>
      </c>
      <c r="F13" s="8" t="s">
        <v>216</v>
      </c>
      <c r="G13" s="22" t="s">
        <v>217</v>
      </c>
      <c r="H13" s="22" t="s">
        <v>218</v>
      </c>
      <c r="I13" s="22" t="s">
        <v>219</v>
      </c>
      <c r="J13" s="22" t="s">
        <v>220</v>
      </c>
    </row>
    <row r="14" customFormat="false" ht="111.75" hidden="false" customHeight="true" outlineLevel="0" collapsed="false">
      <c r="A14" s="26" t="s">
        <v>51</v>
      </c>
      <c r="B14" s="11" t="s">
        <v>13</v>
      </c>
      <c r="C14" s="11" t="n">
        <v>642</v>
      </c>
      <c r="D14" s="12" t="s">
        <v>221</v>
      </c>
      <c r="E14" s="24" t="s">
        <v>222</v>
      </c>
      <c r="F14" s="12" t="s">
        <v>223</v>
      </c>
      <c r="G14" s="24" t="s">
        <v>224</v>
      </c>
      <c r="H14" s="24" t="s">
        <v>225</v>
      </c>
      <c r="I14" s="24" t="s">
        <v>226</v>
      </c>
      <c r="J14" s="24" t="s">
        <v>227</v>
      </c>
    </row>
    <row r="16" customFormat="false" ht="21.75" hidden="false" customHeight="true" outlineLevel="0" collapsed="false">
      <c r="A16" s="16" t="s">
        <v>82</v>
      </c>
      <c r="B16" s="16"/>
      <c r="C16" s="16"/>
      <c r="D16" s="16"/>
      <c r="E16" s="16"/>
      <c r="F16" s="16"/>
      <c r="G16" s="16"/>
      <c r="H16" s="16"/>
      <c r="I16" s="16"/>
      <c r="J16" s="16"/>
    </row>
    <row r="17" customFormat="false" ht="480" hidden="false" customHeight="true" outlineLevel="0" collapsed="false">
      <c r="A17" s="27" t="s">
        <v>228</v>
      </c>
      <c r="B17" s="27"/>
      <c r="C17" s="27"/>
      <c r="D17" s="27"/>
      <c r="E17" s="27"/>
      <c r="F17" s="27"/>
      <c r="G17" s="27"/>
      <c r="H17" s="27"/>
      <c r="I17" s="27"/>
      <c r="J17" s="27"/>
    </row>
  </sheetData>
  <mergeCells count="4">
    <mergeCell ref="A1:J1"/>
    <mergeCell ref="A2:J2"/>
    <mergeCell ref="A16:J16"/>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5"/>
    <col collapsed="false" customWidth="true" hidden="false" outlineLevel="0" max="4" min="4" style="0" width="40"/>
    <col collapsed="false" customWidth="true" hidden="false" outlineLevel="0" max="5" min="5" style="0" width="30"/>
    <col collapsed="false" customWidth="true" hidden="false" outlineLevel="0" max="6" min="6" style="0" width="42"/>
    <col collapsed="false" customWidth="true" hidden="false" outlineLevel="0" max="7" min="7" style="0" width="22"/>
    <col collapsed="false" customWidth="true" hidden="false" outlineLevel="0" max="8" min="8" style="0" width="18"/>
    <col collapsed="false" customWidth="true" hidden="false" outlineLevel="0" max="9" min="9" style="0" width="46"/>
    <col collapsed="false" customWidth="true" hidden="false" outlineLevel="0" max="10" min="10" style="0" width="34"/>
  </cols>
  <sheetData>
    <row r="1" customFormat="false" ht="24" hidden="false" customHeight="true" outlineLevel="0" collapsed="false">
      <c r="A1" s="18" t="s">
        <v>229</v>
      </c>
      <c r="B1" s="18"/>
      <c r="C1" s="18"/>
      <c r="D1" s="18"/>
      <c r="E1" s="18"/>
      <c r="F1" s="18"/>
      <c r="G1" s="18"/>
      <c r="H1" s="18"/>
      <c r="I1" s="18"/>
      <c r="J1" s="18"/>
    </row>
    <row r="2" customFormat="false" ht="31.5" hidden="false" customHeight="true" outlineLevel="0" collapsed="false">
      <c r="A2" s="19" t="s">
        <v>230</v>
      </c>
      <c r="B2" s="19"/>
      <c r="C2" s="19"/>
      <c r="D2" s="19"/>
      <c r="E2" s="19"/>
      <c r="F2" s="19"/>
      <c r="G2" s="19"/>
      <c r="H2" s="19"/>
      <c r="I2" s="19"/>
      <c r="J2" s="19"/>
    </row>
    <row r="4" customFormat="false" ht="15" hidden="false" customHeight="false" outlineLevel="0" collapsed="false">
      <c r="A4" s="20" t="s">
        <v>2</v>
      </c>
      <c r="B4" s="20" t="s">
        <v>3</v>
      </c>
      <c r="C4" s="5" t="s">
        <v>4</v>
      </c>
      <c r="D4" s="5" t="s">
        <v>5</v>
      </c>
      <c r="E4" s="20" t="s">
        <v>6</v>
      </c>
      <c r="F4" s="20" t="s">
        <v>155</v>
      </c>
      <c r="G4" s="20" t="s">
        <v>8</v>
      </c>
      <c r="H4" s="20" t="s">
        <v>156</v>
      </c>
      <c r="I4" s="20" t="s">
        <v>157</v>
      </c>
      <c r="J4" s="20" t="s">
        <v>11</v>
      </c>
    </row>
    <row r="5" customFormat="false" ht="111.75" hidden="false" customHeight="true" outlineLevel="0" collapsed="false">
      <c r="A5" s="21" t="s">
        <v>12</v>
      </c>
      <c r="B5" s="7" t="s">
        <v>13</v>
      </c>
      <c r="C5" s="7" t="n">
        <v>479</v>
      </c>
      <c r="D5" s="8" t="s">
        <v>231</v>
      </c>
      <c r="E5" s="22" t="s">
        <v>232</v>
      </c>
      <c r="F5" s="8" t="s">
        <v>233</v>
      </c>
      <c r="G5" s="22" t="s">
        <v>234</v>
      </c>
      <c r="H5" s="22" t="s">
        <v>235</v>
      </c>
      <c r="I5" s="8" t="s">
        <v>236</v>
      </c>
      <c r="J5" s="22" t="s">
        <v>237</v>
      </c>
    </row>
    <row r="6" customFormat="false" ht="111.75" hidden="false" customHeight="true" outlineLevel="0" collapsed="false">
      <c r="A6" s="23" t="s">
        <v>12</v>
      </c>
      <c r="B6" s="11" t="s">
        <v>123</v>
      </c>
      <c r="C6" s="11" t="n">
        <v>473</v>
      </c>
      <c r="D6" s="12" t="s">
        <v>238</v>
      </c>
      <c r="E6" s="24" t="s">
        <v>239</v>
      </c>
      <c r="F6" s="12" t="s">
        <v>240</v>
      </c>
      <c r="G6" s="24" t="s">
        <v>241</v>
      </c>
      <c r="H6" s="24" t="s">
        <v>242</v>
      </c>
      <c r="I6" s="24" t="s">
        <v>243</v>
      </c>
      <c r="J6" s="24" t="s">
        <v>244</v>
      </c>
    </row>
    <row r="7" customFormat="false" ht="111.75" hidden="false" customHeight="true" outlineLevel="0" collapsed="false">
      <c r="A7" s="23" t="s">
        <v>12</v>
      </c>
      <c r="B7" s="11" t="s">
        <v>21</v>
      </c>
      <c r="C7" s="11" t="n">
        <v>471</v>
      </c>
      <c r="D7" s="12" t="s">
        <v>245</v>
      </c>
      <c r="E7" s="24" t="s">
        <v>246</v>
      </c>
      <c r="F7" s="12" t="s">
        <v>247</v>
      </c>
      <c r="G7" s="24" t="s">
        <v>248</v>
      </c>
      <c r="H7" s="24" t="s">
        <v>249</v>
      </c>
      <c r="I7" s="24" t="s">
        <v>250</v>
      </c>
      <c r="J7" s="12" t="s">
        <v>251</v>
      </c>
    </row>
    <row r="8" customFormat="false" ht="111.75" hidden="false" customHeight="true" outlineLevel="0" collapsed="false">
      <c r="A8" s="23" t="s">
        <v>12</v>
      </c>
      <c r="B8" s="11" t="s">
        <v>52</v>
      </c>
      <c r="C8" s="11" t="n">
        <v>464</v>
      </c>
      <c r="D8" s="12" t="s">
        <v>252</v>
      </c>
      <c r="E8" s="24" t="s">
        <v>253</v>
      </c>
      <c r="F8" s="12" t="s">
        <v>254</v>
      </c>
      <c r="G8" s="24" t="s">
        <v>255</v>
      </c>
      <c r="H8" s="24" t="s">
        <v>256</v>
      </c>
      <c r="I8" s="24" t="s">
        <v>257</v>
      </c>
      <c r="J8" s="24" t="s">
        <v>258</v>
      </c>
    </row>
    <row r="9" customFormat="false" ht="111.75" hidden="false" customHeight="true" outlineLevel="0" collapsed="false">
      <c r="A9" s="23" t="s">
        <v>12</v>
      </c>
      <c r="B9" s="11" t="s">
        <v>259</v>
      </c>
      <c r="C9" s="11" t="n">
        <v>462</v>
      </c>
      <c r="D9" s="12" t="s">
        <v>260</v>
      </c>
      <c r="E9" s="24" t="s">
        <v>261</v>
      </c>
      <c r="F9" s="12" t="s">
        <v>262</v>
      </c>
      <c r="G9" s="24" t="s">
        <v>263</v>
      </c>
      <c r="H9" s="24" t="s">
        <v>264</v>
      </c>
      <c r="I9" s="24" t="s">
        <v>265</v>
      </c>
      <c r="J9" s="12" t="s">
        <v>266</v>
      </c>
    </row>
    <row r="10" customFormat="false" ht="111.75" hidden="false" customHeight="true" outlineLevel="0" collapsed="false">
      <c r="A10" s="23" t="s">
        <v>12</v>
      </c>
      <c r="B10" s="11" t="s">
        <v>74</v>
      </c>
      <c r="C10" s="11" t="n">
        <v>670</v>
      </c>
      <c r="D10" s="12" t="s">
        <v>267</v>
      </c>
      <c r="E10" s="24" t="s">
        <v>268</v>
      </c>
      <c r="F10" s="12" t="s">
        <v>269</v>
      </c>
      <c r="G10" s="24" t="s">
        <v>270</v>
      </c>
      <c r="H10" s="24" t="s">
        <v>271</v>
      </c>
      <c r="I10" s="12" t="s">
        <v>272</v>
      </c>
      <c r="J10" s="12" t="s">
        <v>273</v>
      </c>
    </row>
    <row r="11" customFormat="false" ht="111.75" hidden="false" customHeight="true" outlineLevel="0" collapsed="false">
      <c r="A11" s="25" t="s">
        <v>51</v>
      </c>
      <c r="B11" s="7" t="s">
        <v>13</v>
      </c>
      <c r="C11" s="7" t="n">
        <v>683</v>
      </c>
      <c r="D11" s="8" t="s">
        <v>274</v>
      </c>
      <c r="E11" s="22" t="s">
        <v>275</v>
      </c>
      <c r="F11" s="8" t="s">
        <v>276</v>
      </c>
      <c r="G11" s="8" t="s">
        <v>277</v>
      </c>
      <c r="H11" s="22" t="s">
        <v>278</v>
      </c>
      <c r="I11" s="22" t="s">
        <v>279</v>
      </c>
      <c r="J11" s="22" t="s">
        <v>280</v>
      </c>
    </row>
    <row r="12" customFormat="false" ht="111.75" hidden="false" customHeight="true" outlineLevel="0" collapsed="false">
      <c r="A12" s="26" t="s">
        <v>51</v>
      </c>
      <c r="B12" s="11" t="s">
        <v>21</v>
      </c>
      <c r="C12" s="11" t="n">
        <v>677</v>
      </c>
      <c r="D12" s="12" t="s">
        <v>281</v>
      </c>
      <c r="E12" s="24" t="s">
        <v>282</v>
      </c>
      <c r="F12" s="12" t="s">
        <v>283</v>
      </c>
      <c r="G12" s="24" t="s">
        <v>284</v>
      </c>
      <c r="H12" s="24" t="s">
        <v>285</v>
      </c>
      <c r="I12" s="24" t="s">
        <v>286</v>
      </c>
      <c r="J12" s="24" t="s">
        <v>287</v>
      </c>
    </row>
    <row r="13" customFormat="false" ht="111.75" hidden="false" customHeight="true" outlineLevel="0" collapsed="false">
      <c r="A13" s="26" t="s">
        <v>51</v>
      </c>
      <c r="B13" s="11" t="s">
        <v>52</v>
      </c>
      <c r="C13" s="11" t="n">
        <v>635</v>
      </c>
      <c r="D13" s="12" t="s">
        <v>288</v>
      </c>
      <c r="E13" s="24" t="s">
        <v>289</v>
      </c>
      <c r="F13" s="12" t="s">
        <v>290</v>
      </c>
      <c r="G13" s="24" t="s">
        <v>291</v>
      </c>
      <c r="H13" s="24" t="s">
        <v>292</v>
      </c>
      <c r="I13" s="24" t="s">
        <v>293</v>
      </c>
      <c r="J13" s="24" t="s">
        <v>294</v>
      </c>
    </row>
    <row r="15" customFormat="false" ht="21.75" hidden="false" customHeight="true" outlineLevel="0" collapsed="false">
      <c r="A15" s="16" t="s">
        <v>82</v>
      </c>
      <c r="B15" s="16"/>
      <c r="C15" s="16"/>
      <c r="D15" s="16"/>
      <c r="E15" s="16"/>
      <c r="F15" s="16"/>
      <c r="G15" s="16"/>
      <c r="H15" s="16"/>
      <c r="I15" s="16"/>
      <c r="J15" s="16"/>
    </row>
    <row r="16" customFormat="false" ht="499.5" hidden="false" customHeight="true" outlineLevel="0" collapsed="false">
      <c r="A16" s="27" t="s">
        <v>295</v>
      </c>
      <c r="B16" s="27"/>
      <c r="C16" s="27"/>
      <c r="D16" s="27"/>
      <c r="E16" s="27"/>
      <c r="F16" s="27"/>
      <c r="G16" s="27"/>
      <c r="H16" s="27"/>
      <c r="I16" s="27"/>
      <c r="J16" s="27"/>
    </row>
  </sheetData>
  <mergeCells count="4">
    <mergeCell ref="A1:J1"/>
    <mergeCell ref="A2:J2"/>
    <mergeCell ref="A15:J15"/>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4"/>
    <col collapsed="false" customWidth="true" hidden="false" outlineLevel="0" max="4" min="4" style="0" width="40"/>
    <col collapsed="false" customWidth="true" hidden="false" outlineLevel="0" max="5" min="5" style="0" width="22"/>
    <col collapsed="false" customWidth="true" hidden="false" outlineLevel="0" max="6" min="6" style="0" width="44"/>
  </cols>
  <sheetData>
    <row r="1" customFormat="false" ht="21.75" hidden="false" customHeight="true" outlineLevel="0" collapsed="false">
      <c r="A1" s="28" t="s">
        <v>296</v>
      </c>
      <c r="B1" s="28"/>
      <c r="C1" s="28"/>
      <c r="D1" s="28"/>
      <c r="E1" s="28"/>
      <c r="F1" s="28"/>
    </row>
    <row r="2" customFormat="false" ht="15" hidden="false" customHeight="false" outlineLevel="0" collapsed="false">
      <c r="A2" s="20" t="s">
        <v>297</v>
      </c>
      <c r="B2" s="20" t="s">
        <v>298</v>
      </c>
      <c r="C2" s="20" t="s">
        <v>299</v>
      </c>
      <c r="D2" s="5" t="s">
        <v>300</v>
      </c>
      <c r="E2" s="20" t="s">
        <v>301</v>
      </c>
      <c r="F2" s="20" t="s">
        <v>302</v>
      </c>
    </row>
    <row r="3" customFormat="false" ht="91.5" hidden="false" customHeight="true" outlineLevel="0" collapsed="false">
      <c r="A3" s="29" t="s">
        <v>303</v>
      </c>
      <c r="B3" s="30" t="s">
        <v>304</v>
      </c>
      <c r="C3" s="31" t="s">
        <v>305</v>
      </c>
      <c r="D3" s="30" t="s">
        <v>306</v>
      </c>
      <c r="E3" s="30" t="s">
        <v>307</v>
      </c>
      <c r="F3" s="30" t="s">
        <v>308</v>
      </c>
    </row>
    <row r="4" customFormat="false" ht="91.5" hidden="false" customHeight="true" outlineLevel="0" collapsed="false">
      <c r="A4" s="32" t="s">
        <v>309</v>
      </c>
      <c r="B4" s="30" t="s">
        <v>310</v>
      </c>
      <c r="C4" s="31" t="s">
        <v>311</v>
      </c>
      <c r="D4" s="31" t="s">
        <v>312</v>
      </c>
      <c r="E4" s="30" t="s">
        <v>313</v>
      </c>
      <c r="F4" s="30" t="s">
        <v>314</v>
      </c>
    </row>
    <row r="5" customFormat="false" ht="91.5" hidden="false" customHeight="true" outlineLevel="0" collapsed="false">
      <c r="A5" s="33" t="s">
        <v>315</v>
      </c>
      <c r="B5" s="30" t="s">
        <v>316</v>
      </c>
      <c r="C5" s="30" t="s">
        <v>317</v>
      </c>
      <c r="D5" s="30" t="s">
        <v>318</v>
      </c>
      <c r="E5" s="30" t="s">
        <v>319</v>
      </c>
      <c r="F5" s="30" t="s">
        <v>320</v>
      </c>
    </row>
    <row r="6" customFormat="false" ht="91.5" hidden="false" customHeight="true" outlineLevel="0" collapsed="false">
      <c r="A6" s="34" t="s">
        <v>321</v>
      </c>
      <c r="B6" s="30" t="s">
        <v>322</v>
      </c>
      <c r="C6" s="31" t="s">
        <v>323</v>
      </c>
      <c r="D6" s="30" t="s">
        <v>324</v>
      </c>
      <c r="E6" s="30" t="s">
        <v>325</v>
      </c>
      <c r="F6" s="30" t="s">
        <v>326</v>
      </c>
    </row>
    <row r="8" customFormat="false" ht="15" hidden="false" customHeight="false" outlineLevel="0" collapsed="false">
      <c r="A8" s="35" t="s">
        <v>327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8"/>
    <col collapsed="false" customWidth="true" hidden="false" outlineLevel="0" max="10" min="4" style="1" width="5"/>
    <col collapsed="false" customWidth="true" hidden="false" outlineLevel="0" max="11" min="11" style="1" width="9"/>
    <col collapsed="false" customWidth="true" hidden="false" outlineLevel="0" max="12" min="12" style="1" width="40"/>
  </cols>
  <sheetData>
    <row r="1" customFormat="false" ht="29.25" hidden="false" customHeight="true" outlineLevel="0" collapsed="false">
      <c r="A1" s="4" t="s">
        <v>328</v>
      </c>
      <c r="B1" s="4" t="s">
        <v>329</v>
      </c>
      <c r="C1" s="4" t="s">
        <v>330</v>
      </c>
      <c r="D1" s="5" t="s">
        <v>86</v>
      </c>
      <c r="E1" s="5" t="s">
        <v>101</v>
      </c>
      <c r="F1" s="5" t="s">
        <v>13</v>
      </c>
      <c r="G1" s="5" t="s">
        <v>21</v>
      </c>
      <c r="H1" s="5" t="s">
        <v>259</v>
      </c>
      <c r="I1" s="5" t="s">
        <v>74</v>
      </c>
      <c r="J1" s="5" t="s">
        <v>331</v>
      </c>
      <c r="K1" s="4" t="s">
        <v>332</v>
      </c>
      <c r="L1" s="4" t="s">
        <v>333</v>
      </c>
    </row>
    <row r="2" customFormat="false" ht="15" hidden="false" customHeight="true" outlineLevel="0" collapsed="false">
      <c r="A2" s="36" t="s">
        <v>334</v>
      </c>
      <c r="B2" s="37" t="s">
        <v>310</v>
      </c>
      <c r="C2" s="38" t="n">
        <v>9</v>
      </c>
      <c r="D2" s="38" t="n">
        <v>3</v>
      </c>
      <c r="E2" s="38" t="n">
        <v>3</v>
      </c>
      <c r="F2" s="38" t="n">
        <v>3</v>
      </c>
      <c r="G2" s="38"/>
      <c r="H2" s="38"/>
      <c r="I2" s="38"/>
      <c r="J2" s="38"/>
      <c r="K2" s="38" t="s">
        <v>86</v>
      </c>
      <c r="L2" s="39" t="s">
        <v>335</v>
      </c>
    </row>
    <row r="3" customFormat="false" ht="15" hidden="false" customHeight="true" outlineLevel="0" collapsed="false">
      <c r="A3" s="36" t="s">
        <v>334</v>
      </c>
      <c r="B3" s="37" t="s">
        <v>336</v>
      </c>
      <c r="C3" s="38" t="n">
        <v>5</v>
      </c>
      <c r="D3" s="38"/>
      <c r="E3" s="38" t="n">
        <v>1</v>
      </c>
      <c r="F3" s="38" t="n">
        <v>1</v>
      </c>
      <c r="G3" s="38" t="n">
        <v>2</v>
      </c>
      <c r="H3" s="38" t="n">
        <v>1</v>
      </c>
      <c r="I3" s="38"/>
      <c r="J3" s="38"/>
      <c r="K3" s="38" t="s">
        <v>101</v>
      </c>
      <c r="L3" s="39" t="s">
        <v>337</v>
      </c>
    </row>
    <row r="4" customFormat="false" ht="21.75" hidden="false" customHeight="true" outlineLevel="0" collapsed="false">
      <c r="A4" s="40" t="s">
        <v>338</v>
      </c>
      <c r="B4" s="37" t="s">
        <v>322</v>
      </c>
      <c r="C4" s="38" t="n">
        <v>18</v>
      </c>
      <c r="D4" s="38"/>
      <c r="E4" s="38"/>
      <c r="F4" s="38" t="n">
        <v>4</v>
      </c>
      <c r="G4" s="38" t="n">
        <v>10</v>
      </c>
      <c r="H4" s="38" t="n">
        <v>3</v>
      </c>
      <c r="I4" s="38" t="n">
        <v>1</v>
      </c>
      <c r="J4" s="38"/>
      <c r="K4" s="38" t="s">
        <v>13</v>
      </c>
      <c r="L4" s="39" t="s">
        <v>339</v>
      </c>
    </row>
    <row r="5" customFormat="false" ht="15" hidden="false" customHeight="true" outlineLevel="0" collapsed="false">
      <c r="A5" s="40" t="s">
        <v>338</v>
      </c>
      <c r="B5" s="37" t="s">
        <v>340</v>
      </c>
      <c r="C5" s="38" t="n">
        <v>8</v>
      </c>
      <c r="D5" s="38"/>
      <c r="E5" s="38"/>
      <c r="F5" s="38" t="n">
        <v>1</v>
      </c>
      <c r="G5" s="38" t="n">
        <v>5</v>
      </c>
      <c r="H5" s="38" t="n">
        <v>2</v>
      </c>
      <c r="I5" s="38"/>
      <c r="J5" s="38"/>
      <c r="K5" s="38" t="s">
        <v>13</v>
      </c>
      <c r="L5" s="39" t="s">
        <v>341</v>
      </c>
    </row>
    <row r="6" customFormat="false" ht="15" hidden="false" customHeight="true" outlineLevel="0" collapsed="false">
      <c r="A6" s="40" t="s">
        <v>338</v>
      </c>
      <c r="B6" s="37" t="s">
        <v>342</v>
      </c>
      <c r="C6" s="38" t="n">
        <v>6</v>
      </c>
      <c r="D6" s="38"/>
      <c r="E6" s="38" t="n">
        <v>1</v>
      </c>
      <c r="F6" s="38" t="n">
        <v>4</v>
      </c>
      <c r="G6" s="38"/>
      <c r="H6" s="38" t="n">
        <v>1</v>
      </c>
      <c r="I6" s="38"/>
      <c r="J6" s="38"/>
      <c r="K6" s="38" t="s">
        <v>101</v>
      </c>
      <c r="L6" s="39" t="s">
        <v>343</v>
      </c>
    </row>
    <row r="7" customFormat="false" ht="15" hidden="false" customHeight="true" outlineLevel="0" collapsed="false">
      <c r="A7" s="40" t="s">
        <v>338</v>
      </c>
      <c r="B7" s="37" t="s">
        <v>344</v>
      </c>
      <c r="C7" s="38" t="n">
        <v>4</v>
      </c>
      <c r="D7" s="38"/>
      <c r="E7" s="38" t="n">
        <v>3</v>
      </c>
      <c r="F7" s="38" t="n">
        <v>1</v>
      </c>
      <c r="G7" s="38"/>
      <c r="H7" s="38"/>
      <c r="I7" s="38"/>
      <c r="J7" s="38"/>
      <c r="K7" s="38" t="s">
        <v>101</v>
      </c>
      <c r="L7" s="39" t="s">
        <v>345</v>
      </c>
    </row>
    <row r="8" customFormat="false" ht="15" hidden="false" customHeight="true" outlineLevel="0" collapsed="false">
      <c r="A8" s="40" t="s">
        <v>338</v>
      </c>
      <c r="B8" s="37" t="s">
        <v>346</v>
      </c>
      <c r="C8" s="38" t="n">
        <v>3</v>
      </c>
      <c r="D8" s="38"/>
      <c r="E8" s="38" t="n">
        <v>2</v>
      </c>
      <c r="F8" s="38" t="n">
        <v>1</v>
      </c>
      <c r="G8" s="38"/>
      <c r="H8" s="38"/>
      <c r="I8" s="38"/>
      <c r="J8" s="38"/>
      <c r="K8" s="38" t="s">
        <v>101</v>
      </c>
      <c r="L8" s="39" t="s">
        <v>347</v>
      </c>
    </row>
    <row r="9" customFormat="false" ht="21.75" hidden="false" customHeight="true" outlineLevel="0" collapsed="false">
      <c r="A9" s="41" t="s">
        <v>348</v>
      </c>
      <c r="B9" s="37" t="s">
        <v>349</v>
      </c>
      <c r="C9" s="38" t="n">
        <v>15</v>
      </c>
      <c r="D9" s="38"/>
      <c r="E9" s="38" t="n">
        <v>1</v>
      </c>
      <c r="F9" s="38" t="n">
        <v>6</v>
      </c>
      <c r="G9" s="38" t="n">
        <v>6</v>
      </c>
      <c r="H9" s="38" t="n">
        <v>2</v>
      </c>
      <c r="I9" s="38"/>
      <c r="J9" s="38"/>
      <c r="K9" s="38" t="s">
        <v>101</v>
      </c>
      <c r="L9" s="39" t="s">
        <v>350</v>
      </c>
    </row>
    <row r="10" customFormat="false" ht="21.75" hidden="false" customHeight="true" outlineLevel="0" collapsed="false">
      <c r="A10" s="41" t="s">
        <v>348</v>
      </c>
      <c r="B10" s="37" t="s">
        <v>316</v>
      </c>
      <c r="C10" s="38" t="n">
        <v>15</v>
      </c>
      <c r="D10" s="38" t="n">
        <v>6</v>
      </c>
      <c r="E10" s="38" t="n">
        <v>3</v>
      </c>
      <c r="F10" s="38" t="n">
        <v>6</v>
      </c>
      <c r="G10" s="38"/>
      <c r="H10" s="38"/>
      <c r="I10" s="38"/>
      <c r="J10" s="38"/>
      <c r="K10" s="38" t="s">
        <v>86</v>
      </c>
      <c r="L10" s="39" t="s">
        <v>351</v>
      </c>
    </row>
    <row r="11" customFormat="false" ht="15" hidden="false" customHeight="true" outlineLevel="0" collapsed="false">
      <c r="A11" s="41" t="s">
        <v>348</v>
      </c>
      <c r="B11" s="37" t="s">
        <v>352</v>
      </c>
      <c r="C11" s="38" t="n">
        <v>8</v>
      </c>
      <c r="D11" s="38"/>
      <c r="E11" s="38" t="n">
        <v>1</v>
      </c>
      <c r="F11" s="38" t="n">
        <v>2</v>
      </c>
      <c r="G11" s="38" t="n">
        <v>4</v>
      </c>
      <c r="H11" s="38" t="n">
        <v>1</v>
      </c>
      <c r="I11" s="38"/>
      <c r="J11" s="38"/>
      <c r="K11" s="38" t="s">
        <v>101</v>
      </c>
      <c r="L11" s="39" t="s">
        <v>353</v>
      </c>
    </row>
    <row r="12" customFormat="false" ht="15" hidden="false" customHeight="true" outlineLevel="0" collapsed="false">
      <c r="A12" s="41" t="s">
        <v>348</v>
      </c>
      <c r="B12" s="37" t="s">
        <v>354</v>
      </c>
      <c r="C12" s="38" t="n">
        <v>6</v>
      </c>
      <c r="D12" s="38"/>
      <c r="E12" s="38"/>
      <c r="F12" s="38" t="n">
        <v>2</v>
      </c>
      <c r="G12" s="38" t="n">
        <v>2</v>
      </c>
      <c r="H12" s="38" t="n">
        <v>2</v>
      </c>
      <c r="I12" s="38"/>
      <c r="J12" s="38"/>
      <c r="K12" s="38" t="s">
        <v>13</v>
      </c>
      <c r="L12" s="39" t="s">
        <v>355</v>
      </c>
    </row>
    <row r="13" customFormat="false" ht="15" hidden="false" customHeight="true" outlineLevel="0" collapsed="false">
      <c r="A13" s="41" t="s">
        <v>348</v>
      </c>
      <c r="B13" s="37" t="s">
        <v>356</v>
      </c>
      <c r="C13" s="38" t="n">
        <v>6</v>
      </c>
      <c r="D13" s="38"/>
      <c r="E13" s="38" t="n">
        <v>1</v>
      </c>
      <c r="F13" s="38" t="n">
        <v>1</v>
      </c>
      <c r="G13" s="38" t="n">
        <v>3</v>
      </c>
      <c r="H13" s="38" t="n">
        <v>1</v>
      </c>
      <c r="I13" s="38"/>
      <c r="J13" s="38"/>
      <c r="K13" s="38" t="s">
        <v>101</v>
      </c>
      <c r="L13" s="39" t="s">
        <v>357</v>
      </c>
    </row>
    <row r="14" customFormat="false" ht="15" hidden="false" customHeight="true" outlineLevel="0" collapsed="false">
      <c r="A14" s="41" t="s">
        <v>348</v>
      </c>
      <c r="B14" s="37" t="s">
        <v>358</v>
      </c>
      <c r="C14" s="38" t="n">
        <v>5</v>
      </c>
      <c r="D14" s="38" t="n">
        <v>2</v>
      </c>
      <c r="E14" s="38" t="n">
        <v>1</v>
      </c>
      <c r="F14" s="38" t="n">
        <v>2</v>
      </c>
      <c r="G14" s="38"/>
      <c r="H14" s="38"/>
      <c r="I14" s="38"/>
      <c r="J14" s="38"/>
      <c r="K14" s="38" t="s">
        <v>86</v>
      </c>
      <c r="L14" s="39" t="s">
        <v>359</v>
      </c>
    </row>
    <row r="15" customFormat="false" ht="15" hidden="false" customHeight="true" outlineLevel="0" collapsed="false">
      <c r="A15" s="41" t="s">
        <v>348</v>
      </c>
      <c r="B15" s="37" t="s">
        <v>360</v>
      </c>
      <c r="C15" s="38" t="n">
        <v>1</v>
      </c>
      <c r="D15" s="38"/>
      <c r="E15" s="38"/>
      <c r="F15" s="38" t="n">
        <v>1</v>
      </c>
      <c r="G15" s="38"/>
      <c r="H15" s="38"/>
      <c r="I15" s="38"/>
      <c r="J15" s="38"/>
      <c r="K15" s="38" t="s">
        <v>123</v>
      </c>
      <c r="L15" s="39" t="s">
        <v>361</v>
      </c>
    </row>
    <row r="16" customFormat="false" ht="21.75" hidden="false" customHeight="true" outlineLevel="0" collapsed="false">
      <c r="A16" s="42" t="s">
        <v>362</v>
      </c>
      <c r="B16" s="37" t="s">
        <v>363</v>
      </c>
      <c r="C16" s="38" t="n">
        <v>14</v>
      </c>
      <c r="D16" s="38"/>
      <c r="E16" s="38"/>
      <c r="F16" s="38" t="n">
        <v>4</v>
      </c>
      <c r="G16" s="38" t="n">
        <v>5</v>
      </c>
      <c r="H16" s="38" t="n">
        <v>3</v>
      </c>
      <c r="I16" s="38" t="n">
        <v>2</v>
      </c>
      <c r="J16" s="38"/>
      <c r="K16" s="38" t="s">
        <v>13</v>
      </c>
      <c r="L16" s="39" t="s">
        <v>364</v>
      </c>
    </row>
    <row r="17" customFormat="false" ht="21.75" hidden="false" customHeight="true" outlineLevel="0" collapsed="false">
      <c r="A17" s="42" t="s">
        <v>362</v>
      </c>
      <c r="B17" s="37" t="s">
        <v>365</v>
      </c>
      <c r="C17" s="38" t="n">
        <v>12</v>
      </c>
      <c r="D17" s="38" t="n">
        <v>1</v>
      </c>
      <c r="E17" s="38"/>
      <c r="F17" s="38" t="n">
        <v>8</v>
      </c>
      <c r="G17" s="38" t="n">
        <v>1</v>
      </c>
      <c r="H17" s="38" t="n">
        <v>1</v>
      </c>
      <c r="I17" s="38" t="n">
        <v>1</v>
      </c>
      <c r="J17" s="38"/>
      <c r="K17" s="38" t="s">
        <v>86</v>
      </c>
      <c r="L17" s="39" t="s">
        <v>366</v>
      </c>
    </row>
    <row r="18" customFormat="false" ht="15" hidden="false" customHeight="true" outlineLevel="0" collapsed="false">
      <c r="A18" s="42" t="s">
        <v>362</v>
      </c>
      <c r="B18" s="37" t="s">
        <v>304</v>
      </c>
      <c r="C18" s="38" t="n">
        <v>9</v>
      </c>
      <c r="D18" s="38"/>
      <c r="E18" s="38"/>
      <c r="F18" s="38" t="n">
        <v>1</v>
      </c>
      <c r="G18" s="38" t="n">
        <v>3</v>
      </c>
      <c r="H18" s="38" t="n">
        <v>4</v>
      </c>
      <c r="I18" s="38" t="n">
        <v>1</v>
      </c>
      <c r="J18" s="38"/>
      <c r="K18" s="38" t="s">
        <v>13</v>
      </c>
      <c r="L18" s="39" t="s">
        <v>367</v>
      </c>
    </row>
    <row r="19" customFormat="false" ht="15" hidden="false" customHeight="true" outlineLevel="0" collapsed="false">
      <c r="A19" s="42" t="s">
        <v>362</v>
      </c>
      <c r="B19" s="37" t="s">
        <v>368</v>
      </c>
      <c r="C19" s="38" t="n">
        <v>8</v>
      </c>
      <c r="D19" s="38"/>
      <c r="E19" s="38"/>
      <c r="F19" s="38" t="n">
        <v>5</v>
      </c>
      <c r="G19" s="38" t="n">
        <v>1</v>
      </c>
      <c r="H19" s="38" t="n">
        <v>2</v>
      </c>
      <c r="I19" s="38"/>
      <c r="J19" s="38"/>
      <c r="K19" s="38" t="s">
        <v>13</v>
      </c>
      <c r="L19" s="39" t="s">
        <v>369</v>
      </c>
    </row>
    <row r="20" customFormat="false" ht="15" hidden="false" customHeight="true" outlineLevel="0" collapsed="false">
      <c r="A20" s="42" t="s">
        <v>362</v>
      </c>
      <c r="B20" s="37" t="s">
        <v>370</v>
      </c>
      <c r="C20" s="38" t="n">
        <v>6</v>
      </c>
      <c r="D20" s="38"/>
      <c r="E20" s="38" t="n">
        <v>3</v>
      </c>
      <c r="F20" s="38" t="n">
        <v>3</v>
      </c>
      <c r="G20" s="38"/>
      <c r="H20" s="38"/>
      <c r="I20" s="38"/>
      <c r="J20" s="38"/>
      <c r="K20" s="38" t="s">
        <v>101</v>
      </c>
      <c r="L20" s="39" t="s">
        <v>371</v>
      </c>
    </row>
    <row r="21" customFormat="false" ht="15" hidden="false" customHeight="true" outlineLevel="0" collapsed="false">
      <c r="A21" s="42" t="s">
        <v>362</v>
      </c>
      <c r="B21" s="37" t="s">
        <v>372</v>
      </c>
      <c r="C21" s="38" t="n">
        <v>3</v>
      </c>
      <c r="D21" s="38"/>
      <c r="E21" s="38"/>
      <c r="F21" s="38" t="n">
        <v>1</v>
      </c>
      <c r="G21" s="38" t="n">
        <v>1</v>
      </c>
      <c r="H21" s="38" t="n">
        <v>1</v>
      </c>
      <c r="I21" s="38"/>
      <c r="J21" s="38"/>
      <c r="K21" s="38" t="s">
        <v>13</v>
      </c>
      <c r="L21" s="39" t="s">
        <v>373</v>
      </c>
    </row>
    <row r="22" customFormat="false" ht="15" hidden="false" customHeight="true" outlineLevel="0" collapsed="false">
      <c r="A22" s="42" t="s">
        <v>362</v>
      </c>
      <c r="B22" s="37" t="s">
        <v>374</v>
      </c>
      <c r="C22" s="38" t="n">
        <v>3</v>
      </c>
      <c r="D22" s="38"/>
      <c r="E22" s="38"/>
      <c r="F22" s="38" t="n">
        <v>2</v>
      </c>
      <c r="G22" s="38" t="n">
        <v>1</v>
      </c>
      <c r="H22" s="38"/>
      <c r="I22" s="38"/>
      <c r="J22" s="38"/>
      <c r="K22" s="38" t="s">
        <v>123</v>
      </c>
      <c r="L22" s="39" t="s">
        <v>375</v>
      </c>
    </row>
    <row r="23" customFormat="false" ht="15" hidden="false" customHeight="true" outlineLevel="0" collapsed="false">
      <c r="A23" s="42" t="s">
        <v>362</v>
      </c>
      <c r="B23" s="37" t="s">
        <v>376</v>
      </c>
      <c r="C23" s="38" t="n">
        <v>2</v>
      </c>
      <c r="D23" s="38"/>
      <c r="E23" s="38"/>
      <c r="F23" s="38"/>
      <c r="G23" s="38" t="n">
        <v>1</v>
      </c>
      <c r="H23" s="38"/>
      <c r="I23" s="38"/>
      <c r="J23" s="38" t="n">
        <v>1</v>
      </c>
      <c r="K23" s="38" t="s">
        <v>21</v>
      </c>
      <c r="L23" s="39" t="s">
        <v>377</v>
      </c>
    </row>
    <row r="24" customFormat="false" ht="15" hidden="false" customHeight="true" outlineLevel="0" collapsed="false">
      <c r="A24" s="42" t="s">
        <v>362</v>
      </c>
      <c r="B24" s="37" t="s">
        <v>378</v>
      </c>
      <c r="C24" s="38" t="n">
        <v>2</v>
      </c>
      <c r="D24" s="38"/>
      <c r="E24" s="38"/>
      <c r="F24" s="38" t="n">
        <v>1</v>
      </c>
      <c r="G24" s="38"/>
      <c r="H24" s="38" t="n">
        <v>1</v>
      </c>
      <c r="I24" s="38"/>
      <c r="J24" s="38"/>
      <c r="K24" s="38" t="s">
        <v>123</v>
      </c>
      <c r="L24" s="39" t="s">
        <v>379</v>
      </c>
    </row>
    <row r="25" customFormat="false" ht="15" hidden="false" customHeight="true" outlineLevel="0" collapsed="false">
      <c r="A25" s="42" t="s">
        <v>362</v>
      </c>
      <c r="B25" s="37" t="s">
        <v>380</v>
      </c>
      <c r="C25" s="38" t="n">
        <v>1</v>
      </c>
      <c r="D25" s="38"/>
      <c r="E25" s="38"/>
      <c r="F25" s="38"/>
      <c r="G25" s="38" t="n">
        <v>1</v>
      </c>
      <c r="H25" s="38"/>
      <c r="I25" s="38"/>
      <c r="J25" s="38"/>
      <c r="K25" s="38" t="s">
        <v>21</v>
      </c>
      <c r="L25" s="39" t="s">
        <v>381</v>
      </c>
    </row>
    <row r="26" customFormat="false" ht="15" hidden="false" customHeight="true" outlineLevel="0" collapsed="false">
      <c r="A26" s="42" t="s">
        <v>362</v>
      </c>
      <c r="B26" s="37" t="s">
        <v>382</v>
      </c>
      <c r="C26" s="38" t="n">
        <v>1</v>
      </c>
      <c r="D26" s="38"/>
      <c r="E26" s="38"/>
      <c r="F26" s="38" t="n">
        <v>1</v>
      </c>
      <c r="G26" s="38"/>
      <c r="H26" s="38"/>
      <c r="I26" s="38"/>
      <c r="J26" s="38"/>
      <c r="K26" s="38" t="s">
        <v>13</v>
      </c>
      <c r="L26" s="39" t="s">
        <v>383</v>
      </c>
    </row>
    <row r="28" customFormat="false" ht="15" hidden="false" customHeight="true" outlineLevel="0" collapsed="false">
      <c r="A28" s="43" t="s">
        <v>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2" min="2" style="1" width="7"/>
    <col collapsed="false" customWidth="true" hidden="true" outlineLevel="0" max="14" min="14" style="1" width="13"/>
  </cols>
  <sheetData>
    <row r="1" customFormat="false" ht="19.5" hidden="false" customHeight="true" outlineLevel="0" collapsed="false">
      <c r="A1" s="44" t="s">
        <v>385</v>
      </c>
    </row>
    <row r="2" customFormat="false" ht="15" hidden="false" customHeight="true" outlineLevel="0" collapsed="false">
      <c r="A2" s="45" t="s">
        <v>386</v>
      </c>
    </row>
    <row r="4" customFormat="false" ht="15" hidden="false" customHeight="true" outlineLevel="0" collapsed="false">
      <c r="A4" s="46" t="s">
        <v>387</v>
      </c>
      <c r="B4" s="47" t="n">
        <f aca="false">COUNTA(Data!$A$2:$A$1833)</f>
        <v>1832</v>
      </c>
    </row>
    <row r="5" customFormat="false" ht="15" hidden="false" customHeight="true" outlineLevel="0" collapsed="false">
      <c r="A5" s="46" t="s">
        <v>388</v>
      </c>
      <c r="B5" s="47" t="n">
        <f aca="false">SUM(Data!$H$2:$H$1833)</f>
        <v>1712</v>
      </c>
    </row>
    <row r="6" customFormat="false" ht="15" hidden="false" customHeight="true" outlineLevel="0" collapsed="false">
      <c r="A6" s="46" t="s">
        <v>389</v>
      </c>
      <c r="B6" s="47" t="n">
        <f aca="false">COUNTIFS(Data!$B$2:$B$1833,"Signing competences",Data!$H$2:$H$1833,1)</f>
        <v>488</v>
      </c>
    </row>
    <row r="7" customFormat="false" ht="15" hidden="false" customHeight="true" outlineLevel="0" collapsed="false">
      <c r="A7" s="46" t="s">
        <v>390</v>
      </c>
      <c r="B7" s="47" t="n">
        <f aca="false">B5-B6</f>
        <v>1224</v>
      </c>
    </row>
    <row r="9" customFormat="false" ht="16.5" hidden="false" customHeight="true" outlineLevel="0" collapsed="false">
      <c r="A9" s="48" t="s">
        <v>391</v>
      </c>
    </row>
    <row r="10" customFormat="false" ht="15" hidden="false" customHeight="true" outlineLevel="0" collapsed="false">
      <c r="A10" s="4" t="s">
        <v>392</v>
      </c>
      <c r="B10" s="5" t="s">
        <v>86</v>
      </c>
      <c r="C10" s="5" t="s">
        <v>101</v>
      </c>
      <c r="D10" s="5" t="s">
        <v>13</v>
      </c>
      <c r="E10" s="5" t="s">
        <v>123</v>
      </c>
      <c r="F10" s="5" t="s">
        <v>21</v>
      </c>
      <c r="G10" s="5" t="s">
        <v>52</v>
      </c>
      <c r="H10" s="5" t="s">
        <v>259</v>
      </c>
      <c r="I10" s="5" t="s">
        <v>36</v>
      </c>
      <c r="J10" s="5" t="s">
        <v>74</v>
      </c>
      <c r="K10" s="5" t="s">
        <v>331</v>
      </c>
      <c r="L10" s="4" t="s">
        <v>393</v>
      </c>
      <c r="N10" s="5" t="s">
        <v>394</v>
      </c>
    </row>
    <row r="11" customFormat="false" ht="15" hidden="false" customHeight="true" outlineLevel="0" collapsed="false">
      <c r="A11" s="49" t="str">
        <f aca="false">IFERROR(INDEX(対訳マスタ!$C$2:$C$136,MATCH($N11,対訳マスタ!$B$2:$B$136,0)),$N11)</f>
        <v>コミュニケーション言語活動</v>
      </c>
      <c r="B11" s="49" t="n">
        <f aca="false">COUNTIFS(Data!$B$2:$B$1833,$N11,Data!$F$2:$F$1833,B$10,Data!$H$2:$H$1833,1)</f>
        <v>41</v>
      </c>
      <c r="C11" s="49" t="n">
        <f aca="false">COUNTIFS(Data!$B$2:$B$1833,$N11,Data!$F$2:$F$1833,C$10,Data!$H$2:$H$1833,1)</f>
        <v>78</v>
      </c>
      <c r="D11" s="49" t="n">
        <f aca="false">COUNTIFS(Data!$B$2:$B$1833,$N11,Data!$F$2:$F$1833,D$10,Data!$H$2:$H$1833,1)</f>
        <v>115</v>
      </c>
      <c r="E11" s="49" t="n">
        <f aca="false">COUNTIFS(Data!$B$2:$B$1833,$N11,Data!$F$2:$F$1833,E$10,Data!$H$2:$H$1833,1)</f>
        <v>85</v>
      </c>
      <c r="F11" s="49" t="n">
        <f aca="false">COUNTIFS(Data!$B$2:$B$1833,$N11,Data!$F$2:$F$1833,F$10,Data!$H$2:$H$1833,1)</f>
        <v>131</v>
      </c>
      <c r="G11" s="49" t="n">
        <f aca="false">COUNTIFS(Data!$B$2:$B$1833,$N11,Data!$F$2:$F$1833,G$10,Data!$H$2:$H$1833,1)</f>
        <v>80</v>
      </c>
      <c r="H11" s="49" t="n">
        <f aca="false">COUNTIFS(Data!$B$2:$B$1833,$N11,Data!$F$2:$F$1833,H$10,Data!$H$2:$H$1833,1)</f>
        <v>115</v>
      </c>
      <c r="I11" s="49" t="n">
        <f aca="false">COUNTIFS(Data!$B$2:$B$1833,$N11,Data!$F$2:$F$1833,I$10,Data!$H$2:$H$1833,1)</f>
        <v>68</v>
      </c>
      <c r="J11" s="49" t="n">
        <f aca="false">COUNTIFS(Data!$B$2:$B$1833,$N11,Data!$F$2:$F$1833,J$10,Data!$H$2:$H$1833,1)</f>
        <v>101</v>
      </c>
      <c r="K11" s="49" t="n">
        <f aca="false">COUNTIFS(Data!$B$2:$B$1833,$N11,Data!$F$2:$F$1833,K$10,Data!$H$2:$H$1833,1)</f>
        <v>60</v>
      </c>
      <c r="L11" s="49" t="n">
        <f aca="false">SUM(B11:K11)</f>
        <v>874</v>
      </c>
      <c r="N11" s="50" t="s">
        <v>395</v>
      </c>
    </row>
    <row r="12" customFormat="false" ht="15" hidden="false" customHeight="true" outlineLevel="0" collapsed="false">
      <c r="A12" s="49" t="str">
        <f aca="false">IFERROR(INDEX(対訳マスタ!$C$2:$C$136,MATCH($N12,対訳マスタ!$B$2:$B$136,0)),$N12)</f>
        <v>コミュニケーション言語方略</v>
      </c>
      <c r="B12" s="49" t="n">
        <f aca="false">COUNTIFS(Data!$B$2:$B$1833,$N12,Data!$F$2:$F$1833,B$10,Data!$H$2:$H$1833,1)</f>
        <v>2</v>
      </c>
      <c r="C12" s="49" t="n">
        <f aca="false">COUNTIFS(Data!$B$2:$B$1833,$N12,Data!$F$2:$F$1833,C$10,Data!$H$2:$H$1833,1)</f>
        <v>5</v>
      </c>
      <c r="D12" s="49" t="n">
        <f aca="false">COUNTIFS(Data!$B$2:$B$1833,$N12,Data!$F$2:$F$1833,D$10,Data!$H$2:$H$1833,1)</f>
        <v>11</v>
      </c>
      <c r="E12" s="49" t="n">
        <f aca="false">COUNTIFS(Data!$B$2:$B$1833,$N12,Data!$F$2:$F$1833,E$10,Data!$H$2:$H$1833,1)</f>
        <v>7</v>
      </c>
      <c r="F12" s="49" t="n">
        <f aca="false">COUNTIFS(Data!$B$2:$B$1833,$N12,Data!$F$2:$F$1833,F$10,Data!$H$2:$H$1833,1)</f>
        <v>18</v>
      </c>
      <c r="G12" s="49" t="n">
        <f aca="false">COUNTIFS(Data!$B$2:$B$1833,$N12,Data!$F$2:$F$1833,G$10,Data!$H$2:$H$1833,1)</f>
        <v>16</v>
      </c>
      <c r="H12" s="49" t="n">
        <f aca="false">COUNTIFS(Data!$B$2:$B$1833,$N12,Data!$F$2:$F$1833,H$10,Data!$H$2:$H$1833,1)</f>
        <v>21</v>
      </c>
      <c r="I12" s="49" t="n">
        <f aca="false">COUNTIFS(Data!$B$2:$B$1833,$N12,Data!$F$2:$F$1833,I$10,Data!$H$2:$H$1833,1)</f>
        <v>12</v>
      </c>
      <c r="J12" s="49" t="n">
        <f aca="false">COUNTIFS(Data!$B$2:$B$1833,$N12,Data!$F$2:$F$1833,J$10,Data!$H$2:$H$1833,1)</f>
        <v>16</v>
      </c>
      <c r="K12" s="49" t="n">
        <f aca="false">COUNTIFS(Data!$B$2:$B$1833,$N12,Data!$F$2:$F$1833,K$10,Data!$H$2:$H$1833,1)</f>
        <v>8</v>
      </c>
      <c r="L12" s="49" t="n">
        <f aca="false">SUM(B12:K12)</f>
        <v>116</v>
      </c>
      <c r="N12" s="50" t="s">
        <v>396</v>
      </c>
    </row>
    <row r="13" customFormat="false" ht="15" hidden="false" customHeight="true" outlineLevel="0" collapsed="false">
      <c r="A13" s="49" t="str">
        <f aca="false">IFERROR(INDEX(対訳マスタ!$C$2:$C$136,MATCH($N13,対訳マスタ!$B$2:$B$136,0)),$N13)</f>
        <v>コミュニケーション言語能力</v>
      </c>
      <c r="B13" s="49" t="n">
        <f aca="false">COUNTIFS(Data!$B$2:$B$1833,$N13,Data!$F$2:$F$1833,B$10,Data!$H$2:$H$1833,1)</f>
        <v>4</v>
      </c>
      <c r="C13" s="49" t="n">
        <f aca="false">COUNTIFS(Data!$B$2:$B$1833,$N13,Data!$F$2:$F$1833,C$10,Data!$H$2:$H$1833,1)</f>
        <v>15</v>
      </c>
      <c r="D13" s="49" t="n">
        <f aca="false">COUNTIFS(Data!$B$2:$B$1833,$N13,Data!$F$2:$F$1833,D$10,Data!$H$2:$H$1833,1)</f>
        <v>22</v>
      </c>
      <c r="E13" s="49" t="n">
        <f aca="false">COUNTIFS(Data!$B$2:$B$1833,$N13,Data!$F$2:$F$1833,E$10,Data!$H$2:$H$1833,1)</f>
        <v>10</v>
      </c>
      <c r="F13" s="49" t="n">
        <f aca="false">COUNTIFS(Data!$B$2:$B$1833,$N13,Data!$F$2:$F$1833,F$10,Data!$H$2:$H$1833,1)</f>
        <v>25</v>
      </c>
      <c r="G13" s="49" t="n">
        <f aca="false">COUNTIFS(Data!$B$2:$B$1833,$N13,Data!$F$2:$F$1833,G$10,Data!$H$2:$H$1833,1)</f>
        <v>8</v>
      </c>
      <c r="H13" s="49" t="n">
        <f aca="false">COUNTIFS(Data!$B$2:$B$1833,$N13,Data!$F$2:$F$1833,H$10,Data!$H$2:$H$1833,1)</f>
        <v>36</v>
      </c>
      <c r="I13" s="49" t="n">
        <f aca="false">COUNTIFS(Data!$B$2:$B$1833,$N13,Data!$F$2:$F$1833,I$10,Data!$H$2:$H$1833,1)</f>
        <v>11</v>
      </c>
      <c r="J13" s="49" t="n">
        <f aca="false">COUNTIFS(Data!$B$2:$B$1833,$N13,Data!$F$2:$F$1833,J$10,Data!$H$2:$H$1833,1)</f>
        <v>33</v>
      </c>
      <c r="K13" s="49" t="n">
        <f aca="false">COUNTIFS(Data!$B$2:$B$1833,$N13,Data!$F$2:$F$1833,K$10,Data!$H$2:$H$1833,1)</f>
        <v>18</v>
      </c>
      <c r="L13" s="49" t="n">
        <f aca="false">SUM(B13:K13)</f>
        <v>182</v>
      </c>
      <c r="N13" s="50" t="s">
        <v>397</v>
      </c>
    </row>
    <row r="14" customFormat="false" ht="15" hidden="false" customHeight="true" outlineLevel="0" collapsed="false">
      <c r="A14" s="49" t="str">
        <f aca="false">IFERROR(INDEX(対訳マスタ!$C$2:$C$136,MATCH($N14,対訳マスタ!$B$2:$B$136,0)),$N14)</f>
        <v>複言語・複文化能力</v>
      </c>
      <c r="B14" s="49" t="n">
        <f aca="false">COUNTIFS(Data!$B$2:$B$1833,$N14,Data!$F$2:$F$1833,B$10,Data!$H$2:$H$1833,1)</f>
        <v>0</v>
      </c>
      <c r="C14" s="49" t="n">
        <f aca="false">COUNTIFS(Data!$B$2:$B$1833,$N14,Data!$F$2:$F$1833,C$10,Data!$H$2:$H$1833,1)</f>
        <v>3</v>
      </c>
      <c r="D14" s="49" t="n">
        <f aca="false">COUNTIFS(Data!$B$2:$B$1833,$N14,Data!$F$2:$F$1833,D$10,Data!$H$2:$H$1833,1)</f>
        <v>10</v>
      </c>
      <c r="E14" s="49" t="n">
        <f aca="false">COUNTIFS(Data!$B$2:$B$1833,$N14,Data!$F$2:$F$1833,E$10,Data!$H$2:$H$1833,1)</f>
        <v>0</v>
      </c>
      <c r="F14" s="49" t="n">
        <f aca="false">COUNTIFS(Data!$B$2:$B$1833,$N14,Data!$F$2:$F$1833,F$10,Data!$H$2:$H$1833,1)</f>
        <v>13</v>
      </c>
      <c r="G14" s="49" t="n">
        <f aca="false">COUNTIFS(Data!$B$2:$B$1833,$N14,Data!$F$2:$F$1833,G$10,Data!$H$2:$H$1833,1)</f>
        <v>0</v>
      </c>
      <c r="H14" s="49" t="n">
        <f aca="false">COUNTIFS(Data!$B$2:$B$1833,$N14,Data!$F$2:$F$1833,H$10,Data!$H$2:$H$1833,1)</f>
        <v>15</v>
      </c>
      <c r="I14" s="49" t="n">
        <f aca="false">COUNTIFS(Data!$B$2:$B$1833,$N14,Data!$F$2:$F$1833,I$10,Data!$H$2:$H$1833,1)</f>
        <v>0</v>
      </c>
      <c r="J14" s="49" t="n">
        <f aca="false">COUNTIFS(Data!$B$2:$B$1833,$N14,Data!$F$2:$F$1833,J$10,Data!$H$2:$H$1833,1)</f>
        <v>8</v>
      </c>
      <c r="K14" s="49" t="n">
        <f aca="false">COUNTIFS(Data!$B$2:$B$1833,$N14,Data!$F$2:$F$1833,K$10,Data!$H$2:$H$1833,1)</f>
        <v>3</v>
      </c>
      <c r="L14" s="49" t="n">
        <f aca="false">SUM(B14:K14)</f>
        <v>52</v>
      </c>
      <c r="N14" s="50" t="s">
        <v>398</v>
      </c>
    </row>
    <row r="15" customFormat="false" ht="15" hidden="false" customHeight="true" outlineLevel="0" collapsed="false">
      <c r="A15" s="49" t="str">
        <f aca="false">IFERROR(INDEX(対訳マスタ!$C$2:$C$136,MATCH($N15,対訳マスタ!$B$2:$B$136,0)),$N15)</f>
        <v>手話能力</v>
      </c>
      <c r="B15" s="49" t="n">
        <f aca="false">COUNTIFS(Data!$B$2:$B$1833,$N15,Data!$F$2:$F$1833,B$10,Data!$H$2:$H$1833,1)</f>
        <v>0</v>
      </c>
      <c r="C15" s="49" t="n">
        <f aca="false">COUNTIFS(Data!$B$2:$B$1833,$N15,Data!$F$2:$F$1833,C$10,Data!$H$2:$H$1833,1)</f>
        <v>47</v>
      </c>
      <c r="D15" s="49" t="n">
        <f aca="false">COUNTIFS(Data!$B$2:$B$1833,$N15,Data!$F$2:$F$1833,D$10,Data!$H$2:$H$1833,1)</f>
        <v>46</v>
      </c>
      <c r="E15" s="49" t="n">
        <f aca="false">COUNTIFS(Data!$B$2:$B$1833,$N15,Data!$F$2:$F$1833,E$10,Data!$H$2:$H$1833,1)</f>
        <v>41</v>
      </c>
      <c r="F15" s="49" t="n">
        <f aca="false">COUNTIFS(Data!$B$2:$B$1833,$N15,Data!$F$2:$F$1833,F$10,Data!$H$2:$H$1833,1)</f>
        <v>65</v>
      </c>
      <c r="G15" s="49" t="n">
        <f aca="false">COUNTIFS(Data!$B$2:$B$1833,$N15,Data!$F$2:$F$1833,G$10,Data!$H$2:$H$1833,1)</f>
        <v>61</v>
      </c>
      <c r="H15" s="49" t="n">
        <f aca="false">COUNTIFS(Data!$B$2:$B$1833,$N15,Data!$F$2:$F$1833,H$10,Data!$H$2:$H$1833,1)</f>
        <v>67</v>
      </c>
      <c r="I15" s="49" t="n">
        <f aca="false">COUNTIFS(Data!$B$2:$B$1833,$N15,Data!$F$2:$F$1833,I$10,Data!$H$2:$H$1833,1)</f>
        <v>58</v>
      </c>
      <c r="J15" s="49" t="n">
        <f aca="false">COUNTIFS(Data!$B$2:$B$1833,$N15,Data!$F$2:$F$1833,J$10,Data!$H$2:$H$1833,1)</f>
        <v>68</v>
      </c>
      <c r="K15" s="49" t="n">
        <f aca="false">COUNTIFS(Data!$B$2:$B$1833,$N15,Data!$F$2:$F$1833,K$10,Data!$H$2:$H$1833,1)</f>
        <v>35</v>
      </c>
      <c r="L15" s="49" t="n">
        <f aca="false">SUM(B15:K15)</f>
        <v>488</v>
      </c>
      <c r="N15" s="50" t="s">
        <v>399</v>
      </c>
    </row>
    <row r="16" customFormat="false" ht="15" hidden="false" customHeight="true" outlineLevel="0" collapsed="false">
      <c r="A16" s="51" t="s">
        <v>393</v>
      </c>
      <c r="B16" s="51" t="n">
        <f aca="false">SUM(B11:B15)</f>
        <v>47</v>
      </c>
      <c r="C16" s="51" t="n">
        <f aca="false">SUM(C11:C15)</f>
        <v>148</v>
      </c>
      <c r="D16" s="51" t="n">
        <f aca="false">SUM(D11:D15)</f>
        <v>204</v>
      </c>
      <c r="E16" s="51" t="n">
        <f aca="false">SUM(E11:E15)</f>
        <v>143</v>
      </c>
      <c r="F16" s="51" t="n">
        <f aca="false">SUM(F11:F15)</f>
        <v>252</v>
      </c>
      <c r="G16" s="51" t="n">
        <f aca="false">SUM(G11:G15)</f>
        <v>165</v>
      </c>
      <c r="H16" s="51" t="n">
        <f aca="false">SUM(H11:H15)</f>
        <v>254</v>
      </c>
      <c r="I16" s="51" t="n">
        <f aca="false">SUM(I11:I15)</f>
        <v>149</v>
      </c>
      <c r="J16" s="51" t="n">
        <f aca="false">SUM(J11:J15)</f>
        <v>226</v>
      </c>
      <c r="K16" s="51" t="n">
        <f aca="false">SUM(K11:K15)</f>
        <v>124</v>
      </c>
      <c r="L16" s="51" t="n">
        <f aca="false">SUM(L11:L15)</f>
        <v>1712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2"/>
    <col collapsed="false" customWidth="true" hidden="false" outlineLevel="0" max="3" min="3" style="1" width="12"/>
    <col collapsed="false" customWidth="true" hidden="false" outlineLevel="0" max="4" min="4" style="1" width="28"/>
    <col collapsed="false" customWidth="true" hidden="false" outlineLevel="0" max="5" min="5" style="1" width="42"/>
    <col collapsed="false" customWidth="true" hidden="false" outlineLevel="0" max="6" min="6" style="1" width="7"/>
    <col collapsed="false" customWidth="true" hidden="false" outlineLevel="0" max="7" min="7" style="1" width="80"/>
    <col collapsed="false" customWidth="true" hidden="false" outlineLevel="0" max="8" min="8" style="1" width="6"/>
  </cols>
  <sheetData>
    <row r="1" customFormat="false" ht="15" hidden="false" customHeight="true" outlineLevel="0" collapsed="false">
      <c r="A1" s="5" t="s">
        <v>400</v>
      </c>
      <c r="B1" s="5" t="s">
        <v>401</v>
      </c>
      <c r="C1" s="5" t="s">
        <v>402</v>
      </c>
      <c r="D1" s="5" t="s">
        <v>403</v>
      </c>
      <c r="E1" s="5" t="s">
        <v>404</v>
      </c>
      <c r="F1" s="5" t="s">
        <v>405</v>
      </c>
      <c r="G1" s="5" t="s">
        <v>406</v>
      </c>
      <c r="H1" s="5" t="s">
        <v>407</v>
      </c>
    </row>
    <row r="2" customFormat="false" ht="15" hidden="false" customHeight="true" outlineLevel="0" collapsed="false">
      <c r="A2" s="52" t="n">
        <v>1</v>
      </c>
      <c r="B2" s="52" t="s">
        <v>395</v>
      </c>
      <c r="C2" s="52" t="s">
        <v>408</v>
      </c>
      <c r="D2" s="52" t="s">
        <v>409</v>
      </c>
      <c r="E2" s="52" t="s">
        <v>410</v>
      </c>
      <c r="F2" s="52" t="s">
        <v>331</v>
      </c>
      <c r="G2" s="52" t="s">
        <v>411</v>
      </c>
      <c r="H2" s="52" t="n">
        <v>1</v>
      </c>
    </row>
    <row r="3" customFormat="false" ht="15" hidden="false" customHeight="true" outlineLevel="0" collapsed="false">
      <c r="A3" s="52" t="n">
        <v>2</v>
      </c>
      <c r="B3" s="52" t="s">
        <v>395</v>
      </c>
      <c r="C3" s="52" t="s">
        <v>408</v>
      </c>
      <c r="D3" s="52" t="s">
        <v>409</v>
      </c>
      <c r="E3" s="52" t="s">
        <v>410</v>
      </c>
      <c r="F3" s="52" t="s">
        <v>74</v>
      </c>
      <c r="G3" s="52" t="s">
        <v>412</v>
      </c>
      <c r="H3" s="52" t="n">
        <v>1</v>
      </c>
    </row>
    <row r="4" customFormat="false" ht="15" hidden="false" customHeight="true" outlineLevel="0" collapsed="false">
      <c r="A4" s="52" t="n">
        <v>3</v>
      </c>
      <c r="B4" s="52" t="s">
        <v>395</v>
      </c>
      <c r="C4" s="52" t="s">
        <v>408</v>
      </c>
      <c r="D4" s="52" t="s">
        <v>409</v>
      </c>
      <c r="E4" s="52" t="s">
        <v>410</v>
      </c>
      <c r="F4" s="52" t="s">
        <v>74</v>
      </c>
      <c r="G4" s="52" t="s">
        <v>413</v>
      </c>
      <c r="H4" s="52" t="n">
        <v>1</v>
      </c>
    </row>
    <row r="5" customFormat="false" ht="15" hidden="false" customHeight="true" outlineLevel="0" collapsed="false">
      <c r="A5" s="52" t="n">
        <v>4</v>
      </c>
      <c r="B5" s="52" t="s">
        <v>395</v>
      </c>
      <c r="C5" s="52" t="s">
        <v>408</v>
      </c>
      <c r="D5" s="52" t="s">
        <v>409</v>
      </c>
      <c r="E5" s="52" t="s">
        <v>410</v>
      </c>
      <c r="F5" s="52" t="s">
        <v>74</v>
      </c>
      <c r="G5" s="52" t="s">
        <v>414</v>
      </c>
      <c r="H5" s="52" t="n">
        <v>1</v>
      </c>
    </row>
    <row r="6" customFormat="false" ht="15" hidden="false" customHeight="true" outlineLevel="0" collapsed="false">
      <c r="A6" s="52" t="n">
        <v>5</v>
      </c>
      <c r="B6" s="52" t="s">
        <v>395</v>
      </c>
      <c r="C6" s="52" t="s">
        <v>408</v>
      </c>
      <c r="D6" s="52" t="s">
        <v>409</v>
      </c>
      <c r="E6" s="52" t="s">
        <v>410</v>
      </c>
      <c r="F6" s="52" t="s">
        <v>36</v>
      </c>
      <c r="G6" s="52" t="s">
        <v>415</v>
      </c>
      <c r="H6" s="52" t="n">
        <v>1</v>
      </c>
    </row>
    <row r="7" customFormat="false" ht="15" hidden="false" customHeight="true" outlineLevel="0" collapsed="false">
      <c r="A7" s="52" t="n">
        <v>6</v>
      </c>
      <c r="B7" s="52" t="s">
        <v>395</v>
      </c>
      <c r="C7" s="52" t="s">
        <v>408</v>
      </c>
      <c r="D7" s="52" t="s">
        <v>409</v>
      </c>
      <c r="E7" s="52" t="s">
        <v>410</v>
      </c>
      <c r="F7" s="52" t="s">
        <v>259</v>
      </c>
      <c r="G7" s="52" t="s">
        <v>416</v>
      </c>
      <c r="H7" s="52" t="n">
        <v>1</v>
      </c>
    </row>
    <row r="8" customFormat="false" ht="15" hidden="false" customHeight="true" outlineLevel="0" collapsed="false">
      <c r="A8" s="52" t="n">
        <v>7</v>
      </c>
      <c r="B8" s="52" t="s">
        <v>395</v>
      </c>
      <c r="C8" s="52" t="s">
        <v>408</v>
      </c>
      <c r="D8" s="52" t="s">
        <v>409</v>
      </c>
      <c r="E8" s="52" t="s">
        <v>410</v>
      </c>
      <c r="F8" s="52" t="s">
        <v>259</v>
      </c>
      <c r="G8" s="52" t="s">
        <v>417</v>
      </c>
      <c r="H8" s="52" t="n">
        <v>1</v>
      </c>
    </row>
    <row r="9" customFormat="false" ht="15" hidden="false" customHeight="true" outlineLevel="0" collapsed="false">
      <c r="A9" s="52" t="n">
        <v>8</v>
      </c>
      <c r="B9" s="52" t="s">
        <v>395</v>
      </c>
      <c r="C9" s="52" t="s">
        <v>408</v>
      </c>
      <c r="D9" s="52" t="s">
        <v>409</v>
      </c>
      <c r="E9" s="52" t="s">
        <v>410</v>
      </c>
      <c r="F9" s="52" t="s">
        <v>52</v>
      </c>
      <c r="G9" s="52" t="s">
        <v>418</v>
      </c>
      <c r="H9" s="52" t="n">
        <v>1</v>
      </c>
    </row>
    <row r="10" customFormat="false" ht="15" hidden="false" customHeight="true" outlineLevel="0" collapsed="false">
      <c r="A10" s="52" t="n">
        <v>9</v>
      </c>
      <c r="B10" s="52" t="s">
        <v>395</v>
      </c>
      <c r="C10" s="52" t="s">
        <v>408</v>
      </c>
      <c r="D10" s="52" t="s">
        <v>409</v>
      </c>
      <c r="E10" s="52" t="s">
        <v>410</v>
      </c>
      <c r="F10" s="52" t="s">
        <v>21</v>
      </c>
      <c r="G10" s="52" t="s">
        <v>419</v>
      </c>
      <c r="H10" s="52" t="n">
        <v>1</v>
      </c>
    </row>
    <row r="11" customFormat="false" ht="15" hidden="false" customHeight="true" outlineLevel="0" collapsed="false">
      <c r="A11" s="52" t="n">
        <v>10</v>
      </c>
      <c r="B11" s="52" t="s">
        <v>395</v>
      </c>
      <c r="C11" s="52" t="s">
        <v>408</v>
      </c>
      <c r="D11" s="52" t="s">
        <v>409</v>
      </c>
      <c r="E11" s="52" t="s">
        <v>410</v>
      </c>
      <c r="F11" s="52" t="s">
        <v>123</v>
      </c>
      <c r="G11" s="52" t="s">
        <v>420</v>
      </c>
      <c r="H11" s="52" t="n">
        <v>1</v>
      </c>
    </row>
    <row r="12" customFormat="false" ht="15" hidden="false" customHeight="true" outlineLevel="0" collapsed="false">
      <c r="A12" s="52" t="n">
        <v>11</v>
      </c>
      <c r="B12" s="52" t="s">
        <v>395</v>
      </c>
      <c r="C12" s="52" t="s">
        <v>408</v>
      </c>
      <c r="D12" s="52" t="s">
        <v>409</v>
      </c>
      <c r="E12" s="52" t="s">
        <v>410</v>
      </c>
      <c r="F12" s="52" t="s">
        <v>13</v>
      </c>
      <c r="G12" s="52" t="s">
        <v>421</v>
      </c>
      <c r="H12" s="52" t="n">
        <v>1</v>
      </c>
    </row>
    <row r="13" customFormat="false" ht="15" hidden="false" customHeight="true" outlineLevel="0" collapsed="false">
      <c r="A13" s="52" t="n">
        <v>12</v>
      </c>
      <c r="B13" s="52" t="s">
        <v>395</v>
      </c>
      <c r="C13" s="52" t="s">
        <v>408</v>
      </c>
      <c r="D13" s="52" t="s">
        <v>409</v>
      </c>
      <c r="E13" s="52" t="s">
        <v>410</v>
      </c>
      <c r="F13" s="52" t="s">
        <v>101</v>
      </c>
      <c r="G13" s="52" t="s">
        <v>422</v>
      </c>
      <c r="H13" s="52" t="n">
        <v>1</v>
      </c>
    </row>
    <row r="14" customFormat="false" ht="15" hidden="false" customHeight="true" outlineLevel="0" collapsed="false">
      <c r="A14" s="52" t="n">
        <v>13</v>
      </c>
      <c r="B14" s="52" t="s">
        <v>395</v>
      </c>
      <c r="C14" s="52" t="s">
        <v>408</v>
      </c>
      <c r="D14" s="52" t="s">
        <v>409</v>
      </c>
      <c r="E14" s="52" t="s">
        <v>410</v>
      </c>
      <c r="F14" s="52" t="s">
        <v>101</v>
      </c>
      <c r="G14" s="52" t="s">
        <v>423</v>
      </c>
      <c r="H14" s="52" t="n">
        <v>1</v>
      </c>
    </row>
    <row r="15" customFormat="false" ht="15" hidden="false" customHeight="true" outlineLevel="0" collapsed="false">
      <c r="A15" s="52" t="n">
        <v>14</v>
      </c>
      <c r="B15" s="52" t="s">
        <v>395</v>
      </c>
      <c r="C15" s="52" t="s">
        <v>408</v>
      </c>
      <c r="D15" s="52" t="s">
        <v>409</v>
      </c>
      <c r="E15" s="52" t="s">
        <v>410</v>
      </c>
      <c r="F15" s="52" t="s">
        <v>86</v>
      </c>
      <c r="G15" s="52" t="s">
        <v>424</v>
      </c>
      <c r="H15" s="52" t="n">
        <v>1</v>
      </c>
    </row>
    <row r="16" customFormat="false" ht="15" hidden="false" customHeight="true" outlineLevel="0" collapsed="false">
      <c r="A16" s="52" t="n">
        <v>15</v>
      </c>
      <c r="B16" s="52" t="s">
        <v>395</v>
      </c>
      <c r="C16" s="52" t="s">
        <v>408</v>
      </c>
      <c r="D16" s="52" t="s">
        <v>409</v>
      </c>
      <c r="E16" s="52" t="s">
        <v>410</v>
      </c>
      <c r="F16" s="52" t="s">
        <v>86</v>
      </c>
      <c r="G16" s="52" t="s">
        <v>425</v>
      </c>
      <c r="H16" s="52" t="n">
        <v>1</v>
      </c>
    </row>
    <row r="17" customFormat="false" ht="15" hidden="false" customHeight="true" outlineLevel="0" collapsed="false">
      <c r="A17" s="52" t="n">
        <v>16</v>
      </c>
      <c r="B17" s="52" t="s">
        <v>395</v>
      </c>
      <c r="C17" s="52" t="s">
        <v>408</v>
      </c>
      <c r="D17" s="52" t="s">
        <v>409</v>
      </c>
      <c r="E17" s="52" t="s">
        <v>410</v>
      </c>
      <c r="F17" s="52" t="s">
        <v>86</v>
      </c>
      <c r="G17" s="52" t="s">
        <v>426</v>
      </c>
      <c r="H17" s="52" t="n">
        <v>1</v>
      </c>
    </row>
    <row r="18" customFormat="false" ht="15" hidden="false" customHeight="true" outlineLevel="0" collapsed="false">
      <c r="A18" s="52" t="n">
        <v>17</v>
      </c>
      <c r="B18" s="52" t="s">
        <v>395</v>
      </c>
      <c r="C18" s="52" t="s">
        <v>408</v>
      </c>
      <c r="D18" s="52" t="s">
        <v>409</v>
      </c>
      <c r="E18" s="52" t="s">
        <v>427</v>
      </c>
      <c r="F18" s="52" t="s">
        <v>331</v>
      </c>
      <c r="G18" s="52" t="s">
        <v>428</v>
      </c>
      <c r="H18" s="52" t="n">
        <v>1</v>
      </c>
    </row>
    <row r="19" customFormat="false" ht="15" hidden="false" customHeight="true" outlineLevel="0" collapsed="false">
      <c r="A19" s="52" t="n">
        <v>18</v>
      </c>
      <c r="B19" s="52" t="s">
        <v>395</v>
      </c>
      <c r="C19" s="52" t="s">
        <v>408</v>
      </c>
      <c r="D19" s="52" t="s">
        <v>409</v>
      </c>
      <c r="E19" s="52" t="s">
        <v>427</v>
      </c>
      <c r="F19" s="52" t="s">
        <v>74</v>
      </c>
      <c r="G19" s="52" t="s">
        <v>429</v>
      </c>
      <c r="H19" s="52" t="n">
        <v>1</v>
      </c>
    </row>
    <row r="20" customFormat="false" ht="15" hidden="false" customHeight="true" outlineLevel="0" collapsed="false">
      <c r="A20" s="52" t="n">
        <v>19</v>
      </c>
      <c r="B20" s="52" t="s">
        <v>395</v>
      </c>
      <c r="C20" s="52" t="s">
        <v>408</v>
      </c>
      <c r="D20" s="52" t="s">
        <v>409</v>
      </c>
      <c r="E20" s="52" t="s">
        <v>427</v>
      </c>
      <c r="F20" s="52" t="s">
        <v>74</v>
      </c>
      <c r="G20" s="52" t="s">
        <v>430</v>
      </c>
      <c r="H20" s="52" t="n">
        <v>1</v>
      </c>
    </row>
    <row r="21" customFormat="false" ht="15" hidden="false" customHeight="true" outlineLevel="0" collapsed="false">
      <c r="A21" s="52" t="n">
        <v>20</v>
      </c>
      <c r="B21" s="52" t="s">
        <v>395</v>
      </c>
      <c r="C21" s="52" t="s">
        <v>408</v>
      </c>
      <c r="D21" s="52" t="s">
        <v>409</v>
      </c>
      <c r="E21" s="52" t="s">
        <v>427</v>
      </c>
      <c r="F21" s="52" t="s">
        <v>36</v>
      </c>
      <c r="G21" s="52" t="s">
        <v>431</v>
      </c>
      <c r="H21" s="52" t="n">
        <v>1</v>
      </c>
    </row>
    <row r="22" customFormat="false" ht="15" hidden="false" customHeight="true" outlineLevel="0" collapsed="false">
      <c r="A22" s="52" t="n">
        <v>21</v>
      </c>
      <c r="B22" s="52" t="s">
        <v>395</v>
      </c>
      <c r="C22" s="52" t="s">
        <v>408</v>
      </c>
      <c r="D22" s="52" t="s">
        <v>409</v>
      </c>
      <c r="E22" s="52" t="s">
        <v>427</v>
      </c>
      <c r="F22" s="52" t="s">
        <v>259</v>
      </c>
      <c r="G22" s="52" t="s">
        <v>432</v>
      </c>
      <c r="H22" s="52" t="n">
        <v>1</v>
      </c>
    </row>
    <row r="23" customFormat="false" ht="15" hidden="false" customHeight="true" outlineLevel="0" collapsed="false">
      <c r="A23" s="52" t="n">
        <v>22</v>
      </c>
      <c r="B23" s="52" t="s">
        <v>395</v>
      </c>
      <c r="C23" s="52" t="s">
        <v>408</v>
      </c>
      <c r="D23" s="52" t="s">
        <v>409</v>
      </c>
      <c r="E23" s="52" t="s">
        <v>427</v>
      </c>
      <c r="F23" s="52" t="s">
        <v>259</v>
      </c>
      <c r="G23" s="52" t="s">
        <v>433</v>
      </c>
      <c r="H23" s="52" t="n">
        <v>1</v>
      </c>
    </row>
    <row r="24" customFormat="false" ht="15" hidden="false" customHeight="true" outlineLevel="0" collapsed="false">
      <c r="A24" s="52" t="n">
        <v>23</v>
      </c>
      <c r="B24" s="52" t="s">
        <v>395</v>
      </c>
      <c r="C24" s="52" t="s">
        <v>408</v>
      </c>
      <c r="D24" s="52" t="s">
        <v>409</v>
      </c>
      <c r="E24" s="52" t="s">
        <v>427</v>
      </c>
      <c r="F24" s="52" t="s">
        <v>259</v>
      </c>
      <c r="G24" s="52" t="s">
        <v>434</v>
      </c>
      <c r="H24" s="52" t="n">
        <v>1</v>
      </c>
    </row>
    <row r="25" customFormat="false" ht="15" hidden="false" customHeight="true" outlineLevel="0" collapsed="false">
      <c r="A25" s="52" t="n">
        <v>24</v>
      </c>
      <c r="B25" s="52" t="s">
        <v>395</v>
      </c>
      <c r="C25" s="52" t="s">
        <v>408</v>
      </c>
      <c r="D25" s="52" t="s">
        <v>409</v>
      </c>
      <c r="E25" s="52" t="s">
        <v>427</v>
      </c>
      <c r="F25" s="52" t="s">
        <v>52</v>
      </c>
      <c r="G25" s="52" t="s">
        <v>435</v>
      </c>
      <c r="H25" s="52" t="n">
        <v>1</v>
      </c>
    </row>
    <row r="26" customFormat="false" ht="15" hidden="false" customHeight="true" outlineLevel="0" collapsed="false">
      <c r="A26" s="52" t="n">
        <v>25</v>
      </c>
      <c r="B26" s="52" t="s">
        <v>395</v>
      </c>
      <c r="C26" s="52" t="s">
        <v>408</v>
      </c>
      <c r="D26" s="52" t="s">
        <v>409</v>
      </c>
      <c r="E26" s="52" t="s">
        <v>427</v>
      </c>
      <c r="F26" s="52" t="s">
        <v>21</v>
      </c>
      <c r="G26" s="52" t="s">
        <v>436</v>
      </c>
      <c r="H26" s="52" t="n">
        <v>1</v>
      </c>
    </row>
    <row r="27" customFormat="false" ht="15" hidden="false" customHeight="true" outlineLevel="0" collapsed="false">
      <c r="A27" s="52" t="n">
        <v>26</v>
      </c>
      <c r="B27" s="52" t="s">
        <v>395</v>
      </c>
      <c r="C27" s="52" t="s">
        <v>408</v>
      </c>
      <c r="D27" s="52" t="s">
        <v>409</v>
      </c>
      <c r="E27" s="52" t="s">
        <v>427</v>
      </c>
      <c r="F27" s="52" t="s">
        <v>123</v>
      </c>
      <c r="G27" s="52" t="s">
        <v>437</v>
      </c>
      <c r="H27" s="52" t="n">
        <v>1</v>
      </c>
    </row>
    <row r="28" customFormat="false" ht="15" hidden="false" customHeight="true" outlineLevel="0" collapsed="false">
      <c r="A28" s="52" t="n">
        <v>27</v>
      </c>
      <c r="B28" s="52" t="s">
        <v>395</v>
      </c>
      <c r="C28" s="52" t="s">
        <v>408</v>
      </c>
      <c r="D28" s="52" t="s">
        <v>409</v>
      </c>
      <c r="E28" s="52" t="s">
        <v>427</v>
      </c>
      <c r="F28" s="52" t="s">
        <v>123</v>
      </c>
      <c r="G28" s="52" t="s">
        <v>438</v>
      </c>
      <c r="H28" s="52" t="n">
        <v>1</v>
      </c>
    </row>
    <row r="29" customFormat="false" ht="15" hidden="false" customHeight="true" outlineLevel="0" collapsed="false">
      <c r="A29" s="52" t="n">
        <v>28</v>
      </c>
      <c r="B29" s="52" t="s">
        <v>395</v>
      </c>
      <c r="C29" s="52" t="s">
        <v>408</v>
      </c>
      <c r="D29" s="52" t="s">
        <v>409</v>
      </c>
      <c r="E29" s="52" t="s">
        <v>427</v>
      </c>
      <c r="F29" s="52" t="s">
        <v>13</v>
      </c>
      <c r="G29" s="52" t="s">
        <v>439</v>
      </c>
      <c r="H29" s="52" t="n">
        <v>1</v>
      </c>
    </row>
    <row r="30" customFormat="false" ht="15" hidden="false" customHeight="true" outlineLevel="0" collapsed="false">
      <c r="A30" s="52" t="n">
        <v>29</v>
      </c>
      <c r="B30" s="52" t="s">
        <v>395</v>
      </c>
      <c r="C30" s="52" t="s">
        <v>408</v>
      </c>
      <c r="D30" s="52" t="s">
        <v>409</v>
      </c>
      <c r="E30" s="52" t="s">
        <v>427</v>
      </c>
      <c r="F30" s="52" t="s">
        <v>101</v>
      </c>
      <c r="G30" s="52" t="s">
        <v>440</v>
      </c>
      <c r="H30" s="52" t="n">
        <v>1</v>
      </c>
    </row>
    <row r="31" customFormat="false" ht="15" hidden="false" customHeight="true" outlineLevel="0" collapsed="false">
      <c r="A31" s="52" t="n">
        <v>30</v>
      </c>
      <c r="B31" s="52" t="s">
        <v>395</v>
      </c>
      <c r="C31" s="52" t="s">
        <v>408</v>
      </c>
      <c r="D31" s="52" t="s">
        <v>409</v>
      </c>
      <c r="E31" s="52" t="s">
        <v>427</v>
      </c>
      <c r="F31" s="52" t="s">
        <v>101</v>
      </c>
      <c r="G31" s="52" t="s">
        <v>441</v>
      </c>
      <c r="H31" s="52" t="n">
        <v>1</v>
      </c>
    </row>
    <row r="32" customFormat="false" ht="15" hidden="false" customHeight="true" outlineLevel="0" collapsed="false">
      <c r="A32" s="52" t="n">
        <v>31</v>
      </c>
      <c r="B32" s="52" t="s">
        <v>395</v>
      </c>
      <c r="C32" s="52" t="s">
        <v>408</v>
      </c>
      <c r="D32" s="52" t="s">
        <v>409</v>
      </c>
      <c r="E32" s="52" t="s">
        <v>427</v>
      </c>
      <c r="F32" s="52" t="s">
        <v>86</v>
      </c>
      <c r="G32" s="52" t="s">
        <v>442</v>
      </c>
      <c r="H32" s="52" t="n">
        <v>0</v>
      </c>
    </row>
    <row r="33" customFormat="false" ht="15" hidden="false" customHeight="true" outlineLevel="0" collapsed="false">
      <c r="A33" s="52" t="n">
        <v>32</v>
      </c>
      <c r="B33" s="52" t="s">
        <v>395</v>
      </c>
      <c r="C33" s="52" t="s">
        <v>408</v>
      </c>
      <c r="D33" s="52" t="s">
        <v>409</v>
      </c>
      <c r="E33" s="52" t="s">
        <v>443</v>
      </c>
      <c r="F33" s="52" t="s">
        <v>331</v>
      </c>
      <c r="G33" s="52" t="s">
        <v>444</v>
      </c>
      <c r="H33" s="52" t="n">
        <v>1</v>
      </c>
    </row>
    <row r="34" customFormat="false" ht="15" hidden="false" customHeight="true" outlineLevel="0" collapsed="false">
      <c r="A34" s="52" t="n">
        <v>33</v>
      </c>
      <c r="B34" s="52" t="s">
        <v>395</v>
      </c>
      <c r="C34" s="52" t="s">
        <v>408</v>
      </c>
      <c r="D34" s="52" t="s">
        <v>409</v>
      </c>
      <c r="E34" s="52" t="s">
        <v>443</v>
      </c>
      <c r="F34" s="52" t="s">
        <v>331</v>
      </c>
      <c r="G34" s="52" t="s">
        <v>445</v>
      </c>
      <c r="H34" s="52" t="n">
        <v>1</v>
      </c>
    </row>
    <row r="35" customFormat="false" ht="15" hidden="false" customHeight="true" outlineLevel="0" collapsed="false">
      <c r="A35" s="52" t="n">
        <v>34</v>
      </c>
      <c r="B35" s="52" t="s">
        <v>395</v>
      </c>
      <c r="C35" s="52" t="s">
        <v>408</v>
      </c>
      <c r="D35" s="52" t="s">
        <v>409</v>
      </c>
      <c r="E35" s="52" t="s">
        <v>443</v>
      </c>
      <c r="F35" s="52" t="s">
        <v>331</v>
      </c>
      <c r="G35" s="52" t="s">
        <v>446</v>
      </c>
      <c r="H35" s="52" t="n">
        <v>1</v>
      </c>
    </row>
    <row r="36" customFormat="false" ht="15" hidden="false" customHeight="true" outlineLevel="0" collapsed="false">
      <c r="A36" s="52" t="n">
        <v>35</v>
      </c>
      <c r="B36" s="52" t="s">
        <v>395</v>
      </c>
      <c r="C36" s="52" t="s">
        <v>408</v>
      </c>
      <c r="D36" s="52" t="s">
        <v>409</v>
      </c>
      <c r="E36" s="52" t="s">
        <v>443</v>
      </c>
      <c r="F36" s="52" t="s">
        <v>74</v>
      </c>
      <c r="G36" s="52" t="s">
        <v>447</v>
      </c>
      <c r="H36" s="52" t="n">
        <v>1</v>
      </c>
    </row>
    <row r="37" customFormat="false" ht="15" hidden="false" customHeight="true" outlineLevel="0" collapsed="false">
      <c r="A37" s="52" t="n">
        <v>36</v>
      </c>
      <c r="B37" s="52" t="s">
        <v>395</v>
      </c>
      <c r="C37" s="52" t="s">
        <v>408</v>
      </c>
      <c r="D37" s="52" t="s">
        <v>409</v>
      </c>
      <c r="E37" s="52" t="s">
        <v>443</v>
      </c>
      <c r="F37" s="52" t="s">
        <v>36</v>
      </c>
      <c r="G37" s="52" t="s">
        <v>448</v>
      </c>
      <c r="H37" s="52" t="n">
        <v>1</v>
      </c>
    </row>
    <row r="38" customFormat="false" ht="15" hidden="false" customHeight="true" outlineLevel="0" collapsed="false">
      <c r="A38" s="52" t="n">
        <v>37</v>
      </c>
      <c r="B38" s="52" t="s">
        <v>395</v>
      </c>
      <c r="C38" s="52" t="s">
        <v>408</v>
      </c>
      <c r="D38" s="52" t="s">
        <v>409</v>
      </c>
      <c r="E38" s="52" t="s">
        <v>443</v>
      </c>
      <c r="F38" s="52" t="s">
        <v>36</v>
      </c>
      <c r="G38" s="52" t="s">
        <v>449</v>
      </c>
      <c r="H38" s="52" t="n">
        <v>1</v>
      </c>
    </row>
    <row r="39" customFormat="false" ht="15" hidden="false" customHeight="true" outlineLevel="0" collapsed="false">
      <c r="A39" s="52" t="n">
        <v>38</v>
      </c>
      <c r="B39" s="52" t="s">
        <v>395</v>
      </c>
      <c r="C39" s="52" t="s">
        <v>408</v>
      </c>
      <c r="D39" s="52" t="s">
        <v>409</v>
      </c>
      <c r="E39" s="52" t="s">
        <v>443</v>
      </c>
      <c r="F39" s="52" t="s">
        <v>259</v>
      </c>
      <c r="G39" s="52" t="s">
        <v>450</v>
      </c>
      <c r="H39" s="52" t="n">
        <v>1</v>
      </c>
    </row>
    <row r="40" customFormat="false" ht="15" hidden="false" customHeight="true" outlineLevel="0" collapsed="false">
      <c r="A40" s="52" t="n">
        <v>39</v>
      </c>
      <c r="B40" s="52" t="s">
        <v>395</v>
      </c>
      <c r="C40" s="52" t="s">
        <v>408</v>
      </c>
      <c r="D40" s="52" t="s">
        <v>409</v>
      </c>
      <c r="E40" s="52" t="s">
        <v>443</v>
      </c>
      <c r="F40" s="52" t="s">
        <v>259</v>
      </c>
      <c r="G40" s="52" t="s">
        <v>451</v>
      </c>
      <c r="H40" s="52" t="n">
        <v>1</v>
      </c>
    </row>
    <row r="41" customFormat="false" ht="15" hidden="false" customHeight="true" outlineLevel="0" collapsed="false">
      <c r="A41" s="52" t="n">
        <v>40</v>
      </c>
      <c r="B41" s="52" t="s">
        <v>395</v>
      </c>
      <c r="C41" s="52" t="s">
        <v>408</v>
      </c>
      <c r="D41" s="52" t="s">
        <v>409</v>
      </c>
      <c r="E41" s="52" t="s">
        <v>443</v>
      </c>
      <c r="F41" s="52" t="s">
        <v>259</v>
      </c>
      <c r="G41" s="52" t="s">
        <v>452</v>
      </c>
      <c r="H41" s="52" t="n">
        <v>1</v>
      </c>
    </row>
    <row r="42" customFormat="false" ht="15" hidden="false" customHeight="true" outlineLevel="0" collapsed="false">
      <c r="A42" s="52" t="n">
        <v>41</v>
      </c>
      <c r="B42" s="52" t="s">
        <v>395</v>
      </c>
      <c r="C42" s="52" t="s">
        <v>408</v>
      </c>
      <c r="D42" s="52" t="s">
        <v>409</v>
      </c>
      <c r="E42" s="52" t="s">
        <v>443</v>
      </c>
      <c r="F42" s="52" t="s">
        <v>52</v>
      </c>
      <c r="G42" s="52" t="s">
        <v>453</v>
      </c>
      <c r="H42" s="52" t="n">
        <v>1</v>
      </c>
    </row>
    <row r="43" customFormat="false" ht="15" hidden="false" customHeight="true" outlineLevel="0" collapsed="false">
      <c r="A43" s="52" t="n">
        <v>42</v>
      </c>
      <c r="B43" s="52" t="s">
        <v>395</v>
      </c>
      <c r="C43" s="52" t="s">
        <v>408</v>
      </c>
      <c r="D43" s="52" t="s">
        <v>409</v>
      </c>
      <c r="E43" s="52" t="s">
        <v>443</v>
      </c>
      <c r="F43" s="52" t="s">
        <v>52</v>
      </c>
      <c r="G43" s="52" t="s">
        <v>454</v>
      </c>
      <c r="H43" s="52" t="n">
        <v>1</v>
      </c>
    </row>
    <row r="44" customFormat="false" ht="15" hidden="false" customHeight="true" outlineLevel="0" collapsed="false">
      <c r="A44" s="52" t="n">
        <v>43</v>
      </c>
      <c r="B44" s="52" t="s">
        <v>395</v>
      </c>
      <c r="C44" s="52" t="s">
        <v>408</v>
      </c>
      <c r="D44" s="52" t="s">
        <v>409</v>
      </c>
      <c r="E44" s="52" t="s">
        <v>443</v>
      </c>
      <c r="F44" s="52" t="s">
        <v>21</v>
      </c>
      <c r="G44" s="52" t="s">
        <v>455</v>
      </c>
      <c r="H44" s="52" t="n">
        <v>1</v>
      </c>
    </row>
    <row r="45" customFormat="false" ht="15" hidden="false" customHeight="true" outlineLevel="0" collapsed="false">
      <c r="A45" s="52" t="n">
        <v>44</v>
      </c>
      <c r="B45" s="52" t="s">
        <v>395</v>
      </c>
      <c r="C45" s="52" t="s">
        <v>408</v>
      </c>
      <c r="D45" s="52" t="s">
        <v>409</v>
      </c>
      <c r="E45" s="52" t="s">
        <v>443</v>
      </c>
      <c r="F45" s="52" t="s">
        <v>21</v>
      </c>
      <c r="G45" s="52" t="s">
        <v>456</v>
      </c>
      <c r="H45" s="52" t="n">
        <v>1</v>
      </c>
    </row>
    <row r="46" customFormat="false" ht="15" hidden="false" customHeight="true" outlineLevel="0" collapsed="false">
      <c r="A46" s="52" t="n">
        <v>45</v>
      </c>
      <c r="B46" s="52" t="s">
        <v>395</v>
      </c>
      <c r="C46" s="52" t="s">
        <v>408</v>
      </c>
      <c r="D46" s="52" t="s">
        <v>409</v>
      </c>
      <c r="E46" s="52" t="s">
        <v>443</v>
      </c>
      <c r="F46" s="52" t="s">
        <v>21</v>
      </c>
      <c r="G46" s="52" t="s">
        <v>457</v>
      </c>
      <c r="H46" s="52" t="n">
        <v>1</v>
      </c>
    </row>
    <row r="47" customFormat="false" ht="15" hidden="false" customHeight="true" outlineLevel="0" collapsed="false">
      <c r="A47" s="52" t="n">
        <v>46</v>
      </c>
      <c r="B47" s="52" t="s">
        <v>395</v>
      </c>
      <c r="C47" s="52" t="s">
        <v>408</v>
      </c>
      <c r="D47" s="52" t="s">
        <v>409</v>
      </c>
      <c r="E47" s="52" t="s">
        <v>443</v>
      </c>
      <c r="F47" s="52" t="s">
        <v>123</v>
      </c>
      <c r="G47" s="52" t="s">
        <v>458</v>
      </c>
      <c r="H47" s="52" t="n">
        <v>1</v>
      </c>
    </row>
    <row r="48" customFormat="false" ht="15" hidden="false" customHeight="true" outlineLevel="0" collapsed="false">
      <c r="A48" s="52" t="n">
        <v>47</v>
      </c>
      <c r="B48" s="52" t="s">
        <v>395</v>
      </c>
      <c r="C48" s="52" t="s">
        <v>408</v>
      </c>
      <c r="D48" s="52" t="s">
        <v>409</v>
      </c>
      <c r="E48" s="52" t="s">
        <v>443</v>
      </c>
      <c r="F48" s="52" t="s">
        <v>13</v>
      </c>
      <c r="G48" s="52" t="s">
        <v>459</v>
      </c>
      <c r="H48" s="52" t="n">
        <v>1</v>
      </c>
    </row>
    <row r="49" customFormat="false" ht="15" hidden="false" customHeight="true" outlineLevel="0" collapsed="false">
      <c r="A49" s="52" t="n">
        <v>48</v>
      </c>
      <c r="B49" s="52" t="s">
        <v>395</v>
      </c>
      <c r="C49" s="52" t="s">
        <v>408</v>
      </c>
      <c r="D49" s="52" t="s">
        <v>409</v>
      </c>
      <c r="E49" s="52" t="s">
        <v>443</v>
      </c>
      <c r="F49" s="52" t="s">
        <v>13</v>
      </c>
      <c r="G49" s="52" t="s">
        <v>460</v>
      </c>
      <c r="H49" s="52" t="n">
        <v>1</v>
      </c>
    </row>
    <row r="50" customFormat="false" ht="15" hidden="false" customHeight="true" outlineLevel="0" collapsed="false">
      <c r="A50" s="52" t="n">
        <v>49</v>
      </c>
      <c r="B50" s="52" t="s">
        <v>395</v>
      </c>
      <c r="C50" s="52" t="s">
        <v>408</v>
      </c>
      <c r="D50" s="52" t="s">
        <v>409</v>
      </c>
      <c r="E50" s="52" t="s">
        <v>443</v>
      </c>
      <c r="F50" s="52" t="s">
        <v>101</v>
      </c>
      <c r="G50" s="52" t="s">
        <v>461</v>
      </c>
      <c r="H50" s="52" t="n">
        <v>1</v>
      </c>
    </row>
    <row r="51" customFormat="false" ht="15" hidden="false" customHeight="true" outlineLevel="0" collapsed="false">
      <c r="A51" s="52" t="n">
        <v>50</v>
      </c>
      <c r="B51" s="52" t="s">
        <v>395</v>
      </c>
      <c r="C51" s="52" t="s">
        <v>408</v>
      </c>
      <c r="D51" s="52" t="s">
        <v>409</v>
      </c>
      <c r="E51" s="52" t="s">
        <v>443</v>
      </c>
      <c r="F51" s="52" t="s">
        <v>86</v>
      </c>
      <c r="G51" s="52" t="s">
        <v>442</v>
      </c>
      <c r="H51" s="52" t="n">
        <v>0</v>
      </c>
    </row>
    <row r="52" customFormat="false" ht="15" hidden="false" customHeight="true" outlineLevel="0" collapsed="false">
      <c r="A52" s="52" t="n">
        <v>51</v>
      </c>
      <c r="B52" s="52" t="s">
        <v>395</v>
      </c>
      <c r="C52" s="52" t="s">
        <v>408</v>
      </c>
      <c r="D52" s="52" t="s">
        <v>409</v>
      </c>
      <c r="E52" s="52" t="s">
        <v>462</v>
      </c>
      <c r="F52" s="52" t="s">
        <v>331</v>
      </c>
      <c r="G52" s="52" t="s">
        <v>463</v>
      </c>
      <c r="H52" s="52" t="n">
        <v>0</v>
      </c>
    </row>
    <row r="53" customFormat="false" ht="15" hidden="false" customHeight="true" outlineLevel="0" collapsed="false">
      <c r="A53" s="52" t="n">
        <v>52</v>
      </c>
      <c r="B53" s="52" t="s">
        <v>395</v>
      </c>
      <c r="C53" s="52" t="s">
        <v>408</v>
      </c>
      <c r="D53" s="52" t="s">
        <v>409</v>
      </c>
      <c r="E53" s="52" t="s">
        <v>462</v>
      </c>
      <c r="F53" s="52" t="s">
        <v>74</v>
      </c>
      <c r="G53" s="52" t="s">
        <v>464</v>
      </c>
      <c r="H53" s="52" t="n">
        <v>1</v>
      </c>
    </row>
    <row r="54" customFormat="false" ht="15" hidden="false" customHeight="true" outlineLevel="0" collapsed="false">
      <c r="A54" s="52" t="n">
        <v>53</v>
      </c>
      <c r="B54" s="52" t="s">
        <v>395</v>
      </c>
      <c r="C54" s="52" t="s">
        <v>408</v>
      </c>
      <c r="D54" s="52" t="s">
        <v>409</v>
      </c>
      <c r="E54" s="52" t="s">
        <v>462</v>
      </c>
      <c r="F54" s="52" t="s">
        <v>74</v>
      </c>
      <c r="G54" s="52" t="s">
        <v>465</v>
      </c>
      <c r="H54" s="52" t="n">
        <v>1</v>
      </c>
    </row>
    <row r="55" customFormat="false" ht="15" hidden="false" customHeight="true" outlineLevel="0" collapsed="false">
      <c r="A55" s="52" t="n">
        <v>54</v>
      </c>
      <c r="B55" s="52" t="s">
        <v>395</v>
      </c>
      <c r="C55" s="52" t="s">
        <v>408</v>
      </c>
      <c r="D55" s="52" t="s">
        <v>409</v>
      </c>
      <c r="E55" s="52" t="s">
        <v>462</v>
      </c>
      <c r="F55" s="52" t="s">
        <v>259</v>
      </c>
      <c r="G55" s="52" t="s">
        <v>466</v>
      </c>
      <c r="H55" s="52" t="n">
        <v>1</v>
      </c>
    </row>
    <row r="56" customFormat="false" ht="15" hidden="false" customHeight="true" outlineLevel="0" collapsed="false">
      <c r="A56" s="52" t="n">
        <v>55</v>
      </c>
      <c r="B56" s="52" t="s">
        <v>395</v>
      </c>
      <c r="C56" s="52" t="s">
        <v>408</v>
      </c>
      <c r="D56" s="52" t="s">
        <v>409</v>
      </c>
      <c r="E56" s="52" t="s">
        <v>462</v>
      </c>
      <c r="F56" s="52" t="s">
        <v>259</v>
      </c>
      <c r="G56" s="52" t="s">
        <v>467</v>
      </c>
      <c r="H56" s="52" t="n">
        <v>1</v>
      </c>
    </row>
    <row r="57" customFormat="false" ht="15" hidden="false" customHeight="true" outlineLevel="0" collapsed="false">
      <c r="A57" s="52" t="n">
        <v>56</v>
      </c>
      <c r="B57" s="52" t="s">
        <v>395</v>
      </c>
      <c r="C57" s="52" t="s">
        <v>408</v>
      </c>
      <c r="D57" s="52" t="s">
        <v>409</v>
      </c>
      <c r="E57" s="52" t="s">
        <v>462</v>
      </c>
      <c r="F57" s="52" t="s">
        <v>21</v>
      </c>
      <c r="G57" s="52" t="s">
        <v>468</v>
      </c>
      <c r="H57" s="52" t="n">
        <v>1</v>
      </c>
    </row>
    <row r="58" customFormat="false" ht="15" hidden="false" customHeight="true" outlineLevel="0" collapsed="false">
      <c r="A58" s="52" t="n">
        <v>57</v>
      </c>
      <c r="B58" s="52" t="s">
        <v>395</v>
      </c>
      <c r="C58" s="52" t="s">
        <v>408</v>
      </c>
      <c r="D58" s="52" t="s">
        <v>409</v>
      </c>
      <c r="E58" s="52" t="s">
        <v>462</v>
      </c>
      <c r="F58" s="52" t="s">
        <v>21</v>
      </c>
      <c r="G58" s="52" t="s">
        <v>469</v>
      </c>
      <c r="H58" s="52" t="n">
        <v>1</v>
      </c>
    </row>
    <row r="59" customFormat="false" ht="15" hidden="false" customHeight="true" outlineLevel="0" collapsed="false">
      <c r="A59" s="52" t="n">
        <v>58</v>
      </c>
      <c r="B59" s="52" t="s">
        <v>395</v>
      </c>
      <c r="C59" s="52" t="s">
        <v>408</v>
      </c>
      <c r="D59" s="52" t="s">
        <v>409</v>
      </c>
      <c r="E59" s="52" t="s">
        <v>462</v>
      </c>
      <c r="F59" s="52" t="s">
        <v>21</v>
      </c>
      <c r="G59" s="52" t="s">
        <v>470</v>
      </c>
      <c r="H59" s="52" t="n">
        <v>1</v>
      </c>
    </row>
    <row r="60" customFormat="false" ht="15" hidden="false" customHeight="true" outlineLevel="0" collapsed="false">
      <c r="A60" s="52" t="n">
        <v>59</v>
      </c>
      <c r="B60" s="52" t="s">
        <v>395</v>
      </c>
      <c r="C60" s="52" t="s">
        <v>408</v>
      </c>
      <c r="D60" s="52" t="s">
        <v>409</v>
      </c>
      <c r="E60" s="52" t="s">
        <v>462</v>
      </c>
      <c r="F60" s="52" t="s">
        <v>123</v>
      </c>
      <c r="G60" s="52" t="s">
        <v>471</v>
      </c>
      <c r="H60" s="52" t="n">
        <v>1</v>
      </c>
    </row>
    <row r="61" customFormat="false" ht="15" hidden="false" customHeight="true" outlineLevel="0" collapsed="false">
      <c r="A61" s="52" t="n">
        <v>60</v>
      </c>
      <c r="B61" s="52" t="s">
        <v>395</v>
      </c>
      <c r="C61" s="52" t="s">
        <v>408</v>
      </c>
      <c r="D61" s="52" t="s">
        <v>409</v>
      </c>
      <c r="E61" s="52" t="s">
        <v>462</v>
      </c>
      <c r="F61" s="52" t="s">
        <v>123</v>
      </c>
      <c r="G61" s="52" t="s">
        <v>472</v>
      </c>
      <c r="H61" s="52" t="n">
        <v>1</v>
      </c>
    </row>
    <row r="62" customFormat="false" ht="15" hidden="false" customHeight="true" outlineLevel="0" collapsed="false">
      <c r="A62" s="52" t="n">
        <v>61</v>
      </c>
      <c r="B62" s="52" t="s">
        <v>395</v>
      </c>
      <c r="C62" s="52" t="s">
        <v>408</v>
      </c>
      <c r="D62" s="52" t="s">
        <v>409</v>
      </c>
      <c r="E62" s="52" t="s">
        <v>462</v>
      </c>
      <c r="F62" s="52" t="s">
        <v>13</v>
      </c>
      <c r="G62" s="52" t="s">
        <v>473</v>
      </c>
      <c r="H62" s="52" t="n">
        <v>1</v>
      </c>
    </row>
    <row r="63" customFormat="false" ht="15" hidden="false" customHeight="true" outlineLevel="0" collapsed="false">
      <c r="A63" s="52" t="n">
        <v>62</v>
      </c>
      <c r="B63" s="52" t="s">
        <v>395</v>
      </c>
      <c r="C63" s="52" t="s">
        <v>408</v>
      </c>
      <c r="D63" s="52" t="s">
        <v>409</v>
      </c>
      <c r="E63" s="52" t="s">
        <v>462</v>
      </c>
      <c r="F63" s="52" t="s">
        <v>13</v>
      </c>
      <c r="G63" s="52" t="s">
        <v>474</v>
      </c>
      <c r="H63" s="52" t="n">
        <v>1</v>
      </c>
    </row>
    <row r="64" customFormat="false" ht="15" hidden="false" customHeight="true" outlineLevel="0" collapsed="false">
      <c r="A64" s="52" t="n">
        <v>63</v>
      </c>
      <c r="B64" s="52" t="s">
        <v>395</v>
      </c>
      <c r="C64" s="52" t="s">
        <v>408</v>
      </c>
      <c r="D64" s="52" t="s">
        <v>409</v>
      </c>
      <c r="E64" s="52" t="s">
        <v>462</v>
      </c>
      <c r="F64" s="52" t="s">
        <v>13</v>
      </c>
      <c r="G64" s="52" t="s">
        <v>475</v>
      </c>
      <c r="H64" s="52" t="n">
        <v>1</v>
      </c>
    </row>
    <row r="65" customFormat="false" ht="15" hidden="false" customHeight="true" outlineLevel="0" collapsed="false">
      <c r="A65" s="52" t="n">
        <v>64</v>
      </c>
      <c r="B65" s="52" t="s">
        <v>395</v>
      </c>
      <c r="C65" s="52" t="s">
        <v>408</v>
      </c>
      <c r="D65" s="52" t="s">
        <v>409</v>
      </c>
      <c r="E65" s="52" t="s">
        <v>462</v>
      </c>
      <c r="F65" s="52" t="s">
        <v>101</v>
      </c>
      <c r="G65" s="52" t="s">
        <v>476</v>
      </c>
      <c r="H65" s="52" t="n">
        <v>1</v>
      </c>
    </row>
    <row r="66" customFormat="false" ht="15" hidden="false" customHeight="true" outlineLevel="0" collapsed="false">
      <c r="A66" s="52" t="n">
        <v>65</v>
      </c>
      <c r="B66" s="52" t="s">
        <v>395</v>
      </c>
      <c r="C66" s="52" t="s">
        <v>408</v>
      </c>
      <c r="D66" s="52" t="s">
        <v>409</v>
      </c>
      <c r="E66" s="52" t="s">
        <v>462</v>
      </c>
      <c r="F66" s="52" t="s">
        <v>101</v>
      </c>
      <c r="G66" s="52" t="s">
        <v>477</v>
      </c>
      <c r="H66" s="52" t="n">
        <v>1</v>
      </c>
    </row>
    <row r="67" customFormat="false" ht="15" hidden="false" customHeight="true" outlineLevel="0" collapsed="false">
      <c r="A67" s="52" t="n">
        <v>66</v>
      </c>
      <c r="B67" s="52" t="s">
        <v>395</v>
      </c>
      <c r="C67" s="52" t="s">
        <v>408</v>
      </c>
      <c r="D67" s="52" t="s">
        <v>409</v>
      </c>
      <c r="E67" s="52" t="s">
        <v>462</v>
      </c>
      <c r="F67" s="52" t="s">
        <v>101</v>
      </c>
      <c r="G67" s="52" t="s">
        <v>478</v>
      </c>
      <c r="H67" s="52" t="n">
        <v>1</v>
      </c>
    </row>
    <row r="68" customFormat="false" ht="15" hidden="false" customHeight="true" outlineLevel="0" collapsed="false">
      <c r="A68" s="52" t="n">
        <v>67</v>
      </c>
      <c r="B68" s="52" t="s">
        <v>395</v>
      </c>
      <c r="C68" s="52" t="s">
        <v>408</v>
      </c>
      <c r="D68" s="52" t="s">
        <v>409</v>
      </c>
      <c r="E68" s="52" t="s">
        <v>462</v>
      </c>
      <c r="F68" s="52" t="s">
        <v>86</v>
      </c>
      <c r="G68" s="52" t="s">
        <v>479</v>
      </c>
      <c r="H68" s="52" t="n">
        <v>1</v>
      </c>
    </row>
    <row r="69" customFormat="false" ht="15" hidden="false" customHeight="true" outlineLevel="0" collapsed="false">
      <c r="A69" s="52" t="n">
        <v>68</v>
      </c>
      <c r="B69" s="52" t="s">
        <v>395</v>
      </c>
      <c r="C69" s="52" t="s">
        <v>408</v>
      </c>
      <c r="D69" s="52" t="s">
        <v>409</v>
      </c>
      <c r="E69" s="52" t="s">
        <v>480</v>
      </c>
      <c r="F69" s="52" t="s">
        <v>331</v>
      </c>
      <c r="G69" s="52" t="s">
        <v>463</v>
      </c>
      <c r="H69" s="52" t="n">
        <v>0</v>
      </c>
    </row>
    <row r="70" customFormat="false" ht="15" hidden="false" customHeight="true" outlineLevel="0" collapsed="false">
      <c r="A70" s="52" t="n">
        <v>69</v>
      </c>
      <c r="B70" s="52" t="s">
        <v>395</v>
      </c>
      <c r="C70" s="52" t="s">
        <v>408</v>
      </c>
      <c r="D70" s="52" t="s">
        <v>409</v>
      </c>
      <c r="E70" s="52" t="s">
        <v>480</v>
      </c>
      <c r="F70" s="52" t="s">
        <v>74</v>
      </c>
      <c r="G70" s="52" t="s">
        <v>481</v>
      </c>
      <c r="H70" s="52" t="n">
        <v>1</v>
      </c>
    </row>
    <row r="71" customFormat="false" ht="15" hidden="false" customHeight="true" outlineLevel="0" collapsed="false">
      <c r="A71" s="52" t="n">
        <v>70</v>
      </c>
      <c r="B71" s="52" t="s">
        <v>395</v>
      </c>
      <c r="C71" s="52" t="s">
        <v>408</v>
      </c>
      <c r="D71" s="52" t="s">
        <v>409</v>
      </c>
      <c r="E71" s="52" t="s">
        <v>480</v>
      </c>
      <c r="F71" s="52" t="s">
        <v>36</v>
      </c>
      <c r="G71" s="52" t="s">
        <v>482</v>
      </c>
      <c r="H71" s="52" t="n">
        <v>1</v>
      </c>
    </row>
    <row r="72" customFormat="false" ht="15" hidden="false" customHeight="true" outlineLevel="0" collapsed="false">
      <c r="A72" s="52" t="n">
        <v>71</v>
      </c>
      <c r="B72" s="52" t="s">
        <v>395</v>
      </c>
      <c r="C72" s="52" t="s">
        <v>408</v>
      </c>
      <c r="D72" s="52" t="s">
        <v>409</v>
      </c>
      <c r="E72" s="52" t="s">
        <v>480</v>
      </c>
      <c r="F72" s="52" t="s">
        <v>259</v>
      </c>
      <c r="G72" s="52" t="s">
        <v>483</v>
      </c>
      <c r="H72" s="52" t="n">
        <v>1</v>
      </c>
    </row>
    <row r="73" customFormat="false" ht="15" hidden="false" customHeight="true" outlineLevel="0" collapsed="false">
      <c r="A73" s="52" t="n">
        <v>72</v>
      </c>
      <c r="B73" s="52" t="s">
        <v>395</v>
      </c>
      <c r="C73" s="52" t="s">
        <v>408</v>
      </c>
      <c r="D73" s="52" t="s">
        <v>409</v>
      </c>
      <c r="E73" s="52" t="s">
        <v>480</v>
      </c>
      <c r="F73" s="52" t="s">
        <v>52</v>
      </c>
      <c r="G73" s="52" t="s">
        <v>484</v>
      </c>
      <c r="H73" s="52" t="n">
        <v>1</v>
      </c>
    </row>
    <row r="74" customFormat="false" ht="15" hidden="false" customHeight="true" outlineLevel="0" collapsed="false">
      <c r="A74" s="52" t="n">
        <v>73</v>
      </c>
      <c r="B74" s="52" t="s">
        <v>395</v>
      </c>
      <c r="C74" s="52" t="s">
        <v>408</v>
      </c>
      <c r="D74" s="52" t="s">
        <v>409</v>
      </c>
      <c r="E74" s="52" t="s">
        <v>480</v>
      </c>
      <c r="F74" s="52" t="s">
        <v>21</v>
      </c>
      <c r="G74" s="52" t="s">
        <v>485</v>
      </c>
      <c r="H74" s="52" t="n">
        <v>1</v>
      </c>
    </row>
    <row r="75" customFormat="false" ht="15" hidden="false" customHeight="true" outlineLevel="0" collapsed="false">
      <c r="A75" s="52" t="n">
        <v>74</v>
      </c>
      <c r="B75" s="52" t="s">
        <v>395</v>
      </c>
      <c r="C75" s="52" t="s">
        <v>408</v>
      </c>
      <c r="D75" s="52" t="s">
        <v>409</v>
      </c>
      <c r="E75" s="52" t="s">
        <v>480</v>
      </c>
      <c r="F75" s="52" t="s">
        <v>21</v>
      </c>
      <c r="G75" s="52" t="s">
        <v>486</v>
      </c>
      <c r="H75" s="52" t="n">
        <v>1</v>
      </c>
    </row>
    <row r="76" customFormat="false" ht="15" hidden="false" customHeight="true" outlineLevel="0" collapsed="false">
      <c r="A76" s="52" t="n">
        <v>75</v>
      </c>
      <c r="B76" s="52" t="s">
        <v>395</v>
      </c>
      <c r="C76" s="52" t="s">
        <v>408</v>
      </c>
      <c r="D76" s="52" t="s">
        <v>409</v>
      </c>
      <c r="E76" s="52" t="s">
        <v>480</v>
      </c>
      <c r="F76" s="52" t="s">
        <v>123</v>
      </c>
      <c r="G76" s="52" t="s">
        <v>487</v>
      </c>
      <c r="H76" s="52" t="n">
        <v>1</v>
      </c>
    </row>
    <row r="77" customFormat="false" ht="15" hidden="false" customHeight="true" outlineLevel="0" collapsed="false">
      <c r="A77" s="52" t="n">
        <v>76</v>
      </c>
      <c r="B77" s="52" t="s">
        <v>395</v>
      </c>
      <c r="C77" s="52" t="s">
        <v>408</v>
      </c>
      <c r="D77" s="52" t="s">
        <v>409</v>
      </c>
      <c r="E77" s="52" t="s">
        <v>480</v>
      </c>
      <c r="F77" s="52" t="s">
        <v>123</v>
      </c>
      <c r="G77" s="52" t="s">
        <v>488</v>
      </c>
      <c r="H77" s="52" t="n">
        <v>1</v>
      </c>
    </row>
    <row r="78" customFormat="false" ht="15" hidden="false" customHeight="true" outlineLevel="0" collapsed="false">
      <c r="A78" s="52" t="n">
        <v>77</v>
      </c>
      <c r="B78" s="52" t="s">
        <v>395</v>
      </c>
      <c r="C78" s="52" t="s">
        <v>408</v>
      </c>
      <c r="D78" s="52" t="s">
        <v>409</v>
      </c>
      <c r="E78" s="52" t="s">
        <v>480</v>
      </c>
      <c r="F78" s="52" t="s">
        <v>13</v>
      </c>
      <c r="G78" s="52" t="s">
        <v>489</v>
      </c>
      <c r="H78" s="52" t="n">
        <v>1</v>
      </c>
    </row>
    <row r="79" customFormat="false" ht="15" hidden="false" customHeight="true" outlineLevel="0" collapsed="false">
      <c r="A79" s="52" t="n">
        <v>78</v>
      </c>
      <c r="B79" s="52" t="s">
        <v>395</v>
      </c>
      <c r="C79" s="52" t="s">
        <v>408</v>
      </c>
      <c r="D79" s="52" t="s">
        <v>409</v>
      </c>
      <c r="E79" s="52" t="s">
        <v>480</v>
      </c>
      <c r="F79" s="52" t="s">
        <v>13</v>
      </c>
      <c r="G79" s="52" t="s">
        <v>490</v>
      </c>
      <c r="H79" s="52" t="n">
        <v>1</v>
      </c>
    </row>
    <row r="80" customFormat="false" ht="15" hidden="false" customHeight="true" outlineLevel="0" collapsed="false">
      <c r="A80" s="52" t="n">
        <v>79</v>
      </c>
      <c r="B80" s="52" t="s">
        <v>395</v>
      </c>
      <c r="C80" s="52" t="s">
        <v>408</v>
      </c>
      <c r="D80" s="52" t="s">
        <v>409</v>
      </c>
      <c r="E80" s="52" t="s">
        <v>480</v>
      </c>
      <c r="F80" s="52" t="s">
        <v>13</v>
      </c>
      <c r="G80" s="52" t="s">
        <v>491</v>
      </c>
      <c r="H80" s="52" t="n">
        <v>1</v>
      </c>
    </row>
    <row r="81" customFormat="false" ht="15" hidden="false" customHeight="true" outlineLevel="0" collapsed="false">
      <c r="A81" s="52" t="n">
        <v>80</v>
      </c>
      <c r="B81" s="52" t="s">
        <v>395</v>
      </c>
      <c r="C81" s="52" t="s">
        <v>408</v>
      </c>
      <c r="D81" s="52" t="s">
        <v>409</v>
      </c>
      <c r="E81" s="52" t="s">
        <v>480</v>
      </c>
      <c r="F81" s="52" t="s">
        <v>101</v>
      </c>
      <c r="G81" s="52" t="s">
        <v>492</v>
      </c>
      <c r="H81" s="52" t="n">
        <v>1</v>
      </c>
    </row>
    <row r="82" customFormat="false" ht="15" hidden="false" customHeight="true" outlineLevel="0" collapsed="false">
      <c r="A82" s="52" t="n">
        <v>81</v>
      </c>
      <c r="B82" s="52" t="s">
        <v>395</v>
      </c>
      <c r="C82" s="52" t="s">
        <v>408</v>
      </c>
      <c r="D82" s="52" t="s">
        <v>409</v>
      </c>
      <c r="E82" s="52" t="s">
        <v>480</v>
      </c>
      <c r="F82" s="52" t="s">
        <v>86</v>
      </c>
      <c r="G82" s="52" t="s">
        <v>493</v>
      </c>
      <c r="H82" s="52" t="n">
        <v>1</v>
      </c>
    </row>
    <row r="83" customFormat="false" ht="15" hidden="false" customHeight="true" outlineLevel="0" collapsed="false">
      <c r="A83" s="52" t="n">
        <v>82</v>
      </c>
      <c r="B83" s="52" t="s">
        <v>395</v>
      </c>
      <c r="C83" s="52" t="s">
        <v>408</v>
      </c>
      <c r="D83" s="52" t="s">
        <v>494</v>
      </c>
      <c r="E83" s="52" t="s">
        <v>495</v>
      </c>
      <c r="F83" s="52" t="s">
        <v>331</v>
      </c>
      <c r="G83" s="52" t="s">
        <v>463</v>
      </c>
      <c r="H83" s="52" t="n">
        <v>0</v>
      </c>
    </row>
    <row r="84" customFormat="false" ht="15" hidden="false" customHeight="true" outlineLevel="0" collapsed="false">
      <c r="A84" s="52" t="n">
        <v>83</v>
      </c>
      <c r="B84" s="52" t="s">
        <v>395</v>
      </c>
      <c r="C84" s="52" t="s">
        <v>408</v>
      </c>
      <c r="D84" s="52" t="s">
        <v>494</v>
      </c>
      <c r="E84" s="52" t="s">
        <v>495</v>
      </c>
      <c r="F84" s="52" t="s">
        <v>74</v>
      </c>
      <c r="G84" s="52" t="s">
        <v>496</v>
      </c>
      <c r="H84" s="52" t="n">
        <v>1</v>
      </c>
    </row>
    <row r="85" customFormat="false" ht="15" hidden="false" customHeight="true" outlineLevel="0" collapsed="false">
      <c r="A85" s="52" t="n">
        <v>84</v>
      </c>
      <c r="B85" s="52" t="s">
        <v>395</v>
      </c>
      <c r="C85" s="52" t="s">
        <v>408</v>
      </c>
      <c r="D85" s="52" t="s">
        <v>494</v>
      </c>
      <c r="E85" s="52" t="s">
        <v>495</v>
      </c>
      <c r="F85" s="52" t="s">
        <v>74</v>
      </c>
      <c r="G85" s="52" t="s">
        <v>497</v>
      </c>
      <c r="H85" s="52" t="n">
        <v>1</v>
      </c>
    </row>
    <row r="86" customFormat="false" ht="15" hidden="false" customHeight="true" outlineLevel="0" collapsed="false">
      <c r="A86" s="52" t="n">
        <v>85</v>
      </c>
      <c r="B86" s="52" t="s">
        <v>395</v>
      </c>
      <c r="C86" s="52" t="s">
        <v>408</v>
      </c>
      <c r="D86" s="52" t="s">
        <v>494</v>
      </c>
      <c r="E86" s="52" t="s">
        <v>495</v>
      </c>
      <c r="F86" s="52" t="s">
        <v>74</v>
      </c>
      <c r="G86" s="52" t="s">
        <v>498</v>
      </c>
      <c r="H86" s="52" t="n">
        <v>1</v>
      </c>
    </row>
    <row r="87" customFormat="false" ht="15" hidden="false" customHeight="true" outlineLevel="0" collapsed="false">
      <c r="A87" s="52" t="n">
        <v>86</v>
      </c>
      <c r="B87" s="52" t="s">
        <v>395</v>
      </c>
      <c r="C87" s="52" t="s">
        <v>408</v>
      </c>
      <c r="D87" s="52" t="s">
        <v>494</v>
      </c>
      <c r="E87" s="52" t="s">
        <v>495</v>
      </c>
      <c r="F87" s="52" t="s">
        <v>36</v>
      </c>
      <c r="G87" s="52" t="s">
        <v>499</v>
      </c>
      <c r="H87" s="52" t="n">
        <v>1</v>
      </c>
    </row>
    <row r="88" customFormat="false" ht="15" hidden="false" customHeight="true" outlineLevel="0" collapsed="false">
      <c r="A88" s="52" t="n">
        <v>87</v>
      </c>
      <c r="B88" s="52" t="s">
        <v>395</v>
      </c>
      <c r="C88" s="52" t="s">
        <v>408</v>
      </c>
      <c r="D88" s="52" t="s">
        <v>494</v>
      </c>
      <c r="E88" s="52" t="s">
        <v>495</v>
      </c>
      <c r="F88" s="52" t="s">
        <v>259</v>
      </c>
      <c r="G88" s="52" t="s">
        <v>500</v>
      </c>
      <c r="H88" s="52" t="n">
        <v>1</v>
      </c>
    </row>
    <row r="89" customFormat="false" ht="15" hidden="false" customHeight="true" outlineLevel="0" collapsed="false">
      <c r="A89" s="52" t="n">
        <v>88</v>
      </c>
      <c r="B89" s="52" t="s">
        <v>395</v>
      </c>
      <c r="C89" s="52" t="s">
        <v>408</v>
      </c>
      <c r="D89" s="52" t="s">
        <v>494</v>
      </c>
      <c r="E89" s="52" t="s">
        <v>495</v>
      </c>
      <c r="F89" s="52" t="s">
        <v>259</v>
      </c>
      <c r="G89" s="52" t="s">
        <v>501</v>
      </c>
      <c r="H89" s="52" t="n">
        <v>1</v>
      </c>
    </row>
    <row r="90" customFormat="false" ht="15" hidden="false" customHeight="true" outlineLevel="0" collapsed="false">
      <c r="A90" s="52" t="n">
        <v>89</v>
      </c>
      <c r="B90" s="52" t="s">
        <v>395</v>
      </c>
      <c r="C90" s="52" t="s">
        <v>408</v>
      </c>
      <c r="D90" s="52" t="s">
        <v>494</v>
      </c>
      <c r="E90" s="52" t="s">
        <v>495</v>
      </c>
      <c r="F90" s="52" t="s">
        <v>52</v>
      </c>
      <c r="G90" s="52" t="s">
        <v>502</v>
      </c>
      <c r="H90" s="52" t="n">
        <v>1</v>
      </c>
    </row>
    <row r="91" customFormat="false" ht="15" hidden="false" customHeight="true" outlineLevel="0" collapsed="false">
      <c r="A91" s="52" t="n">
        <v>90</v>
      </c>
      <c r="B91" s="52" t="s">
        <v>395</v>
      </c>
      <c r="C91" s="52" t="s">
        <v>408</v>
      </c>
      <c r="D91" s="52" t="s">
        <v>494</v>
      </c>
      <c r="E91" s="52" t="s">
        <v>495</v>
      </c>
      <c r="F91" s="52" t="s">
        <v>21</v>
      </c>
      <c r="G91" s="52" t="s">
        <v>503</v>
      </c>
      <c r="H91" s="52" t="n">
        <v>1</v>
      </c>
    </row>
    <row r="92" customFormat="false" ht="15" hidden="false" customHeight="true" outlineLevel="0" collapsed="false">
      <c r="A92" s="52" t="n">
        <v>91</v>
      </c>
      <c r="B92" s="52" t="s">
        <v>395</v>
      </c>
      <c r="C92" s="52" t="s">
        <v>408</v>
      </c>
      <c r="D92" s="52" t="s">
        <v>494</v>
      </c>
      <c r="E92" s="52" t="s">
        <v>495</v>
      </c>
      <c r="F92" s="52" t="s">
        <v>21</v>
      </c>
      <c r="G92" s="52" t="s">
        <v>504</v>
      </c>
      <c r="H92" s="52" t="n">
        <v>1</v>
      </c>
    </row>
    <row r="93" customFormat="false" ht="15" hidden="false" customHeight="true" outlineLevel="0" collapsed="false">
      <c r="A93" s="52" t="n">
        <v>92</v>
      </c>
      <c r="B93" s="52" t="s">
        <v>395</v>
      </c>
      <c r="C93" s="52" t="s">
        <v>408</v>
      </c>
      <c r="D93" s="52" t="s">
        <v>494</v>
      </c>
      <c r="E93" s="52" t="s">
        <v>495</v>
      </c>
      <c r="F93" s="52" t="s">
        <v>123</v>
      </c>
      <c r="G93" s="52" t="s">
        <v>505</v>
      </c>
      <c r="H93" s="52" t="n">
        <v>1</v>
      </c>
    </row>
    <row r="94" customFormat="false" ht="15" hidden="false" customHeight="true" outlineLevel="0" collapsed="false">
      <c r="A94" s="52" t="n">
        <v>93</v>
      </c>
      <c r="B94" s="52" t="s">
        <v>395</v>
      </c>
      <c r="C94" s="52" t="s">
        <v>408</v>
      </c>
      <c r="D94" s="52" t="s">
        <v>494</v>
      </c>
      <c r="E94" s="52" t="s">
        <v>495</v>
      </c>
      <c r="F94" s="52" t="s">
        <v>123</v>
      </c>
      <c r="G94" s="52" t="s">
        <v>506</v>
      </c>
      <c r="H94" s="52" t="n">
        <v>1</v>
      </c>
    </row>
    <row r="95" customFormat="false" ht="15" hidden="false" customHeight="true" outlineLevel="0" collapsed="false">
      <c r="A95" s="52" t="n">
        <v>94</v>
      </c>
      <c r="B95" s="52" t="s">
        <v>395</v>
      </c>
      <c r="C95" s="52" t="s">
        <v>408</v>
      </c>
      <c r="D95" s="52" t="s">
        <v>494</v>
      </c>
      <c r="E95" s="52" t="s">
        <v>495</v>
      </c>
      <c r="F95" s="52" t="s">
        <v>13</v>
      </c>
      <c r="G95" s="52" t="s">
        <v>507</v>
      </c>
      <c r="H95" s="52" t="n">
        <v>1</v>
      </c>
    </row>
    <row r="96" customFormat="false" ht="15" hidden="false" customHeight="true" outlineLevel="0" collapsed="false">
      <c r="A96" s="52" t="n">
        <v>95</v>
      </c>
      <c r="B96" s="52" t="s">
        <v>395</v>
      </c>
      <c r="C96" s="52" t="s">
        <v>408</v>
      </c>
      <c r="D96" s="52" t="s">
        <v>494</v>
      </c>
      <c r="E96" s="52" t="s">
        <v>495</v>
      </c>
      <c r="F96" s="52" t="s">
        <v>101</v>
      </c>
      <c r="G96" s="52" t="s">
        <v>508</v>
      </c>
      <c r="H96" s="52" t="n">
        <v>1</v>
      </c>
    </row>
    <row r="97" customFormat="false" ht="15" hidden="false" customHeight="true" outlineLevel="0" collapsed="false">
      <c r="A97" s="52" t="n">
        <v>96</v>
      </c>
      <c r="B97" s="52" t="s">
        <v>395</v>
      </c>
      <c r="C97" s="52" t="s">
        <v>408</v>
      </c>
      <c r="D97" s="52" t="s">
        <v>494</v>
      </c>
      <c r="E97" s="52" t="s">
        <v>495</v>
      </c>
      <c r="F97" s="52" t="s">
        <v>86</v>
      </c>
      <c r="G97" s="52" t="s">
        <v>509</v>
      </c>
      <c r="H97" s="52" t="n">
        <v>1</v>
      </c>
    </row>
    <row r="98" customFormat="false" ht="15" hidden="false" customHeight="true" outlineLevel="0" collapsed="false">
      <c r="A98" s="52" t="n">
        <v>97</v>
      </c>
      <c r="B98" s="52" t="s">
        <v>395</v>
      </c>
      <c r="C98" s="52" t="s">
        <v>408</v>
      </c>
      <c r="D98" s="52" t="s">
        <v>510</v>
      </c>
      <c r="E98" s="52" t="s">
        <v>511</v>
      </c>
      <c r="F98" s="52" t="s">
        <v>331</v>
      </c>
      <c r="G98" s="52" t="s">
        <v>512</v>
      </c>
      <c r="H98" s="52" t="n">
        <v>1</v>
      </c>
    </row>
    <row r="99" customFormat="false" ht="15" hidden="false" customHeight="true" outlineLevel="0" collapsed="false">
      <c r="A99" s="52" t="n">
        <v>98</v>
      </c>
      <c r="B99" s="52" t="s">
        <v>395</v>
      </c>
      <c r="C99" s="52" t="s">
        <v>408</v>
      </c>
      <c r="D99" s="52" t="s">
        <v>510</v>
      </c>
      <c r="E99" s="52" t="s">
        <v>511</v>
      </c>
      <c r="F99" s="52" t="s">
        <v>331</v>
      </c>
      <c r="G99" s="52" t="s">
        <v>513</v>
      </c>
      <c r="H99" s="52" t="n">
        <v>1</v>
      </c>
    </row>
    <row r="100" customFormat="false" ht="15" hidden="false" customHeight="true" outlineLevel="0" collapsed="false">
      <c r="A100" s="52" t="n">
        <v>99</v>
      </c>
      <c r="B100" s="52" t="s">
        <v>395</v>
      </c>
      <c r="C100" s="52" t="s">
        <v>408</v>
      </c>
      <c r="D100" s="52" t="s">
        <v>510</v>
      </c>
      <c r="E100" s="52" t="s">
        <v>511</v>
      </c>
      <c r="F100" s="52" t="s">
        <v>74</v>
      </c>
      <c r="G100" s="52" t="s">
        <v>514</v>
      </c>
      <c r="H100" s="52" t="n">
        <v>1</v>
      </c>
    </row>
    <row r="101" customFormat="false" ht="15" hidden="false" customHeight="true" outlineLevel="0" collapsed="false">
      <c r="A101" s="52" t="n">
        <v>100</v>
      </c>
      <c r="B101" s="52" t="s">
        <v>395</v>
      </c>
      <c r="C101" s="52" t="s">
        <v>408</v>
      </c>
      <c r="D101" s="52" t="s">
        <v>510</v>
      </c>
      <c r="E101" s="52" t="s">
        <v>511</v>
      </c>
      <c r="F101" s="52" t="s">
        <v>74</v>
      </c>
      <c r="G101" s="52" t="s">
        <v>515</v>
      </c>
      <c r="H101" s="52" t="n">
        <v>1</v>
      </c>
    </row>
    <row r="102" customFormat="false" ht="15" hidden="false" customHeight="true" outlineLevel="0" collapsed="false">
      <c r="A102" s="52" t="n">
        <v>101</v>
      </c>
      <c r="B102" s="52" t="s">
        <v>395</v>
      </c>
      <c r="C102" s="52" t="s">
        <v>408</v>
      </c>
      <c r="D102" s="52" t="s">
        <v>510</v>
      </c>
      <c r="E102" s="52" t="s">
        <v>511</v>
      </c>
      <c r="F102" s="52" t="s">
        <v>259</v>
      </c>
      <c r="G102" s="52" t="s">
        <v>516</v>
      </c>
      <c r="H102" s="52" t="n">
        <v>1</v>
      </c>
    </row>
    <row r="103" customFormat="false" ht="15" hidden="false" customHeight="true" outlineLevel="0" collapsed="false">
      <c r="A103" s="52" t="n">
        <v>102</v>
      </c>
      <c r="B103" s="52" t="s">
        <v>395</v>
      </c>
      <c r="C103" s="52" t="s">
        <v>408</v>
      </c>
      <c r="D103" s="52" t="s">
        <v>510</v>
      </c>
      <c r="E103" s="52" t="s">
        <v>511</v>
      </c>
      <c r="F103" s="52" t="s">
        <v>21</v>
      </c>
      <c r="G103" s="52" t="s">
        <v>517</v>
      </c>
      <c r="H103" s="52" t="n">
        <v>1</v>
      </c>
    </row>
    <row r="104" customFormat="false" ht="15" hidden="false" customHeight="true" outlineLevel="0" collapsed="false">
      <c r="A104" s="52" t="n">
        <v>103</v>
      </c>
      <c r="B104" s="52" t="s">
        <v>395</v>
      </c>
      <c r="C104" s="52" t="s">
        <v>408</v>
      </c>
      <c r="D104" s="52" t="s">
        <v>510</v>
      </c>
      <c r="E104" s="52" t="s">
        <v>511</v>
      </c>
      <c r="F104" s="52" t="s">
        <v>123</v>
      </c>
      <c r="G104" s="52" t="s">
        <v>518</v>
      </c>
      <c r="H104" s="52" t="n">
        <v>1</v>
      </c>
    </row>
    <row r="105" customFormat="false" ht="15" hidden="false" customHeight="true" outlineLevel="0" collapsed="false">
      <c r="A105" s="52" t="n">
        <v>104</v>
      </c>
      <c r="B105" s="52" t="s">
        <v>395</v>
      </c>
      <c r="C105" s="52" t="s">
        <v>408</v>
      </c>
      <c r="D105" s="52" t="s">
        <v>510</v>
      </c>
      <c r="E105" s="52" t="s">
        <v>511</v>
      </c>
      <c r="F105" s="52" t="s">
        <v>13</v>
      </c>
      <c r="G105" s="52" t="s">
        <v>519</v>
      </c>
      <c r="H105" s="52" t="n">
        <v>1</v>
      </c>
    </row>
    <row r="106" customFormat="false" ht="15" hidden="false" customHeight="true" outlineLevel="0" collapsed="false">
      <c r="A106" s="52" t="n">
        <v>105</v>
      </c>
      <c r="B106" s="52" t="s">
        <v>395</v>
      </c>
      <c r="C106" s="52" t="s">
        <v>408</v>
      </c>
      <c r="D106" s="52" t="s">
        <v>510</v>
      </c>
      <c r="E106" s="52" t="s">
        <v>511</v>
      </c>
      <c r="F106" s="52" t="s">
        <v>101</v>
      </c>
      <c r="G106" s="52" t="s">
        <v>520</v>
      </c>
      <c r="H106" s="52" t="n">
        <v>1</v>
      </c>
    </row>
    <row r="107" customFormat="false" ht="15" hidden="false" customHeight="true" outlineLevel="0" collapsed="false">
      <c r="A107" s="52" t="n">
        <v>106</v>
      </c>
      <c r="B107" s="52" t="s">
        <v>395</v>
      </c>
      <c r="C107" s="52" t="s">
        <v>408</v>
      </c>
      <c r="D107" s="52" t="s">
        <v>510</v>
      </c>
      <c r="E107" s="52" t="s">
        <v>511</v>
      </c>
      <c r="F107" s="52" t="s">
        <v>86</v>
      </c>
      <c r="G107" s="52" t="s">
        <v>521</v>
      </c>
      <c r="H107" s="52" t="n">
        <v>1</v>
      </c>
    </row>
    <row r="108" customFormat="false" ht="15" hidden="false" customHeight="true" outlineLevel="0" collapsed="false">
      <c r="A108" s="52" t="n">
        <v>107</v>
      </c>
      <c r="B108" s="52" t="s">
        <v>395</v>
      </c>
      <c r="C108" s="52" t="s">
        <v>408</v>
      </c>
      <c r="D108" s="52" t="s">
        <v>510</v>
      </c>
      <c r="E108" s="52" t="s">
        <v>522</v>
      </c>
      <c r="F108" s="52" t="s">
        <v>331</v>
      </c>
      <c r="G108" s="52" t="s">
        <v>523</v>
      </c>
      <c r="H108" s="52" t="n">
        <v>1</v>
      </c>
    </row>
    <row r="109" customFormat="false" ht="15" hidden="false" customHeight="true" outlineLevel="0" collapsed="false">
      <c r="A109" s="52" t="n">
        <v>108</v>
      </c>
      <c r="B109" s="52" t="s">
        <v>395</v>
      </c>
      <c r="C109" s="52" t="s">
        <v>408</v>
      </c>
      <c r="D109" s="52" t="s">
        <v>510</v>
      </c>
      <c r="E109" s="52" t="s">
        <v>522</v>
      </c>
      <c r="F109" s="52" t="s">
        <v>74</v>
      </c>
      <c r="G109" s="52" t="s">
        <v>524</v>
      </c>
      <c r="H109" s="52" t="n">
        <v>1</v>
      </c>
    </row>
    <row r="110" customFormat="false" ht="15" hidden="false" customHeight="true" outlineLevel="0" collapsed="false">
      <c r="A110" s="52" t="n">
        <v>109</v>
      </c>
      <c r="B110" s="52" t="s">
        <v>395</v>
      </c>
      <c r="C110" s="52" t="s">
        <v>408</v>
      </c>
      <c r="D110" s="52" t="s">
        <v>510</v>
      </c>
      <c r="E110" s="52" t="s">
        <v>522</v>
      </c>
      <c r="F110" s="52" t="s">
        <v>74</v>
      </c>
      <c r="G110" s="52" t="s">
        <v>525</v>
      </c>
      <c r="H110" s="52" t="n">
        <v>1</v>
      </c>
    </row>
    <row r="111" customFormat="false" ht="15" hidden="false" customHeight="true" outlineLevel="0" collapsed="false">
      <c r="A111" s="52" t="n">
        <v>110</v>
      </c>
      <c r="B111" s="52" t="s">
        <v>395</v>
      </c>
      <c r="C111" s="52" t="s">
        <v>408</v>
      </c>
      <c r="D111" s="52" t="s">
        <v>510</v>
      </c>
      <c r="E111" s="52" t="s">
        <v>522</v>
      </c>
      <c r="F111" s="52" t="s">
        <v>74</v>
      </c>
      <c r="G111" s="52" t="s">
        <v>526</v>
      </c>
      <c r="H111" s="52" t="n">
        <v>1</v>
      </c>
    </row>
    <row r="112" customFormat="false" ht="15" hidden="false" customHeight="true" outlineLevel="0" collapsed="false">
      <c r="A112" s="52" t="n">
        <v>111</v>
      </c>
      <c r="B112" s="52" t="s">
        <v>395</v>
      </c>
      <c r="C112" s="52" t="s">
        <v>408</v>
      </c>
      <c r="D112" s="52" t="s">
        <v>510</v>
      </c>
      <c r="E112" s="52" t="s">
        <v>522</v>
      </c>
      <c r="F112" s="52" t="s">
        <v>259</v>
      </c>
      <c r="G112" s="52" t="s">
        <v>527</v>
      </c>
      <c r="H112" s="52" t="n">
        <v>1</v>
      </c>
    </row>
    <row r="113" customFormat="false" ht="15" hidden="false" customHeight="true" outlineLevel="0" collapsed="false">
      <c r="A113" s="52" t="n">
        <v>112</v>
      </c>
      <c r="B113" s="52" t="s">
        <v>395</v>
      </c>
      <c r="C113" s="52" t="s">
        <v>408</v>
      </c>
      <c r="D113" s="52" t="s">
        <v>510</v>
      </c>
      <c r="E113" s="52" t="s">
        <v>522</v>
      </c>
      <c r="F113" s="52" t="s">
        <v>259</v>
      </c>
      <c r="G113" s="52" t="s">
        <v>528</v>
      </c>
      <c r="H113" s="52" t="n">
        <v>1</v>
      </c>
    </row>
    <row r="114" customFormat="false" ht="15" hidden="false" customHeight="true" outlineLevel="0" collapsed="false">
      <c r="A114" s="52" t="n">
        <v>113</v>
      </c>
      <c r="B114" s="52" t="s">
        <v>395</v>
      </c>
      <c r="C114" s="52" t="s">
        <v>408</v>
      </c>
      <c r="D114" s="52" t="s">
        <v>510</v>
      </c>
      <c r="E114" s="52" t="s">
        <v>522</v>
      </c>
      <c r="F114" s="52" t="s">
        <v>52</v>
      </c>
      <c r="G114" s="52" t="s">
        <v>529</v>
      </c>
      <c r="H114" s="52" t="n">
        <v>1</v>
      </c>
    </row>
    <row r="115" customFormat="false" ht="15" hidden="false" customHeight="true" outlineLevel="0" collapsed="false">
      <c r="A115" s="52" t="n">
        <v>114</v>
      </c>
      <c r="B115" s="52" t="s">
        <v>395</v>
      </c>
      <c r="C115" s="52" t="s">
        <v>408</v>
      </c>
      <c r="D115" s="52" t="s">
        <v>510</v>
      </c>
      <c r="E115" s="52" t="s">
        <v>522</v>
      </c>
      <c r="F115" s="52" t="s">
        <v>21</v>
      </c>
      <c r="G115" s="52" t="s">
        <v>530</v>
      </c>
      <c r="H115" s="52" t="n">
        <v>1</v>
      </c>
    </row>
    <row r="116" customFormat="false" ht="15" hidden="false" customHeight="true" outlineLevel="0" collapsed="false">
      <c r="A116" s="52" t="n">
        <v>115</v>
      </c>
      <c r="B116" s="52" t="s">
        <v>395</v>
      </c>
      <c r="C116" s="52" t="s">
        <v>408</v>
      </c>
      <c r="D116" s="52" t="s">
        <v>510</v>
      </c>
      <c r="E116" s="52" t="s">
        <v>522</v>
      </c>
      <c r="F116" s="52" t="s">
        <v>21</v>
      </c>
      <c r="G116" s="52" t="s">
        <v>531</v>
      </c>
      <c r="H116" s="52" t="n">
        <v>1</v>
      </c>
    </row>
    <row r="117" customFormat="false" ht="15" hidden="false" customHeight="true" outlineLevel="0" collapsed="false">
      <c r="A117" s="52" t="n">
        <v>116</v>
      </c>
      <c r="B117" s="52" t="s">
        <v>395</v>
      </c>
      <c r="C117" s="52" t="s">
        <v>408</v>
      </c>
      <c r="D117" s="52" t="s">
        <v>510</v>
      </c>
      <c r="E117" s="52" t="s">
        <v>522</v>
      </c>
      <c r="F117" s="52" t="s">
        <v>21</v>
      </c>
      <c r="G117" s="52" t="s">
        <v>532</v>
      </c>
      <c r="H117" s="52" t="n">
        <v>1</v>
      </c>
    </row>
    <row r="118" customFormat="false" ht="15" hidden="false" customHeight="true" outlineLevel="0" collapsed="false">
      <c r="A118" s="52" t="n">
        <v>117</v>
      </c>
      <c r="B118" s="52" t="s">
        <v>395</v>
      </c>
      <c r="C118" s="52" t="s">
        <v>408</v>
      </c>
      <c r="D118" s="52" t="s">
        <v>510</v>
      </c>
      <c r="E118" s="52" t="s">
        <v>522</v>
      </c>
      <c r="F118" s="52" t="s">
        <v>123</v>
      </c>
      <c r="G118" s="52" t="s">
        <v>533</v>
      </c>
      <c r="H118" s="52" t="n">
        <v>1</v>
      </c>
    </row>
    <row r="119" customFormat="false" ht="15" hidden="false" customHeight="true" outlineLevel="0" collapsed="false">
      <c r="A119" s="52" t="n">
        <v>118</v>
      </c>
      <c r="B119" s="52" t="s">
        <v>395</v>
      </c>
      <c r="C119" s="52" t="s">
        <v>408</v>
      </c>
      <c r="D119" s="52" t="s">
        <v>510</v>
      </c>
      <c r="E119" s="52" t="s">
        <v>522</v>
      </c>
      <c r="F119" s="52" t="s">
        <v>123</v>
      </c>
      <c r="G119" s="52" t="s">
        <v>534</v>
      </c>
      <c r="H119" s="52" t="n">
        <v>1</v>
      </c>
    </row>
    <row r="120" customFormat="false" ht="15" hidden="false" customHeight="true" outlineLevel="0" collapsed="false">
      <c r="A120" s="52" t="n">
        <v>119</v>
      </c>
      <c r="B120" s="52" t="s">
        <v>395</v>
      </c>
      <c r="C120" s="52" t="s">
        <v>408</v>
      </c>
      <c r="D120" s="52" t="s">
        <v>510</v>
      </c>
      <c r="E120" s="52" t="s">
        <v>522</v>
      </c>
      <c r="F120" s="52" t="s">
        <v>13</v>
      </c>
      <c r="G120" s="52" t="s">
        <v>535</v>
      </c>
      <c r="H120" s="52" t="n">
        <v>1</v>
      </c>
    </row>
    <row r="121" customFormat="false" ht="15" hidden="false" customHeight="true" outlineLevel="0" collapsed="false">
      <c r="A121" s="52" t="n">
        <v>120</v>
      </c>
      <c r="B121" s="52" t="s">
        <v>395</v>
      </c>
      <c r="C121" s="52" t="s">
        <v>408</v>
      </c>
      <c r="D121" s="52" t="s">
        <v>510</v>
      </c>
      <c r="E121" s="52" t="s">
        <v>522</v>
      </c>
      <c r="F121" s="52" t="s">
        <v>13</v>
      </c>
      <c r="G121" s="52" t="s">
        <v>536</v>
      </c>
      <c r="H121" s="52" t="n">
        <v>1</v>
      </c>
    </row>
    <row r="122" customFormat="false" ht="15" hidden="false" customHeight="true" outlineLevel="0" collapsed="false">
      <c r="A122" s="52" t="n">
        <v>121</v>
      </c>
      <c r="B122" s="52" t="s">
        <v>395</v>
      </c>
      <c r="C122" s="52" t="s">
        <v>408</v>
      </c>
      <c r="D122" s="52" t="s">
        <v>510</v>
      </c>
      <c r="E122" s="52" t="s">
        <v>522</v>
      </c>
      <c r="F122" s="52" t="s">
        <v>101</v>
      </c>
      <c r="G122" s="52" t="s">
        <v>537</v>
      </c>
      <c r="H122" s="52" t="n">
        <v>1</v>
      </c>
    </row>
    <row r="123" customFormat="false" ht="15" hidden="false" customHeight="true" outlineLevel="0" collapsed="false">
      <c r="A123" s="52" t="n">
        <v>122</v>
      </c>
      <c r="B123" s="52" t="s">
        <v>395</v>
      </c>
      <c r="C123" s="52" t="s">
        <v>408</v>
      </c>
      <c r="D123" s="52" t="s">
        <v>510</v>
      </c>
      <c r="E123" s="52" t="s">
        <v>522</v>
      </c>
      <c r="F123" s="52" t="s">
        <v>101</v>
      </c>
      <c r="G123" s="52" t="s">
        <v>538</v>
      </c>
      <c r="H123" s="52" t="n">
        <v>1</v>
      </c>
    </row>
    <row r="124" customFormat="false" ht="15" hidden="false" customHeight="true" outlineLevel="0" collapsed="false">
      <c r="A124" s="52" t="n">
        <v>123</v>
      </c>
      <c r="B124" s="52" t="s">
        <v>395</v>
      </c>
      <c r="C124" s="52" t="s">
        <v>408</v>
      </c>
      <c r="D124" s="52" t="s">
        <v>510</v>
      </c>
      <c r="E124" s="52" t="s">
        <v>522</v>
      </c>
      <c r="F124" s="52" t="s">
        <v>86</v>
      </c>
      <c r="G124" s="52" t="s">
        <v>539</v>
      </c>
      <c r="H124" s="52" t="n">
        <v>1</v>
      </c>
    </row>
    <row r="125" customFormat="false" ht="15" hidden="false" customHeight="true" outlineLevel="0" collapsed="false">
      <c r="A125" s="52" t="n">
        <v>124</v>
      </c>
      <c r="B125" s="52" t="s">
        <v>395</v>
      </c>
      <c r="C125" s="52" t="s">
        <v>408</v>
      </c>
      <c r="D125" s="52" t="s">
        <v>510</v>
      </c>
      <c r="E125" s="52" t="s">
        <v>522</v>
      </c>
      <c r="F125" s="52" t="s">
        <v>86</v>
      </c>
      <c r="G125" s="52" t="s">
        <v>540</v>
      </c>
      <c r="H125" s="52" t="n">
        <v>1</v>
      </c>
    </row>
    <row r="126" customFormat="false" ht="15" hidden="false" customHeight="true" outlineLevel="0" collapsed="false">
      <c r="A126" s="52" t="n">
        <v>125</v>
      </c>
      <c r="B126" s="52" t="s">
        <v>395</v>
      </c>
      <c r="C126" s="52" t="s">
        <v>408</v>
      </c>
      <c r="D126" s="52" t="s">
        <v>510</v>
      </c>
      <c r="E126" s="52" t="s">
        <v>541</v>
      </c>
      <c r="F126" s="52" t="s">
        <v>331</v>
      </c>
      <c r="G126" s="52" t="s">
        <v>542</v>
      </c>
      <c r="H126" s="52" t="n">
        <v>0</v>
      </c>
    </row>
    <row r="127" customFormat="false" ht="15" hidden="false" customHeight="true" outlineLevel="0" collapsed="false">
      <c r="A127" s="52" t="n">
        <v>126</v>
      </c>
      <c r="B127" s="52" t="s">
        <v>395</v>
      </c>
      <c r="C127" s="52" t="s">
        <v>408</v>
      </c>
      <c r="D127" s="52" t="s">
        <v>510</v>
      </c>
      <c r="E127" s="52" t="s">
        <v>541</v>
      </c>
      <c r="F127" s="52" t="s">
        <v>74</v>
      </c>
      <c r="G127" s="52" t="s">
        <v>542</v>
      </c>
      <c r="H127" s="52" t="n">
        <v>0</v>
      </c>
    </row>
    <row r="128" customFormat="false" ht="15" hidden="false" customHeight="true" outlineLevel="0" collapsed="false">
      <c r="A128" s="52" t="n">
        <v>127</v>
      </c>
      <c r="B128" s="52" t="s">
        <v>395</v>
      </c>
      <c r="C128" s="52" t="s">
        <v>408</v>
      </c>
      <c r="D128" s="52" t="s">
        <v>510</v>
      </c>
      <c r="E128" s="52" t="s">
        <v>541</v>
      </c>
      <c r="F128" s="52" t="s">
        <v>36</v>
      </c>
      <c r="G128" s="52" t="s">
        <v>543</v>
      </c>
      <c r="H128" s="52" t="n">
        <v>1</v>
      </c>
    </row>
    <row r="129" customFormat="false" ht="15" hidden="false" customHeight="true" outlineLevel="0" collapsed="false">
      <c r="A129" s="52" t="n">
        <v>128</v>
      </c>
      <c r="B129" s="52" t="s">
        <v>395</v>
      </c>
      <c r="C129" s="52" t="s">
        <v>408</v>
      </c>
      <c r="D129" s="52" t="s">
        <v>510</v>
      </c>
      <c r="E129" s="52" t="s">
        <v>541</v>
      </c>
      <c r="F129" s="52" t="s">
        <v>259</v>
      </c>
      <c r="G129" s="52" t="s">
        <v>544</v>
      </c>
      <c r="H129" s="52" t="n">
        <v>1</v>
      </c>
    </row>
    <row r="130" customFormat="false" ht="15" hidden="false" customHeight="true" outlineLevel="0" collapsed="false">
      <c r="A130" s="52" t="n">
        <v>129</v>
      </c>
      <c r="B130" s="52" t="s">
        <v>395</v>
      </c>
      <c r="C130" s="52" t="s">
        <v>408</v>
      </c>
      <c r="D130" s="52" t="s">
        <v>510</v>
      </c>
      <c r="E130" s="52" t="s">
        <v>541</v>
      </c>
      <c r="F130" s="52" t="s">
        <v>259</v>
      </c>
      <c r="G130" s="52" t="s">
        <v>545</v>
      </c>
      <c r="H130" s="52" t="n">
        <v>1</v>
      </c>
    </row>
    <row r="131" customFormat="false" ht="15" hidden="false" customHeight="true" outlineLevel="0" collapsed="false">
      <c r="A131" s="52" t="n">
        <v>130</v>
      </c>
      <c r="B131" s="52" t="s">
        <v>395</v>
      </c>
      <c r="C131" s="52" t="s">
        <v>408</v>
      </c>
      <c r="D131" s="52" t="s">
        <v>510</v>
      </c>
      <c r="E131" s="52" t="s">
        <v>541</v>
      </c>
      <c r="F131" s="52" t="s">
        <v>52</v>
      </c>
      <c r="G131" s="52" t="s">
        <v>546</v>
      </c>
      <c r="H131" s="52" t="n">
        <v>1</v>
      </c>
    </row>
    <row r="132" customFormat="false" ht="15" hidden="false" customHeight="true" outlineLevel="0" collapsed="false">
      <c r="A132" s="52" t="n">
        <v>131</v>
      </c>
      <c r="B132" s="52" t="s">
        <v>395</v>
      </c>
      <c r="C132" s="52" t="s">
        <v>408</v>
      </c>
      <c r="D132" s="52" t="s">
        <v>510</v>
      </c>
      <c r="E132" s="52" t="s">
        <v>541</v>
      </c>
      <c r="F132" s="52" t="s">
        <v>52</v>
      </c>
      <c r="G132" s="52" t="s">
        <v>547</v>
      </c>
      <c r="H132" s="52" t="n">
        <v>1</v>
      </c>
    </row>
    <row r="133" customFormat="false" ht="15" hidden="false" customHeight="true" outlineLevel="0" collapsed="false">
      <c r="A133" s="52" t="n">
        <v>132</v>
      </c>
      <c r="B133" s="52" t="s">
        <v>395</v>
      </c>
      <c r="C133" s="52" t="s">
        <v>408</v>
      </c>
      <c r="D133" s="52" t="s">
        <v>510</v>
      </c>
      <c r="E133" s="52" t="s">
        <v>541</v>
      </c>
      <c r="F133" s="52" t="s">
        <v>21</v>
      </c>
      <c r="G133" s="52" t="s">
        <v>548</v>
      </c>
      <c r="H133" s="52" t="n">
        <v>1</v>
      </c>
    </row>
    <row r="134" customFormat="false" ht="15" hidden="false" customHeight="true" outlineLevel="0" collapsed="false">
      <c r="A134" s="52" t="n">
        <v>133</v>
      </c>
      <c r="B134" s="52" t="s">
        <v>395</v>
      </c>
      <c r="C134" s="52" t="s">
        <v>408</v>
      </c>
      <c r="D134" s="52" t="s">
        <v>510</v>
      </c>
      <c r="E134" s="52" t="s">
        <v>541</v>
      </c>
      <c r="F134" s="52" t="s">
        <v>21</v>
      </c>
      <c r="G134" s="52" t="s">
        <v>549</v>
      </c>
      <c r="H134" s="52" t="n">
        <v>1</v>
      </c>
    </row>
    <row r="135" customFormat="false" ht="15" hidden="false" customHeight="true" outlineLevel="0" collapsed="false">
      <c r="A135" s="52" t="n">
        <v>134</v>
      </c>
      <c r="B135" s="52" t="s">
        <v>395</v>
      </c>
      <c r="C135" s="52" t="s">
        <v>408</v>
      </c>
      <c r="D135" s="52" t="s">
        <v>510</v>
      </c>
      <c r="E135" s="52" t="s">
        <v>541</v>
      </c>
      <c r="F135" s="52" t="s">
        <v>21</v>
      </c>
      <c r="G135" s="52" t="s">
        <v>550</v>
      </c>
      <c r="H135" s="52" t="n">
        <v>1</v>
      </c>
    </row>
    <row r="136" customFormat="false" ht="15" hidden="false" customHeight="true" outlineLevel="0" collapsed="false">
      <c r="A136" s="52" t="n">
        <v>135</v>
      </c>
      <c r="B136" s="52" t="s">
        <v>395</v>
      </c>
      <c r="C136" s="52" t="s">
        <v>408</v>
      </c>
      <c r="D136" s="52" t="s">
        <v>510</v>
      </c>
      <c r="E136" s="52" t="s">
        <v>541</v>
      </c>
      <c r="F136" s="52" t="s">
        <v>21</v>
      </c>
      <c r="G136" s="52" t="s">
        <v>551</v>
      </c>
      <c r="H136" s="52" t="n">
        <v>1</v>
      </c>
    </row>
    <row r="137" customFormat="false" ht="15" hidden="false" customHeight="true" outlineLevel="0" collapsed="false">
      <c r="A137" s="52" t="n">
        <v>136</v>
      </c>
      <c r="B137" s="52" t="s">
        <v>395</v>
      </c>
      <c r="C137" s="52" t="s">
        <v>408</v>
      </c>
      <c r="D137" s="52" t="s">
        <v>510</v>
      </c>
      <c r="E137" s="52" t="s">
        <v>541</v>
      </c>
      <c r="F137" s="52" t="s">
        <v>123</v>
      </c>
      <c r="G137" s="52" t="s">
        <v>552</v>
      </c>
      <c r="H137" s="52" t="n">
        <v>1</v>
      </c>
    </row>
    <row r="138" customFormat="false" ht="15" hidden="false" customHeight="true" outlineLevel="0" collapsed="false">
      <c r="A138" s="52" t="n">
        <v>137</v>
      </c>
      <c r="B138" s="52" t="s">
        <v>395</v>
      </c>
      <c r="C138" s="52" t="s">
        <v>408</v>
      </c>
      <c r="D138" s="52" t="s">
        <v>510</v>
      </c>
      <c r="E138" s="52" t="s">
        <v>541</v>
      </c>
      <c r="F138" s="52" t="s">
        <v>123</v>
      </c>
      <c r="G138" s="52" t="s">
        <v>553</v>
      </c>
      <c r="H138" s="52" t="n">
        <v>1</v>
      </c>
    </row>
    <row r="139" customFormat="false" ht="15" hidden="false" customHeight="true" outlineLevel="0" collapsed="false">
      <c r="A139" s="52" t="n">
        <v>138</v>
      </c>
      <c r="B139" s="52" t="s">
        <v>395</v>
      </c>
      <c r="C139" s="52" t="s">
        <v>408</v>
      </c>
      <c r="D139" s="52" t="s">
        <v>510</v>
      </c>
      <c r="E139" s="52" t="s">
        <v>541</v>
      </c>
      <c r="F139" s="52" t="s">
        <v>13</v>
      </c>
      <c r="G139" s="52" t="s">
        <v>554</v>
      </c>
      <c r="H139" s="52" t="n">
        <v>1</v>
      </c>
    </row>
    <row r="140" customFormat="false" ht="15" hidden="false" customHeight="true" outlineLevel="0" collapsed="false">
      <c r="A140" s="52" t="n">
        <v>139</v>
      </c>
      <c r="B140" s="52" t="s">
        <v>395</v>
      </c>
      <c r="C140" s="52" t="s">
        <v>408</v>
      </c>
      <c r="D140" s="52" t="s">
        <v>510</v>
      </c>
      <c r="E140" s="52" t="s">
        <v>541</v>
      </c>
      <c r="F140" s="52" t="s">
        <v>13</v>
      </c>
      <c r="G140" s="52" t="s">
        <v>555</v>
      </c>
      <c r="H140" s="52" t="n">
        <v>1</v>
      </c>
    </row>
    <row r="141" customFormat="false" ht="15" hidden="false" customHeight="true" outlineLevel="0" collapsed="false">
      <c r="A141" s="52" t="n">
        <v>140</v>
      </c>
      <c r="B141" s="52" t="s">
        <v>395</v>
      </c>
      <c r="C141" s="52" t="s">
        <v>408</v>
      </c>
      <c r="D141" s="52" t="s">
        <v>510</v>
      </c>
      <c r="E141" s="52" t="s">
        <v>541</v>
      </c>
      <c r="F141" s="52" t="s">
        <v>13</v>
      </c>
      <c r="G141" s="52" t="s">
        <v>556</v>
      </c>
      <c r="H141" s="52" t="n">
        <v>1</v>
      </c>
    </row>
    <row r="142" customFormat="false" ht="15" hidden="false" customHeight="true" outlineLevel="0" collapsed="false">
      <c r="A142" s="52" t="n">
        <v>141</v>
      </c>
      <c r="B142" s="52" t="s">
        <v>395</v>
      </c>
      <c r="C142" s="52" t="s">
        <v>408</v>
      </c>
      <c r="D142" s="52" t="s">
        <v>510</v>
      </c>
      <c r="E142" s="52" t="s">
        <v>541</v>
      </c>
      <c r="F142" s="52" t="s">
        <v>101</v>
      </c>
      <c r="G142" s="52" t="s">
        <v>557</v>
      </c>
      <c r="H142" s="52" t="n">
        <v>1</v>
      </c>
    </row>
    <row r="143" customFormat="false" ht="15" hidden="false" customHeight="true" outlineLevel="0" collapsed="false">
      <c r="A143" s="52" t="n">
        <v>142</v>
      </c>
      <c r="B143" s="52" t="s">
        <v>395</v>
      </c>
      <c r="C143" s="52" t="s">
        <v>408</v>
      </c>
      <c r="D143" s="52" t="s">
        <v>510</v>
      </c>
      <c r="E143" s="52" t="s">
        <v>541</v>
      </c>
      <c r="F143" s="52" t="s">
        <v>101</v>
      </c>
      <c r="G143" s="52" t="s">
        <v>558</v>
      </c>
      <c r="H143" s="52" t="n">
        <v>1</v>
      </c>
    </row>
    <row r="144" customFormat="false" ht="15" hidden="false" customHeight="true" outlineLevel="0" collapsed="false">
      <c r="A144" s="52" t="n">
        <v>143</v>
      </c>
      <c r="B144" s="52" t="s">
        <v>395</v>
      </c>
      <c r="C144" s="52" t="s">
        <v>408</v>
      </c>
      <c r="D144" s="52" t="s">
        <v>510</v>
      </c>
      <c r="E144" s="52" t="s">
        <v>541</v>
      </c>
      <c r="F144" s="52" t="s">
        <v>101</v>
      </c>
      <c r="G144" s="52" t="s">
        <v>559</v>
      </c>
      <c r="H144" s="52" t="n">
        <v>1</v>
      </c>
    </row>
    <row r="145" customFormat="false" ht="15" hidden="false" customHeight="true" outlineLevel="0" collapsed="false">
      <c r="A145" s="52" t="n">
        <v>144</v>
      </c>
      <c r="B145" s="52" t="s">
        <v>395</v>
      </c>
      <c r="C145" s="52" t="s">
        <v>408</v>
      </c>
      <c r="D145" s="52" t="s">
        <v>510</v>
      </c>
      <c r="E145" s="52" t="s">
        <v>541</v>
      </c>
      <c r="F145" s="52" t="s">
        <v>101</v>
      </c>
      <c r="G145" s="52" t="s">
        <v>560</v>
      </c>
      <c r="H145" s="52" t="n">
        <v>1</v>
      </c>
    </row>
    <row r="146" customFormat="false" ht="15" hidden="false" customHeight="true" outlineLevel="0" collapsed="false">
      <c r="A146" s="52" t="n">
        <v>145</v>
      </c>
      <c r="B146" s="52" t="s">
        <v>395</v>
      </c>
      <c r="C146" s="52" t="s">
        <v>408</v>
      </c>
      <c r="D146" s="52" t="s">
        <v>510</v>
      </c>
      <c r="E146" s="52" t="s">
        <v>541</v>
      </c>
      <c r="F146" s="52" t="s">
        <v>86</v>
      </c>
      <c r="G146" s="52" t="s">
        <v>561</v>
      </c>
      <c r="H146" s="52" t="n">
        <v>1</v>
      </c>
    </row>
    <row r="147" customFormat="false" ht="15" hidden="false" customHeight="true" outlineLevel="0" collapsed="false">
      <c r="A147" s="52" t="n">
        <v>146</v>
      </c>
      <c r="B147" s="52" t="s">
        <v>395</v>
      </c>
      <c r="C147" s="52" t="s">
        <v>408</v>
      </c>
      <c r="D147" s="52" t="s">
        <v>510</v>
      </c>
      <c r="E147" s="52" t="s">
        <v>541</v>
      </c>
      <c r="F147" s="52" t="s">
        <v>86</v>
      </c>
      <c r="G147" s="52" t="s">
        <v>562</v>
      </c>
      <c r="H147" s="52" t="n">
        <v>1</v>
      </c>
    </row>
    <row r="148" customFormat="false" ht="15" hidden="false" customHeight="true" outlineLevel="0" collapsed="false">
      <c r="A148" s="52" t="n">
        <v>147</v>
      </c>
      <c r="B148" s="52" t="s">
        <v>395</v>
      </c>
      <c r="C148" s="52" t="s">
        <v>408</v>
      </c>
      <c r="D148" s="52" t="s">
        <v>510</v>
      </c>
      <c r="E148" s="52" t="s">
        <v>563</v>
      </c>
      <c r="F148" s="52" t="s">
        <v>331</v>
      </c>
      <c r="G148" s="52" t="s">
        <v>564</v>
      </c>
      <c r="H148" s="52" t="n">
        <v>1</v>
      </c>
    </row>
    <row r="149" customFormat="false" ht="15" hidden="false" customHeight="true" outlineLevel="0" collapsed="false">
      <c r="A149" s="52" t="n">
        <v>148</v>
      </c>
      <c r="B149" s="52" t="s">
        <v>395</v>
      </c>
      <c r="C149" s="52" t="s">
        <v>408</v>
      </c>
      <c r="D149" s="52" t="s">
        <v>510</v>
      </c>
      <c r="E149" s="52" t="s">
        <v>563</v>
      </c>
      <c r="F149" s="52" t="s">
        <v>74</v>
      </c>
      <c r="G149" s="52" t="s">
        <v>565</v>
      </c>
      <c r="H149" s="52" t="n">
        <v>1</v>
      </c>
    </row>
    <row r="150" customFormat="false" ht="15" hidden="false" customHeight="true" outlineLevel="0" collapsed="false">
      <c r="A150" s="52" t="n">
        <v>149</v>
      </c>
      <c r="B150" s="52" t="s">
        <v>395</v>
      </c>
      <c r="C150" s="52" t="s">
        <v>408</v>
      </c>
      <c r="D150" s="52" t="s">
        <v>510</v>
      </c>
      <c r="E150" s="52" t="s">
        <v>563</v>
      </c>
      <c r="F150" s="52" t="s">
        <v>36</v>
      </c>
      <c r="G150" s="52" t="s">
        <v>566</v>
      </c>
      <c r="H150" s="52" t="n">
        <v>1</v>
      </c>
    </row>
    <row r="151" customFormat="false" ht="15" hidden="false" customHeight="true" outlineLevel="0" collapsed="false">
      <c r="A151" s="52" t="n">
        <v>150</v>
      </c>
      <c r="B151" s="52" t="s">
        <v>395</v>
      </c>
      <c r="C151" s="52" t="s">
        <v>408</v>
      </c>
      <c r="D151" s="52" t="s">
        <v>510</v>
      </c>
      <c r="E151" s="52" t="s">
        <v>563</v>
      </c>
      <c r="F151" s="52" t="s">
        <v>36</v>
      </c>
      <c r="G151" s="52" t="s">
        <v>567</v>
      </c>
      <c r="H151" s="52" t="n">
        <v>1</v>
      </c>
    </row>
    <row r="152" customFormat="false" ht="15" hidden="false" customHeight="true" outlineLevel="0" collapsed="false">
      <c r="A152" s="52" t="n">
        <v>151</v>
      </c>
      <c r="B152" s="52" t="s">
        <v>395</v>
      </c>
      <c r="C152" s="52" t="s">
        <v>408</v>
      </c>
      <c r="D152" s="52" t="s">
        <v>510</v>
      </c>
      <c r="E152" s="52" t="s">
        <v>563</v>
      </c>
      <c r="F152" s="52" t="s">
        <v>259</v>
      </c>
      <c r="G152" s="52" t="s">
        <v>568</v>
      </c>
      <c r="H152" s="52" t="n">
        <v>1</v>
      </c>
    </row>
    <row r="153" customFormat="false" ht="15" hidden="false" customHeight="true" outlineLevel="0" collapsed="false">
      <c r="A153" s="52" t="n">
        <v>152</v>
      </c>
      <c r="B153" s="52" t="s">
        <v>395</v>
      </c>
      <c r="C153" s="52" t="s">
        <v>408</v>
      </c>
      <c r="D153" s="52" t="s">
        <v>510</v>
      </c>
      <c r="E153" s="52" t="s">
        <v>563</v>
      </c>
      <c r="F153" s="52" t="s">
        <v>259</v>
      </c>
      <c r="G153" s="52" t="s">
        <v>569</v>
      </c>
      <c r="H153" s="52" t="n">
        <v>1</v>
      </c>
    </row>
    <row r="154" customFormat="false" ht="15" hidden="false" customHeight="true" outlineLevel="0" collapsed="false">
      <c r="A154" s="52" t="n">
        <v>153</v>
      </c>
      <c r="B154" s="52" t="s">
        <v>395</v>
      </c>
      <c r="C154" s="52" t="s">
        <v>408</v>
      </c>
      <c r="D154" s="52" t="s">
        <v>510</v>
      </c>
      <c r="E154" s="52" t="s">
        <v>563</v>
      </c>
      <c r="F154" s="52" t="s">
        <v>259</v>
      </c>
      <c r="G154" s="52" t="s">
        <v>570</v>
      </c>
      <c r="H154" s="52" t="n">
        <v>1</v>
      </c>
    </row>
    <row r="155" customFormat="false" ht="15" hidden="false" customHeight="true" outlineLevel="0" collapsed="false">
      <c r="A155" s="52" t="n">
        <v>154</v>
      </c>
      <c r="B155" s="52" t="s">
        <v>395</v>
      </c>
      <c r="C155" s="52" t="s">
        <v>408</v>
      </c>
      <c r="D155" s="52" t="s">
        <v>510</v>
      </c>
      <c r="E155" s="52" t="s">
        <v>563</v>
      </c>
      <c r="F155" s="52" t="s">
        <v>52</v>
      </c>
      <c r="G155" s="52" t="s">
        <v>571</v>
      </c>
      <c r="H155" s="52" t="n">
        <v>1</v>
      </c>
    </row>
    <row r="156" customFormat="false" ht="15" hidden="false" customHeight="true" outlineLevel="0" collapsed="false">
      <c r="A156" s="52" t="n">
        <v>155</v>
      </c>
      <c r="B156" s="52" t="s">
        <v>395</v>
      </c>
      <c r="C156" s="52" t="s">
        <v>408</v>
      </c>
      <c r="D156" s="52" t="s">
        <v>510</v>
      </c>
      <c r="E156" s="52" t="s">
        <v>563</v>
      </c>
      <c r="F156" s="52" t="s">
        <v>52</v>
      </c>
      <c r="G156" s="52" t="s">
        <v>572</v>
      </c>
      <c r="H156" s="52" t="n">
        <v>1</v>
      </c>
    </row>
    <row r="157" customFormat="false" ht="15" hidden="false" customHeight="true" outlineLevel="0" collapsed="false">
      <c r="A157" s="52" t="n">
        <v>156</v>
      </c>
      <c r="B157" s="52" t="s">
        <v>395</v>
      </c>
      <c r="C157" s="52" t="s">
        <v>408</v>
      </c>
      <c r="D157" s="52" t="s">
        <v>510</v>
      </c>
      <c r="E157" s="52" t="s">
        <v>563</v>
      </c>
      <c r="F157" s="52" t="s">
        <v>52</v>
      </c>
      <c r="G157" s="52" t="s">
        <v>573</v>
      </c>
      <c r="H157" s="52" t="n">
        <v>1</v>
      </c>
    </row>
    <row r="158" customFormat="false" ht="15" hidden="false" customHeight="true" outlineLevel="0" collapsed="false">
      <c r="A158" s="52" t="n">
        <v>157</v>
      </c>
      <c r="B158" s="52" t="s">
        <v>395</v>
      </c>
      <c r="C158" s="52" t="s">
        <v>408</v>
      </c>
      <c r="D158" s="52" t="s">
        <v>510</v>
      </c>
      <c r="E158" s="52" t="s">
        <v>563</v>
      </c>
      <c r="F158" s="52" t="s">
        <v>52</v>
      </c>
      <c r="G158" s="52" t="s">
        <v>574</v>
      </c>
      <c r="H158" s="52" t="n">
        <v>1</v>
      </c>
    </row>
    <row r="159" customFormat="false" ht="15" hidden="false" customHeight="true" outlineLevel="0" collapsed="false">
      <c r="A159" s="52" t="n">
        <v>158</v>
      </c>
      <c r="B159" s="52" t="s">
        <v>395</v>
      </c>
      <c r="C159" s="52" t="s">
        <v>408</v>
      </c>
      <c r="D159" s="52" t="s">
        <v>510</v>
      </c>
      <c r="E159" s="52" t="s">
        <v>563</v>
      </c>
      <c r="F159" s="52" t="s">
        <v>21</v>
      </c>
      <c r="G159" s="52" t="s">
        <v>575</v>
      </c>
      <c r="H159" s="52" t="n">
        <v>1</v>
      </c>
    </row>
    <row r="160" customFormat="false" ht="15" hidden="false" customHeight="true" outlineLevel="0" collapsed="false">
      <c r="A160" s="52" t="n">
        <v>159</v>
      </c>
      <c r="B160" s="52" t="s">
        <v>395</v>
      </c>
      <c r="C160" s="52" t="s">
        <v>408</v>
      </c>
      <c r="D160" s="52" t="s">
        <v>510</v>
      </c>
      <c r="E160" s="52" t="s">
        <v>563</v>
      </c>
      <c r="F160" s="52" t="s">
        <v>21</v>
      </c>
      <c r="G160" s="52" t="s">
        <v>576</v>
      </c>
      <c r="H160" s="52" t="n">
        <v>1</v>
      </c>
    </row>
    <row r="161" customFormat="false" ht="15" hidden="false" customHeight="true" outlineLevel="0" collapsed="false">
      <c r="A161" s="52" t="n">
        <v>160</v>
      </c>
      <c r="B161" s="52" t="s">
        <v>395</v>
      </c>
      <c r="C161" s="52" t="s">
        <v>408</v>
      </c>
      <c r="D161" s="52" t="s">
        <v>510</v>
      </c>
      <c r="E161" s="52" t="s">
        <v>563</v>
      </c>
      <c r="F161" s="52" t="s">
        <v>21</v>
      </c>
      <c r="G161" s="52" t="s">
        <v>577</v>
      </c>
      <c r="H161" s="52" t="n">
        <v>1</v>
      </c>
    </row>
    <row r="162" customFormat="false" ht="15" hidden="false" customHeight="true" outlineLevel="0" collapsed="false">
      <c r="A162" s="52" t="n">
        <v>161</v>
      </c>
      <c r="B162" s="52" t="s">
        <v>395</v>
      </c>
      <c r="C162" s="52" t="s">
        <v>408</v>
      </c>
      <c r="D162" s="52" t="s">
        <v>510</v>
      </c>
      <c r="E162" s="52" t="s">
        <v>563</v>
      </c>
      <c r="F162" s="52" t="s">
        <v>123</v>
      </c>
      <c r="G162" s="52" t="s">
        <v>578</v>
      </c>
      <c r="H162" s="52" t="n">
        <v>1</v>
      </c>
    </row>
    <row r="163" customFormat="false" ht="15" hidden="false" customHeight="true" outlineLevel="0" collapsed="false">
      <c r="A163" s="52" t="n">
        <v>162</v>
      </c>
      <c r="B163" s="52" t="s">
        <v>395</v>
      </c>
      <c r="C163" s="52" t="s">
        <v>408</v>
      </c>
      <c r="D163" s="52" t="s">
        <v>510</v>
      </c>
      <c r="E163" s="52" t="s">
        <v>563</v>
      </c>
      <c r="F163" s="52" t="s">
        <v>123</v>
      </c>
      <c r="G163" s="52" t="s">
        <v>579</v>
      </c>
      <c r="H163" s="52" t="n">
        <v>1</v>
      </c>
    </row>
    <row r="164" customFormat="false" ht="15" hidden="false" customHeight="true" outlineLevel="0" collapsed="false">
      <c r="A164" s="52" t="n">
        <v>163</v>
      </c>
      <c r="B164" s="52" t="s">
        <v>395</v>
      </c>
      <c r="C164" s="52" t="s">
        <v>408</v>
      </c>
      <c r="D164" s="52" t="s">
        <v>510</v>
      </c>
      <c r="E164" s="52" t="s">
        <v>563</v>
      </c>
      <c r="F164" s="52" t="s">
        <v>123</v>
      </c>
      <c r="G164" s="52" t="s">
        <v>580</v>
      </c>
      <c r="H164" s="52" t="n">
        <v>1</v>
      </c>
    </row>
    <row r="165" customFormat="false" ht="15" hidden="false" customHeight="true" outlineLevel="0" collapsed="false">
      <c r="A165" s="52" t="n">
        <v>164</v>
      </c>
      <c r="B165" s="52" t="s">
        <v>395</v>
      </c>
      <c r="C165" s="52" t="s">
        <v>408</v>
      </c>
      <c r="D165" s="52" t="s">
        <v>510</v>
      </c>
      <c r="E165" s="52" t="s">
        <v>563</v>
      </c>
      <c r="F165" s="52" t="s">
        <v>123</v>
      </c>
      <c r="G165" s="52" t="s">
        <v>581</v>
      </c>
      <c r="H165" s="52" t="n">
        <v>1</v>
      </c>
    </row>
    <row r="166" customFormat="false" ht="15" hidden="false" customHeight="true" outlineLevel="0" collapsed="false">
      <c r="A166" s="52" t="n">
        <v>165</v>
      </c>
      <c r="B166" s="52" t="s">
        <v>395</v>
      </c>
      <c r="C166" s="52" t="s">
        <v>408</v>
      </c>
      <c r="D166" s="52" t="s">
        <v>510</v>
      </c>
      <c r="E166" s="52" t="s">
        <v>563</v>
      </c>
      <c r="F166" s="52" t="s">
        <v>13</v>
      </c>
      <c r="G166" s="52" t="s">
        <v>582</v>
      </c>
      <c r="H166" s="52" t="n">
        <v>1</v>
      </c>
    </row>
    <row r="167" customFormat="false" ht="15" hidden="false" customHeight="true" outlineLevel="0" collapsed="false">
      <c r="A167" s="52" t="n">
        <v>166</v>
      </c>
      <c r="B167" s="52" t="s">
        <v>395</v>
      </c>
      <c r="C167" s="52" t="s">
        <v>408</v>
      </c>
      <c r="D167" s="52" t="s">
        <v>510</v>
      </c>
      <c r="E167" s="52" t="s">
        <v>563</v>
      </c>
      <c r="F167" s="52" t="s">
        <v>13</v>
      </c>
      <c r="G167" s="52" t="s">
        <v>583</v>
      </c>
      <c r="H167" s="52" t="n">
        <v>1</v>
      </c>
    </row>
    <row r="168" customFormat="false" ht="15" hidden="false" customHeight="true" outlineLevel="0" collapsed="false">
      <c r="A168" s="52" t="n">
        <v>167</v>
      </c>
      <c r="B168" s="52" t="s">
        <v>395</v>
      </c>
      <c r="C168" s="52" t="s">
        <v>408</v>
      </c>
      <c r="D168" s="52" t="s">
        <v>510</v>
      </c>
      <c r="E168" s="52" t="s">
        <v>563</v>
      </c>
      <c r="F168" s="52" t="s">
        <v>13</v>
      </c>
      <c r="G168" s="52" t="s">
        <v>584</v>
      </c>
      <c r="H168" s="52" t="n">
        <v>1</v>
      </c>
    </row>
    <row r="169" customFormat="false" ht="15" hidden="false" customHeight="true" outlineLevel="0" collapsed="false">
      <c r="A169" s="52" t="n">
        <v>168</v>
      </c>
      <c r="B169" s="52" t="s">
        <v>395</v>
      </c>
      <c r="C169" s="52" t="s">
        <v>408</v>
      </c>
      <c r="D169" s="52" t="s">
        <v>510</v>
      </c>
      <c r="E169" s="52" t="s">
        <v>563</v>
      </c>
      <c r="F169" s="52" t="s">
        <v>13</v>
      </c>
      <c r="G169" s="52" t="s">
        <v>585</v>
      </c>
      <c r="H169" s="52" t="n">
        <v>1</v>
      </c>
    </row>
    <row r="170" customFormat="false" ht="15" hidden="false" customHeight="true" outlineLevel="0" collapsed="false">
      <c r="A170" s="52" t="n">
        <v>169</v>
      </c>
      <c r="B170" s="52" t="s">
        <v>395</v>
      </c>
      <c r="C170" s="52" t="s">
        <v>408</v>
      </c>
      <c r="D170" s="52" t="s">
        <v>510</v>
      </c>
      <c r="E170" s="52" t="s">
        <v>563</v>
      </c>
      <c r="F170" s="52" t="s">
        <v>13</v>
      </c>
      <c r="G170" s="52" t="s">
        <v>586</v>
      </c>
      <c r="H170" s="52" t="n">
        <v>1</v>
      </c>
    </row>
    <row r="171" customFormat="false" ht="15" hidden="false" customHeight="true" outlineLevel="0" collapsed="false">
      <c r="A171" s="52" t="n">
        <v>170</v>
      </c>
      <c r="B171" s="52" t="s">
        <v>395</v>
      </c>
      <c r="C171" s="52" t="s">
        <v>408</v>
      </c>
      <c r="D171" s="52" t="s">
        <v>510</v>
      </c>
      <c r="E171" s="52" t="s">
        <v>563</v>
      </c>
      <c r="F171" s="52" t="s">
        <v>101</v>
      </c>
      <c r="G171" s="52" t="s">
        <v>587</v>
      </c>
      <c r="H171" s="52" t="n">
        <v>1</v>
      </c>
    </row>
    <row r="172" customFormat="false" ht="15" hidden="false" customHeight="true" outlineLevel="0" collapsed="false">
      <c r="A172" s="52" t="n">
        <v>171</v>
      </c>
      <c r="B172" s="52" t="s">
        <v>395</v>
      </c>
      <c r="C172" s="52" t="s">
        <v>408</v>
      </c>
      <c r="D172" s="52" t="s">
        <v>510</v>
      </c>
      <c r="E172" s="52" t="s">
        <v>563</v>
      </c>
      <c r="F172" s="52" t="s">
        <v>101</v>
      </c>
      <c r="G172" s="52" t="s">
        <v>588</v>
      </c>
      <c r="H172" s="52" t="n">
        <v>1</v>
      </c>
    </row>
    <row r="173" customFormat="false" ht="15" hidden="false" customHeight="true" outlineLevel="0" collapsed="false">
      <c r="A173" s="52" t="n">
        <v>172</v>
      </c>
      <c r="B173" s="52" t="s">
        <v>395</v>
      </c>
      <c r="C173" s="52" t="s">
        <v>408</v>
      </c>
      <c r="D173" s="52" t="s">
        <v>510</v>
      </c>
      <c r="E173" s="52" t="s">
        <v>563</v>
      </c>
      <c r="F173" s="52" t="s">
        <v>86</v>
      </c>
      <c r="G173" s="52" t="s">
        <v>589</v>
      </c>
      <c r="H173" s="52" t="n">
        <v>1</v>
      </c>
    </row>
    <row r="174" customFormat="false" ht="15" hidden="false" customHeight="true" outlineLevel="0" collapsed="false">
      <c r="A174" s="52" t="n">
        <v>173</v>
      </c>
      <c r="B174" s="52" t="s">
        <v>395</v>
      </c>
      <c r="C174" s="52" t="s">
        <v>408</v>
      </c>
      <c r="D174" s="52" t="s">
        <v>510</v>
      </c>
      <c r="E174" s="52" t="s">
        <v>590</v>
      </c>
      <c r="F174" s="52" t="s">
        <v>331</v>
      </c>
      <c r="G174" s="52" t="s">
        <v>463</v>
      </c>
      <c r="H174" s="52" t="n">
        <v>0</v>
      </c>
    </row>
    <row r="175" customFormat="false" ht="15" hidden="false" customHeight="true" outlineLevel="0" collapsed="false">
      <c r="A175" s="52" t="n">
        <v>174</v>
      </c>
      <c r="B175" s="52" t="s">
        <v>395</v>
      </c>
      <c r="C175" s="52" t="s">
        <v>408</v>
      </c>
      <c r="D175" s="52" t="s">
        <v>510</v>
      </c>
      <c r="E175" s="52" t="s">
        <v>590</v>
      </c>
      <c r="F175" s="52" t="s">
        <v>74</v>
      </c>
      <c r="G175" s="52" t="s">
        <v>591</v>
      </c>
      <c r="H175" s="52" t="n">
        <v>1</v>
      </c>
    </row>
    <row r="176" customFormat="false" ht="15" hidden="false" customHeight="true" outlineLevel="0" collapsed="false">
      <c r="A176" s="52" t="n">
        <v>175</v>
      </c>
      <c r="B176" s="52" t="s">
        <v>395</v>
      </c>
      <c r="C176" s="52" t="s">
        <v>408</v>
      </c>
      <c r="D176" s="52" t="s">
        <v>510</v>
      </c>
      <c r="E176" s="52" t="s">
        <v>590</v>
      </c>
      <c r="F176" s="52" t="s">
        <v>259</v>
      </c>
      <c r="G176" s="52" t="s">
        <v>592</v>
      </c>
      <c r="H176" s="52" t="n">
        <v>1</v>
      </c>
    </row>
    <row r="177" customFormat="false" ht="15" hidden="false" customHeight="true" outlineLevel="0" collapsed="false">
      <c r="A177" s="52" t="n">
        <v>176</v>
      </c>
      <c r="B177" s="52" t="s">
        <v>395</v>
      </c>
      <c r="C177" s="52" t="s">
        <v>408</v>
      </c>
      <c r="D177" s="52" t="s">
        <v>510</v>
      </c>
      <c r="E177" s="52" t="s">
        <v>590</v>
      </c>
      <c r="F177" s="52" t="s">
        <v>52</v>
      </c>
      <c r="G177" s="52" t="s">
        <v>593</v>
      </c>
      <c r="H177" s="52" t="n">
        <v>1</v>
      </c>
    </row>
    <row r="178" customFormat="false" ht="15" hidden="false" customHeight="true" outlineLevel="0" collapsed="false">
      <c r="A178" s="52" t="n">
        <v>177</v>
      </c>
      <c r="B178" s="52" t="s">
        <v>395</v>
      </c>
      <c r="C178" s="52" t="s">
        <v>408</v>
      </c>
      <c r="D178" s="52" t="s">
        <v>510</v>
      </c>
      <c r="E178" s="52" t="s">
        <v>590</v>
      </c>
      <c r="F178" s="52" t="s">
        <v>21</v>
      </c>
      <c r="G178" s="52" t="s">
        <v>594</v>
      </c>
      <c r="H178" s="52" t="n">
        <v>1</v>
      </c>
    </row>
    <row r="179" customFormat="false" ht="15" hidden="false" customHeight="true" outlineLevel="0" collapsed="false">
      <c r="A179" s="52" t="n">
        <v>178</v>
      </c>
      <c r="B179" s="52" t="s">
        <v>395</v>
      </c>
      <c r="C179" s="52" t="s">
        <v>408</v>
      </c>
      <c r="D179" s="52" t="s">
        <v>510</v>
      </c>
      <c r="E179" s="52" t="s">
        <v>590</v>
      </c>
      <c r="F179" s="52" t="s">
        <v>21</v>
      </c>
      <c r="G179" s="52" t="s">
        <v>595</v>
      </c>
      <c r="H179" s="52" t="n">
        <v>1</v>
      </c>
    </row>
    <row r="180" customFormat="false" ht="15" hidden="false" customHeight="true" outlineLevel="0" collapsed="false">
      <c r="A180" s="52" t="n">
        <v>179</v>
      </c>
      <c r="B180" s="52" t="s">
        <v>395</v>
      </c>
      <c r="C180" s="52" t="s">
        <v>408</v>
      </c>
      <c r="D180" s="52" t="s">
        <v>510</v>
      </c>
      <c r="E180" s="52" t="s">
        <v>590</v>
      </c>
      <c r="F180" s="52" t="s">
        <v>21</v>
      </c>
      <c r="G180" s="52" t="s">
        <v>596</v>
      </c>
      <c r="H180" s="52" t="n">
        <v>1</v>
      </c>
    </row>
    <row r="181" customFormat="false" ht="15" hidden="false" customHeight="true" outlineLevel="0" collapsed="false">
      <c r="A181" s="52" t="n">
        <v>180</v>
      </c>
      <c r="B181" s="52" t="s">
        <v>395</v>
      </c>
      <c r="C181" s="52" t="s">
        <v>408</v>
      </c>
      <c r="D181" s="52" t="s">
        <v>510</v>
      </c>
      <c r="E181" s="52" t="s">
        <v>590</v>
      </c>
      <c r="F181" s="52" t="s">
        <v>123</v>
      </c>
      <c r="G181" s="52" t="s">
        <v>597</v>
      </c>
      <c r="H181" s="52" t="n">
        <v>1</v>
      </c>
    </row>
    <row r="182" customFormat="false" ht="15" hidden="false" customHeight="true" outlineLevel="0" collapsed="false">
      <c r="A182" s="52" t="n">
        <v>181</v>
      </c>
      <c r="B182" s="52" t="s">
        <v>395</v>
      </c>
      <c r="C182" s="52" t="s">
        <v>408</v>
      </c>
      <c r="D182" s="52" t="s">
        <v>510</v>
      </c>
      <c r="E182" s="52" t="s">
        <v>590</v>
      </c>
      <c r="F182" s="52" t="s">
        <v>123</v>
      </c>
      <c r="G182" s="52" t="s">
        <v>598</v>
      </c>
      <c r="H182" s="52" t="n">
        <v>1</v>
      </c>
    </row>
    <row r="183" customFormat="false" ht="15" hidden="false" customHeight="true" outlineLevel="0" collapsed="false">
      <c r="A183" s="52" t="n">
        <v>182</v>
      </c>
      <c r="B183" s="52" t="s">
        <v>395</v>
      </c>
      <c r="C183" s="52" t="s">
        <v>408</v>
      </c>
      <c r="D183" s="52" t="s">
        <v>510</v>
      </c>
      <c r="E183" s="52" t="s">
        <v>590</v>
      </c>
      <c r="F183" s="52" t="s">
        <v>13</v>
      </c>
      <c r="G183" s="52" t="s">
        <v>599</v>
      </c>
      <c r="H183" s="52" t="n">
        <v>1</v>
      </c>
    </row>
    <row r="184" customFormat="false" ht="15" hidden="false" customHeight="true" outlineLevel="0" collapsed="false">
      <c r="A184" s="52" t="n">
        <v>183</v>
      </c>
      <c r="B184" s="52" t="s">
        <v>395</v>
      </c>
      <c r="C184" s="52" t="s">
        <v>408</v>
      </c>
      <c r="D184" s="52" t="s">
        <v>510</v>
      </c>
      <c r="E184" s="52" t="s">
        <v>590</v>
      </c>
      <c r="F184" s="52" t="s">
        <v>13</v>
      </c>
      <c r="G184" s="52" t="s">
        <v>600</v>
      </c>
      <c r="H184" s="52" t="n">
        <v>1</v>
      </c>
    </row>
    <row r="185" customFormat="false" ht="15" hidden="false" customHeight="true" outlineLevel="0" collapsed="false">
      <c r="A185" s="52" t="n">
        <v>184</v>
      </c>
      <c r="B185" s="52" t="s">
        <v>395</v>
      </c>
      <c r="C185" s="52" t="s">
        <v>408</v>
      </c>
      <c r="D185" s="52" t="s">
        <v>510</v>
      </c>
      <c r="E185" s="52" t="s">
        <v>590</v>
      </c>
      <c r="F185" s="52" t="s">
        <v>13</v>
      </c>
      <c r="G185" s="52" t="s">
        <v>601</v>
      </c>
      <c r="H185" s="52" t="n">
        <v>1</v>
      </c>
    </row>
    <row r="186" customFormat="false" ht="15" hidden="false" customHeight="true" outlineLevel="0" collapsed="false">
      <c r="A186" s="52" t="n">
        <v>185</v>
      </c>
      <c r="B186" s="52" t="s">
        <v>395</v>
      </c>
      <c r="C186" s="52" t="s">
        <v>408</v>
      </c>
      <c r="D186" s="52" t="s">
        <v>510</v>
      </c>
      <c r="E186" s="52" t="s">
        <v>590</v>
      </c>
      <c r="F186" s="52" t="s">
        <v>13</v>
      </c>
      <c r="G186" s="52" t="s">
        <v>602</v>
      </c>
      <c r="H186" s="52" t="n">
        <v>1</v>
      </c>
    </row>
    <row r="187" customFormat="false" ht="15" hidden="false" customHeight="true" outlineLevel="0" collapsed="false">
      <c r="A187" s="52" t="n">
        <v>186</v>
      </c>
      <c r="B187" s="52" t="s">
        <v>395</v>
      </c>
      <c r="C187" s="52" t="s">
        <v>408</v>
      </c>
      <c r="D187" s="52" t="s">
        <v>510</v>
      </c>
      <c r="E187" s="52" t="s">
        <v>590</v>
      </c>
      <c r="F187" s="52" t="s">
        <v>101</v>
      </c>
      <c r="G187" s="52" t="s">
        <v>603</v>
      </c>
      <c r="H187" s="52" t="n">
        <v>1</v>
      </c>
    </row>
    <row r="188" customFormat="false" ht="15" hidden="false" customHeight="true" outlineLevel="0" collapsed="false">
      <c r="A188" s="52" t="n">
        <v>187</v>
      </c>
      <c r="B188" s="52" t="s">
        <v>395</v>
      </c>
      <c r="C188" s="52" t="s">
        <v>408</v>
      </c>
      <c r="D188" s="52" t="s">
        <v>510</v>
      </c>
      <c r="E188" s="52" t="s">
        <v>590</v>
      </c>
      <c r="F188" s="52" t="s">
        <v>86</v>
      </c>
      <c r="G188" s="52" t="s">
        <v>604</v>
      </c>
      <c r="H188" s="52" t="n">
        <v>1</v>
      </c>
    </row>
    <row r="189" customFormat="false" ht="15" hidden="false" customHeight="true" outlineLevel="0" collapsed="false">
      <c r="A189" s="52" t="n">
        <v>188</v>
      </c>
      <c r="B189" s="52" t="s">
        <v>395</v>
      </c>
      <c r="C189" s="52" t="s">
        <v>408</v>
      </c>
      <c r="D189" s="52" t="s">
        <v>510</v>
      </c>
      <c r="E189" s="52" t="s">
        <v>605</v>
      </c>
      <c r="F189" s="52" t="s">
        <v>331</v>
      </c>
      <c r="G189" s="52" t="s">
        <v>606</v>
      </c>
      <c r="H189" s="52" t="n">
        <v>1</v>
      </c>
    </row>
    <row r="190" customFormat="false" ht="15" hidden="false" customHeight="true" outlineLevel="0" collapsed="false">
      <c r="A190" s="52" t="n">
        <v>189</v>
      </c>
      <c r="B190" s="52" t="s">
        <v>395</v>
      </c>
      <c r="C190" s="52" t="s">
        <v>408</v>
      </c>
      <c r="D190" s="52" t="s">
        <v>510</v>
      </c>
      <c r="E190" s="52" t="s">
        <v>605</v>
      </c>
      <c r="F190" s="52" t="s">
        <v>74</v>
      </c>
      <c r="G190" s="52" t="s">
        <v>607</v>
      </c>
      <c r="H190" s="52" t="n">
        <v>1</v>
      </c>
    </row>
    <row r="191" customFormat="false" ht="15" hidden="false" customHeight="true" outlineLevel="0" collapsed="false">
      <c r="A191" s="52" t="n">
        <v>190</v>
      </c>
      <c r="B191" s="52" t="s">
        <v>395</v>
      </c>
      <c r="C191" s="52" t="s">
        <v>408</v>
      </c>
      <c r="D191" s="52" t="s">
        <v>510</v>
      </c>
      <c r="E191" s="52" t="s">
        <v>605</v>
      </c>
      <c r="F191" s="52" t="s">
        <v>74</v>
      </c>
      <c r="G191" s="52" t="s">
        <v>608</v>
      </c>
      <c r="H191" s="52" t="n">
        <v>1</v>
      </c>
    </row>
    <row r="192" customFormat="false" ht="15" hidden="false" customHeight="true" outlineLevel="0" collapsed="false">
      <c r="A192" s="52" t="n">
        <v>191</v>
      </c>
      <c r="B192" s="52" t="s">
        <v>395</v>
      </c>
      <c r="C192" s="52" t="s">
        <v>408</v>
      </c>
      <c r="D192" s="52" t="s">
        <v>510</v>
      </c>
      <c r="E192" s="52" t="s">
        <v>605</v>
      </c>
      <c r="F192" s="52" t="s">
        <v>259</v>
      </c>
      <c r="G192" s="52" t="s">
        <v>609</v>
      </c>
      <c r="H192" s="52" t="n">
        <v>1</v>
      </c>
    </row>
    <row r="193" customFormat="false" ht="15" hidden="false" customHeight="true" outlineLevel="0" collapsed="false">
      <c r="A193" s="52" t="n">
        <v>192</v>
      </c>
      <c r="B193" s="52" t="s">
        <v>395</v>
      </c>
      <c r="C193" s="52" t="s">
        <v>408</v>
      </c>
      <c r="D193" s="52" t="s">
        <v>510</v>
      </c>
      <c r="E193" s="52" t="s">
        <v>605</v>
      </c>
      <c r="F193" s="52" t="s">
        <v>259</v>
      </c>
      <c r="G193" s="52" t="s">
        <v>610</v>
      </c>
      <c r="H193" s="52" t="n">
        <v>1</v>
      </c>
    </row>
    <row r="194" customFormat="false" ht="15" hidden="false" customHeight="true" outlineLevel="0" collapsed="false">
      <c r="A194" s="52" t="n">
        <v>193</v>
      </c>
      <c r="B194" s="52" t="s">
        <v>395</v>
      </c>
      <c r="C194" s="52" t="s">
        <v>408</v>
      </c>
      <c r="D194" s="52" t="s">
        <v>510</v>
      </c>
      <c r="E194" s="52" t="s">
        <v>605</v>
      </c>
      <c r="F194" s="52" t="s">
        <v>52</v>
      </c>
      <c r="G194" s="52" t="s">
        <v>611</v>
      </c>
      <c r="H194" s="52" t="n">
        <v>1</v>
      </c>
    </row>
    <row r="195" customFormat="false" ht="15" hidden="false" customHeight="true" outlineLevel="0" collapsed="false">
      <c r="A195" s="52" t="n">
        <v>194</v>
      </c>
      <c r="B195" s="52" t="s">
        <v>395</v>
      </c>
      <c r="C195" s="52" t="s">
        <v>408</v>
      </c>
      <c r="D195" s="52" t="s">
        <v>510</v>
      </c>
      <c r="E195" s="52" t="s">
        <v>605</v>
      </c>
      <c r="F195" s="52" t="s">
        <v>52</v>
      </c>
      <c r="G195" s="52" t="s">
        <v>612</v>
      </c>
      <c r="H195" s="52" t="n">
        <v>1</v>
      </c>
    </row>
    <row r="196" customFormat="false" ht="15" hidden="false" customHeight="true" outlineLevel="0" collapsed="false">
      <c r="A196" s="52" t="n">
        <v>195</v>
      </c>
      <c r="B196" s="52" t="s">
        <v>395</v>
      </c>
      <c r="C196" s="52" t="s">
        <v>408</v>
      </c>
      <c r="D196" s="52" t="s">
        <v>510</v>
      </c>
      <c r="E196" s="52" t="s">
        <v>605</v>
      </c>
      <c r="F196" s="52" t="s">
        <v>21</v>
      </c>
      <c r="G196" s="52" t="s">
        <v>613</v>
      </c>
      <c r="H196" s="52" t="n">
        <v>1</v>
      </c>
    </row>
    <row r="197" customFormat="false" ht="15" hidden="false" customHeight="true" outlineLevel="0" collapsed="false">
      <c r="A197" s="52" t="n">
        <v>196</v>
      </c>
      <c r="B197" s="52" t="s">
        <v>395</v>
      </c>
      <c r="C197" s="52" t="s">
        <v>408</v>
      </c>
      <c r="D197" s="52" t="s">
        <v>510</v>
      </c>
      <c r="E197" s="52" t="s">
        <v>605</v>
      </c>
      <c r="F197" s="52" t="s">
        <v>21</v>
      </c>
      <c r="G197" s="52" t="s">
        <v>614</v>
      </c>
      <c r="H197" s="52" t="n">
        <v>1</v>
      </c>
    </row>
    <row r="198" customFormat="false" ht="15" hidden="false" customHeight="true" outlineLevel="0" collapsed="false">
      <c r="A198" s="52" t="n">
        <v>197</v>
      </c>
      <c r="B198" s="52" t="s">
        <v>395</v>
      </c>
      <c r="C198" s="52" t="s">
        <v>408</v>
      </c>
      <c r="D198" s="52" t="s">
        <v>510</v>
      </c>
      <c r="E198" s="52" t="s">
        <v>605</v>
      </c>
      <c r="F198" s="52" t="s">
        <v>21</v>
      </c>
      <c r="G198" s="52" t="s">
        <v>615</v>
      </c>
      <c r="H198" s="52" t="n">
        <v>1</v>
      </c>
    </row>
    <row r="199" customFormat="false" ht="15" hidden="false" customHeight="true" outlineLevel="0" collapsed="false">
      <c r="A199" s="52" t="n">
        <v>198</v>
      </c>
      <c r="B199" s="52" t="s">
        <v>395</v>
      </c>
      <c r="C199" s="52" t="s">
        <v>408</v>
      </c>
      <c r="D199" s="52" t="s">
        <v>510</v>
      </c>
      <c r="E199" s="52" t="s">
        <v>605</v>
      </c>
      <c r="F199" s="52" t="s">
        <v>123</v>
      </c>
      <c r="G199" s="52" t="s">
        <v>616</v>
      </c>
      <c r="H199" s="52" t="n">
        <v>1</v>
      </c>
    </row>
    <row r="200" customFormat="false" ht="15" hidden="false" customHeight="true" outlineLevel="0" collapsed="false">
      <c r="A200" s="52" t="n">
        <v>199</v>
      </c>
      <c r="B200" s="52" t="s">
        <v>395</v>
      </c>
      <c r="C200" s="52" t="s">
        <v>408</v>
      </c>
      <c r="D200" s="52" t="s">
        <v>510</v>
      </c>
      <c r="E200" s="52" t="s">
        <v>605</v>
      </c>
      <c r="F200" s="52" t="s">
        <v>123</v>
      </c>
      <c r="G200" s="52" t="s">
        <v>617</v>
      </c>
      <c r="H200" s="52" t="n">
        <v>1</v>
      </c>
    </row>
    <row r="201" customFormat="false" ht="15" hidden="false" customHeight="true" outlineLevel="0" collapsed="false">
      <c r="A201" s="52" t="n">
        <v>200</v>
      </c>
      <c r="B201" s="52" t="s">
        <v>395</v>
      </c>
      <c r="C201" s="52" t="s">
        <v>408</v>
      </c>
      <c r="D201" s="52" t="s">
        <v>510</v>
      </c>
      <c r="E201" s="52" t="s">
        <v>605</v>
      </c>
      <c r="F201" s="52" t="s">
        <v>13</v>
      </c>
      <c r="G201" s="52" t="s">
        <v>618</v>
      </c>
      <c r="H201" s="52" t="n">
        <v>1</v>
      </c>
    </row>
    <row r="202" customFormat="false" ht="15" hidden="false" customHeight="true" outlineLevel="0" collapsed="false">
      <c r="A202" s="52" t="n">
        <v>201</v>
      </c>
      <c r="B202" s="52" t="s">
        <v>395</v>
      </c>
      <c r="C202" s="52" t="s">
        <v>408</v>
      </c>
      <c r="D202" s="52" t="s">
        <v>510</v>
      </c>
      <c r="E202" s="52" t="s">
        <v>605</v>
      </c>
      <c r="F202" s="52" t="s">
        <v>13</v>
      </c>
      <c r="G202" s="52" t="s">
        <v>619</v>
      </c>
      <c r="H202" s="52" t="n">
        <v>1</v>
      </c>
    </row>
    <row r="203" customFormat="false" ht="15" hidden="false" customHeight="true" outlineLevel="0" collapsed="false">
      <c r="A203" s="52" t="n">
        <v>202</v>
      </c>
      <c r="B203" s="52" t="s">
        <v>395</v>
      </c>
      <c r="C203" s="52" t="s">
        <v>408</v>
      </c>
      <c r="D203" s="52" t="s">
        <v>510</v>
      </c>
      <c r="E203" s="52" t="s">
        <v>605</v>
      </c>
      <c r="F203" s="52" t="s">
        <v>13</v>
      </c>
      <c r="G203" s="52" t="s">
        <v>620</v>
      </c>
      <c r="H203" s="52" t="n">
        <v>1</v>
      </c>
    </row>
    <row r="204" customFormat="false" ht="15" hidden="false" customHeight="true" outlineLevel="0" collapsed="false">
      <c r="A204" s="52" t="n">
        <v>203</v>
      </c>
      <c r="B204" s="52" t="s">
        <v>395</v>
      </c>
      <c r="C204" s="52" t="s">
        <v>408</v>
      </c>
      <c r="D204" s="52" t="s">
        <v>510</v>
      </c>
      <c r="E204" s="52" t="s">
        <v>605</v>
      </c>
      <c r="F204" s="52" t="s">
        <v>13</v>
      </c>
      <c r="G204" s="52" t="s">
        <v>621</v>
      </c>
      <c r="H204" s="52" t="n">
        <v>1</v>
      </c>
    </row>
    <row r="205" customFormat="false" ht="15" hidden="false" customHeight="true" outlineLevel="0" collapsed="false">
      <c r="A205" s="52" t="n">
        <v>204</v>
      </c>
      <c r="B205" s="52" t="s">
        <v>395</v>
      </c>
      <c r="C205" s="52" t="s">
        <v>408</v>
      </c>
      <c r="D205" s="52" t="s">
        <v>510</v>
      </c>
      <c r="E205" s="52" t="s">
        <v>605</v>
      </c>
      <c r="F205" s="52" t="s">
        <v>101</v>
      </c>
      <c r="G205" s="52" t="s">
        <v>622</v>
      </c>
      <c r="H205" s="52" t="n">
        <v>1</v>
      </c>
    </row>
    <row r="206" customFormat="false" ht="15" hidden="false" customHeight="true" outlineLevel="0" collapsed="false">
      <c r="A206" s="52" t="n">
        <v>205</v>
      </c>
      <c r="B206" s="52" t="s">
        <v>395</v>
      </c>
      <c r="C206" s="52" t="s">
        <v>408</v>
      </c>
      <c r="D206" s="52" t="s">
        <v>510</v>
      </c>
      <c r="E206" s="52" t="s">
        <v>605</v>
      </c>
      <c r="F206" s="52" t="s">
        <v>101</v>
      </c>
      <c r="G206" s="52" t="s">
        <v>623</v>
      </c>
      <c r="H206" s="52" t="n">
        <v>1</v>
      </c>
    </row>
    <row r="207" customFormat="false" ht="15" hidden="false" customHeight="true" outlineLevel="0" collapsed="false">
      <c r="A207" s="52" t="n">
        <v>206</v>
      </c>
      <c r="B207" s="52" t="s">
        <v>395</v>
      </c>
      <c r="C207" s="52" t="s">
        <v>408</v>
      </c>
      <c r="D207" s="52" t="s">
        <v>510</v>
      </c>
      <c r="E207" s="52" t="s">
        <v>605</v>
      </c>
      <c r="F207" s="52" t="s">
        <v>86</v>
      </c>
      <c r="G207" s="52" t="s">
        <v>442</v>
      </c>
      <c r="H207" s="52" t="n">
        <v>0</v>
      </c>
    </row>
    <row r="208" customFormat="false" ht="15" hidden="false" customHeight="true" outlineLevel="0" collapsed="false">
      <c r="A208" s="52" t="n">
        <v>207</v>
      </c>
      <c r="B208" s="52" t="s">
        <v>396</v>
      </c>
      <c r="C208" s="52" t="s">
        <v>408</v>
      </c>
      <c r="D208" s="52" t="s">
        <v>624</v>
      </c>
      <c r="E208" s="52" t="s">
        <v>625</v>
      </c>
      <c r="F208" s="52" t="s">
        <v>331</v>
      </c>
      <c r="G208" s="52" t="s">
        <v>463</v>
      </c>
      <c r="H208" s="52" t="n">
        <v>0</v>
      </c>
    </row>
    <row r="209" customFormat="false" ht="15" hidden="false" customHeight="true" outlineLevel="0" collapsed="false">
      <c r="A209" s="52" t="n">
        <v>208</v>
      </c>
      <c r="B209" s="52" t="s">
        <v>396</v>
      </c>
      <c r="C209" s="52" t="s">
        <v>408</v>
      </c>
      <c r="D209" s="52" t="s">
        <v>624</v>
      </c>
      <c r="E209" s="52" t="s">
        <v>625</v>
      </c>
      <c r="F209" s="52" t="s">
        <v>74</v>
      </c>
      <c r="G209" s="52" t="s">
        <v>626</v>
      </c>
      <c r="H209" s="52" t="n">
        <v>1</v>
      </c>
    </row>
    <row r="210" customFormat="false" ht="15" hidden="false" customHeight="true" outlineLevel="0" collapsed="false">
      <c r="A210" s="52" t="n">
        <v>209</v>
      </c>
      <c r="B210" s="52" t="s">
        <v>396</v>
      </c>
      <c r="C210" s="52" t="s">
        <v>408</v>
      </c>
      <c r="D210" s="52" t="s">
        <v>624</v>
      </c>
      <c r="E210" s="52" t="s">
        <v>625</v>
      </c>
      <c r="F210" s="52" t="s">
        <v>259</v>
      </c>
      <c r="G210" s="52" t="s">
        <v>627</v>
      </c>
      <c r="H210" s="52" t="n">
        <v>1</v>
      </c>
    </row>
    <row r="211" customFormat="false" ht="15" hidden="false" customHeight="true" outlineLevel="0" collapsed="false">
      <c r="A211" s="52" t="n">
        <v>210</v>
      </c>
      <c r="B211" s="52" t="s">
        <v>396</v>
      </c>
      <c r="C211" s="52" t="s">
        <v>408</v>
      </c>
      <c r="D211" s="52" t="s">
        <v>624</v>
      </c>
      <c r="E211" s="52" t="s">
        <v>625</v>
      </c>
      <c r="F211" s="52" t="s">
        <v>52</v>
      </c>
      <c r="G211" s="52" t="s">
        <v>628</v>
      </c>
      <c r="H211" s="52" t="n">
        <v>1</v>
      </c>
    </row>
    <row r="212" customFormat="false" ht="15" hidden="false" customHeight="true" outlineLevel="0" collapsed="false">
      <c r="A212" s="52" t="n">
        <v>211</v>
      </c>
      <c r="B212" s="52" t="s">
        <v>396</v>
      </c>
      <c r="C212" s="52" t="s">
        <v>408</v>
      </c>
      <c r="D212" s="52" t="s">
        <v>624</v>
      </c>
      <c r="E212" s="52" t="s">
        <v>625</v>
      </c>
      <c r="F212" s="52" t="s">
        <v>52</v>
      </c>
      <c r="G212" s="52" t="s">
        <v>629</v>
      </c>
      <c r="H212" s="52" t="n">
        <v>1</v>
      </c>
    </row>
    <row r="213" customFormat="false" ht="15" hidden="false" customHeight="true" outlineLevel="0" collapsed="false">
      <c r="A213" s="52" t="n">
        <v>212</v>
      </c>
      <c r="B213" s="52" t="s">
        <v>396</v>
      </c>
      <c r="C213" s="52" t="s">
        <v>408</v>
      </c>
      <c r="D213" s="52" t="s">
        <v>624</v>
      </c>
      <c r="E213" s="52" t="s">
        <v>625</v>
      </c>
      <c r="F213" s="52" t="s">
        <v>52</v>
      </c>
      <c r="G213" s="52" t="s">
        <v>630</v>
      </c>
      <c r="H213" s="52" t="n">
        <v>1</v>
      </c>
    </row>
    <row r="214" customFormat="false" ht="15" hidden="false" customHeight="true" outlineLevel="0" collapsed="false">
      <c r="A214" s="52" t="n">
        <v>213</v>
      </c>
      <c r="B214" s="52" t="s">
        <v>396</v>
      </c>
      <c r="C214" s="52" t="s">
        <v>408</v>
      </c>
      <c r="D214" s="52" t="s">
        <v>624</v>
      </c>
      <c r="E214" s="52" t="s">
        <v>625</v>
      </c>
      <c r="F214" s="52" t="s">
        <v>52</v>
      </c>
      <c r="G214" s="52" t="s">
        <v>631</v>
      </c>
      <c r="H214" s="52" t="n">
        <v>1</v>
      </c>
    </row>
    <row r="215" customFormat="false" ht="15" hidden="false" customHeight="true" outlineLevel="0" collapsed="false">
      <c r="A215" s="52" t="n">
        <v>214</v>
      </c>
      <c r="B215" s="52" t="s">
        <v>396</v>
      </c>
      <c r="C215" s="52" t="s">
        <v>408</v>
      </c>
      <c r="D215" s="52" t="s">
        <v>624</v>
      </c>
      <c r="E215" s="52" t="s">
        <v>625</v>
      </c>
      <c r="F215" s="52" t="s">
        <v>21</v>
      </c>
      <c r="G215" s="52" t="s">
        <v>632</v>
      </c>
      <c r="H215" s="52" t="n">
        <v>1</v>
      </c>
    </row>
    <row r="216" customFormat="false" ht="15" hidden="false" customHeight="true" outlineLevel="0" collapsed="false">
      <c r="A216" s="52" t="n">
        <v>215</v>
      </c>
      <c r="B216" s="52" t="s">
        <v>396</v>
      </c>
      <c r="C216" s="52" t="s">
        <v>408</v>
      </c>
      <c r="D216" s="52" t="s">
        <v>624</v>
      </c>
      <c r="E216" s="52" t="s">
        <v>625</v>
      </c>
      <c r="F216" s="52" t="s">
        <v>21</v>
      </c>
      <c r="G216" s="52" t="s">
        <v>633</v>
      </c>
      <c r="H216" s="52" t="n">
        <v>1</v>
      </c>
    </row>
    <row r="217" customFormat="false" ht="15" hidden="false" customHeight="true" outlineLevel="0" collapsed="false">
      <c r="A217" s="52" t="n">
        <v>216</v>
      </c>
      <c r="B217" s="52" t="s">
        <v>396</v>
      </c>
      <c r="C217" s="52" t="s">
        <v>408</v>
      </c>
      <c r="D217" s="52" t="s">
        <v>624</v>
      </c>
      <c r="E217" s="52" t="s">
        <v>625</v>
      </c>
      <c r="F217" s="52" t="s">
        <v>21</v>
      </c>
      <c r="G217" s="52" t="s">
        <v>634</v>
      </c>
      <c r="H217" s="52" t="n">
        <v>1</v>
      </c>
    </row>
    <row r="218" customFormat="false" ht="15" hidden="false" customHeight="true" outlineLevel="0" collapsed="false">
      <c r="A218" s="52" t="n">
        <v>217</v>
      </c>
      <c r="B218" s="52" t="s">
        <v>396</v>
      </c>
      <c r="C218" s="52" t="s">
        <v>408</v>
      </c>
      <c r="D218" s="52" t="s">
        <v>624</v>
      </c>
      <c r="E218" s="52" t="s">
        <v>625</v>
      </c>
      <c r="F218" s="52" t="s">
        <v>21</v>
      </c>
      <c r="G218" s="52" t="s">
        <v>635</v>
      </c>
      <c r="H218" s="52" t="n">
        <v>1</v>
      </c>
    </row>
    <row r="219" customFormat="false" ht="15" hidden="false" customHeight="true" outlineLevel="0" collapsed="false">
      <c r="A219" s="52" t="n">
        <v>218</v>
      </c>
      <c r="B219" s="52" t="s">
        <v>396</v>
      </c>
      <c r="C219" s="52" t="s">
        <v>408</v>
      </c>
      <c r="D219" s="52" t="s">
        <v>624</v>
      </c>
      <c r="E219" s="52" t="s">
        <v>625</v>
      </c>
      <c r="F219" s="52" t="s">
        <v>123</v>
      </c>
      <c r="G219" s="52" t="s">
        <v>636</v>
      </c>
      <c r="H219" s="52" t="n">
        <v>1</v>
      </c>
    </row>
    <row r="220" customFormat="false" ht="15" hidden="false" customHeight="true" outlineLevel="0" collapsed="false">
      <c r="A220" s="52" t="n">
        <v>219</v>
      </c>
      <c r="B220" s="52" t="s">
        <v>396</v>
      </c>
      <c r="C220" s="52" t="s">
        <v>408</v>
      </c>
      <c r="D220" s="52" t="s">
        <v>624</v>
      </c>
      <c r="E220" s="52" t="s">
        <v>625</v>
      </c>
      <c r="F220" s="52" t="s">
        <v>123</v>
      </c>
      <c r="G220" s="52" t="s">
        <v>637</v>
      </c>
      <c r="H220" s="52" t="n">
        <v>1</v>
      </c>
    </row>
    <row r="221" customFormat="false" ht="15" hidden="false" customHeight="true" outlineLevel="0" collapsed="false">
      <c r="A221" s="52" t="n">
        <v>220</v>
      </c>
      <c r="B221" s="52" t="s">
        <v>396</v>
      </c>
      <c r="C221" s="52" t="s">
        <v>408</v>
      </c>
      <c r="D221" s="52" t="s">
        <v>624</v>
      </c>
      <c r="E221" s="52" t="s">
        <v>625</v>
      </c>
      <c r="F221" s="52" t="s">
        <v>13</v>
      </c>
      <c r="G221" s="52" t="s">
        <v>638</v>
      </c>
      <c r="H221" s="52" t="n">
        <v>1</v>
      </c>
    </row>
    <row r="222" customFormat="false" ht="15" hidden="false" customHeight="true" outlineLevel="0" collapsed="false">
      <c r="A222" s="52" t="n">
        <v>221</v>
      </c>
      <c r="B222" s="52" t="s">
        <v>396</v>
      </c>
      <c r="C222" s="52" t="s">
        <v>408</v>
      </c>
      <c r="D222" s="52" t="s">
        <v>624</v>
      </c>
      <c r="E222" s="52" t="s">
        <v>625</v>
      </c>
      <c r="F222" s="52" t="s">
        <v>13</v>
      </c>
      <c r="G222" s="52" t="s">
        <v>639</v>
      </c>
      <c r="H222" s="52" t="n">
        <v>1</v>
      </c>
    </row>
    <row r="223" customFormat="false" ht="15" hidden="false" customHeight="true" outlineLevel="0" collapsed="false">
      <c r="A223" s="52" t="n">
        <v>222</v>
      </c>
      <c r="B223" s="52" t="s">
        <v>396</v>
      </c>
      <c r="C223" s="52" t="s">
        <v>408</v>
      </c>
      <c r="D223" s="52" t="s">
        <v>624</v>
      </c>
      <c r="E223" s="52" t="s">
        <v>625</v>
      </c>
      <c r="F223" s="52" t="s">
        <v>13</v>
      </c>
      <c r="G223" s="52" t="s">
        <v>640</v>
      </c>
      <c r="H223" s="52" t="n">
        <v>1</v>
      </c>
    </row>
    <row r="224" customFormat="false" ht="15" hidden="false" customHeight="true" outlineLevel="0" collapsed="false">
      <c r="A224" s="52" t="n">
        <v>223</v>
      </c>
      <c r="B224" s="52" t="s">
        <v>396</v>
      </c>
      <c r="C224" s="52" t="s">
        <v>408</v>
      </c>
      <c r="D224" s="52" t="s">
        <v>624</v>
      </c>
      <c r="E224" s="52" t="s">
        <v>625</v>
      </c>
      <c r="F224" s="52" t="s">
        <v>101</v>
      </c>
      <c r="G224" s="52" t="s">
        <v>641</v>
      </c>
      <c r="H224" s="52" t="n">
        <v>1</v>
      </c>
    </row>
    <row r="225" customFormat="false" ht="15" hidden="false" customHeight="true" outlineLevel="0" collapsed="false">
      <c r="A225" s="52" t="n">
        <v>224</v>
      </c>
      <c r="B225" s="52" t="s">
        <v>396</v>
      </c>
      <c r="C225" s="52" t="s">
        <v>408</v>
      </c>
      <c r="D225" s="52" t="s">
        <v>624</v>
      </c>
      <c r="E225" s="52" t="s">
        <v>625</v>
      </c>
      <c r="F225" s="52" t="s">
        <v>101</v>
      </c>
      <c r="G225" s="52" t="s">
        <v>642</v>
      </c>
      <c r="H225" s="52" t="n">
        <v>1</v>
      </c>
    </row>
    <row r="226" customFormat="false" ht="15" hidden="false" customHeight="true" outlineLevel="0" collapsed="false">
      <c r="A226" s="52" t="n">
        <v>225</v>
      </c>
      <c r="B226" s="52" t="s">
        <v>396</v>
      </c>
      <c r="C226" s="52" t="s">
        <v>408</v>
      </c>
      <c r="D226" s="52" t="s">
        <v>624</v>
      </c>
      <c r="E226" s="52" t="s">
        <v>625</v>
      </c>
      <c r="F226" s="52" t="s">
        <v>86</v>
      </c>
      <c r="G226" s="52" t="s">
        <v>643</v>
      </c>
      <c r="H226" s="52" t="n">
        <v>1</v>
      </c>
    </row>
    <row r="227" customFormat="false" ht="15" hidden="false" customHeight="true" outlineLevel="0" collapsed="false">
      <c r="A227" s="52" t="n">
        <v>226</v>
      </c>
      <c r="B227" s="52" t="s">
        <v>395</v>
      </c>
      <c r="C227" s="52" t="s">
        <v>644</v>
      </c>
      <c r="D227" s="52" t="s">
        <v>645</v>
      </c>
      <c r="E227" s="52" t="s">
        <v>646</v>
      </c>
      <c r="F227" s="52" t="s">
        <v>331</v>
      </c>
      <c r="G227" s="52" t="s">
        <v>647</v>
      </c>
      <c r="H227" s="52" t="n">
        <v>1</v>
      </c>
    </row>
    <row r="228" customFormat="false" ht="15" hidden="false" customHeight="true" outlineLevel="0" collapsed="false">
      <c r="A228" s="52" t="n">
        <v>227</v>
      </c>
      <c r="B228" s="52" t="s">
        <v>395</v>
      </c>
      <c r="C228" s="52" t="s">
        <v>644</v>
      </c>
      <c r="D228" s="52" t="s">
        <v>645</v>
      </c>
      <c r="E228" s="52" t="s">
        <v>646</v>
      </c>
      <c r="F228" s="52" t="s">
        <v>74</v>
      </c>
      <c r="G228" s="52" t="s">
        <v>648</v>
      </c>
      <c r="H228" s="52" t="n">
        <v>1</v>
      </c>
    </row>
    <row r="229" customFormat="false" ht="15" hidden="false" customHeight="true" outlineLevel="0" collapsed="false">
      <c r="A229" s="52" t="n">
        <v>228</v>
      </c>
      <c r="B229" s="52" t="s">
        <v>395</v>
      </c>
      <c r="C229" s="52" t="s">
        <v>644</v>
      </c>
      <c r="D229" s="52" t="s">
        <v>645</v>
      </c>
      <c r="E229" s="52" t="s">
        <v>646</v>
      </c>
      <c r="F229" s="52" t="s">
        <v>36</v>
      </c>
      <c r="G229" s="52" t="s">
        <v>649</v>
      </c>
      <c r="H229" s="52" t="n">
        <v>1</v>
      </c>
    </row>
    <row r="230" customFormat="false" ht="15" hidden="false" customHeight="true" outlineLevel="0" collapsed="false">
      <c r="A230" s="52" t="n">
        <v>229</v>
      </c>
      <c r="B230" s="52" t="s">
        <v>395</v>
      </c>
      <c r="C230" s="52" t="s">
        <v>644</v>
      </c>
      <c r="D230" s="52" t="s">
        <v>645</v>
      </c>
      <c r="E230" s="52" t="s">
        <v>646</v>
      </c>
      <c r="F230" s="52" t="s">
        <v>259</v>
      </c>
      <c r="G230" s="52" t="s">
        <v>650</v>
      </c>
      <c r="H230" s="52" t="n">
        <v>1</v>
      </c>
    </row>
    <row r="231" customFormat="false" ht="15" hidden="false" customHeight="true" outlineLevel="0" collapsed="false">
      <c r="A231" s="52" t="n">
        <v>230</v>
      </c>
      <c r="B231" s="52" t="s">
        <v>395</v>
      </c>
      <c r="C231" s="52" t="s">
        <v>644</v>
      </c>
      <c r="D231" s="52" t="s">
        <v>645</v>
      </c>
      <c r="E231" s="52" t="s">
        <v>646</v>
      </c>
      <c r="F231" s="52" t="s">
        <v>21</v>
      </c>
      <c r="G231" s="52" t="s">
        <v>651</v>
      </c>
      <c r="H231" s="52" t="n">
        <v>1</v>
      </c>
    </row>
    <row r="232" customFormat="false" ht="15" hidden="false" customHeight="true" outlineLevel="0" collapsed="false">
      <c r="A232" s="52" t="n">
        <v>231</v>
      </c>
      <c r="B232" s="52" t="s">
        <v>395</v>
      </c>
      <c r="C232" s="52" t="s">
        <v>644</v>
      </c>
      <c r="D232" s="52" t="s">
        <v>645</v>
      </c>
      <c r="E232" s="52" t="s">
        <v>646</v>
      </c>
      <c r="F232" s="52" t="s">
        <v>13</v>
      </c>
      <c r="G232" s="52" t="s">
        <v>652</v>
      </c>
      <c r="H232" s="52" t="n">
        <v>1</v>
      </c>
    </row>
    <row r="233" customFormat="false" ht="15" hidden="false" customHeight="true" outlineLevel="0" collapsed="false">
      <c r="A233" s="52" t="n">
        <v>232</v>
      </c>
      <c r="B233" s="52" t="s">
        <v>395</v>
      </c>
      <c r="C233" s="52" t="s">
        <v>644</v>
      </c>
      <c r="D233" s="52" t="s">
        <v>645</v>
      </c>
      <c r="E233" s="52" t="s">
        <v>646</v>
      </c>
      <c r="F233" s="52" t="s">
        <v>101</v>
      </c>
      <c r="G233" s="52" t="s">
        <v>653</v>
      </c>
      <c r="H233" s="52" t="n">
        <v>1</v>
      </c>
    </row>
    <row r="234" customFormat="false" ht="15" hidden="false" customHeight="true" outlineLevel="0" collapsed="false">
      <c r="A234" s="52" t="n">
        <v>233</v>
      </c>
      <c r="B234" s="52" t="s">
        <v>395</v>
      </c>
      <c r="C234" s="52" t="s">
        <v>644</v>
      </c>
      <c r="D234" s="52" t="s">
        <v>645</v>
      </c>
      <c r="E234" s="52" t="s">
        <v>646</v>
      </c>
      <c r="F234" s="52" t="s">
        <v>86</v>
      </c>
      <c r="G234" s="52" t="s">
        <v>654</v>
      </c>
      <c r="H234" s="52" t="n">
        <v>1</v>
      </c>
    </row>
    <row r="235" customFormat="false" ht="15" hidden="false" customHeight="true" outlineLevel="0" collapsed="false">
      <c r="A235" s="52" t="n">
        <v>234</v>
      </c>
      <c r="B235" s="52" t="s">
        <v>395</v>
      </c>
      <c r="C235" s="52" t="s">
        <v>644</v>
      </c>
      <c r="D235" s="52" t="s">
        <v>645</v>
      </c>
      <c r="E235" s="52" t="s">
        <v>655</v>
      </c>
      <c r="F235" s="52" t="s">
        <v>331</v>
      </c>
      <c r="G235" s="52" t="s">
        <v>656</v>
      </c>
      <c r="H235" s="52" t="n">
        <v>1</v>
      </c>
    </row>
    <row r="236" customFormat="false" ht="15" hidden="false" customHeight="true" outlineLevel="0" collapsed="false">
      <c r="A236" s="52" t="n">
        <v>235</v>
      </c>
      <c r="B236" s="52" t="s">
        <v>395</v>
      </c>
      <c r="C236" s="52" t="s">
        <v>644</v>
      </c>
      <c r="D236" s="52" t="s">
        <v>645</v>
      </c>
      <c r="E236" s="52" t="s">
        <v>655</v>
      </c>
      <c r="F236" s="52" t="s">
        <v>74</v>
      </c>
      <c r="G236" s="52" t="s">
        <v>657</v>
      </c>
      <c r="H236" s="52" t="n">
        <v>1</v>
      </c>
    </row>
    <row r="237" customFormat="false" ht="15" hidden="false" customHeight="true" outlineLevel="0" collapsed="false">
      <c r="A237" s="52" t="n">
        <v>236</v>
      </c>
      <c r="B237" s="52" t="s">
        <v>395</v>
      </c>
      <c r="C237" s="52" t="s">
        <v>644</v>
      </c>
      <c r="D237" s="52" t="s">
        <v>645</v>
      </c>
      <c r="E237" s="52" t="s">
        <v>655</v>
      </c>
      <c r="F237" s="52" t="s">
        <v>74</v>
      </c>
      <c r="G237" s="52" t="s">
        <v>658</v>
      </c>
      <c r="H237" s="52" t="n">
        <v>1</v>
      </c>
    </row>
    <row r="238" customFormat="false" ht="15" hidden="false" customHeight="true" outlineLevel="0" collapsed="false">
      <c r="A238" s="52" t="n">
        <v>237</v>
      </c>
      <c r="B238" s="52" t="s">
        <v>395</v>
      </c>
      <c r="C238" s="52" t="s">
        <v>644</v>
      </c>
      <c r="D238" s="52" t="s">
        <v>645</v>
      </c>
      <c r="E238" s="52" t="s">
        <v>655</v>
      </c>
      <c r="F238" s="52" t="s">
        <v>259</v>
      </c>
      <c r="G238" s="52" t="s">
        <v>659</v>
      </c>
      <c r="H238" s="52" t="n">
        <v>1</v>
      </c>
    </row>
    <row r="239" customFormat="false" ht="15" hidden="false" customHeight="true" outlineLevel="0" collapsed="false">
      <c r="A239" s="52" t="n">
        <v>238</v>
      </c>
      <c r="B239" s="52" t="s">
        <v>395</v>
      </c>
      <c r="C239" s="52" t="s">
        <v>644</v>
      </c>
      <c r="D239" s="52" t="s">
        <v>645</v>
      </c>
      <c r="E239" s="52" t="s">
        <v>655</v>
      </c>
      <c r="F239" s="52" t="s">
        <v>259</v>
      </c>
      <c r="G239" s="52" t="s">
        <v>660</v>
      </c>
      <c r="H239" s="52" t="n">
        <v>1</v>
      </c>
    </row>
    <row r="240" customFormat="false" ht="15" hidden="false" customHeight="true" outlineLevel="0" collapsed="false">
      <c r="A240" s="52" t="n">
        <v>239</v>
      </c>
      <c r="B240" s="52" t="s">
        <v>395</v>
      </c>
      <c r="C240" s="52" t="s">
        <v>644</v>
      </c>
      <c r="D240" s="52" t="s">
        <v>645</v>
      </c>
      <c r="E240" s="52" t="s">
        <v>655</v>
      </c>
      <c r="F240" s="52" t="s">
        <v>52</v>
      </c>
      <c r="G240" s="52" t="s">
        <v>661</v>
      </c>
      <c r="H240" s="52" t="n">
        <v>1</v>
      </c>
    </row>
    <row r="241" customFormat="false" ht="15" hidden="false" customHeight="true" outlineLevel="0" collapsed="false">
      <c r="A241" s="52" t="n">
        <v>240</v>
      </c>
      <c r="B241" s="52" t="s">
        <v>395</v>
      </c>
      <c r="C241" s="52" t="s">
        <v>644</v>
      </c>
      <c r="D241" s="52" t="s">
        <v>645</v>
      </c>
      <c r="E241" s="52" t="s">
        <v>655</v>
      </c>
      <c r="F241" s="52" t="s">
        <v>21</v>
      </c>
      <c r="G241" s="52" t="s">
        <v>662</v>
      </c>
      <c r="H241" s="52" t="n">
        <v>1</v>
      </c>
    </row>
    <row r="242" customFormat="false" ht="15" hidden="false" customHeight="true" outlineLevel="0" collapsed="false">
      <c r="A242" s="52" t="n">
        <v>241</v>
      </c>
      <c r="B242" s="52" t="s">
        <v>395</v>
      </c>
      <c r="C242" s="52" t="s">
        <v>644</v>
      </c>
      <c r="D242" s="52" t="s">
        <v>645</v>
      </c>
      <c r="E242" s="52" t="s">
        <v>655</v>
      </c>
      <c r="F242" s="52" t="s">
        <v>21</v>
      </c>
      <c r="G242" s="52" t="s">
        <v>663</v>
      </c>
      <c r="H242" s="52" t="n">
        <v>1</v>
      </c>
    </row>
    <row r="243" customFormat="false" ht="15" hidden="false" customHeight="true" outlineLevel="0" collapsed="false">
      <c r="A243" s="52" t="n">
        <v>242</v>
      </c>
      <c r="B243" s="52" t="s">
        <v>395</v>
      </c>
      <c r="C243" s="52" t="s">
        <v>644</v>
      </c>
      <c r="D243" s="52" t="s">
        <v>645</v>
      </c>
      <c r="E243" s="52" t="s">
        <v>655</v>
      </c>
      <c r="F243" s="52" t="s">
        <v>21</v>
      </c>
      <c r="G243" s="52" t="s">
        <v>664</v>
      </c>
      <c r="H243" s="52" t="n">
        <v>1</v>
      </c>
    </row>
    <row r="244" customFormat="false" ht="15" hidden="false" customHeight="true" outlineLevel="0" collapsed="false">
      <c r="A244" s="52" t="n">
        <v>243</v>
      </c>
      <c r="B244" s="52" t="s">
        <v>395</v>
      </c>
      <c r="C244" s="52" t="s">
        <v>644</v>
      </c>
      <c r="D244" s="52" t="s">
        <v>645</v>
      </c>
      <c r="E244" s="52" t="s">
        <v>655</v>
      </c>
      <c r="F244" s="52" t="s">
        <v>21</v>
      </c>
      <c r="G244" s="52" t="s">
        <v>665</v>
      </c>
      <c r="H244" s="52" t="n">
        <v>1</v>
      </c>
    </row>
    <row r="245" customFormat="false" ht="15" hidden="false" customHeight="true" outlineLevel="0" collapsed="false">
      <c r="A245" s="52" t="n">
        <v>244</v>
      </c>
      <c r="B245" s="52" t="s">
        <v>395</v>
      </c>
      <c r="C245" s="52" t="s">
        <v>644</v>
      </c>
      <c r="D245" s="52" t="s">
        <v>645</v>
      </c>
      <c r="E245" s="52" t="s">
        <v>655</v>
      </c>
      <c r="F245" s="52" t="s">
        <v>21</v>
      </c>
      <c r="G245" s="52" t="s">
        <v>666</v>
      </c>
      <c r="H245" s="52" t="n">
        <v>1</v>
      </c>
    </row>
    <row r="246" customFormat="false" ht="15" hidden="false" customHeight="true" outlineLevel="0" collapsed="false">
      <c r="A246" s="52" t="n">
        <v>245</v>
      </c>
      <c r="B246" s="52" t="s">
        <v>395</v>
      </c>
      <c r="C246" s="52" t="s">
        <v>644</v>
      </c>
      <c r="D246" s="52" t="s">
        <v>645</v>
      </c>
      <c r="E246" s="52" t="s">
        <v>655</v>
      </c>
      <c r="F246" s="52" t="s">
        <v>21</v>
      </c>
      <c r="G246" s="52" t="s">
        <v>667</v>
      </c>
      <c r="H246" s="52" t="n">
        <v>1</v>
      </c>
    </row>
    <row r="247" customFormat="false" ht="15" hidden="false" customHeight="true" outlineLevel="0" collapsed="false">
      <c r="A247" s="52" t="n">
        <v>246</v>
      </c>
      <c r="B247" s="52" t="s">
        <v>395</v>
      </c>
      <c r="C247" s="52" t="s">
        <v>644</v>
      </c>
      <c r="D247" s="52" t="s">
        <v>645</v>
      </c>
      <c r="E247" s="52" t="s">
        <v>655</v>
      </c>
      <c r="F247" s="52" t="s">
        <v>21</v>
      </c>
      <c r="G247" s="52" t="s">
        <v>668</v>
      </c>
      <c r="H247" s="52" t="n">
        <v>1</v>
      </c>
    </row>
    <row r="248" customFormat="false" ht="15" hidden="false" customHeight="true" outlineLevel="0" collapsed="false">
      <c r="A248" s="52" t="n">
        <v>247</v>
      </c>
      <c r="B248" s="52" t="s">
        <v>395</v>
      </c>
      <c r="C248" s="52" t="s">
        <v>644</v>
      </c>
      <c r="D248" s="52" t="s">
        <v>645</v>
      </c>
      <c r="E248" s="52" t="s">
        <v>655</v>
      </c>
      <c r="F248" s="52" t="s">
        <v>21</v>
      </c>
      <c r="G248" s="52" t="s">
        <v>669</v>
      </c>
      <c r="H248" s="52" t="n">
        <v>1</v>
      </c>
    </row>
    <row r="249" customFormat="false" ht="15" hidden="false" customHeight="true" outlineLevel="0" collapsed="false">
      <c r="A249" s="52" t="n">
        <v>248</v>
      </c>
      <c r="B249" s="52" t="s">
        <v>395</v>
      </c>
      <c r="C249" s="52" t="s">
        <v>644</v>
      </c>
      <c r="D249" s="52" t="s">
        <v>645</v>
      </c>
      <c r="E249" s="52" t="s">
        <v>655</v>
      </c>
      <c r="F249" s="52" t="s">
        <v>123</v>
      </c>
      <c r="G249" s="52" t="s">
        <v>670</v>
      </c>
      <c r="H249" s="52" t="n">
        <v>1</v>
      </c>
    </row>
    <row r="250" customFormat="false" ht="15" hidden="false" customHeight="true" outlineLevel="0" collapsed="false">
      <c r="A250" s="52" t="n">
        <v>249</v>
      </c>
      <c r="B250" s="52" t="s">
        <v>395</v>
      </c>
      <c r="C250" s="52" t="s">
        <v>644</v>
      </c>
      <c r="D250" s="52" t="s">
        <v>645</v>
      </c>
      <c r="E250" s="52" t="s">
        <v>655</v>
      </c>
      <c r="F250" s="52" t="s">
        <v>123</v>
      </c>
      <c r="G250" s="52" t="s">
        <v>671</v>
      </c>
      <c r="H250" s="52" t="n">
        <v>1</v>
      </c>
    </row>
    <row r="251" customFormat="false" ht="15" hidden="false" customHeight="true" outlineLevel="0" collapsed="false">
      <c r="A251" s="52" t="n">
        <v>250</v>
      </c>
      <c r="B251" s="52" t="s">
        <v>395</v>
      </c>
      <c r="C251" s="52" t="s">
        <v>644</v>
      </c>
      <c r="D251" s="52" t="s">
        <v>645</v>
      </c>
      <c r="E251" s="52" t="s">
        <v>655</v>
      </c>
      <c r="F251" s="52" t="s">
        <v>123</v>
      </c>
      <c r="G251" s="52" t="s">
        <v>672</v>
      </c>
      <c r="H251" s="52" t="n">
        <v>1</v>
      </c>
    </row>
    <row r="252" customFormat="false" ht="15" hidden="false" customHeight="true" outlineLevel="0" collapsed="false">
      <c r="A252" s="52" t="n">
        <v>251</v>
      </c>
      <c r="B252" s="52" t="s">
        <v>395</v>
      </c>
      <c r="C252" s="52" t="s">
        <v>644</v>
      </c>
      <c r="D252" s="52" t="s">
        <v>645</v>
      </c>
      <c r="E252" s="52" t="s">
        <v>655</v>
      </c>
      <c r="F252" s="52" t="s">
        <v>123</v>
      </c>
      <c r="G252" s="52" t="s">
        <v>673</v>
      </c>
      <c r="H252" s="52" t="n">
        <v>1</v>
      </c>
    </row>
    <row r="253" customFormat="false" ht="15" hidden="false" customHeight="true" outlineLevel="0" collapsed="false">
      <c r="A253" s="52" t="n">
        <v>252</v>
      </c>
      <c r="B253" s="52" t="s">
        <v>395</v>
      </c>
      <c r="C253" s="52" t="s">
        <v>644</v>
      </c>
      <c r="D253" s="52" t="s">
        <v>645</v>
      </c>
      <c r="E253" s="52" t="s">
        <v>655</v>
      </c>
      <c r="F253" s="52" t="s">
        <v>123</v>
      </c>
      <c r="G253" s="52" t="s">
        <v>674</v>
      </c>
      <c r="H253" s="52" t="n">
        <v>1</v>
      </c>
    </row>
    <row r="254" customFormat="false" ht="15" hidden="false" customHeight="true" outlineLevel="0" collapsed="false">
      <c r="A254" s="52" t="n">
        <v>253</v>
      </c>
      <c r="B254" s="52" t="s">
        <v>395</v>
      </c>
      <c r="C254" s="52" t="s">
        <v>644</v>
      </c>
      <c r="D254" s="52" t="s">
        <v>645</v>
      </c>
      <c r="E254" s="52" t="s">
        <v>655</v>
      </c>
      <c r="F254" s="52" t="s">
        <v>123</v>
      </c>
      <c r="G254" s="52" t="s">
        <v>675</v>
      </c>
      <c r="H254" s="52" t="n">
        <v>1</v>
      </c>
    </row>
    <row r="255" customFormat="false" ht="15" hidden="false" customHeight="true" outlineLevel="0" collapsed="false">
      <c r="A255" s="52" t="n">
        <v>254</v>
      </c>
      <c r="B255" s="52" t="s">
        <v>395</v>
      </c>
      <c r="C255" s="52" t="s">
        <v>644</v>
      </c>
      <c r="D255" s="52" t="s">
        <v>645</v>
      </c>
      <c r="E255" s="52" t="s">
        <v>655</v>
      </c>
      <c r="F255" s="52" t="s">
        <v>13</v>
      </c>
      <c r="G255" s="52" t="s">
        <v>676</v>
      </c>
      <c r="H255" s="52" t="n">
        <v>1</v>
      </c>
    </row>
    <row r="256" customFormat="false" ht="15" hidden="false" customHeight="true" outlineLevel="0" collapsed="false">
      <c r="A256" s="52" t="n">
        <v>255</v>
      </c>
      <c r="B256" s="52" t="s">
        <v>395</v>
      </c>
      <c r="C256" s="52" t="s">
        <v>644</v>
      </c>
      <c r="D256" s="52" t="s">
        <v>645</v>
      </c>
      <c r="E256" s="52" t="s">
        <v>655</v>
      </c>
      <c r="F256" s="52" t="s">
        <v>13</v>
      </c>
      <c r="G256" s="52" t="s">
        <v>677</v>
      </c>
      <c r="H256" s="52" t="n">
        <v>1</v>
      </c>
    </row>
    <row r="257" customFormat="false" ht="15" hidden="false" customHeight="true" outlineLevel="0" collapsed="false">
      <c r="A257" s="52" t="n">
        <v>256</v>
      </c>
      <c r="B257" s="52" t="s">
        <v>395</v>
      </c>
      <c r="C257" s="52" t="s">
        <v>644</v>
      </c>
      <c r="D257" s="52" t="s">
        <v>645</v>
      </c>
      <c r="E257" s="52" t="s">
        <v>655</v>
      </c>
      <c r="F257" s="52" t="s">
        <v>13</v>
      </c>
      <c r="G257" s="52" t="s">
        <v>678</v>
      </c>
      <c r="H257" s="52" t="n">
        <v>1</v>
      </c>
    </row>
    <row r="258" customFormat="false" ht="15" hidden="false" customHeight="true" outlineLevel="0" collapsed="false">
      <c r="A258" s="52" t="n">
        <v>257</v>
      </c>
      <c r="B258" s="52" t="s">
        <v>395</v>
      </c>
      <c r="C258" s="52" t="s">
        <v>644</v>
      </c>
      <c r="D258" s="52" t="s">
        <v>645</v>
      </c>
      <c r="E258" s="52" t="s">
        <v>655</v>
      </c>
      <c r="F258" s="52" t="s">
        <v>13</v>
      </c>
      <c r="G258" s="52" t="s">
        <v>679</v>
      </c>
      <c r="H258" s="52" t="n">
        <v>1</v>
      </c>
    </row>
    <row r="259" customFormat="false" ht="15" hidden="false" customHeight="true" outlineLevel="0" collapsed="false">
      <c r="A259" s="52" t="n">
        <v>258</v>
      </c>
      <c r="B259" s="52" t="s">
        <v>395</v>
      </c>
      <c r="C259" s="52" t="s">
        <v>644</v>
      </c>
      <c r="D259" s="52" t="s">
        <v>645</v>
      </c>
      <c r="E259" s="52" t="s">
        <v>655</v>
      </c>
      <c r="F259" s="52" t="s">
        <v>101</v>
      </c>
      <c r="G259" s="52" t="s">
        <v>680</v>
      </c>
      <c r="H259" s="52" t="n">
        <v>1</v>
      </c>
    </row>
    <row r="260" customFormat="false" ht="15" hidden="false" customHeight="true" outlineLevel="0" collapsed="false">
      <c r="A260" s="52" t="n">
        <v>259</v>
      </c>
      <c r="B260" s="52" t="s">
        <v>395</v>
      </c>
      <c r="C260" s="52" t="s">
        <v>644</v>
      </c>
      <c r="D260" s="52" t="s">
        <v>645</v>
      </c>
      <c r="E260" s="52" t="s">
        <v>655</v>
      </c>
      <c r="F260" s="52" t="s">
        <v>101</v>
      </c>
      <c r="G260" s="52" t="s">
        <v>681</v>
      </c>
      <c r="H260" s="52" t="n">
        <v>1</v>
      </c>
    </row>
    <row r="261" customFormat="false" ht="15" hidden="false" customHeight="true" outlineLevel="0" collapsed="false">
      <c r="A261" s="52" t="n">
        <v>260</v>
      </c>
      <c r="B261" s="52" t="s">
        <v>395</v>
      </c>
      <c r="C261" s="52" t="s">
        <v>644</v>
      </c>
      <c r="D261" s="52" t="s">
        <v>645</v>
      </c>
      <c r="E261" s="52" t="s">
        <v>655</v>
      </c>
      <c r="F261" s="52" t="s">
        <v>86</v>
      </c>
      <c r="G261" s="52" t="s">
        <v>682</v>
      </c>
      <c r="H261" s="52" t="n">
        <v>1</v>
      </c>
    </row>
    <row r="262" customFormat="false" ht="15" hidden="false" customHeight="true" outlineLevel="0" collapsed="false">
      <c r="A262" s="52" t="n">
        <v>261</v>
      </c>
      <c r="B262" s="52" t="s">
        <v>395</v>
      </c>
      <c r="C262" s="52" t="s">
        <v>644</v>
      </c>
      <c r="D262" s="52" t="s">
        <v>645</v>
      </c>
      <c r="E262" s="52" t="s">
        <v>655</v>
      </c>
      <c r="F262" s="52" t="s">
        <v>86</v>
      </c>
      <c r="G262" s="52" t="s">
        <v>683</v>
      </c>
      <c r="H262" s="52" t="n">
        <v>1</v>
      </c>
    </row>
    <row r="263" customFormat="false" ht="15" hidden="false" customHeight="true" outlineLevel="0" collapsed="false">
      <c r="A263" s="52" t="n">
        <v>262</v>
      </c>
      <c r="B263" s="52" t="s">
        <v>395</v>
      </c>
      <c r="C263" s="52" t="s">
        <v>644</v>
      </c>
      <c r="D263" s="52" t="s">
        <v>645</v>
      </c>
      <c r="E263" s="52" t="s">
        <v>684</v>
      </c>
      <c r="F263" s="52" t="s">
        <v>331</v>
      </c>
      <c r="G263" s="52" t="s">
        <v>463</v>
      </c>
      <c r="H263" s="52" t="n">
        <v>0</v>
      </c>
    </row>
    <row r="264" customFormat="false" ht="15" hidden="false" customHeight="true" outlineLevel="0" collapsed="false">
      <c r="A264" s="52" t="n">
        <v>263</v>
      </c>
      <c r="B264" s="52" t="s">
        <v>395</v>
      </c>
      <c r="C264" s="52" t="s">
        <v>644</v>
      </c>
      <c r="D264" s="52" t="s">
        <v>645</v>
      </c>
      <c r="E264" s="52" t="s">
        <v>684</v>
      </c>
      <c r="F264" s="52" t="s">
        <v>74</v>
      </c>
      <c r="G264" s="52" t="s">
        <v>685</v>
      </c>
      <c r="H264" s="52" t="n">
        <v>1</v>
      </c>
    </row>
    <row r="265" customFormat="false" ht="15" hidden="false" customHeight="true" outlineLevel="0" collapsed="false">
      <c r="A265" s="52" t="n">
        <v>264</v>
      </c>
      <c r="B265" s="52" t="s">
        <v>395</v>
      </c>
      <c r="C265" s="52" t="s">
        <v>644</v>
      </c>
      <c r="D265" s="52" t="s">
        <v>645</v>
      </c>
      <c r="E265" s="52" t="s">
        <v>684</v>
      </c>
      <c r="F265" s="52" t="s">
        <v>74</v>
      </c>
      <c r="G265" s="52" t="s">
        <v>686</v>
      </c>
      <c r="H265" s="52" t="n">
        <v>1</v>
      </c>
    </row>
    <row r="266" customFormat="false" ht="15" hidden="false" customHeight="true" outlineLevel="0" collapsed="false">
      <c r="A266" s="52" t="n">
        <v>265</v>
      </c>
      <c r="B266" s="52" t="s">
        <v>395</v>
      </c>
      <c r="C266" s="52" t="s">
        <v>644</v>
      </c>
      <c r="D266" s="52" t="s">
        <v>645</v>
      </c>
      <c r="E266" s="52" t="s">
        <v>684</v>
      </c>
      <c r="F266" s="52" t="s">
        <v>36</v>
      </c>
      <c r="G266" s="52" t="s">
        <v>687</v>
      </c>
      <c r="H266" s="52" t="n">
        <v>1</v>
      </c>
    </row>
    <row r="267" customFormat="false" ht="15" hidden="false" customHeight="true" outlineLevel="0" collapsed="false">
      <c r="A267" s="52" t="n">
        <v>266</v>
      </c>
      <c r="B267" s="52" t="s">
        <v>395</v>
      </c>
      <c r="C267" s="52" t="s">
        <v>644</v>
      </c>
      <c r="D267" s="52" t="s">
        <v>645</v>
      </c>
      <c r="E267" s="52" t="s">
        <v>684</v>
      </c>
      <c r="F267" s="52" t="s">
        <v>259</v>
      </c>
      <c r="G267" s="52" t="s">
        <v>688</v>
      </c>
      <c r="H267" s="52" t="n">
        <v>1</v>
      </c>
    </row>
    <row r="268" customFormat="false" ht="15" hidden="false" customHeight="true" outlineLevel="0" collapsed="false">
      <c r="A268" s="52" t="n">
        <v>267</v>
      </c>
      <c r="B268" s="52" t="s">
        <v>395</v>
      </c>
      <c r="C268" s="52" t="s">
        <v>644</v>
      </c>
      <c r="D268" s="52" t="s">
        <v>645</v>
      </c>
      <c r="E268" s="52" t="s">
        <v>684</v>
      </c>
      <c r="F268" s="52" t="s">
        <v>259</v>
      </c>
      <c r="G268" s="52" t="s">
        <v>689</v>
      </c>
      <c r="H268" s="52" t="n">
        <v>1</v>
      </c>
    </row>
    <row r="269" customFormat="false" ht="15" hidden="false" customHeight="true" outlineLevel="0" collapsed="false">
      <c r="A269" s="52" t="n">
        <v>268</v>
      </c>
      <c r="B269" s="52" t="s">
        <v>395</v>
      </c>
      <c r="C269" s="52" t="s">
        <v>644</v>
      </c>
      <c r="D269" s="52" t="s">
        <v>645</v>
      </c>
      <c r="E269" s="52" t="s">
        <v>684</v>
      </c>
      <c r="F269" s="52" t="s">
        <v>52</v>
      </c>
      <c r="G269" s="52" t="s">
        <v>690</v>
      </c>
      <c r="H269" s="52" t="n">
        <v>1</v>
      </c>
    </row>
    <row r="270" customFormat="false" ht="15" hidden="false" customHeight="true" outlineLevel="0" collapsed="false">
      <c r="A270" s="52" t="n">
        <v>269</v>
      </c>
      <c r="B270" s="52" t="s">
        <v>395</v>
      </c>
      <c r="C270" s="52" t="s">
        <v>644</v>
      </c>
      <c r="D270" s="52" t="s">
        <v>645</v>
      </c>
      <c r="E270" s="52" t="s">
        <v>684</v>
      </c>
      <c r="F270" s="52" t="s">
        <v>52</v>
      </c>
      <c r="G270" s="52" t="s">
        <v>691</v>
      </c>
      <c r="H270" s="52" t="n">
        <v>1</v>
      </c>
    </row>
    <row r="271" customFormat="false" ht="15" hidden="false" customHeight="true" outlineLevel="0" collapsed="false">
      <c r="A271" s="52" t="n">
        <v>270</v>
      </c>
      <c r="B271" s="52" t="s">
        <v>395</v>
      </c>
      <c r="C271" s="52" t="s">
        <v>644</v>
      </c>
      <c r="D271" s="52" t="s">
        <v>645</v>
      </c>
      <c r="E271" s="52" t="s">
        <v>684</v>
      </c>
      <c r="F271" s="52" t="s">
        <v>21</v>
      </c>
      <c r="G271" s="52" t="s">
        <v>692</v>
      </c>
      <c r="H271" s="52" t="n">
        <v>1</v>
      </c>
    </row>
    <row r="272" customFormat="false" ht="15" hidden="false" customHeight="true" outlineLevel="0" collapsed="false">
      <c r="A272" s="52" t="n">
        <v>271</v>
      </c>
      <c r="B272" s="52" t="s">
        <v>395</v>
      </c>
      <c r="C272" s="52" t="s">
        <v>644</v>
      </c>
      <c r="D272" s="52" t="s">
        <v>645</v>
      </c>
      <c r="E272" s="52" t="s">
        <v>684</v>
      </c>
      <c r="F272" s="52" t="s">
        <v>13</v>
      </c>
      <c r="G272" s="52" t="s">
        <v>693</v>
      </c>
      <c r="H272" s="52" t="n">
        <v>1</v>
      </c>
    </row>
    <row r="273" customFormat="false" ht="15" hidden="false" customHeight="true" outlineLevel="0" collapsed="false">
      <c r="A273" s="52" t="n">
        <v>272</v>
      </c>
      <c r="B273" s="52" t="s">
        <v>395</v>
      </c>
      <c r="C273" s="52" t="s">
        <v>644</v>
      </c>
      <c r="D273" s="52" t="s">
        <v>645</v>
      </c>
      <c r="E273" s="52" t="s">
        <v>684</v>
      </c>
      <c r="F273" s="52" t="s">
        <v>101</v>
      </c>
      <c r="G273" s="52" t="s">
        <v>694</v>
      </c>
      <c r="H273" s="52" t="n">
        <v>1</v>
      </c>
    </row>
    <row r="274" customFormat="false" ht="15" hidden="false" customHeight="true" outlineLevel="0" collapsed="false">
      <c r="A274" s="52" t="n">
        <v>273</v>
      </c>
      <c r="B274" s="52" t="s">
        <v>395</v>
      </c>
      <c r="C274" s="52" t="s">
        <v>644</v>
      </c>
      <c r="D274" s="52" t="s">
        <v>645</v>
      </c>
      <c r="E274" s="52" t="s">
        <v>684</v>
      </c>
      <c r="F274" s="52" t="s">
        <v>86</v>
      </c>
      <c r="G274" s="52" t="s">
        <v>442</v>
      </c>
      <c r="H274" s="52" t="n">
        <v>0</v>
      </c>
    </row>
    <row r="275" customFormat="false" ht="15" hidden="false" customHeight="true" outlineLevel="0" collapsed="false">
      <c r="A275" s="52" t="n">
        <v>274</v>
      </c>
      <c r="B275" s="52" t="s">
        <v>395</v>
      </c>
      <c r="C275" s="52" t="s">
        <v>644</v>
      </c>
      <c r="D275" s="52" t="s">
        <v>645</v>
      </c>
      <c r="E275" s="52" t="s">
        <v>695</v>
      </c>
      <c r="F275" s="52" t="s">
        <v>331</v>
      </c>
      <c r="G275" s="52" t="s">
        <v>463</v>
      </c>
      <c r="H275" s="52" t="n">
        <v>0</v>
      </c>
    </row>
    <row r="276" customFormat="false" ht="15" hidden="false" customHeight="true" outlineLevel="0" collapsed="false">
      <c r="A276" s="52" t="n">
        <v>275</v>
      </c>
      <c r="B276" s="52" t="s">
        <v>395</v>
      </c>
      <c r="C276" s="52" t="s">
        <v>644</v>
      </c>
      <c r="D276" s="52" t="s">
        <v>645</v>
      </c>
      <c r="E276" s="52" t="s">
        <v>695</v>
      </c>
      <c r="F276" s="52" t="s">
        <v>74</v>
      </c>
      <c r="G276" s="52" t="s">
        <v>696</v>
      </c>
      <c r="H276" s="52" t="n">
        <v>1</v>
      </c>
    </row>
    <row r="277" customFormat="false" ht="15" hidden="false" customHeight="true" outlineLevel="0" collapsed="false">
      <c r="A277" s="52" t="n">
        <v>276</v>
      </c>
      <c r="B277" s="52" t="s">
        <v>395</v>
      </c>
      <c r="C277" s="52" t="s">
        <v>644</v>
      </c>
      <c r="D277" s="52" t="s">
        <v>645</v>
      </c>
      <c r="E277" s="52" t="s">
        <v>695</v>
      </c>
      <c r="F277" s="52" t="s">
        <v>74</v>
      </c>
      <c r="G277" s="52" t="s">
        <v>697</v>
      </c>
      <c r="H277" s="52" t="n">
        <v>1</v>
      </c>
    </row>
    <row r="278" customFormat="false" ht="15" hidden="false" customHeight="true" outlineLevel="0" collapsed="false">
      <c r="A278" s="52" t="n">
        <v>277</v>
      </c>
      <c r="B278" s="52" t="s">
        <v>395</v>
      </c>
      <c r="C278" s="52" t="s">
        <v>644</v>
      </c>
      <c r="D278" s="52" t="s">
        <v>645</v>
      </c>
      <c r="E278" s="52" t="s">
        <v>695</v>
      </c>
      <c r="F278" s="52" t="s">
        <v>36</v>
      </c>
      <c r="G278" s="52" t="s">
        <v>698</v>
      </c>
      <c r="H278" s="52" t="n">
        <v>1</v>
      </c>
    </row>
    <row r="279" customFormat="false" ht="15" hidden="false" customHeight="true" outlineLevel="0" collapsed="false">
      <c r="A279" s="52" t="n">
        <v>278</v>
      </c>
      <c r="B279" s="52" t="s">
        <v>395</v>
      </c>
      <c r="C279" s="52" t="s">
        <v>644</v>
      </c>
      <c r="D279" s="52" t="s">
        <v>645</v>
      </c>
      <c r="E279" s="52" t="s">
        <v>695</v>
      </c>
      <c r="F279" s="52" t="s">
        <v>259</v>
      </c>
      <c r="G279" s="52" t="s">
        <v>699</v>
      </c>
      <c r="H279" s="52" t="n">
        <v>1</v>
      </c>
    </row>
    <row r="280" customFormat="false" ht="15" hidden="false" customHeight="true" outlineLevel="0" collapsed="false">
      <c r="A280" s="52" t="n">
        <v>279</v>
      </c>
      <c r="B280" s="52" t="s">
        <v>395</v>
      </c>
      <c r="C280" s="52" t="s">
        <v>644</v>
      </c>
      <c r="D280" s="52" t="s">
        <v>645</v>
      </c>
      <c r="E280" s="52" t="s">
        <v>695</v>
      </c>
      <c r="F280" s="52" t="s">
        <v>259</v>
      </c>
      <c r="G280" s="52" t="s">
        <v>700</v>
      </c>
      <c r="H280" s="52" t="n">
        <v>1</v>
      </c>
    </row>
    <row r="281" customFormat="false" ht="15" hidden="false" customHeight="true" outlineLevel="0" collapsed="false">
      <c r="A281" s="52" t="n">
        <v>280</v>
      </c>
      <c r="B281" s="52" t="s">
        <v>395</v>
      </c>
      <c r="C281" s="52" t="s">
        <v>644</v>
      </c>
      <c r="D281" s="52" t="s">
        <v>645</v>
      </c>
      <c r="E281" s="52" t="s">
        <v>695</v>
      </c>
      <c r="F281" s="52" t="s">
        <v>259</v>
      </c>
      <c r="G281" s="52" t="s">
        <v>701</v>
      </c>
      <c r="H281" s="52" t="n">
        <v>1</v>
      </c>
    </row>
    <row r="282" customFormat="false" ht="15" hidden="false" customHeight="true" outlineLevel="0" collapsed="false">
      <c r="A282" s="52" t="n">
        <v>281</v>
      </c>
      <c r="B282" s="52" t="s">
        <v>395</v>
      </c>
      <c r="C282" s="52" t="s">
        <v>644</v>
      </c>
      <c r="D282" s="52" t="s">
        <v>645</v>
      </c>
      <c r="E282" s="52" t="s">
        <v>695</v>
      </c>
      <c r="F282" s="52" t="s">
        <v>52</v>
      </c>
      <c r="G282" s="52" t="s">
        <v>702</v>
      </c>
      <c r="H282" s="52" t="n">
        <v>1</v>
      </c>
    </row>
    <row r="283" customFormat="false" ht="15" hidden="false" customHeight="true" outlineLevel="0" collapsed="false">
      <c r="A283" s="52" t="n">
        <v>282</v>
      </c>
      <c r="B283" s="52" t="s">
        <v>395</v>
      </c>
      <c r="C283" s="52" t="s">
        <v>644</v>
      </c>
      <c r="D283" s="52" t="s">
        <v>645</v>
      </c>
      <c r="E283" s="52" t="s">
        <v>695</v>
      </c>
      <c r="F283" s="52" t="s">
        <v>52</v>
      </c>
      <c r="G283" s="52" t="s">
        <v>703</v>
      </c>
      <c r="H283" s="52" t="n">
        <v>1</v>
      </c>
    </row>
    <row r="284" customFormat="false" ht="15" hidden="false" customHeight="true" outlineLevel="0" collapsed="false">
      <c r="A284" s="52" t="n">
        <v>283</v>
      </c>
      <c r="B284" s="52" t="s">
        <v>395</v>
      </c>
      <c r="C284" s="52" t="s">
        <v>644</v>
      </c>
      <c r="D284" s="52" t="s">
        <v>645</v>
      </c>
      <c r="E284" s="52" t="s">
        <v>695</v>
      </c>
      <c r="F284" s="52" t="s">
        <v>21</v>
      </c>
      <c r="G284" s="52" t="s">
        <v>704</v>
      </c>
      <c r="H284" s="52" t="n">
        <v>1</v>
      </c>
    </row>
    <row r="285" customFormat="false" ht="15" hidden="false" customHeight="true" outlineLevel="0" collapsed="false">
      <c r="A285" s="52" t="n">
        <v>284</v>
      </c>
      <c r="B285" s="52" t="s">
        <v>395</v>
      </c>
      <c r="C285" s="52" t="s">
        <v>644</v>
      </c>
      <c r="D285" s="52" t="s">
        <v>645</v>
      </c>
      <c r="E285" s="52" t="s">
        <v>695</v>
      </c>
      <c r="F285" s="52" t="s">
        <v>21</v>
      </c>
      <c r="G285" s="52" t="s">
        <v>705</v>
      </c>
      <c r="H285" s="52" t="n">
        <v>1</v>
      </c>
    </row>
    <row r="286" customFormat="false" ht="15" hidden="false" customHeight="true" outlineLevel="0" collapsed="false">
      <c r="A286" s="52" t="n">
        <v>285</v>
      </c>
      <c r="B286" s="52" t="s">
        <v>395</v>
      </c>
      <c r="C286" s="52" t="s">
        <v>644</v>
      </c>
      <c r="D286" s="52" t="s">
        <v>645</v>
      </c>
      <c r="E286" s="52" t="s">
        <v>695</v>
      </c>
      <c r="F286" s="52" t="s">
        <v>21</v>
      </c>
      <c r="G286" s="52" t="s">
        <v>706</v>
      </c>
      <c r="H286" s="52" t="n">
        <v>1</v>
      </c>
    </row>
    <row r="287" customFormat="false" ht="15" hidden="false" customHeight="true" outlineLevel="0" collapsed="false">
      <c r="A287" s="52" t="n">
        <v>286</v>
      </c>
      <c r="B287" s="52" t="s">
        <v>395</v>
      </c>
      <c r="C287" s="52" t="s">
        <v>644</v>
      </c>
      <c r="D287" s="52" t="s">
        <v>645</v>
      </c>
      <c r="E287" s="52" t="s">
        <v>695</v>
      </c>
      <c r="F287" s="52" t="s">
        <v>123</v>
      </c>
      <c r="G287" s="52" t="s">
        <v>707</v>
      </c>
      <c r="H287" s="52" t="n">
        <v>1</v>
      </c>
    </row>
    <row r="288" customFormat="false" ht="15" hidden="false" customHeight="true" outlineLevel="0" collapsed="false">
      <c r="A288" s="52" t="n">
        <v>287</v>
      </c>
      <c r="B288" s="52" t="s">
        <v>395</v>
      </c>
      <c r="C288" s="52" t="s">
        <v>644</v>
      </c>
      <c r="D288" s="52" t="s">
        <v>645</v>
      </c>
      <c r="E288" s="52" t="s">
        <v>695</v>
      </c>
      <c r="F288" s="52" t="s">
        <v>13</v>
      </c>
      <c r="G288" s="52" t="s">
        <v>708</v>
      </c>
      <c r="H288" s="52" t="n">
        <v>1</v>
      </c>
    </row>
    <row r="289" customFormat="false" ht="15" hidden="false" customHeight="true" outlineLevel="0" collapsed="false">
      <c r="A289" s="52" t="n">
        <v>288</v>
      </c>
      <c r="B289" s="52" t="s">
        <v>395</v>
      </c>
      <c r="C289" s="52" t="s">
        <v>644</v>
      </c>
      <c r="D289" s="52" t="s">
        <v>645</v>
      </c>
      <c r="E289" s="52" t="s">
        <v>695</v>
      </c>
      <c r="F289" s="52" t="s">
        <v>101</v>
      </c>
      <c r="G289" s="52" t="s">
        <v>442</v>
      </c>
      <c r="H289" s="52" t="n">
        <v>0</v>
      </c>
    </row>
    <row r="290" customFormat="false" ht="15" hidden="false" customHeight="true" outlineLevel="0" collapsed="false">
      <c r="A290" s="52" t="n">
        <v>289</v>
      </c>
      <c r="B290" s="52" t="s">
        <v>395</v>
      </c>
      <c r="C290" s="52" t="s">
        <v>644</v>
      </c>
      <c r="D290" s="52" t="s">
        <v>645</v>
      </c>
      <c r="E290" s="52" t="s">
        <v>695</v>
      </c>
      <c r="F290" s="52" t="s">
        <v>86</v>
      </c>
      <c r="G290" s="52" t="s">
        <v>442</v>
      </c>
      <c r="H290" s="52" t="n">
        <v>0</v>
      </c>
    </row>
    <row r="291" customFormat="false" ht="15" hidden="false" customHeight="true" outlineLevel="0" collapsed="false">
      <c r="A291" s="52" t="n">
        <v>290</v>
      </c>
      <c r="B291" s="52" t="s">
        <v>395</v>
      </c>
      <c r="C291" s="52" t="s">
        <v>644</v>
      </c>
      <c r="D291" s="52" t="s">
        <v>645</v>
      </c>
      <c r="E291" s="52" t="s">
        <v>709</v>
      </c>
      <c r="F291" s="52" t="s">
        <v>331</v>
      </c>
      <c r="G291" s="52" t="s">
        <v>463</v>
      </c>
      <c r="H291" s="52" t="n">
        <v>0</v>
      </c>
    </row>
    <row r="292" customFormat="false" ht="15" hidden="false" customHeight="true" outlineLevel="0" collapsed="false">
      <c r="A292" s="52" t="n">
        <v>291</v>
      </c>
      <c r="B292" s="52" t="s">
        <v>395</v>
      </c>
      <c r="C292" s="52" t="s">
        <v>644</v>
      </c>
      <c r="D292" s="52" t="s">
        <v>645</v>
      </c>
      <c r="E292" s="52" t="s">
        <v>709</v>
      </c>
      <c r="F292" s="52" t="s">
        <v>74</v>
      </c>
      <c r="G292" s="52" t="s">
        <v>710</v>
      </c>
      <c r="H292" s="52" t="n">
        <v>1</v>
      </c>
    </row>
    <row r="293" customFormat="false" ht="15" hidden="false" customHeight="true" outlineLevel="0" collapsed="false">
      <c r="A293" s="52" t="n">
        <v>292</v>
      </c>
      <c r="B293" s="52" t="s">
        <v>395</v>
      </c>
      <c r="C293" s="52" t="s">
        <v>644</v>
      </c>
      <c r="D293" s="52" t="s">
        <v>645</v>
      </c>
      <c r="E293" s="52" t="s">
        <v>709</v>
      </c>
      <c r="F293" s="52" t="s">
        <v>259</v>
      </c>
      <c r="G293" s="52" t="s">
        <v>711</v>
      </c>
      <c r="H293" s="52" t="n">
        <v>1</v>
      </c>
    </row>
    <row r="294" customFormat="false" ht="15" hidden="false" customHeight="true" outlineLevel="0" collapsed="false">
      <c r="A294" s="52" t="n">
        <v>293</v>
      </c>
      <c r="B294" s="52" t="s">
        <v>395</v>
      </c>
      <c r="C294" s="52" t="s">
        <v>644</v>
      </c>
      <c r="D294" s="52" t="s">
        <v>645</v>
      </c>
      <c r="E294" s="52" t="s">
        <v>709</v>
      </c>
      <c r="F294" s="52" t="s">
        <v>21</v>
      </c>
      <c r="G294" s="52" t="s">
        <v>712</v>
      </c>
      <c r="H294" s="52" t="n">
        <v>1</v>
      </c>
    </row>
    <row r="295" customFormat="false" ht="15" hidden="false" customHeight="true" outlineLevel="0" collapsed="false">
      <c r="A295" s="52" t="n">
        <v>294</v>
      </c>
      <c r="B295" s="52" t="s">
        <v>395</v>
      </c>
      <c r="C295" s="52" t="s">
        <v>644</v>
      </c>
      <c r="D295" s="52" t="s">
        <v>645</v>
      </c>
      <c r="E295" s="52" t="s">
        <v>709</v>
      </c>
      <c r="F295" s="52" t="s">
        <v>13</v>
      </c>
      <c r="G295" s="52" t="s">
        <v>713</v>
      </c>
      <c r="H295" s="52" t="n">
        <v>1</v>
      </c>
    </row>
    <row r="296" customFormat="false" ht="15" hidden="false" customHeight="true" outlineLevel="0" collapsed="false">
      <c r="A296" s="52" t="n">
        <v>295</v>
      </c>
      <c r="B296" s="52" t="s">
        <v>395</v>
      </c>
      <c r="C296" s="52" t="s">
        <v>644</v>
      </c>
      <c r="D296" s="52" t="s">
        <v>645</v>
      </c>
      <c r="E296" s="52" t="s">
        <v>709</v>
      </c>
      <c r="F296" s="52" t="s">
        <v>101</v>
      </c>
      <c r="G296" s="52" t="s">
        <v>442</v>
      </c>
      <c r="H296" s="52" t="n">
        <v>0</v>
      </c>
    </row>
    <row r="297" customFormat="false" ht="15" hidden="false" customHeight="true" outlineLevel="0" collapsed="false">
      <c r="A297" s="52" t="n">
        <v>296</v>
      </c>
      <c r="B297" s="52" t="s">
        <v>395</v>
      </c>
      <c r="C297" s="52" t="s">
        <v>644</v>
      </c>
      <c r="D297" s="52" t="s">
        <v>645</v>
      </c>
      <c r="E297" s="52" t="s">
        <v>709</v>
      </c>
      <c r="F297" s="52" t="s">
        <v>86</v>
      </c>
      <c r="G297" s="52" t="s">
        <v>442</v>
      </c>
      <c r="H297" s="52" t="n">
        <v>0</v>
      </c>
    </row>
    <row r="298" customFormat="false" ht="15" hidden="false" customHeight="true" outlineLevel="0" collapsed="false">
      <c r="A298" s="52" t="n">
        <v>297</v>
      </c>
      <c r="B298" s="52" t="s">
        <v>395</v>
      </c>
      <c r="C298" s="52" t="s">
        <v>644</v>
      </c>
      <c r="D298" s="52" t="s">
        <v>645</v>
      </c>
      <c r="E298" s="52" t="s">
        <v>714</v>
      </c>
      <c r="F298" s="52" t="s">
        <v>331</v>
      </c>
      <c r="G298" s="52" t="s">
        <v>715</v>
      </c>
      <c r="H298" s="52" t="n">
        <v>1</v>
      </c>
    </row>
    <row r="299" customFormat="false" ht="15" hidden="false" customHeight="true" outlineLevel="0" collapsed="false">
      <c r="A299" s="52" t="n">
        <v>298</v>
      </c>
      <c r="B299" s="52" t="s">
        <v>395</v>
      </c>
      <c r="C299" s="52" t="s">
        <v>644</v>
      </c>
      <c r="D299" s="52" t="s">
        <v>645</v>
      </c>
      <c r="E299" s="52" t="s">
        <v>714</v>
      </c>
      <c r="F299" s="52" t="s">
        <v>331</v>
      </c>
      <c r="G299" s="52" t="s">
        <v>716</v>
      </c>
      <c r="H299" s="52" t="n">
        <v>1</v>
      </c>
    </row>
    <row r="300" customFormat="false" ht="15" hidden="false" customHeight="true" outlineLevel="0" collapsed="false">
      <c r="A300" s="52" t="n">
        <v>299</v>
      </c>
      <c r="B300" s="52" t="s">
        <v>395</v>
      </c>
      <c r="C300" s="52" t="s">
        <v>644</v>
      </c>
      <c r="D300" s="52" t="s">
        <v>645</v>
      </c>
      <c r="E300" s="52" t="s">
        <v>714</v>
      </c>
      <c r="F300" s="52" t="s">
        <v>74</v>
      </c>
      <c r="G300" s="52" t="s">
        <v>717</v>
      </c>
      <c r="H300" s="52" t="n">
        <v>1</v>
      </c>
    </row>
    <row r="301" customFormat="false" ht="15" hidden="false" customHeight="true" outlineLevel="0" collapsed="false">
      <c r="A301" s="52" t="n">
        <v>300</v>
      </c>
      <c r="B301" s="52" t="s">
        <v>395</v>
      </c>
      <c r="C301" s="52" t="s">
        <v>644</v>
      </c>
      <c r="D301" s="52" t="s">
        <v>645</v>
      </c>
      <c r="E301" s="52" t="s">
        <v>714</v>
      </c>
      <c r="F301" s="52" t="s">
        <v>74</v>
      </c>
      <c r="G301" s="52" t="s">
        <v>718</v>
      </c>
      <c r="H301" s="52" t="n">
        <v>1</v>
      </c>
    </row>
    <row r="302" customFormat="false" ht="15" hidden="false" customHeight="true" outlineLevel="0" collapsed="false">
      <c r="A302" s="52" t="n">
        <v>301</v>
      </c>
      <c r="B302" s="52" t="s">
        <v>395</v>
      </c>
      <c r="C302" s="52" t="s">
        <v>644</v>
      </c>
      <c r="D302" s="52" t="s">
        <v>645</v>
      </c>
      <c r="E302" s="52" t="s">
        <v>714</v>
      </c>
      <c r="F302" s="52" t="s">
        <v>74</v>
      </c>
      <c r="G302" s="52" t="s">
        <v>719</v>
      </c>
      <c r="H302" s="52" t="n">
        <v>1</v>
      </c>
    </row>
    <row r="303" customFormat="false" ht="15" hidden="false" customHeight="true" outlineLevel="0" collapsed="false">
      <c r="A303" s="52" t="n">
        <v>302</v>
      </c>
      <c r="B303" s="52" t="s">
        <v>395</v>
      </c>
      <c r="C303" s="52" t="s">
        <v>644</v>
      </c>
      <c r="D303" s="52" t="s">
        <v>645</v>
      </c>
      <c r="E303" s="52" t="s">
        <v>714</v>
      </c>
      <c r="F303" s="52" t="s">
        <v>74</v>
      </c>
      <c r="G303" s="52" t="s">
        <v>720</v>
      </c>
      <c r="H303" s="52" t="n">
        <v>1</v>
      </c>
    </row>
    <row r="304" customFormat="false" ht="15" hidden="false" customHeight="true" outlineLevel="0" collapsed="false">
      <c r="A304" s="52" t="n">
        <v>303</v>
      </c>
      <c r="B304" s="52" t="s">
        <v>395</v>
      </c>
      <c r="C304" s="52" t="s">
        <v>644</v>
      </c>
      <c r="D304" s="52" t="s">
        <v>645</v>
      </c>
      <c r="E304" s="52" t="s">
        <v>714</v>
      </c>
      <c r="F304" s="52" t="s">
        <v>36</v>
      </c>
      <c r="G304" s="52" t="s">
        <v>721</v>
      </c>
      <c r="H304" s="52" t="n">
        <v>1</v>
      </c>
    </row>
    <row r="305" customFormat="false" ht="15" hidden="false" customHeight="true" outlineLevel="0" collapsed="false">
      <c r="A305" s="52" t="n">
        <v>304</v>
      </c>
      <c r="B305" s="52" t="s">
        <v>395</v>
      </c>
      <c r="C305" s="52" t="s">
        <v>644</v>
      </c>
      <c r="D305" s="52" t="s">
        <v>645</v>
      </c>
      <c r="E305" s="52" t="s">
        <v>714</v>
      </c>
      <c r="F305" s="52" t="s">
        <v>36</v>
      </c>
      <c r="G305" s="52" t="s">
        <v>722</v>
      </c>
      <c r="H305" s="52" t="n">
        <v>1</v>
      </c>
    </row>
    <row r="306" customFormat="false" ht="15" hidden="false" customHeight="true" outlineLevel="0" collapsed="false">
      <c r="A306" s="52" t="n">
        <v>305</v>
      </c>
      <c r="B306" s="52" t="s">
        <v>395</v>
      </c>
      <c r="C306" s="52" t="s">
        <v>644</v>
      </c>
      <c r="D306" s="52" t="s">
        <v>645</v>
      </c>
      <c r="E306" s="52" t="s">
        <v>714</v>
      </c>
      <c r="F306" s="52" t="s">
        <v>259</v>
      </c>
      <c r="G306" s="52" t="s">
        <v>723</v>
      </c>
      <c r="H306" s="52" t="n">
        <v>1</v>
      </c>
    </row>
    <row r="307" customFormat="false" ht="15" hidden="false" customHeight="true" outlineLevel="0" collapsed="false">
      <c r="A307" s="52" t="n">
        <v>306</v>
      </c>
      <c r="B307" s="52" t="s">
        <v>395</v>
      </c>
      <c r="C307" s="52" t="s">
        <v>644</v>
      </c>
      <c r="D307" s="52" t="s">
        <v>645</v>
      </c>
      <c r="E307" s="52" t="s">
        <v>714</v>
      </c>
      <c r="F307" s="52" t="s">
        <v>259</v>
      </c>
      <c r="G307" s="52" t="s">
        <v>724</v>
      </c>
      <c r="H307" s="52" t="n">
        <v>1</v>
      </c>
    </row>
    <row r="308" customFormat="false" ht="15" hidden="false" customHeight="true" outlineLevel="0" collapsed="false">
      <c r="A308" s="52" t="n">
        <v>307</v>
      </c>
      <c r="B308" s="52" t="s">
        <v>395</v>
      </c>
      <c r="C308" s="52" t="s">
        <v>644</v>
      </c>
      <c r="D308" s="52" t="s">
        <v>645</v>
      </c>
      <c r="E308" s="52" t="s">
        <v>714</v>
      </c>
      <c r="F308" s="52" t="s">
        <v>52</v>
      </c>
      <c r="G308" s="52" t="s">
        <v>725</v>
      </c>
      <c r="H308" s="52" t="n">
        <v>1</v>
      </c>
    </row>
    <row r="309" customFormat="false" ht="15" hidden="false" customHeight="true" outlineLevel="0" collapsed="false">
      <c r="A309" s="52" t="n">
        <v>308</v>
      </c>
      <c r="B309" s="52" t="s">
        <v>395</v>
      </c>
      <c r="C309" s="52" t="s">
        <v>644</v>
      </c>
      <c r="D309" s="52" t="s">
        <v>645</v>
      </c>
      <c r="E309" s="52" t="s">
        <v>714</v>
      </c>
      <c r="F309" s="52" t="s">
        <v>21</v>
      </c>
      <c r="G309" s="52" t="s">
        <v>726</v>
      </c>
      <c r="H309" s="52" t="n">
        <v>1</v>
      </c>
    </row>
    <row r="310" customFormat="false" ht="15" hidden="false" customHeight="true" outlineLevel="0" collapsed="false">
      <c r="A310" s="52" t="n">
        <v>309</v>
      </c>
      <c r="B310" s="52" t="s">
        <v>395</v>
      </c>
      <c r="C310" s="52" t="s">
        <v>644</v>
      </c>
      <c r="D310" s="52" t="s">
        <v>645</v>
      </c>
      <c r="E310" s="52" t="s">
        <v>714</v>
      </c>
      <c r="F310" s="52" t="s">
        <v>21</v>
      </c>
      <c r="G310" s="52" t="s">
        <v>727</v>
      </c>
      <c r="H310" s="52" t="n">
        <v>1</v>
      </c>
    </row>
    <row r="311" customFormat="false" ht="15" hidden="false" customHeight="true" outlineLevel="0" collapsed="false">
      <c r="A311" s="52" t="n">
        <v>310</v>
      </c>
      <c r="B311" s="52" t="s">
        <v>395</v>
      </c>
      <c r="C311" s="52" t="s">
        <v>644</v>
      </c>
      <c r="D311" s="52" t="s">
        <v>645</v>
      </c>
      <c r="E311" s="52" t="s">
        <v>714</v>
      </c>
      <c r="F311" s="52" t="s">
        <v>123</v>
      </c>
      <c r="G311" s="52" t="s">
        <v>728</v>
      </c>
      <c r="H311" s="52" t="n">
        <v>1</v>
      </c>
    </row>
    <row r="312" customFormat="false" ht="15" hidden="false" customHeight="true" outlineLevel="0" collapsed="false">
      <c r="A312" s="52" t="n">
        <v>311</v>
      </c>
      <c r="B312" s="52" t="s">
        <v>395</v>
      </c>
      <c r="C312" s="52" t="s">
        <v>644</v>
      </c>
      <c r="D312" s="52" t="s">
        <v>645</v>
      </c>
      <c r="E312" s="52" t="s">
        <v>714</v>
      </c>
      <c r="F312" s="52" t="s">
        <v>123</v>
      </c>
      <c r="G312" s="52" t="s">
        <v>729</v>
      </c>
      <c r="H312" s="52" t="n">
        <v>1</v>
      </c>
    </row>
    <row r="313" customFormat="false" ht="15" hidden="false" customHeight="true" outlineLevel="0" collapsed="false">
      <c r="A313" s="52" t="n">
        <v>312</v>
      </c>
      <c r="B313" s="52" t="s">
        <v>395</v>
      </c>
      <c r="C313" s="52" t="s">
        <v>644</v>
      </c>
      <c r="D313" s="52" t="s">
        <v>645</v>
      </c>
      <c r="E313" s="52" t="s">
        <v>714</v>
      </c>
      <c r="F313" s="52" t="s">
        <v>13</v>
      </c>
      <c r="G313" s="52" t="s">
        <v>730</v>
      </c>
      <c r="H313" s="52" t="n">
        <v>1</v>
      </c>
    </row>
    <row r="314" customFormat="false" ht="15" hidden="false" customHeight="true" outlineLevel="0" collapsed="false">
      <c r="A314" s="52" t="n">
        <v>313</v>
      </c>
      <c r="B314" s="52" t="s">
        <v>395</v>
      </c>
      <c r="C314" s="52" t="s">
        <v>644</v>
      </c>
      <c r="D314" s="52" t="s">
        <v>645</v>
      </c>
      <c r="E314" s="52" t="s">
        <v>714</v>
      </c>
      <c r="F314" s="52" t="s">
        <v>13</v>
      </c>
      <c r="G314" s="52" t="s">
        <v>731</v>
      </c>
      <c r="H314" s="52" t="n">
        <v>1</v>
      </c>
    </row>
    <row r="315" customFormat="false" ht="15" hidden="false" customHeight="true" outlineLevel="0" collapsed="false">
      <c r="A315" s="52" t="n">
        <v>314</v>
      </c>
      <c r="B315" s="52" t="s">
        <v>395</v>
      </c>
      <c r="C315" s="52" t="s">
        <v>644</v>
      </c>
      <c r="D315" s="52" t="s">
        <v>645</v>
      </c>
      <c r="E315" s="52" t="s">
        <v>714</v>
      </c>
      <c r="F315" s="52" t="s">
        <v>101</v>
      </c>
      <c r="G315" s="52" t="s">
        <v>732</v>
      </c>
      <c r="H315" s="52" t="n">
        <v>1</v>
      </c>
    </row>
    <row r="316" customFormat="false" ht="15" hidden="false" customHeight="true" outlineLevel="0" collapsed="false">
      <c r="A316" s="52" t="n">
        <v>315</v>
      </c>
      <c r="B316" s="52" t="s">
        <v>395</v>
      </c>
      <c r="C316" s="52" t="s">
        <v>644</v>
      </c>
      <c r="D316" s="52" t="s">
        <v>645</v>
      </c>
      <c r="E316" s="52" t="s">
        <v>714</v>
      </c>
      <c r="F316" s="52" t="s">
        <v>86</v>
      </c>
      <c r="G316" s="52" t="s">
        <v>442</v>
      </c>
      <c r="H316" s="52" t="n">
        <v>0</v>
      </c>
    </row>
    <row r="317" customFormat="false" ht="15" hidden="false" customHeight="true" outlineLevel="0" collapsed="false">
      <c r="A317" s="52" t="n">
        <v>316</v>
      </c>
      <c r="B317" s="52" t="s">
        <v>395</v>
      </c>
      <c r="C317" s="52" t="s">
        <v>644</v>
      </c>
      <c r="D317" s="52" t="s">
        <v>733</v>
      </c>
      <c r="E317" s="52" t="s">
        <v>734</v>
      </c>
      <c r="F317" s="52" t="s">
        <v>331</v>
      </c>
      <c r="G317" s="52" t="s">
        <v>735</v>
      </c>
      <c r="H317" s="52" t="n">
        <v>1</v>
      </c>
    </row>
    <row r="318" customFormat="false" ht="15" hidden="false" customHeight="true" outlineLevel="0" collapsed="false">
      <c r="A318" s="52" t="n">
        <v>317</v>
      </c>
      <c r="B318" s="52" t="s">
        <v>395</v>
      </c>
      <c r="C318" s="52" t="s">
        <v>644</v>
      </c>
      <c r="D318" s="52" t="s">
        <v>733</v>
      </c>
      <c r="E318" s="52" t="s">
        <v>734</v>
      </c>
      <c r="F318" s="52" t="s">
        <v>74</v>
      </c>
      <c r="G318" s="52" t="s">
        <v>736</v>
      </c>
      <c r="H318" s="52" t="n">
        <v>1</v>
      </c>
    </row>
    <row r="319" customFormat="false" ht="15" hidden="false" customHeight="true" outlineLevel="0" collapsed="false">
      <c r="A319" s="52" t="n">
        <v>318</v>
      </c>
      <c r="B319" s="52" t="s">
        <v>395</v>
      </c>
      <c r="C319" s="52" t="s">
        <v>644</v>
      </c>
      <c r="D319" s="52" t="s">
        <v>733</v>
      </c>
      <c r="E319" s="52" t="s">
        <v>734</v>
      </c>
      <c r="F319" s="52" t="s">
        <v>74</v>
      </c>
      <c r="G319" s="52" t="s">
        <v>737</v>
      </c>
      <c r="H319" s="52" t="n">
        <v>1</v>
      </c>
    </row>
    <row r="320" customFormat="false" ht="15" hidden="false" customHeight="true" outlineLevel="0" collapsed="false">
      <c r="A320" s="52" t="n">
        <v>319</v>
      </c>
      <c r="B320" s="52" t="s">
        <v>395</v>
      </c>
      <c r="C320" s="52" t="s">
        <v>644</v>
      </c>
      <c r="D320" s="52" t="s">
        <v>733</v>
      </c>
      <c r="E320" s="52" t="s">
        <v>734</v>
      </c>
      <c r="F320" s="52" t="s">
        <v>259</v>
      </c>
      <c r="G320" s="52" t="s">
        <v>738</v>
      </c>
      <c r="H320" s="52" t="n">
        <v>1</v>
      </c>
    </row>
    <row r="321" customFormat="false" ht="15" hidden="false" customHeight="true" outlineLevel="0" collapsed="false">
      <c r="A321" s="52" t="n">
        <v>320</v>
      </c>
      <c r="B321" s="52" t="s">
        <v>395</v>
      </c>
      <c r="C321" s="52" t="s">
        <v>644</v>
      </c>
      <c r="D321" s="52" t="s">
        <v>733</v>
      </c>
      <c r="E321" s="52" t="s">
        <v>734</v>
      </c>
      <c r="F321" s="52" t="s">
        <v>21</v>
      </c>
      <c r="G321" s="52" t="s">
        <v>739</v>
      </c>
      <c r="H321" s="52" t="n">
        <v>1</v>
      </c>
    </row>
    <row r="322" customFormat="false" ht="15" hidden="false" customHeight="true" outlineLevel="0" collapsed="false">
      <c r="A322" s="52" t="n">
        <v>321</v>
      </c>
      <c r="B322" s="52" t="s">
        <v>395</v>
      </c>
      <c r="C322" s="52" t="s">
        <v>644</v>
      </c>
      <c r="D322" s="52" t="s">
        <v>733</v>
      </c>
      <c r="E322" s="52" t="s">
        <v>734</v>
      </c>
      <c r="F322" s="52" t="s">
        <v>13</v>
      </c>
      <c r="G322" s="52" t="s">
        <v>740</v>
      </c>
      <c r="H322" s="52" t="n">
        <v>1</v>
      </c>
    </row>
    <row r="323" customFormat="false" ht="15" hidden="false" customHeight="true" outlineLevel="0" collapsed="false">
      <c r="A323" s="52" t="n">
        <v>322</v>
      </c>
      <c r="B323" s="52" t="s">
        <v>395</v>
      </c>
      <c r="C323" s="52" t="s">
        <v>644</v>
      </c>
      <c r="D323" s="52" t="s">
        <v>733</v>
      </c>
      <c r="E323" s="52" t="s">
        <v>734</v>
      </c>
      <c r="F323" s="52" t="s">
        <v>101</v>
      </c>
      <c r="G323" s="52" t="s">
        <v>741</v>
      </c>
      <c r="H323" s="52" t="n">
        <v>1</v>
      </c>
    </row>
    <row r="324" customFormat="false" ht="15" hidden="false" customHeight="true" outlineLevel="0" collapsed="false">
      <c r="A324" s="52" t="n">
        <v>323</v>
      </c>
      <c r="B324" s="52" t="s">
        <v>395</v>
      </c>
      <c r="C324" s="52" t="s">
        <v>644</v>
      </c>
      <c r="D324" s="52" t="s">
        <v>733</v>
      </c>
      <c r="E324" s="52" t="s">
        <v>734</v>
      </c>
      <c r="F324" s="52" t="s">
        <v>101</v>
      </c>
      <c r="G324" s="52" t="s">
        <v>742</v>
      </c>
      <c r="H324" s="52" t="n">
        <v>1</v>
      </c>
    </row>
    <row r="325" customFormat="false" ht="15" hidden="false" customHeight="true" outlineLevel="0" collapsed="false">
      <c r="A325" s="52" t="n">
        <v>324</v>
      </c>
      <c r="B325" s="52" t="s">
        <v>395</v>
      </c>
      <c r="C325" s="52" t="s">
        <v>644</v>
      </c>
      <c r="D325" s="52" t="s">
        <v>733</v>
      </c>
      <c r="E325" s="52" t="s">
        <v>734</v>
      </c>
      <c r="F325" s="52" t="s">
        <v>86</v>
      </c>
      <c r="G325" s="52" t="s">
        <v>743</v>
      </c>
      <c r="H325" s="52" t="n">
        <v>1</v>
      </c>
    </row>
    <row r="326" customFormat="false" ht="15" hidden="false" customHeight="true" outlineLevel="0" collapsed="false">
      <c r="A326" s="52" t="n">
        <v>325</v>
      </c>
      <c r="B326" s="52" t="s">
        <v>395</v>
      </c>
      <c r="C326" s="52" t="s">
        <v>644</v>
      </c>
      <c r="D326" s="52" t="s">
        <v>733</v>
      </c>
      <c r="E326" s="52" t="s">
        <v>744</v>
      </c>
      <c r="F326" s="52" t="s">
        <v>331</v>
      </c>
      <c r="G326" s="52" t="s">
        <v>745</v>
      </c>
      <c r="H326" s="52" t="n">
        <v>1</v>
      </c>
    </row>
    <row r="327" customFormat="false" ht="15" hidden="false" customHeight="true" outlineLevel="0" collapsed="false">
      <c r="A327" s="52" t="n">
        <v>326</v>
      </c>
      <c r="B327" s="52" t="s">
        <v>395</v>
      </c>
      <c r="C327" s="52" t="s">
        <v>644</v>
      </c>
      <c r="D327" s="52" t="s">
        <v>733</v>
      </c>
      <c r="E327" s="52" t="s">
        <v>744</v>
      </c>
      <c r="F327" s="52" t="s">
        <v>331</v>
      </c>
      <c r="G327" s="52" t="s">
        <v>746</v>
      </c>
      <c r="H327" s="52" t="n">
        <v>1</v>
      </c>
    </row>
    <row r="328" customFormat="false" ht="15" hidden="false" customHeight="true" outlineLevel="0" collapsed="false">
      <c r="A328" s="52" t="n">
        <v>327</v>
      </c>
      <c r="B328" s="52" t="s">
        <v>395</v>
      </c>
      <c r="C328" s="52" t="s">
        <v>644</v>
      </c>
      <c r="D328" s="52" t="s">
        <v>733</v>
      </c>
      <c r="E328" s="52" t="s">
        <v>744</v>
      </c>
      <c r="F328" s="52" t="s">
        <v>74</v>
      </c>
      <c r="G328" s="52" t="s">
        <v>747</v>
      </c>
      <c r="H328" s="52" t="n">
        <v>1</v>
      </c>
    </row>
    <row r="329" customFormat="false" ht="15" hidden="false" customHeight="true" outlineLevel="0" collapsed="false">
      <c r="A329" s="52" t="n">
        <v>328</v>
      </c>
      <c r="B329" s="52" t="s">
        <v>395</v>
      </c>
      <c r="C329" s="52" t="s">
        <v>644</v>
      </c>
      <c r="D329" s="52" t="s">
        <v>733</v>
      </c>
      <c r="E329" s="52" t="s">
        <v>744</v>
      </c>
      <c r="F329" s="52" t="s">
        <v>74</v>
      </c>
      <c r="G329" s="52" t="s">
        <v>748</v>
      </c>
      <c r="H329" s="52" t="n">
        <v>1</v>
      </c>
    </row>
    <row r="330" customFormat="false" ht="15" hidden="false" customHeight="true" outlineLevel="0" collapsed="false">
      <c r="A330" s="52" t="n">
        <v>329</v>
      </c>
      <c r="B330" s="52" t="s">
        <v>395</v>
      </c>
      <c r="C330" s="52" t="s">
        <v>644</v>
      </c>
      <c r="D330" s="52" t="s">
        <v>733</v>
      </c>
      <c r="E330" s="52" t="s">
        <v>744</v>
      </c>
      <c r="F330" s="52" t="s">
        <v>74</v>
      </c>
      <c r="G330" s="52" t="s">
        <v>749</v>
      </c>
      <c r="H330" s="52" t="n">
        <v>1</v>
      </c>
    </row>
    <row r="331" customFormat="false" ht="15" hidden="false" customHeight="true" outlineLevel="0" collapsed="false">
      <c r="A331" s="52" t="n">
        <v>330</v>
      </c>
      <c r="B331" s="52" t="s">
        <v>395</v>
      </c>
      <c r="C331" s="52" t="s">
        <v>644</v>
      </c>
      <c r="D331" s="52" t="s">
        <v>733</v>
      </c>
      <c r="E331" s="52" t="s">
        <v>744</v>
      </c>
      <c r="F331" s="52" t="s">
        <v>36</v>
      </c>
      <c r="G331" s="52" t="s">
        <v>750</v>
      </c>
      <c r="H331" s="52" t="n">
        <v>1</v>
      </c>
    </row>
    <row r="332" customFormat="false" ht="15" hidden="false" customHeight="true" outlineLevel="0" collapsed="false">
      <c r="A332" s="52" t="n">
        <v>331</v>
      </c>
      <c r="B332" s="52" t="s">
        <v>395</v>
      </c>
      <c r="C332" s="52" t="s">
        <v>644</v>
      </c>
      <c r="D332" s="52" t="s">
        <v>733</v>
      </c>
      <c r="E332" s="52" t="s">
        <v>744</v>
      </c>
      <c r="F332" s="52" t="s">
        <v>259</v>
      </c>
      <c r="G332" s="52" t="s">
        <v>751</v>
      </c>
      <c r="H332" s="52" t="n">
        <v>1</v>
      </c>
    </row>
    <row r="333" customFormat="false" ht="15" hidden="false" customHeight="true" outlineLevel="0" collapsed="false">
      <c r="A333" s="52" t="n">
        <v>332</v>
      </c>
      <c r="B333" s="52" t="s">
        <v>395</v>
      </c>
      <c r="C333" s="52" t="s">
        <v>644</v>
      </c>
      <c r="D333" s="52" t="s">
        <v>733</v>
      </c>
      <c r="E333" s="52" t="s">
        <v>744</v>
      </c>
      <c r="F333" s="52" t="s">
        <v>259</v>
      </c>
      <c r="G333" s="52" t="s">
        <v>752</v>
      </c>
      <c r="H333" s="52" t="n">
        <v>1</v>
      </c>
    </row>
    <row r="334" customFormat="false" ht="15" hidden="false" customHeight="true" outlineLevel="0" collapsed="false">
      <c r="A334" s="52" t="n">
        <v>333</v>
      </c>
      <c r="B334" s="52" t="s">
        <v>395</v>
      </c>
      <c r="C334" s="52" t="s">
        <v>644</v>
      </c>
      <c r="D334" s="52" t="s">
        <v>733</v>
      </c>
      <c r="E334" s="52" t="s">
        <v>744</v>
      </c>
      <c r="F334" s="52" t="s">
        <v>52</v>
      </c>
      <c r="G334" s="52" t="s">
        <v>753</v>
      </c>
      <c r="H334" s="52" t="n">
        <v>1</v>
      </c>
    </row>
    <row r="335" customFormat="false" ht="15" hidden="false" customHeight="true" outlineLevel="0" collapsed="false">
      <c r="A335" s="52" t="n">
        <v>334</v>
      </c>
      <c r="B335" s="52" t="s">
        <v>395</v>
      </c>
      <c r="C335" s="52" t="s">
        <v>644</v>
      </c>
      <c r="D335" s="52" t="s">
        <v>733</v>
      </c>
      <c r="E335" s="52" t="s">
        <v>744</v>
      </c>
      <c r="F335" s="52" t="s">
        <v>52</v>
      </c>
      <c r="G335" s="52" t="s">
        <v>754</v>
      </c>
      <c r="H335" s="52" t="n">
        <v>1</v>
      </c>
    </row>
    <row r="336" customFormat="false" ht="15" hidden="false" customHeight="true" outlineLevel="0" collapsed="false">
      <c r="A336" s="52" t="n">
        <v>335</v>
      </c>
      <c r="B336" s="52" t="s">
        <v>395</v>
      </c>
      <c r="C336" s="52" t="s">
        <v>644</v>
      </c>
      <c r="D336" s="52" t="s">
        <v>733</v>
      </c>
      <c r="E336" s="52" t="s">
        <v>744</v>
      </c>
      <c r="F336" s="52" t="s">
        <v>21</v>
      </c>
      <c r="G336" s="52" t="s">
        <v>755</v>
      </c>
      <c r="H336" s="52" t="n">
        <v>1</v>
      </c>
    </row>
    <row r="337" customFormat="false" ht="15" hidden="false" customHeight="true" outlineLevel="0" collapsed="false">
      <c r="A337" s="52" t="n">
        <v>336</v>
      </c>
      <c r="B337" s="52" t="s">
        <v>395</v>
      </c>
      <c r="C337" s="52" t="s">
        <v>644</v>
      </c>
      <c r="D337" s="52" t="s">
        <v>733</v>
      </c>
      <c r="E337" s="52" t="s">
        <v>744</v>
      </c>
      <c r="F337" s="52" t="s">
        <v>21</v>
      </c>
      <c r="G337" s="52" t="s">
        <v>756</v>
      </c>
      <c r="H337" s="52" t="n">
        <v>1</v>
      </c>
    </row>
    <row r="338" customFormat="false" ht="15" hidden="false" customHeight="true" outlineLevel="0" collapsed="false">
      <c r="A338" s="52" t="n">
        <v>337</v>
      </c>
      <c r="B338" s="52" t="s">
        <v>395</v>
      </c>
      <c r="C338" s="52" t="s">
        <v>644</v>
      </c>
      <c r="D338" s="52" t="s">
        <v>733</v>
      </c>
      <c r="E338" s="52" t="s">
        <v>744</v>
      </c>
      <c r="F338" s="52" t="s">
        <v>21</v>
      </c>
      <c r="G338" s="52" t="s">
        <v>757</v>
      </c>
      <c r="H338" s="52" t="n">
        <v>1</v>
      </c>
    </row>
    <row r="339" customFormat="false" ht="15" hidden="false" customHeight="true" outlineLevel="0" collapsed="false">
      <c r="A339" s="52" t="n">
        <v>338</v>
      </c>
      <c r="B339" s="52" t="s">
        <v>395</v>
      </c>
      <c r="C339" s="52" t="s">
        <v>644</v>
      </c>
      <c r="D339" s="52" t="s">
        <v>733</v>
      </c>
      <c r="E339" s="52" t="s">
        <v>744</v>
      </c>
      <c r="F339" s="52" t="s">
        <v>21</v>
      </c>
      <c r="G339" s="52" t="s">
        <v>669</v>
      </c>
      <c r="H339" s="52" t="n">
        <v>1</v>
      </c>
    </row>
    <row r="340" customFormat="false" ht="15" hidden="false" customHeight="true" outlineLevel="0" collapsed="false">
      <c r="A340" s="52" t="n">
        <v>339</v>
      </c>
      <c r="B340" s="52" t="s">
        <v>395</v>
      </c>
      <c r="C340" s="52" t="s">
        <v>644</v>
      </c>
      <c r="D340" s="52" t="s">
        <v>733</v>
      </c>
      <c r="E340" s="52" t="s">
        <v>744</v>
      </c>
      <c r="F340" s="52" t="s">
        <v>123</v>
      </c>
      <c r="G340" s="52" t="s">
        <v>758</v>
      </c>
      <c r="H340" s="52" t="n">
        <v>1</v>
      </c>
    </row>
    <row r="341" customFormat="false" ht="15" hidden="false" customHeight="true" outlineLevel="0" collapsed="false">
      <c r="A341" s="52" t="n">
        <v>340</v>
      </c>
      <c r="B341" s="52" t="s">
        <v>395</v>
      </c>
      <c r="C341" s="52" t="s">
        <v>644</v>
      </c>
      <c r="D341" s="52" t="s">
        <v>733</v>
      </c>
      <c r="E341" s="52" t="s">
        <v>744</v>
      </c>
      <c r="F341" s="52" t="s">
        <v>123</v>
      </c>
      <c r="G341" s="52" t="s">
        <v>759</v>
      </c>
      <c r="H341" s="52" t="n">
        <v>1</v>
      </c>
    </row>
    <row r="342" customFormat="false" ht="15" hidden="false" customHeight="true" outlineLevel="0" collapsed="false">
      <c r="A342" s="52" t="n">
        <v>341</v>
      </c>
      <c r="B342" s="52" t="s">
        <v>395</v>
      </c>
      <c r="C342" s="52" t="s">
        <v>644</v>
      </c>
      <c r="D342" s="52" t="s">
        <v>733</v>
      </c>
      <c r="E342" s="52" t="s">
        <v>744</v>
      </c>
      <c r="F342" s="52" t="s">
        <v>123</v>
      </c>
      <c r="G342" s="52" t="s">
        <v>760</v>
      </c>
      <c r="H342" s="52" t="n">
        <v>1</v>
      </c>
    </row>
    <row r="343" customFormat="false" ht="15" hidden="false" customHeight="true" outlineLevel="0" collapsed="false">
      <c r="A343" s="52" t="n">
        <v>342</v>
      </c>
      <c r="B343" s="52" t="s">
        <v>395</v>
      </c>
      <c r="C343" s="52" t="s">
        <v>644</v>
      </c>
      <c r="D343" s="52" t="s">
        <v>733</v>
      </c>
      <c r="E343" s="52" t="s">
        <v>744</v>
      </c>
      <c r="F343" s="52" t="s">
        <v>13</v>
      </c>
      <c r="G343" s="52" t="s">
        <v>761</v>
      </c>
      <c r="H343" s="52" t="n">
        <v>1</v>
      </c>
    </row>
    <row r="344" customFormat="false" ht="15" hidden="false" customHeight="true" outlineLevel="0" collapsed="false">
      <c r="A344" s="52" t="n">
        <v>343</v>
      </c>
      <c r="B344" s="52" t="s">
        <v>395</v>
      </c>
      <c r="C344" s="52" t="s">
        <v>644</v>
      </c>
      <c r="D344" s="52" t="s">
        <v>733</v>
      </c>
      <c r="E344" s="52" t="s">
        <v>744</v>
      </c>
      <c r="F344" s="52" t="s">
        <v>13</v>
      </c>
      <c r="G344" s="52" t="s">
        <v>762</v>
      </c>
      <c r="H344" s="52" t="n">
        <v>1</v>
      </c>
    </row>
    <row r="345" customFormat="false" ht="15" hidden="false" customHeight="true" outlineLevel="0" collapsed="false">
      <c r="A345" s="52" t="n">
        <v>344</v>
      </c>
      <c r="B345" s="52" t="s">
        <v>395</v>
      </c>
      <c r="C345" s="52" t="s">
        <v>644</v>
      </c>
      <c r="D345" s="52" t="s">
        <v>733</v>
      </c>
      <c r="E345" s="52" t="s">
        <v>744</v>
      </c>
      <c r="F345" s="52" t="s">
        <v>13</v>
      </c>
      <c r="G345" s="52" t="s">
        <v>763</v>
      </c>
      <c r="H345" s="52" t="n">
        <v>1</v>
      </c>
    </row>
    <row r="346" customFormat="false" ht="15" hidden="false" customHeight="true" outlineLevel="0" collapsed="false">
      <c r="A346" s="52" t="n">
        <v>345</v>
      </c>
      <c r="B346" s="52" t="s">
        <v>395</v>
      </c>
      <c r="C346" s="52" t="s">
        <v>644</v>
      </c>
      <c r="D346" s="52" t="s">
        <v>733</v>
      </c>
      <c r="E346" s="52" t="s">
        <v>744</v>
      </c>
      <c r="F346" s="52" t="s">
        <v>13</v>
      </c>
      <c r="G346" s="52" t="s">
        <v>764</v>
      </c>
      <c r="H346" s="52" t="n">
        <v>1</v>
      </c>
    </row>
    <row r="347" customFormat="false" ht="15" hidden="false" customHeight="true" outlineLevel="0" collapsed="false">
      <c r="A347" s="52" t="n">
        <v>346</v>
      </c>
      <c r="B347" s="52" t="s">
        <v>395</v>
      </c>
      <c r="C347" s="52" t="s">
        <v>644</v>
      </c>
      <c r="D347" s="52" t="s">
        <v>733</v>
      </c>
      <c r="E347" s="52" t="s">
        <v>744</v>
      </c>
      <c r="F347" s="52" t="s">
        <v>101</v>
      </c>
      <c r="G347" s="52" t="s">
        <v>765</v>
      </c>
      <c r="H347" s="52" t="n">
        <v>1</v>
      </c>
    </row>
    <row r="348" customFormat="false" ht="15" hidden="false" customHeight="true" outlineLevel="0" collapsed="false">
      <c r="A348" s="52" t="n">
        <v>347</v>
      </c>
      <c r="B348" s="52" t="s">
        <v>395</v>
      </c>
      <c r="C348" s="52" t="s">
        <v>644</v>
      </c>
      <c r="D348" s="52" t="s">
        <v>733</v>
      </c>
      <c r="E348" s="52" t="s">
        <v>744</v>
      </c>
      <c r="F348" s="52" t="s">
        <v>101</v>
      </c>
      <c r="G348" s="52" t="s">
        <v>766</v>
      </c>
      <c r="H348" s="52" t="n">
        <v>1</v>
      </c>
    </row>
    <row r="349" customFormat="false" ht="15" hidden="false" customHeight="true" outlineLevel="0" collapsed="false">
      <c r="A349" s="52" t="n">
        <v>348</v>
      </c>
      <c r="B349" s="52" t="s">
        <v>395</v>
      </c>
      <c r="C349" s="52" t="s">
        <v>644</v>
      </c>
      <c r="D349" s="52" t="s">
        <v>733</v>
      </c>
      <c r="E349" s="52" t="s">
        <v>744</v>
      </c>
      <c r="F349" s="52" t="s">
        <v>101</v>
      </c>
      <c r="G349" s="52" t="s">
        <v>767</v>
      </c>
      <c r="H349" s="52" t="n">
        <v>1</v>
      </c>
    </row>
    <row r="350" customFormat="false" ht="15" hidden="false" customHeight="true" outlineLevel="0" collapsed="false">
      <c r="A350" s="52" t="n">
        <v>349</v>
      </c>
      <c r="B350" s="52" t="s">
        <v>395</v>
      </c>
      <c r="C350" s="52" t="s">
        <v>644</v>
      </c>
      <c r="D350" s="52" t="s">
        <v>733</v>
      </c>
      <c r="E350" s="52" t="s">
        <v>744</v>
      </c>
      <c r="F350" s="52" t="s">
        <v>86</v>
      </c>
      <c r="G350" s="52" t="s">
        <v>442</v>
      </c>
      <c r="H350" s="52" t="n">
        <v>0</v>
      </c>
    </row>
    <row r="351" customFormat="false" ht="15" hidden="false" customHeight="true" outlineLevel="0" collapsed="false">
      <c r="A351" s="52" t="n">
        <v>350</v>
      </c>
      <c r="B351" s="52" t="s">
        <v>395</v>
      </c>
      <c r="C351" s="52" t="s">
        <v>644</v>
      </c>
      <c r="D351" s="52" t="s">
        <v>733</v>
      </c>
      <c r="E351" s="52" t="s">
        <v>768</v>
      </c>
      <c r="F351" s="52" t="s">
        <v>331</v>
      </c>
      <c r="G351" s="52" t="s">
        <v>769</v>
      </c>
      <c r="H351" s="52" t="n">
        <v>1</v>
      </c>
    </row>
    <row r="352" customFormat="false" ht="15" hidden="false" customHeight="true" outlineLevel="0" collapsed="false">
      <c r="A352" s="52" t="n">
        <v>351</v>
      </c>
      <c r="B352" s="52" t="s">
        <v>395</v>
      </c>
      <c r="C352" s="52" t="s">
        <v>644</v>
      </c>
      <c r="D352" s="52" t="s">
        <v>733</v>
      </c>
      <c r="E352" s="52" t="s">
        <v>768</v>
      </c>
      <c r="F352" s="52" t="s">
        <v>331</v>
      </c>
      <c r="G352" s="52" t="s">
        <v>770</v>
      </c>
      <c r="H352" s="52" t="n">
        <v>1</v>
      </c>
    </row>
    <row r="353" customFormat="false" ht="15" hidden="false" customHeight="true" outlineLevel="0" collapsed="false">
      <c r="A353" s="52" t="n">
        <v>352</v>
      </c>
      <c r="B353" s="52" t="s">
        <v>395</v>
      </c>
      <c r="C353" s="52" t="s">
        <v>644</v>
      </c>
      <c r="D353" s="52" t="s">
        <v>733</v>
      </c>
      <c r="E353" s="52" t="s">
        <v>768</v>
      </c>
      <c r="F353" s="52" t="s">
        <v>331</v>
      </c>
      <c r="G353" s="52" t="s">
        <v>771</v>
      </c>
      <c r="H353" s="52" t="n">
        <v>1</v>
      </c>
    </row>
    <row r="354" customFormat="false" ht="15" hidden="false" customHeight="true" outlineLevel="0" collapsed="false">
      <c r="A354" s="52" t="n">
        <v>353</v>
      </c>
      <c r="B354" s="52" t="s">
        <v>395</v>
      </c>
      <c r="C354" s="52" t="s">
        <v>644</v>
      </c>
      <c r="D354" s="52" t="s">
        <v>733</v>
      </c>
      <c r="E354" s="52" t="s">
        <v>768</v>
      </c>
      <c r="F354" s="52" t="s">
        <v>74</v>
      </c>
      <c r="G354" s="52" t="s">
        <v>772</v>
      </c>
      <c r="H354" s="52" t="n">
        <v>1</v>
      </c>
    </row>
    <row r="355" customFormat="false" ht="15" hidden="false" customHeight="true" outlineLevel="0" collapsed="false">
      <c r="A355" s="52" t="n">
        <v>354</v>
      </c>
      <c r="B355" s="52" t="s">
        <v>395</v>
      </c>
      <c r="C355" s="52" t="s">
        <v>644</v>
      </c>
      <c r="D355" s="52" t="s">
        <v>733</v>
      </c>
      <c r="E355" s="52" t="s">
        <v>768</v>
      </c>
      <c r="F355" s="52" t="s">
        <v>74</v>
      </c>
      <c r="G355" s="52" t="s">
        <v>773</v>
      </c>
      <c r="H355" s="52" t="n">
        <v>1</v>
      </c>
    </row>
    <row r="356" customFormat="false" ht="15" hidden="false" customHeight="true" outlineLevel="0" collapsed="false">
      <c r="A356" s="52" t="n">
        <v>355</v>
      </c>
      <c r="B356" s="52" t="s">
        <v>395</v>
      </c>
      <c r="C356" s="52" t="s">
        <v>644</v>
      </c>
      <c r="D356" s="52" t="s">
        <v>733</v>
      </c>
      <c r="E356" s="52" t="s">
        <v>768</v>
      </c>
      <c r="F356" s="52" t="s">
        <v>74</v>
      </c>
      <c r="G356" s="52" t="s">
        <v>774</v>
      </c>
      <c r="H356" s="52" t="n">
        <v>1</v>
      </c>
    </row>
    <row r="357" customFormat="false" ht="15" hidden="false" customHeight="true" outlineLevel="0" collapsed="false">
      <c r="A357" s="52" t="n">
        <v>356</v>
      </c>
      <c r="B357" s="52" t="s">
        <v>395</v>
      </c>
      <c r="C357" s="52" t="s">
        <v>644</v>
      </c>
      <c r="D357" s="52" t="s">
        <v>733</v>
      </c>
      <c r="E357" s="52" t="s">
        <v>768</v>
      </c>
      <c r="F357" s="52" t="s">
        <v>36</v>
      </c>
      <c r="G357" s="52" t="s">
        <v>775</v>
      </c>
      <c r="H357" s="52" t="n">
        <v>1</v>
      </c>
    </row>
    <row r="358" customFormat="false" ht="15" hidden="false" customHeight="true" outlineLevel="0" collapsed="false">
      <c r="A358" s="52" t="n">
        <v>357</v>
      </c>
      <c r="B358" s="52" t="s">
        <v>395</v>
      </c>
      <c r="C358" s="52" t="s">
        <v>644</v>
      </c>
      <c r="D358" s="52" t="s">
        <v>733</v>
      </c>
      <c r="E358" s="52" t="s">
        <v>768</v>
      </c>
      <c r="F358" s="52" t="s">
        <v>36</v>
      </c>
      <c r="G358" s="52" t="s">
        <v>776</v>
      </c>
      <c r="H358" s="52" t="n">
        <v>1</v>
      </c>
    </row>
    <row r="359" customFormat="false" ht="15" hidden="false" customHeight="true" outlineLevel="0" collapsed="false">
      <c r="A359" s="52" t="n">
        <v>358</v>
      </c>
      <c r="B359" s="52" t="s">
        <v>395</v>
      </c>
      <c r="C359" s="52" t="s">
        <v>644</v>
      </c>
      <c r="D359" s="52" t="s">
        <v>733</v>
      </c>
      <c r="E359" s="52" t="s">
        <v>768</v>
      </c>
      <c r="F359" s="52" t="s">
        <v>36</v>
      </c>
      <c r="G359" s="52" t="s">
        <v>777</v>
      </c>
      <c r="H359" s="52" t="n">
        <v>1</v>
      </c>
    </row>
    <row r="360" customFormat="false" ht="15" hidden="false" customHeight="true" outlineLevel="0" collapsed="false">
      <c r="A360" s="52" t="n">
        <v>359</v>
      </c>
      <c r="B360" s="52" t="s">
        <v>395</v>
      </c>
      <c r="C360" s="52" t="s">
        <v>644</v>
      </c>
      <c r="D360" s="52" t="s">
        <v>733</v>
      </c>
      <c r="E360" s="52" t="s">
        <v>768</v>
      </c>
      <c r="F360" s="52" t="s">
        <v>259</v>
      </c>
      <c r="G360" s="52" t="s">
        <v>778</v>
      </c>
      <c r="H360" s="52" t="n">
        <v>1</v>
      </c>
    </row>
    <row r="361" customFormat="false" ht="15" hidden="false" customHeight="true" outlineLevel="0" collapsed="false">
      <c r="A361" s="52" t="n">
        <v>360</v>
      </c>
      <c r="B361" s="52" t="s">
        <v>395</v>
      </c>
      <c r="C361" s="52" t="s">
        <v>644</v>
      </c>
      <c r="D361" s="52" t="s">
        <v>733</v>
      </c>
      <c r="E361" s="52" t="s">
        <v>768</v>
      </c>
      <c r="F361" s="52" t="s">
        <v>259</v>
      </c>
      <c r="G361" s="52" t="s">
        <v>779</v>
      </c>
      <c r="H361" s="52" t="n">
        <v>1</v>
      </c>
    </row>
    <row r="362" customFormat="false" ht="15" hidden="false" customHeight="true" outlineLevel="0" collapsed="false">
      <c r="A362" s="52" t="n">
        <v>361</v>
      </c>
      <c r="B362" s="52" t="s">
        <v>395</v>
      </c>
      <c r="C362" s="52" t="s">
        <v>644</v>
      </c>
      <c r="D362" s="52" t="s">
        <v>733</v>
      </c>
      <c r="E362" s="52" t="s">
        <v>768</v>
      </c>
      <c r="F362" s="52" t="s">
        <v>52</v>
      </c>
      <c r="G362" s="52" t="s">
        <v>780</v>
      </c>
      <c r="H362" s="52" t="n">
        <v>1</v>
      </c>
    </row>
    <row r="363" customFormat="false" ht="15" hidden="false" customHeight="true" outlineLevel="0" collapsed="false">
      <c r="A363" s="52" t="n">
        <v>362</v>
      </c>
      <c r="B363" s="52" t="s">
        <v>395</v>
      </c>
      <c r="C363" s="52" t="s">
        <v>644</v>
      </c>
      <c r="D363" s="52" t="s">
        <v>733</v>
      </c>
      <c r="E363" s="52" t="s">
        <v>768</v>
      </c>
      <c r="F363" s="52" t="s">
        <v>52</v>
      </c>
      <c r="G363" s="52" t="s">
        <v>781</v>
      </c>
      <c r="H363" s="52" t="n">
        <v>1</v>
      </c>
    </row>
    <row r="364" customFormat="false" ht="15" hidden="false" customHeight="true" outlineLevel="0" collapsed="false">
      <c r="A364" s="52" t="n">
        <v>363</v>
      </c>
      <c r="B364" s="52" t="s">
        <v>395</v>
      </c>
      <c r="C364" s="52" t="s">
        <v>644</v>
      </c>
      <c r="D364" s="52" t="s">
        <v>733</v>
      </c>
      <c r="E364" s="52" t="s">
        <v>768</v>
      </c>
      <c r="F364" s="52" t="s">
        <v>52</v>
      </c>
      <c r="G364" s="52" t="s">
        <v>782</v>
      </c>
      <c r="H364" s="52" t="n">
        <v>1</v>
      </c>
    </row>
    <row r="365" customFormat="false" ht="15" hidden="false" customHeight="true" outlineLevel="0" collapsed="false">
      <c r="A365" s="52" t="n">
        <v>364</v>
      </c>
      <c r="B365" s="52" t="s">
        <v>395</v>
      </c>
      <c r="C365" s="52" t="s">
        <v>644</v>
      </c>
      <c r="D365" s="52" t="s">
        <v>733</v>
      </c>
      <c r="E365" s="52" t="s">
        <v>768</v>
      </c>
      <c r="F365" s="52" t="s">
        <v>21</v>
      </c>
      <c r="G365" s="52" t="s">
        <v>783</v>
      </c>
      <c r="H365" s="52" t="n">
        <v>1</v>
      </c>
    </row>
    <row r="366" customFormat="false" ht="15" hidden="false" customHeight="true" outlineLevel="0" collapsed="false">
      <c r="A366" s="52" t="n">
        <v>365</v>
      </c>
      <c r="B366" s="52" t="s">
        <v>395</v>
      </c>
      <c r="C366" s="52" t="s">
        <v>644</v>
      </c>
      <c r="D366" s="52" t="s">
        <v>733</v>
      </c>
      <c r="E366" s="52" t="s">
        <v>768</v>
      </c>
      <c r="F366" s="52" t="s">
        <v>21</v>
      </c>
      <c r="G366" s="52" t="s">
        <v>784</v>
      </c>
      <c r="H366" s="52" t="n">
        <v>1</v>
      </c>
    </row>
    <row r="367" customFormat="false" ht="15" hidden="false" customHeight="true" outlineLevel="0" collapsed="false">
      <c r="A367" s="52" t="n">
        <v>366</v>
      </c>
      <c r="B367" s="52" t="s">
        <v>395</v>
      </c>
      <c r="C367" s="52" t="s">
        <v>644</v>
      </c>
      <c r="D367" s="52" t="s">
        <v>733</v>
      </c>
      <c r="E367" s="52" t="s">
        <v>768</v>
      </c>
      <c r="F367" s="52" t="s">
        <v>13</v>
      </c>
      <c r="G367" s="52" t="s">
        <v>785</v>
      </c>
      <c r="H367" s="52" t="n">
        <v>1</v>
      </c>
    </row>
    <row r="368" customFormat="false" ht="15" hidden="false" customHeight="true" outlineLevel="0" collapsed="false">
      <c r="A368" s="52" t="n">
        <v>367</v>
      </c>
      <c r="B368" s="52" t="s">
        <v>395</v>
      </c>
      <c r="C368" s="52" t="s">
        <v>644</v>
      </c>
      <c r="D368" s="52" t="s">
        <v>733</v>
      </c>
      <c r="E368" s="52" t="s">
        <v>768</v>
      </c>
      <c r="F368" s="52" t="s">
        <v>13</v>
      </c>
      <c r="G368" s="52" t="s">
        <v>786</v>
      </c>
      <c r="H368" s="52" t="n">
        <v>1</v>
      </c>
    </row>
    <row r="369" customFormat="false" ht="15" hidden="false" customHeight="true" outlineLevel="0" collapsed="false">
      <c r="A369" s="52" t="n">
        <v>368</v>
      </c>
      <c r="B369" s="52" t="s">
        <v>395</v>
      </c>
      <c r="C369" s="52" t="s">
        <v>644</v>
      </c>
      <c r="D369" s="52" t="s">
        <v>733</v>
      </c>
      <c r="E369" s="52" t="s">
        <v>768</v>
      </c>
      <c r="F369" s="52" t="s">
        <v>101</v>
      </c>
      <c r="G369" s="52" t="s">
        <v>442</v>
      </c>
      <c r="H369" s="52" t="n">
        <v>0</v>
      </c>
    </row>
    <row r="370" customFormat="false" ht="15" hidden="false" customHeight="true" outlineLevel="0" collapsed="false">
      <c r="A370" s="52" t="n">
        <v>369</v>
      </c>
      <c r="B370" s="52" t="s">
        <v>395</v>
      </c>
      <c r="C370" s="52" t="s">
        <v>644</v>
      </c>
      <c r="D370" s="52" t="s">
        <v>733</v>
      </c>
      <c r="E370" s="52" t="s">
        <v>768</v>
      </c>
      <c r="F370" s="52" t="s">
        <v>86</v>
      </c>
      <c r="G370" s="52" t="s">
        <v>442</v>
      </c>
      <c r="H370" s="52" t="n">
        <v>0</v>
      </c>
    </row>
    <row r="371" customFormat="false" ht="15" hidden="false" customHeight="true" outlineLevel="0" collapsed="false">
      <c r="A371" s="52" t="n">
        <v>370</v>
      </c>
      <c r="B371" s="52" t="s">
        <v>396</v>
      </c>
      <c r="C371" s="52" t="s">
        <v>644</v>
      </c>
      <c r="D371" s="52" t="s">
        <v>624</v>
      </c>
      <c r="E371" s="52" t="s">
        <v>787</v>
      </c>
      <c r="F371" s="52" t="s">
        <v>331</v>
      </c>
      <c r="G371" s="52" t="s">
        <v>463</v>
      </c>
      <c r="H371" s="52" t="n">
        <v>0</v>
      </c>
    </row>
    <row r="372" customFormat="false" ht="15" hidden="false" customHeight="true" outlineLevel="0" collapsed="false">
      <c r="A372" s="52" t="n">
        <v>371</v>
      </c>
      <c r="B372" s="52" t="s">
        <v>396</v>
      </c>
      <c r="C372" s="52" t="s">
        <v>644</v>
      </c>
      <c r="D372" s="52" t="s">
        <v>624</v>
      </c>
      <c r="E372" s="52" t="s">
        <v>787</v>
      </c>
      <c r="F372" s="52" t="s">
        <v>74</v>
      </c>
      <c r="G372" s="52" t="s">
        <v>788</v>
      </c>
      <c r="H372" s="52" t="n">
        <v>1</v>
      </c>
    </row>
    <row r="373" customFormat="false" ht="15" hidden="false" customHeight="true" outlineLevel="0" collapsed="false">
      <c r="A373" s="52" t="n">
        <v>372</v>
      </c>
      <c r="B373" s="52" t="s">
        <v>396</v>
      </c>
      <c r="C373" s="52" t="s">
        <v>644</v>
      </c>
      <c r="D373" s="52" t="s">
        <v>624</v>
      </c>
      <c r="E373" s="52" t="s">
        <v>787</v>
      </c>
      <c r="F373" s="52" t="s">
        <v>36</v>
      </c>
      <c r="G373" s="52" t="s">
        <v>789</v>
      </c>
      <c r="H373" s="52" t="n">
        <v>1</v>
      </c>
    </row>
    <row r="374" customFormat="false" ht="15" hidden="false" customHeight="true" outlineLevel="0" collapsed="false">
      <c r="A374" s="52" t="n">
        <v>373</v>
      </c>
      <c r="B374" s="52" t="s">
        <v>396</v>
      </c>
      <c r="C374" s="52" t="s">
        <v>644</v>
      </c>
      <c r="D374" s="52" t="s">
        <v>624</v>
      </c>
      <c r="E374" s="52" t="s">
        <v>787</v>
      </c>
      <c r="F374" s="52" t="s">
        <v>259</v>
      </c>
      <c r="G374" s="52" t="s">
        <v>790</v>
      </c>
      <c r="H374" s="52" t="n">
        <v>1</v>
      </c>
    </row>
    <row r="375" customFormat="false" ht="15" hidden="false" customHeight="true" outlineLevel="0" collapsed="false">
      <c r="A375" s="52" t="n">
        <v>374</v>
      </c>
      <c r="B375" s="52" t="s">
        <v>396</v>
      </c>
      <c r="C375" s="52" t="s">
        <v>644</v>
      </c>
      <c r="D375" s="52" t="s">
        <v>624</v>
      </c>
      <c r="E375" s="52" t="s">
        <v>787</v>
      </c>
      <c r="F375" s="52" t="s">
        <v>52</v>
      </c>
      <c r="G375" s="52" t="s">
        <v>791</v>
      </c>
      <c r="H375" s="52" t="n">
        <v>1</v>
      </c>
    </row>
    <row r="376" customFormat="false" ht="15" hidden="false" customHeight="true" outlineLevel="0" collapsed="false">
      <c r="A376" s="52" t="n">
        <v>375</v>
      </c>
      <c r="B376" s="52" t="s">
        <v>396</v>
      </c>
      <c r="C376" s="52" t="s">
        <v>644</v>
      </c>
      <c r="D376" s="52" t="s">
        <v>624</v>
      </c>
      <c r="E376" s="52" t="s">
        <v>787</v>
      </c>
      <c r="F376" s="52" t="s">
        <v>21</v>
      </c>
      <c r="G376" s="52" t="s">
        <v>792</v>
      </c>
      <c r="H376" s="52" t="n">
        <v>1</v>
      </c>
    </row>
    <row r="377" customFormat="false" ht="15" hidden="false" customHeight="true" outlineLevel="0" collapsed="false">
      <c r="A377" s="52" t="n">
        <v>376</v>
      </c>
      <c r="B377" s="52" t="s">
        <v>396</v>
      </c>
      <c r="C377" s="52" t="s">
        <v>644</v>
      </c>
      <c r="D377" s="52" t="s">
        <v>624</v>
      </c>
      <c r="E377" s="52" t="s">
        <v>787</v>
      </c>
      <c r="F377" s="52" t="s">
        <v>13</v>
      </c>
      <c r="G377" s="52" t="s">
        <v>793</v>
      </c>
      <c r="H377" s="52" t="n">
        <v>1</v>
      </c>
    </row>
    <row r="378" customFormat="false" ht="15" hidden="false" customHeight="true" outlineLevel="0" collapsed="false">
      <c r="A378" s="52" t="n">
        <v>377</v>
      </c>
      <c r="B378" s="52" t="s">
        <v>396</v>
      </c>
      <c r="C378" s="52" t="s">
        <v>644</v>
      </c>
      <c r="D378" s="52" t="s">
        <v>624</v>
      </c>
      <c r="E378" s="52" t="s">
        <v>787</v>
      </c>
      <c r="F378" s="52" t="s">
        <v>101</v>
      </c>
      <c r="G378" s="52" t="s">
        <v>442</v>
      </c>
      <c r="H378" s="52" t="n">
        <v>0</v>
      </c>
    </row>
    <row r="379" customFormat="false" ht="15" hidden="false" customHeight="true" outlineLevel="0" collapsed="false">
      <c r="A379" s="52" t="n">
        <v>378</v>
      </c>
      <c r="B379" s="52" t="s">
        <v>396</v>
      </c>
      <c r="C379" s="52" t="s">
        <v>644</v>
      </c>
      <c r="D379" s="52" t="s">
        <v>624</v>
      </c>
      <c r="E379" s="52" t="s">
        <v>787</v>
      </c>
      <c r="F379" s="52" t="s">
        <v>86</v>
      </c>
      <c r="G379" s="52" t="s">
        <v>442</v>
      </c>
      <c r="H379" s="52" t="n">
        <v>0</v>
      </c>
    </row>
    <row r="380" customFormat="false" ht="15" hidden="false" customHeight="true" outlineLevel="0" collapsed="false">
      <c r="A380" s="52" t="n">
        <v>379</v>
      </c>
      <c r="B380" s="52" t="s">
        <v>396</v>
      </c>
      <c r="C380" s="52" t="s">
        <v>644</v>
      </c>
      <c r="D380" s="52" t="s">
        <v>624</v>
      </c>
      <c r="E380" s="52" t="s">
        <v>794</v>
      </c>
      <c r="F380" s="52" t="s">
        <v>331</v>
      </c>
      <c r="G380" s="52" t="s">
        <v>795</v>
      </c>
      <c r="H380" s="52" t="n">
        <v>1</v>
      </c>
    </row>
    <row r="381" customFormat="false" ht="15" hidden="false" customHeight="true" outlineLevel="0" collapsed="false">
      <c r="A381" s="52" t="n">
        <v>380</v>
      </c>
      <c r="B381" s="52" t="s">
        <v>396</v>
      </c>
      <c r="C381" s="52" t="s">
        <v>644</v>
      </c>
      <c r="D381" s="52" t="s">
        <v>624</v>
      </c>
      <c r="E381" s="52" t="s">
        <v>794</v>
      </c>
      <c r="F381" s="52" t="s">
        <v>74</v>
      </c>
      <c r="G381" s="52" t="s">
        <v>796</v>
      </c>
      <c r="H381" s="52" t="n">
        <v>1</v>
      </c>
    </row>
    <row r="382" customFormat="false" ht="15" hidden="false" customHeight="true" outlineLevel="0" collapsed="false">
      <c r="A382" s="52" t="n">
        <v>381</v>
      </c>
      <c r="B382" s="52" t="s">
        <v>396</v>
      </c>
      <c r="C382" s="52" t="s">
        <v>644</v>
      </c>
      <c r="D382" s="52" t="s">
        <v>624</v>
      </c>
      <c r="E382" s="52" t="s">
        <v>794</v>
      </c>
      <c r="F382" s="52" t="s">
        <v>36</v>
      </c>
      <c r="G382" s="52" t="s">
        <v>797</v>
      </c>
      <c r="H382" s="52" t="n">
        <v>1</v>
      </c>
    </row>
    <row r="383" customFormat="false" ht="15" hidden="false" customHeight="true" outlineLevel="0" collapsed="false">
      <c r="A383" s="52" t="n">
        <v>382</v>
      </c>
      <c r="B383" s="52" t="s">
        <v>396</v>
      </c>
      <c r="C383" s="52" t="s">
        <v>644</v>
      </c>
      <c r="D383" s="52" t="s">
        <v>624</v>
      </c>
      <c r="E383" s="52" t="s">
        <v>794</v>
      </c>
      <c r="F383" s="52" t="s">
        <v>259</v>
      </c>
      <c r="G383" s="52" t="s">
        <v>798</v>
      </c>
      <c r="H383" s="52" t="n">
        <v>1</v>
      </c>
    </row>
    <row r="384" customFormat="false" ht="15" hidden="false" customHeight="true" outlineLevel="0" collapsed="false">
      <c r="A384" s="52" t="n">
        <v>383</v>
      </c>
      <c r="B384" s="52" t="s">
        <v>396</v>
      </c>
      <c r="C384" s="52" t="s">
        <v>644</v>
      </c>
      <c r="D384" s="52" t="s">
        <v>624</v>
      </c>
      <c r="E384" s="52" t="s">
        <v>794</v>
      </c>
      <c r="F384" s="52" t="s">
        <v>52</v>
      </c>
      <c r="G384" s="52" t="s">
        <v>799</v>
      </c>
      <c r="H384" s="52" t="n">
        <v>1</v>
      </c>
    </row>
    <row r="385" customFormat="false" ht="15" hidden="false" customHeight="true" outlineLevel="0" collapsed="false">
      <c r="A385" s="52" t="n">
        <v>384</v>
      </c>
      <c r="B385" s="52" t="s">
        <v>396</v>
      </c>
      <c r="C385" s="52" t="s">
        <v>644</v>
      </c>
      <c r="D385" s="52" t="s">
        <v>624</v>
      </c>
      <c r="E385" s="52" t="s">
        <v>794</v>
      </c>
      <c r="F385" s="52" t="s">
        <v>52</v>
      </c>
      <c r="G385" s="52" t="s">
        <v>800</v>
      </c>
      <c r="H385" s="52" t="n">
        <v>1</v>
      </c>
    </row>
    <row r="386" customFormat="false" ht="15" hidden="false" customHeight="true" outlineLevel="0" collapsed="false">
      <c r="A386" s="52" t="n">
        <v>385</v>
      </c>
      <c r="B386" s="52" t="s">
        <v>396</v>
      </c>
      <c r="C386" s="52" t="s">
        <v>644</v>
      </c>
      <c r="D386" s="52" t="s">
        <v>624</v>
      </c>
      <c r="E386" s="52" t="s">
        <v>794</v>
      </c>
      <c r="F386" s="52" t="s">
        <v>21</v>
      </c>
      <c r="G386" s="52" t="s">
        <v>801</v>
      </c>
      <c r="H386" s="52" t="n">
        <v>1</v>
      </c>
    </row>
    <row r="387" customFormat="false" ht="15" hidden="false" customHeight="true" outlineLevel="0" collapsed="false">
      <c r="A387" s="52" t="n">
        <v>386</v>
      </c>
      <c r="B387" s="52" t="s">
        <v>396</v>
      </c>
      <c r="C387" s="52" t="s">
        <v>644</v>
      </c>
      <c r="D387" s="52" t="s">
        <v>624</v>
      </c>
      <c r="E387" s="52" t="s">
        <v>794</v>
      </c>
      <c r="F387" s="52" t="s">
        <v>21</v>
      </c>
      <c r="G387" s="52" t="s">
        <v>802</v>
      </c>
      <c r="H387" s="52" t="n">
        <v>1</v>
      </c>
    </row>
    <row r="388" customFormat="false" ht="15" hidden="false" customHeight="true" outlineLevel="0" collapsed="false">
      <c r="A388" s="52" t="n">
        <v>387</v>
      </c>
      <c r="B388" s="52" t="s">
        <v>396</v>
      </c>
      <c r="C388" s="52" t="s">
        <v>644</v>
      </c>
      <c r="D388" s="52" t="s">
        <v>624</v>
      </c>
      <c r="E388" s="52" t="s">
        <v>794</v>
      </c>
      <c r="F388" s="52" t="s">
        <v>123</v>
      </c>
      <c r="G388" s="52" t="s">
        <v>803</v>
      </c>
      <c r="H388" s="52" t="n">
        <v>1</v>
      </c>
    </row>
    <row r="389" customFormat="false" ht="15" hidden="false" customHeight="true" outlineLevel="0" collapsed="false">
      <c r="A389" s="52" t="n">
        <v>388</v>
      </c>
      <c r="B389" s="52" t="s">
        <v>396</v>
      </c>
      <c r="C389" s="52" t="s">
        <v>644</v>
      </c>
      <c r="D389" s="52" t="s">
        <v>624</v>
      </c>
      <c r="E389" s="52" t="s">
        <v>794</v>
      </c>
      <c r="F389" s="52" t="s">
        <v>13</v>
      </c>
      <c r="G389" s="52" t="s">
        <v>804</v>
      </c>
      <c r="H389" s="52" t="n">
        <v>1</v>
      </c>
    </row>
    <row r="390" customFormat="false" ht="15" hidden="false" customHeight="true" outlineLevel="0" collapsed="false">
      <c r="A390" s="52" t="n">
        <v>389</v>
      </c>
      <c r="B390" s="52" t="s">
        <v>396</v>
      </c>
      <c r="C390" s="52" t="s">
        <v>644</v>
      </c>
      <c r="D390" s="52" t="s">
        <v>624</v>
      </c>
      <c r="E390" s="52" t="s">
        <v>794</v>
      </c>
      <c r="F390" s="52" t="s">
        <v>101</v>
      </c>
      <c r="G390" s="52" t="s">
        <v>805</v>
      </c>
      <c r="H390" s="52" t="n">
        <v>1</v>
      </c>
    </row>
    <row r="391" customFormat="false" ht="15" hidden="false" customHeight="true" outlineLevel="0" collapsed="false">
      <c r="A391" s="52" t="n">
        <v>390</v>
      </c>
      <c r="B391" s="52" t="s">
        <v>396</v>
      </c>
      <c r="C391" s="52" t="s">
        <v>644</v>
      </c>
      <c r="D391" s="52" t="s">
        <v>624</v>
      </c>
      <c r="E391" s="52" t="s">
        <v>794</v>
      </c>
      <c r="F391" s="52" t="s">
        <v>86</v>
      </c>
      <c r="G391" s="52" t="s">
        <v>806</v>
      </c>
      <c r="H391" s="52" t="n">
        <v>1</v>
      </c>
    </row>
    <row r="392" customFormat="false" ht="15" hidden="false" customHeight="true" outlineLevel="0" collapsed="false">
      <c r="A392" s="52" t="n">
        <v>391</v>
      </c>
      <c r="B392" s="52" t="s">
        <v>396</v>
      </c>
      <c r="C392" s="52" t="s">
        <v>644</v>
      </c>
      <c r="D392" s="52" t="s">
        <v>624</v>
      </c>
      <c r="E392" s="52" t="s">
        <v>807</v>
      </c>
      <c r="F392" s="52" t="s">
        <v>331</v>
      </c>
      <c r="G392" s="52" t="s">
        <v>808</v>
      </c>
      <c r="H392" s="52" t="n">
        <v>1</v>
      </c>
    </row>
    <row r="393" customFormat="false" ht="15" hidden="false" customHeight="true" outlineLevel="0" collapsed="false">
      <c r="A393" s="52" t="n">
        <v>392</v>
      </c>
      <c r="B393" s="52" t="s">
        <v>396</v>
      </c>
      <c r="C393" s="52" t="s">
        <v>644</v>
      </c>
      <c r="D393" s="52" t="s">
        <v>624</v>
      </c>
      <c r="E393" s="52" t="s">
        <v>807</v>
      </c>
      <c r="F393" s="52" t="s">
        <v>74</v>
      </c>
      <c r="G393" s="52" t="s">
        <v>809</v>
      </c>
      <c r="H393" s="52" t="n">
        <v>1</v>
      </c>
    </row>
    <row r="394" customFormat="false" ht="15" hidden="false" customHeight="true" outlineLevel="0" collapsed="false">
      <c r="A394" s="52" t="n">
        <v>393</v>
      </c>
      <c r="B394" s="52" t="s">
        <v>396</v>
      </c>
      <c r="C394" s="52" t="s">
        <v>644</v>
      </c>
      <c r="D394" s="52" t="s">
        <v>624</v>
      </c>
      <c r="E394" s="52" t="s">
        <v>807</v>
      </c>
      <c r="F394" s="52" t="s">
        <v>74</v>
      </c>
      <c r="G394" s="52" t="s">
        <v>810</v>
      </c>
      <c r="H394" s="52" t="n">
        <v>1</v>
      </c>
    </row>
    <row r="395" customFormat="false" ht="15" hidden="false" customHeight="true" outlineLevel="0" collapsed="false">
      <c r="A395" s="52" t="n">
        <v>394</v>
      </c>
      <c r="B395" s="52" t="s">
        <v>396</v>
      </c>
      <c r="C395" s="52" t="s">
        <v>644</v>
      </c>
      <c r="D395" s="52" t="s">
        <v>624</v>
      </c>
      <c r="E395" s="52" t="s">
        <v>807</v>
      </c>
      <c r="F395" s="52" t="s">
        <v>36</v>
      </c>
      <c r="G395" s="52" t="s">
        <v>811</v>
      </c>
      <c r="H395" s="52" t="n">
        <v>1</v>
      </c>
    </row>
    <row r="396" customFormat="false" ht="15" hidden="false" customHeight="true" outlineLevel="0" collapsed="false">
      <c r="A396" s="52" t="n">
        <v>395</v>
      </c>
      <c r="B396" s="52" t="s">
        <v>396</v>
      </c>
      <c r="C396" s="52" t="s">
        <v>644</v>
      </c>
      <c r="D396" s="52" t="s">
        <v>624</v>
      </c>
      <c r="E396" s="52" t="s">
        <v>807</v>
      </c>
      <c r="F396" s="52" t="s">
        <v>259</v>
      </c>
      <c r="G396" s="52" t="s">
        <v>812</v>
      </c>
      <c r="H396" s="52" t="n">
        <v>1</v>
      </c>
    </row>
    <row r="397" customFormat="false" ht="15" hidden="false" customHeight="true" outlineLevel="0" collapsed="false">
      <c r="A397" s="52" t="n">
        <v>396</v>
      </c>
      <c r="B397" s="52" t="s">
        <v>396</v>
      </c>
      <c r="C397" s="52" t="s">
        <v>644</v>
      </c>
      <c r="D397" s="52" t="s">
        <v>624</v>
      </c>
      <c r="E397" s="52" t="s">
        <v>807</v>
      </c>
      <c r="F397" s="52" t="s">
        <v>259</v>
      </c>
      <c r="G397" s="52" t="s">
        <v>813</v>
      </c>
      <c r="H397" s="52" t="n">
        <v>1</v>
      </c>
    </row>
    <row r="398" customFormat="false" ht="15" hidden="false" customHeight="true" outlineLevel="0" collapsed="false">
      <c r="A398" s="52" t="n">
        <v>397</v>
      </c>
      <c r="B398" s="52" t="s">
        <v>396</v>
      </c>
      <c r="C398" s="52" t="s">
        <v>644</v>
      </c>
      <c r="D398" s="52" t="s">
        <v>624</v>
      </c>
      <c r="E398" s="52" t="s">
        <v>807</v>
      </c>
      <c r="F398" s="52" t="s">
        <v>52</v>
      </c>
      <c r="G398" s="52" t="s">
        <v>814</v>
      </c>
      <c r="H398" s="52" t="n">
        <v>1</v>
      </c>
    </row>
    <row r="399" customFormat="false" ht="15" hidden="false" customHeight="true" outlineLevel="0" collapsed="false">
      <c r="A399" s="52" t="n">
        <v>398</v>
      </c>
      <c r="B399" s="52" t="s">
        <v>396</v>
      </c>
      <c r="C399" s="52" t="s">
        <v>644</v>
      </c>
      <c r="D399" s="52" t="s">
        <v>624</v>
      </c>
      <c r="E399" s="52" t="s">
        <v>807</v>
      </c>
      <c r="F399" s="52" t="s">
        <v>21</v>
      </c>
      <c r="G399" s="52" t="s">
        <v>815</v>
      </c>
      <c r="H399" s="52" t="n">
        <v>1</v>
      </c>
    </row>
    <row r="400" customFormat="false" ht="15" hidden="false" customHeight="true" outlineLevel="0" collapsed="false">
      <c r="A400" s="52" t="n">
        <v>399</v>
      </c>
      <c r="B400" s="52" t="s">
        <v>396</v>
      </c>
      <c r="C400" s="52" t="s">
        <v>644</v>
      </c>
      <c r="D400" s="52" t="s">
        <v>624</v>
      </c>
      <c r="E400" s="52" t="s">
        <v>807</v>
      </c>
      <c r="F400" s="52" t="s">
        <v>21</v>
      </c>
      <c r="G400" s="52" t="s">
        <v>816</v>
      </c>
      <c r="H400" s="52" t="n">
        <v>1</v>
      </c>
    </row>
    <row r="401" customFormat="false" ht="15" hidden="false" customHeight="true" outlineLevel="0" collapsed="false">
      <c r="A401" s="52" t="n">
        <v>400</v>
      </c>
      <c r="B401" s="52" t="s">
        <v>396</v>
      </c>
      <c r="C401" s="52" t="s">
        <v>644</v>
      </c>
      <c r="D401" s="52" t="s">
        <v>624</v>
      </c>
      <c r="E401" s="52" t="s">
        <v>807</v>
      </c>
      <c r="F401" s="52" t="s">
        <v>13</v>
      </c>
      <c r="G401" s="52" t="s">
        <v>442</v>
      </c>
      <c r="H401" s="52" t="n">
        <v>0</v>
      </c>
    </row>
    <row r="402" customFormat="false" ht="15" hidden="false" customHeight="true" outlineLevel="0" collapsed="false">
      <c r="A402" s="52" t="n">
        <v>401</v>
      </c>
      <c r="B402" s="52" t="s">
        <v>396</v>
      </c>
      <c r="C402" s="52" t="s">
        <v>644</v>
      </c>
      <c r="D402" s="52" t="s">
        <v>624</v>
      </c>
      <c r="E402" s="52" t="s">
        <v>807</v>
      </c>
      <c r="F402" s="52" t="s">
        <v>101</v>
      </c>
      <c r="G402" s="52" t="s">
        <v>442</v>
      </c>
      <c r="H402" s="52" t="n">
        <v>0</v>
      </c>
    </row>
    <row r="403" customFormat="false" ht="15" hidden="false" customHeight="true" outlineLevel="0" collapsed="false">
      <c r="A403" s="52" t="n">
        <v>402</v>
      </c>
      <c r="B403" s="52" t="s">
        <v>396</v>
      </c>
      <c r="C403" s="52" t="s">
        <v>644</v>
      </c>
      <c r="D403" s="52" t="s">
        <v>624</v>
      </c>
      <c r="E403" s="52" t="s">
        <v>807</v>
      </c>
      <c r="F403" s="52" t="s">
        <v>86</v>
      </c>
      <c r="G403" s="52" t="s">
        <v>442</v>
      </c>
      <c r="H403" s="52" t="n">
        <v>0</v>
      </c>
    </row>
    <row r="404" customFormat="false" ht="15" hidden="false" customHeight="true" outlineLevel="0" collapsed="false">
      <c r="A404" s="52" t="n">
        <v>403</v>
      </c>
      <c r="B404" s="52" t="s">
        <v>395</v>
      </c>
      <c r="C404" s="52" t="s">
        <v>817</v>
      </c>
      <c r="D404" s="52" t="s">
        <v>818</v>
      </c>
      <c r="E404" s="52" t="s">
        <v>819</v>
      </c>
      <c r="F404" s="52" t="s">
        <v>331</v>
      </c>
      <c r="G404" s="52" t="s">
        <v>820</v>
      </c>
      <c r="H404" s="52" t="n">
        <v>1</v>
      </c>
    </row>
    <row r="405" customFormat="false" ht="15" hidden="false" customHeight="true" outlineLevel="0" collapsed="false">
      <c r="A405" s="52" t="n">
        <v>404</v>
      </c>
      <c r="B405" s="52" t="s">
        <v>395</v>
      </c>
      <c r="C405" s="52" t="s">
        <v>817</v>
      </c>
      <c r="D405" s="52" t="s">
        <v>818</v>
      </c>
      <c r="E405" s="52" t="s">
        <v>819</v>
      </c>
      <c r="F405" s="52" t="s">
        <v>74</v>
      </c>
      <c r="G405" s="52" t="s">
        <v>821</v>
      </c>
      <c r="H405" s="52" t="n">
        <v>1</v>
      </c>
    </row>
    <row r="406" customFormat="false" ht="15" hidden="false" customHeight="true" outlineLevel="0" collapsed="false">
      <c r="A406" s="52" t="n">
        <v>405</v>
      </c>
      <c r="B406" s="52" t="s">
        <v>395</v>
      </c>
      <c r="C406" s="52" t="s">
        <v>817</v>
      </c>
      <c r="D406" s="52" t="s">
        <v>818</v>
      </c>
      <c r="E406" s="52" t="s">
        <v>819</v>
      </c>
      <c r="F406" s="52" t="s">
        <v>36</v>
      </c>
      <c r="G406" s="52" t="s">
        <v>822</v>
      </c>
      <c r="H406" s="52" t="n">
        <v>1</v>
      </c>
    </row>
    <row r="407" customFormat="false" ht="15" hidden="false" customHeight="true" outlineLevel="0" collapsed="false">
      <c r="A407" s="52" t="n">
        <v>406</v>
      </c>
      <c r="B407" s="52" t="s">
        <v>395</v>
      </c>
      <c r="C407" s="52" t="s">
        <v>817</v>
      </c>
      <c r="D407" s="52" t="s">
        <v>818</v>
      </c>
      <c r="E407" s="52" t="s">
        <v>819</v>
      </c>
      <c r="F407" s="52" t="s">
        <v>259</v>
      </c>
      <c r="G407" s="52" t="s">
        <v>823</v>
      </c>
      <c r="H407" s="52" t="n">
        <v>1</v>
      </c>
    </row>
    <row r="408" customFormat="false" ht="15" hidden="false" customHeight="true" outlineLevel="0" collapsed="false">
      <c r="A408" s="52" t="n">
        <v>407</v>
      </c>
      <c r="B408" s="52" t="s">
        <v>395</v>
      </c>
      <c r="C408" s="52" t="s">
        <v>817</v>
      </c>
      <c r="D408" s="52" t="s">
        <v>818</v>
      </c>
      <c r="E408" s="52" t="s">
        <v>819</v>
      </c>
      <c r="F408" s="52" t="s">
        <v>52</v>
      </c>
      <c r="G408" s="52" t="s">
        <v>824</v>
      </c>
      <c r="H408" s="52" t="n">
        <v>1</v>
      </c>
    </row>
    <row r="409" customFormat="false" ht="15" hidden="false" customHeight="true" outlineLevel="0" collapsed="false">
      <c r="A409" s="52" t="n">
        <v>408</v>
      </c>
      <c r="B409" s="52" t="s">
        <v>395</v>
      </c>
      <c r="C409" s="52" t="s">
        <v>817</v>
      </c>
      <c r="D409" s="52" t="s">
        <v>818</v>
      </c>
      <c r="E409" s="52" t="s">
        <v>819</v>
      </c>
      <c r="F409" s="52" t="s">
        <v>21</v>
      </c>
      <c r="G409" s="52" t="s">
        <v>825</v>
      </c>
      <c r="H409" s="52" t="n">
        <v>1</v>
      </c>
    </row>
    <row r="410" customFormat="false" ht="15" hidden="false" customHeight="true" outlineLevel="0" collapsed="false">
      <c r="A410" s="52" t="n">
        <v>409</v>
      </c>
      <c r="B410" s="52" t="s">
        <v>395</v>
      </c>
      <c r="C410" s="52" t="s">
        <v>817</v>
      </c>
      <c r="D410" s="52" t="s">
        <v>818</v>
      </c>
      <c r="E410" s="52" t="s">
        <v>819</v>
      </c>
      <c r="F410" s="52" t="s">
        <v>123</v>
      </c>
      <c r="G410" s="52" t="s">
        <v>826</v>
      </c>
      <c r="H410" s="52" t="n">
        <v>1</v>
      </c>
    </row>
    <row r="411" customFormat="false" ht="15" hidden="false" customHeight="true" outlineLevel="0" collapsed="false">
      <c r="A411" s="52" t="n">
        <v>410</v>
      </c>
      <c r="B411" s="52" t="s">
        <v>395</v>
      </c>
      <c r="C411" s="52" t="s">
        <v>817</v>
      </c>
      <c r="D411" s="52" t="s">
        <v>818</v>
      </c>
      <c r="E411" s="52" t="s">
        <v>819</v>
      </c>
      <c r="F411" s="52" t="s">
        <v>13</v>
      </c>
      <c r="G411" s="52" t="s">
        <v>827</v>
      </c>
      <c r="H411" s="52" t="n">
        <v>1</v>
      </c>
    </row>
    <row r="412" customFormat="false" ht="15" hidden="false" customHeight="true" outlineLevel="0" collapsed="false">
      <c r="A412" s="52" t="n">
        <v>411</v>
      </c>
      <c r="B412" s="52" t="s">
        <v>395</v>
      </c>
      <c r="C412" s="52" t="s">
        <v>817</v>
      </c>
      <c r="D412" s="52" t="s">
        <v>818</v>
      </c>
      <c r="E412" s="52" t="s">
        <v>819</v>
      </c>
      <c r="F412" s="52" t="s">
        <v>101</v>
      </c>
      <c r="G412" s="52" t="s">
        <v>828</v>
      </c>
      <c r="H412" s="52" t="n">
        <v>1</v>
      </c>
    </row>
    <row r="413" customFormat="false" ht="15" hidden="false" customHeight="true" outlineLevel="0" collapsed="false">
      <c r="A413" s="52" t="n">
        <v>412</v>
      </c>
      <c r="B413" s="52" t="s">
        <v>395</v>
      </c>
      <c r="C413" s="52" t="s">
        <v>817</v>
      </c>
      <c r="D413" s="52" t="s">
        <v>818</v>
      </c>
      <c r="E413" s="52" t="s">
        <v>819</v>
      </c>
      <c r="F413" s="52" t="s">
        <v>86</v>
      </c>
      <c r="G413" s="52" t="s">
        <v>829</v>
      </c>
      <c r="H413" s="52" t="n">
        <v>1</v>
      </c>
    </row>
    <row r="414" customFormat="false" ht="15" hidden="false" customHeight="true" outlineLevel="0" collapsed="false">
      <c r="A414" s="52" t="n">
        <v>413</v>
      </c>
      <c r="B414" s="52" t="s">
        <v>395</v>
      </c>
      <c r="C414" s="52" t="s">
        <v>817</v>
      </c>
      <c r="D414" s="52" t="s">
        <v>818</v>
      </c>
      <c r="E414" s="52" t="s">
        <v>830</v>
      </c>
      <c r="F414" s="52" t="s">
        <v>331</v>
      </c>
      <c r="G414" s="52" t="s">
        <v>831</v>
      </c>
      <c r="H414" s="52" t="n">
        <v>1</v>
      </c>
    </row>
    <row r="415" customFormat="false" ht="15" hidden="false" customHeight="true" outlineLevel="0" collapsed="false">
      <c r="A415" s="52" t="n">
        <v>414</v>
      </c>
      <c r="B415" s="52" t="s">
        <v>395</v>
      </c>
      <c r="C415" s="52" t="s">
        <v>817</v>
      </c>
      <c r="D415" s="52" t="s">
        <v>818</v>
      </c>
      <c r="E415" s="52" t="s">
        <v>830</v>
      </c>
      <c r="F415" s="52" t="s">
        <v>74</v>
      </c>
      <c r="G415" s="52" t="s">
        <v>832</v>
      </c>
      <c r="H415" s="52" t="n">
        <v>1</v>
      </c>
    </row>
    <row r="416" customFormat="false" ht="15" hidden="false" customHeight="true" outlineLevel="0" collapsed="false">
      <c r="A416" s="52" t="n">
        <v>415</v>
      </c>
      <c r="B416" s="52" t="s">
        <v>395</v>
      </c>
      <c r="C416" s="52" t="s">
        <v>817</v>
      </c>
      <c r="D416" s="52" t="s">
        <v>818</v>
      </c>
      <c r="E416" s="52" t="s">
        <v>830</v>
      </c>
      <c r="F416" s="52" t="s">
        <v>259</v>
      </c>
      <c r="G416" s="52" t="s">
        <v>833</v>
      </c>
      <c r="H416" s="52" t="n">
        <v>1</v>
      </c>
    </row>
    <row r="417" customFormat="false" ht="15" hidden="false" customHeight="true" outlineLevel="0" collapsed="false">
      <c r="A417" s="52" t="n">
        <v>416</v>
      </c>
      <c r="B417" s="52" t="s">
        <v>395</v>
      </c>
      <c r="C417" s="52" t="s">
        <v>817</v>
      </c>
      <c r="D417" s="52" t="s">
        <v>818</v>
      </c>
      <c r="E417" s="52" t="s">
        <v>830</v>
      </c>
      <c r="F417" s="52" t="s">
        <v>21</v>
      </c>
      <c r="G417" s="52" t="s">
        <v>834</v>
      </c>
      <c r="H417" s="52" t="n">
        <v>1</v>
      </c>
    </row>
    <row r="418" customFormat="false" ht="15" hidden="false" customHeight="true" outlineLevel="0" collapsed="false">
      <c r="A418" s="52" t="n">
        <v>417</v>
      </c>
      <c r="B418" s="52" t="s">
        <v>395</v>
      </c>
      <c r="C418" s="52" t="s">
        <v>817</v>
      </c>
      <c r="D418" s="52" t="s">
        <v>818</v>
      </c>
      <c r="E418" s="52" t="s">
        <v>830</v>
      </c>
      <c r="F418" s="52" t="s">
        <v>123</v>
      </c>
      <c r="G418" s="52" t="s">
        <v>835</v>
      </c>
      <c r="H418" s="52" t="n">
        <v>1</v>
      </c>
    </row>
    <row r="419" customFormat="false" ht="15" hidden="false" customHeight="true" outlineLevel="0" collapsed="false">
      <c r="A419" s="52" t="n">
        <v>418</v>
      </c>
      <c r="B419" s="52" t="s">
        <v>395</v>
      </c>
      <c r="C419" s="52" t="s">
        <v>817</v>
      </c>
      <c r="D419" s="52" t="s">
        <v>818</v>
      </c>
      <c r="E419" s="52" t="s">
        <v>830</v>
      </c>
      <c r="F419" s="52" t="s">
        <v>123</v>
      </c>
      <c r="G419" s="52" t="s">
        <v>836</v>
      </c>
      <c r="H419" s="52" t="n">
        <v>1</v>
      </c>
    </row>
    <row r="420" customFormat="false" ht="15" hidden="false" customHeight="true" outlineLevel="0" collapsed="false">
      <c r="A420" s="52" t="n">
        <v>419</v>
      </c>
      <c r="B420" s="52" t="s">
        <v>395</v>
      </c>
      <c r="C420" s="52" t="s">
        <v>817</v>
      </c>
      <c r="D420" s="52" t="s">
        <v>818</v>
      </c>
      <c r="E420" s="52" t="s">
        <v>830</v>
      </c>
      <c r="F420" s="52" t="s">
        <v>13</v>
      </c>
      <c r="G420" s="52" t="s">
        <v>837</v>
      </c>
      <c r="H420" s="52" t="n">
        <v>1</v>
      </c>
    </row>
    <row r="421" customFormat="false" ht="15" hidden="false" customHeight="true" outlineLevel="0" collapsed="false">
      <c r="A421" s="52" t="n">
        <v>420</v>
      </c>
      <c r="B421" s="52" t="s">
        <v>395</v>
      </c>
      <c r="C421" s="52" t="s">
        <v>817</v>
      </c>
      <c r="D421" s="52" t="s">
        <v>818</v>
      </c>
      <c r="E421" s="52" t="s">
        <v>830</v>
      </c>
      <c r="F421" s="52" t="s">
        <v>101</v>
      </c>
      <c r="G421" s="52" t="s">
        <v>838</v>
      </c>
      <c r="H421" s="52" t="n">
        <v>1</v>
      </c>
    </row>
    <row r="422" customFormat="false" ht="15" hidden="false" customHeight="true" outlineLevel="0" collapsed="false">
      <c r="A422" s="52" t="n">
        <v>421</v>
      </c>
      <c r="B422" s="52" t="s">
        <v>395</v>
      </c>
      <c r="C422" s="52" t="s">
        <v>817</v>
      </c>
      <c r="D422" s="52" t="s">
        <v>818</v>
      </c>
      <c r="E422" s="52" t="s">
        <v>830</v>
      </c>
      <c r="F422" s="52" t="s">
        <v>101</v>
      </c>
      <c r="G422" s="52" t="s">
        <v>839</v>
      </c>
      <c r="H422" s="52" t="n">
        <v>1</v>
      </c>
    </row>
    <row r="423" customFormat="false" ht="15" hidden="false" customHeight="true" outlineLevel="0" collapsed="false">
      <c r="A423" s="52" t="n">
        <v>422</v>
      </c>
      <c r="B423" s="52" t="s">
        <v>395</v>
      </c>
      <c r="C423" s="52" t="s">
        <v>817</v>
      </c>
      <c r="D423" s="52" t="s">
        <v>818</v>
      </c>
      <c r="E423" s="52" t="s">
        <v>830</v>
      </c>
      <c r="F423" s="52" t="s">
        <v>86</v>
      </c>
      <c r="G423" s="52" t="s">
        <v>840</v>
      </c>
      <c r="H423" s="52" t="n">
        <v>1</v>
      </c>
    </row>
    <row r="424" customFormat="false" ht="15" hidden="false" customHeight="true" outlineLevel="0" collapsed="false">
      <c r="A424" s="52" t="n">
        <v>423</v>
      </c>
      <c r="B424" s="52" t="s">
        <v>395</v>
      </c>
      <c r="C424" s="52" t="s">
        <v>817</v>
      </c>
      <c r="D424" s="52" t="s">
        <v>818</v>
      </c>
      <c r="E424" s="52" t="s">
        <v>830</v>
      </c>
      <c r="F424" s="52" t="s">
        <v>86</v>
      </c>
      <c r="G424" s="52" t="s">
        <v>841</v>
      </c>
      <c r="H424" s="52" t="n">
        <v>1</v>
      </c>
    </row>
    <row r="425" customFormat="false" ht="15" hidden="false" customHeight="true" outlineLevel="0" collapsed="false">
      <c r="A425" s="52" t="n">
        <v>424</v>
      </c>
      <c r="B425" s="52" t="s">
        <v>395</v>
      </c>
      <c r="C425" s="52" t="s">
        <v>817</v>
      </c>
      <c r="D425" s="52" t="s">
        <v>818</v>
      </c>
      <c r="E425" s="52" t="s">
        <v>830</v>
      </c>
      <c r="F425" s="52" t="s">
        <v>86</v>
      </c>
      <c r="G425" s="52" t="s">
        <v>842</v>
      </c>
      <c r="H425" s="52" t="n">
        <v>1</v>
      </c>
    </row>
    <row r="426" customFormat="false" ht="15" hidden="false" customHeight="true" outlineLevel="0" collapsed="false">
      <c r="A426" s="52" t="n">
        <v>425</v>
      </c>
      <c r="B426" s="52" t="s">
        <v>395</v>
      </c>
      <c r="C426" s="52" t="s">
        <v>817</v>
      </c>
      <c r="D426" s="52" t="s">
        <v>818</v>
      </c>
      <c r="E426" s="52" t="s">
        <v>843</v>
      </c>
      <c r="F426" s="52" t="s">
        <v>331</v>
      </c>
      <c r="G426" s="52" t="s">
        <v>844</v>
      </c>
      <c r="H426" s="52" t="n">
        <v>1</v>
      </c>
    </row>
    <row r="427" customFormat="false" ht="15" hidden="false" customHeight="true" outlineLevel="0" collapsed="false">
      <c r="A427" s="52" t="n">
        <v>426</v>
      </c>
      <c r="B427" s="52" t="s">
        <v>395</v>
      </c>
      <c r="C427" s="52" t="s">
        <v>817</v>
      </c>
      <c r="D427" s="52" t="s">
        <v>818</v>
      </c>
      <c r="E427" s="52" t="s">
        <v>843</v>
      </c>
      <c r="F427" s="52" t="s">
        <v>74</v>
      </c>
      <c r="G427" s="52" t="s">
        <v>845</v>
      </c>
      <c r="H427" s="52" t="n">
        <v>1</v>
      </c>
    </row>
    <row r="428" customFormat="false" ht="15" hidden="false" customHeight="true" outlineLevel="0" collapsed="false">
      <c r="A428" s="52" t="n">
        <v>427</v>
      </c>
      <c r="B428" s="52" t="s">
        <v>395</v>
      </c>
      <c r="C428" s="52" t="s">
        <v>817</v>
      </c>
      <c r="D428" s="52" t="s">
        <v>818</v>
      </c>
      <c r="E428" s="52" t="s">
        <v>843</v>
      </c>
      <c r="F428" s="52" t="s">
        <v>36</v>
      </c>
      <c r="G428" s="52" t="s">
        <v>846</v>
      </c>
      <c r="H428" s="52" t="n">
        <v>1</v>
      </c>
    </row>
    <row r="429" customFormat="false" ht="15" hidden="false" customHeight="true" outlineLevel="0" collapsed="false">
      <c r="A429" s="52" t="n">
        <v>428</v>
      </c>
      <c r="B429" s="52" t="s">
        <v>395</v>
      </c>
      <c r="C429" s="52" t="s">
        <v>817</v>
      </c>
      <c r="D429" s="52" t="s">
        <v>818</v>
      </c>
      <c r="E429" s="52" t="s">
        <v>843</v>
      </c>
      <c r="F429" s="52" t="s">
        <v>36</v>
      </c>
      <c r="G429" s="52" t="s">
        <v>847</v>
      </c>
      <c r="H429" s="52" t="n">
        <v>1</v>
      </c>
    </row>
    <row r="430" customFormat="false" ht="15" hidden="false" customHeight="true" outlineLevel="0" collapsed="false">
      <c r="A430" s="52" t="n">
        <v>429</v>
      </c>
      <c r="B430" s="52" t="s">
        <v>395</v>
      </c>
      <c r="C430" s="52" t="s">
        <v>817</v>
      </c>
      <c r="D430" s="52" t="s">
        <v>818</v>
      </c>
      <c r="E430" s="52" t="s">
        <v>843</v>
      </c>
      <c r="F430" s="52" t="s">
        <v>259</v>
      </c>
      <c r="G430" s="52" t="s">
        <v>848</v>
      </c>
      <c r="H430" s="52" t="n">
        <v>1</v>
      </c>
    </row>
    <row r="431" customFormat="false" ht="15" hidden="false" customHeight="true" outlineLevel="0" collapsed="false">
      <c r="A431" s="52" t="n">
        <v>430</v>
      </c>
      <c r="B431" s="52" t="s">
        <v>395</v>
      </c>
      <c r="C431" s="52" t="s">
        <v>817</v>
      </c>
      <c r="D431" s="52" t="s">
        <v>818</v>
      </c>
      <c r="E431" s="52" t="s">
        <v>843</v>
      </c>
      <c r="F431" s="52" t="s">
        <v>259</v>
      </c>
      <c r="G431" s="52" t="s">
        <v>849</v>
      </c>
      <c r="H431" s="52" t="n">
        <v>1</v>
      </c>
    </row>
    <row r="432" customFormat="false" ht="15" hidden="false" customHeight="true" outlineLevel="0" collapsed="false">
      <c r="A432" s="52" t="n">
        <v>431</v>
      </c>
      <c r="B432" s="52" t="s">
        <v>395</v>
      </c>
      <c r="C432" s="52" t="s">
        <v>817</v>
      </c>
      <c r="D432" s="52" t="s">
        <v>818</v>
      </c>
      <c r="E432" s="52" t="s">
        <v>843</v>
      </c>
      <c r="F432" s="52" t="s">
        <v>259</v>
      </c>
      <c r="G432" s="52" t="s">
        <v>850</v>
      </c>
      <c r="H432" s="52" t="n">
        <v>1</v>
      </c>
    </row>
    <row r="433" customFormat="false" ht="15" hidden="false" customHeight="true" outlineLevel="0" collapsed="false">
      <c r="A433" s="52" t="n">
        <v>432</v>
      </c>
      <c r="B433" s="52" t="s">
        <v>395</v>
      </c>
      <c r="C433" s="52" t="s">
        <v>817</v>
      </c>
      <c r="D433" s="52" t="s">
        <v>818</v>
      </c>
      <c r="E433" s="52" t="s">
        <v>843</v>
      </c>
      <c r="F433" s="52" t="s">
        <v>52</v>
      </c>
      <c r="G433" s="52" t="s">
        <v>851</v>
      </c>
      <c r="H433" s="52" t="n">
        <v>1</v>
      </c>
    </row>
    <row r="434" customFormat="false" ht="15" hidden="false" customHeight="true" outlineLevel="0" collapsed="false">
      <c r="A434" s="52" t="n">
        <v>433</v>
      </c>
      <c r="B434" s="52" t="s">
        <v>395</v>
      </c>
      <c r="C434" s="52" t="s">
        <v>817</v>
      </c>
      <c r="D434" s="52" t="s">
        <v>818</v>
      </c>
      <c r="E434" s="52" t="s">
        <v>843</v>
      </c>
      <c r="F434" s="52" t="s">
        <v>52</v>
      </c>
      <c r="G434" s="52" t="s">
        <v>852</v>
      </c>
      <c r="H434" s="52" t="n">
        <v>1</v>
      </c>
    </row>
    <row r="435" customFormat="false" ht="15" hidden="false" customHeight="true" outlineLevel="0" collapsed="false">
      <c r="A435" s="52" t="n">
        <v>434</v>
      </c>
      <c r="B435" s="52" t="s">
        <v>395</v>
      </c>
      <c r="C435" s="52" t="s">
        <v>817</v>
      </c>
      <c r="D435" s="52" t="s">
        <v>818</v>
      </c>
      <c r="E435" s="52" t="s">
        <v>843</v>
      </c>
      <c r="F435" s="52" t="s">
        <v>21</v>
      </c>
      <c r="G435" s="52" t="s">
        <v>853</v>
      </c>
      <c r="H435" s="52" t="n">
        <v>1</v>
      </c>
    </row>
    <row r="436" customFormat="false" ht="15" hidden="false" customHeight="true" outlineLevel="0" collapsed="false">
      <c r="A436" s="52" t="n">
        <v>435</v>
      </c>
      <c r="B436" s="52" t="s">
        <v>395</v>
      </c>
      <c r="C436" s="52" t="s">
        <v>817</v>
      </c>
      <c r="D436" s="52" t="s">
        <v>818</v>
      </c>
      <c r="E436" s="52" t="s">
        <v>843</v>
      </c>
      <c r="F436" s="52" t="s">
        <v>21</v>
      </c>
      <c r="G436" s="52" t="s">
        <v>854</v>
      </c>
      <c r="H436" s="52" t="n">
        <v>1</v>
      </c>
    </row>
    <row r="437" customFormat="false" ht="15" hidden="false" customHeight="true" outlineLevel="0" collapsed="false">
      <c r="A437" s="52" t="n">
        <v>436</v>
      </c>
      <c r="B437" s="52" t="s">
        <v>395</v>
      </c>
      <c r="C437" s="52" t="s">
        <v>817</v>
      </c>
      <c r="D437" s="52" t="s">
        <v>818</v>
      </c>
      <c r="E437" s="52" t="s">
        <v>843</v>
      </c>
      <c r="F437" s="52" t="s">
        <v>21</v>
      </c>
      <c r="G437" s="52" t="s">
        <v>855</v>
      </c>
      <c r="H437" s="52" t="n">
        <v>1</v>
      </c>
    </row>
    <row r="438" customFormat="false" ht="15" hidden="false" customHeight="true" outlineLevel="0" collapsed="false">
      <c r="A438" s="52" t="n">
        <v>437</v>
      </c>
      <c r="B438" s="52" t="s">
        <v>395</v>
      </c>
      <c r="C438" s="52" t="s">
        <v>817</v>
      </c>
      <c r="D438" s="52" t="s">
        <v>818</v>
      </c>
      <c r="E438" s="52" t="s">
        <v>843</v>
      </c>
      <c r="F438" s="52" t="s">
        <v>21</v>
      </c>
      <c r="G438" s="52" t="s">
        <v>856</v>
      </c>
      <c r="H438" s="52" t="n">
        <v>1</v>
      </c>
    </row>
    <row r="439" customFormat="false" ht="15" hidden="false" customHeight="true" outlineLevel="0" collapsed="false">
      <c r="A439" s="52" t="n">
        <v>438</v>
      </c>
      <c r="B439" s="52" t="s">
        <v>395</v>
      </c>
      <c r="C439" s="52" t="s">
        <v>817</v>
      </c>
      <c r="D439" s="52" t="s">
        <v>818</v>
      </c>
      <c r="E439" s="52" t="s">
        <v>843</v>
      </c>
      <c r="F439" s="52" t="s">
        <v>123</v>
      </c>
      <c r="G439" s="52" t="s">
        <v>124</v>
      </c>
      <c r="H439" s="52" t="n">
        <v>1</v>
      </c>
    </row>
    <row r="440" customFormat="false" ht="15" hidden="false" customHeight="true" outlineLevel="0" collapsed="false">
      <c r="A440" s="52" t="n">
        <v>439</v>
      </c>
      <c r="B440" s="52" t="s">
        <v>395</v>
      </c>
      <c r="C440" s="52" t="s">
        <v>817</v>
      </c>
      <c r="D440" s="52" t="s">
        <v>818</v>
      </c>
      <c r="E440" s="52" t="s">
        <v>843</v>
      </c>
      <c r="F440" s="52" t="s">
        <v>123</v>
      </c>
      <c r="G440" s="52" t="s">
        <v>857</v>
      </c>
      <c r="H440" s="52" t="n">
        <v>1</v>
      </c>
    </row>
    <row r="441" customFormat="false" ht="15" hidden="false" customHeight="true" outlineLevel="0" collapsed="false">
      <c r="A441" s="52" t="n">
        <v>440</v>
      </c>
      <c r="B441" s="52" t="s">
        <v>395</v>
      </c>
      <c r="C441" s="52" t="s">
        <v>817</v>
      </c>
      <c r="D441" s="52" t="s">
        <v>818</v>
      </c>
      <c r="E441" s="52" t="s">
        <v>843</v>
      </c>
      <c r="F441" s="52" t="s">
        <v>123</v>
      </c>
      <c r="G441" s="52" t="s">
        <v>858</v>
      </c>
      <c r="H441" s="52" t="n">
        <v>1</v>
      </c>
    </row>
    <row r="442" customFormat="false" ht="15" hidden="false" customHeight="true" outlineLevel="0" collapsed="false">
      <c r="A442" s="52" t="n">
        <v>441</v>
      </c>
      <c r="B442" s="52" t="s">
        <v>395</v>
      </c>
      <c r="C442" s="52" t="s">
        <v>817</v>
      </c>
      <c r="D442" s="52" t="s">
        <v>818</v>
      </c>
      <c r="E442" s="52" t="s">
        <v>843</v>
      </c>
      <c r="F442" s="52" t="s">
        <v>123</v>
      </c>
      <c r="G442" s="52" t="s">
        <v>859</v>
      </c>
      <c r="H442" s="52" t="n">
        <v>1</v>
      </c>
    </row>
    <row r="443" customFormat="false" ht="15" hidden="false" customHeight="true" outlineLevel="0" collapsed="false">
      <c r="A443" s="52" t="n">
        <v>442</v>
      </c>
      <c r="B443" s="52" t="s">
        <v>395</v>
      </c>
      <c r="C443" s="52" t="s">
        <v>817</v>
      </c>
      <c r="D443" s="52" t="s">
        <v>818</v>
      </c>
      <c r="E443" s="52" t="s">
        <v>843</v>
      </c>
      <c r="F443" s="52" t="s">
        <v>123</v>
      </c>
      <c r="G443" s="52" t="s">
        <v>860</v>
      </c>
      <c r="H443" s="52" t="n">
        <v>1</v>
      </c>
    </row>
    <row r="444" customFormat="false" ht="15" hidden="false" customHeight="true" outlineLevel="0" collapsed="false">
      <c r="A444" s="52" t="n">
        <v>443</v>
      </c>
      <c r="B444" s="52" t="s">
        <v>395</v>
      </c>
      <c r="C444" s="52" t="s">
        <v>817</v>
      </c>
      <c r="D444" s="52" t="s">
        <v>818</v>
      </c>
      <c r="E444" s="52" t="s">
        <v>843</v>
      </c>
      <c r="F444" s="52" t="s">
        <v>13</v>
      </c>
      <c r="G444" s="52" t="s">
        <v>861</v>
      </c>
      <c r="H444" s="52" t="n">
        <v>1</v>
      </c>
    </row>
    <row r="445" customFormat="false" ht="15" hidden="false" customHeight="true" outlineLevel="0" collapsed="false">
      <c r="A445" s="52" t="n">
        <v>444</v>
      </c>
      <c r="B445" s="52" t="s">
        <v>395</v>
      </c>
      <c r="C445" s="52" t="s">
        <v>817</v>
      </c>
      <c r="D445" s="52" t="s">
        <v>818</v>
      </c>
      <c r="E445" s="52" t="s">
        <v>843</v>
      </c>
      <c r="F445" s="52" t="s">
        <v>13</v>
      </c>
      <c r="G445" s="52" t="s">
        <v>116</v>
      </c>
      <c r="H445" s="52" t="n">
        <v>1</v>
      </c>
    </row>
    <row r="446" customFormat="false" ht="15" hidden="false" customHeight="true" outlineLevel="0" collapsed="false">
      <c r="A446" s="52" t="n">
        <v>445</v>
      </c>
      <c r="B446" s="52" t="s">
        <v>395</v>
      </c>
      <c r="C446" s="52" t="s">
        <v>817</v>
      </c>
      <c r="D446" s="52" t="s">
        <v>818</v>
      </c>
      <c r="E446" s="52" t="s">
        <v>843</v>
      </c>
      <c r="F446" s="52" t="s">
        <v>13</v>
      </c>
      <c r="G446" s="52" t="s">
        <v>862</v>
      </c>
      <c r="H446" s="52" t="n">
        <v>1</v>
      </c>
    </row>
    <row r="447" customFormat="false" ht="15" hidden="false" customHeight="true" outlineLevel="0" collapsed="false">
      <c r="A447" s="52" t="n">
        <v>446</v>
      </c>
      <c r="B447" s="52" t="s">
        <v>395</v>
      </c>
      <c r="C447" s="52" t="s">
        <v>817</v>
      </c>
      <c r="D447" s="52" t="s">
        <v>818</v>
      </c>
      <c r="E447" s="52" t="s">
        <v>843</v>
      </c>
      <c r="F447" s="52" t="s">
        <v>13</v>
      </c>
      <c r="G447" s="52" t="s">
        <v>863</v>
      </c>
      <c r="H447" s="52" t="n">
        <v>1</v>
      </c>
    </row>
    <row r="448" customFormat="false" ht="15" hidden="false" customHeight="true" outlineLevel="0" collapsed="false">
      <c r="A448" s="52" t="n">
        <v>447</v>
      </c>
      <c r="B448" s="52" t="s">
        <v>395</v>
      </c>
      <c r="C448" s="52" t="s">
        <v>817</v>
      </c>
      <c r="D448" s="52" t="s">
        <v>818</v>
      </c>
      <c r="E448" s="52" t="s">
        <v>843</v>
      </c>
      <c r="F448" s="52" t="s">
        <v>13</v>
      </c>
      <c r="G448" s="52" t="s">
        <v>864</v>
      </c>
      <c r="H448" s="52" t="n">
        <v>1</v>
      </c>
    </row>
    <row r="449" customFormat="false" ht="15" hidden="false" customHeight="true" outlineLevel="0" collapsed="false">
      <c r="A449" s="52" t="n">
        <v>448</v>
      </c>
      <c r="B449" s="52" t="s">
        <v>395</v>
      </c>
      <c r="C449" s="52" t="s">
        <v>817</v>
      </c>
      <c r="D449" s="52" t="s">
        <v>818</v>
      </c>
      <c r="E449" s="52" t="s">
        <v>843</v>
      </c>
      <c r="F449" s="52" t="s">
        <v>13</v>
      </c>
      <c r="G449" s="52" t="s">
        <v>865</v>
      </c>
      <c r="H449" s="52" t="n">
        <v>1</v>
      </c>
    </row>
    <row r="450" customFormat="false" ht="15" hidden="false" customHeight="true" outlineLevel="0" collapsed="false">
      <c r="A450" s="52" t="n">
        <v>449</v>
      </c>
      <c r="B450" s="52" t="s">
        <v>395</v>
      </c>
      <c r="C450" s="52" t="s">
        <v>817</v>
      </c>
      <c r="D450" s="52" t="s">
        <v>818</v>
      </c>
      <c r="E450" s="52" t="s">
        <v>843</v>
      </c>
      <c r="F450" s="52" t="s">
        <v>101</v>
      </c>
      <c r="G450" s="52" t="s">
        <v>866</v>
      </c>
      <c r="H450" s="52" t="n">
        <v>1</v>
      </c>
    </row>
    <row r="451" customFormat="false" ht="15" hidden="false" customHeight="true" outlineLevel="0" collapsed="false">
      <c r="A451" s="52" t="n">
        <v>450</v>
      </c>
      <c r="B451" s="52" t="s">
        <v>395</v>
      </c>
      <c r="C451" s="52" t="s">
        <v>817</v>
      </c>
      <c r="D451" s="52" t="s">
        <v>818</v>
      </c>
      <c r="E451" s="52" t="s">
        <v>843</v>
      </c>
      <c r="F451" s="52" t="s">
        <v>101</v>
      </c>
      <c r="G451" s="52" t="s">
        <v>867</v>
      </c>
      <c r="H451" s="52" t="n">
        <v>1</v>
      </c>
    </row>
    <row r="452" customFormat="false" ht="15" hidden="false" customHeight="true" outlineLevel="0" collapsed="false">
      <c r="A452" s="52" t="n">
        <v>451</v>
      </c>
      <c r="B452" s="52" t="s">
        <v>395</v>
      </c>
      <c r="C452" s="52" t="s">
        <v>817</v>
      </c>
      <c r="D452" s="52" t="s">
        <v>818</v>
      </c>
      <c r="E452" s="52" t="s">
        <v>843</v>
      </c>
      <c r="F452" s="52" t="s">
        <v>101</v>
      </c>
      <c r="G452" s="52" t="s">
        <v>102</v>
      </c>
      <c r="H452" s="52" t="n">
        <v>1</v>
      </c>
    </row>
    <row r="453" customFormat="false" ht="15" hidden="false" customHeight="true" outlineLevel="0" collapsed="false">
      <c r="A453" s="52" t="n">
        <v>452</v>
      </c>
      <c r="B453" s="52" t="s">
        <v>395</v>
      </c>
      <c r="C453" s="52" t="s">
        <v>817</v>
      </c>
      <c r="D453" s="52" t="s">
        <v>818</v>
      </c>
      <c r="E453" s="52" t="s">
        <v>843</v>
      </c>
      <c r="F453" s="52" t="s">
        <v>101</v>
      </c>
      <c r="G453" s="52" t="s">
        <v>109</v>
      </c>
      <c r="H453" s="52" t="n">
        <v>1</v>
      </c>
    </row>
    <row r="454" customFormat="false" ht="15" hidden="false" customHeight="true" outlineLevel="0" collapsed="false">
      <c r="A454" s="52" t="n">
        <v>453</v>
      </c>
      <c r="B454" s="52" t="s">
        <v>395</v>
      </c>
      <c r="C454" s="52" t="s">
        <v>817</v>
      </c>
      <c r="D454" s="52" t="s">
        <v>818</v>
      </c>
      <c r="E454" s="52" t="s">
        <v>843</v>
      </c>
      <c r="F454" s="52" t="s">
        <v>86</v>
      </c>
      <c r="G454" s="52" t="s">
        <v>87</v>
      </c>
      <c r="H454" s="52" t="n">
        <v>1</v>
      </c>
    </row>
    <row r="455" customFormat="false" ht="15" hidden="false" customHeight="true" outlineLevel="0" collapsed="false">
      <c r="A455" s="52" t="n">
        <v>454</v>
      </c>
      <c r="B455" s="52" t="s">
        <v>395</v>
      </c>
      <c r="C455" s="52" t="s">
        <v>817</v>
      </c>
      <c r="D455" s="52" t="s">
        <v>818</v>
      </c>
      <c r="E455" s="52" t="s">
        <v>843</v>
      </c>
      <c r="F455" s="52" t="s">
        <v>86</v>
      </c>
      <c r="G455" s="52" t="s">
        <v>868</v>
      </c>
      <c r="H455" s="52" t="n">
        <v>1</v>
      </c>
    </row>
    <row r="456" customFormat="false" ht="15" hidden="false" customHeight="true" outlineLevel="0" collapsed="false">
      <c r="A456" s="52" t="n">
        <v>455</v>
      </c>
      <c r="B456" s="52" t="s">
        <v>395</v>
      </c>
      <c r="C456" s="52" t="s">
        <v>817</v>
      </c>
      <c r="D456" s="52" t="s">
        <v>818</v>
      </c>
      <c r="E456" s="52" t="s">
        <v>843</v>
      </c>
      <c r="F456" s="52" t="s">
        <v>86</v>
      </c>
      <c r="G456" s="52" t="s">
        <v>94</v>
      </c>
      <c r="H456" s="52" t="n">
        <v>1</v>
      </c>
    </row>
    <row r="457" customFormat="false" ht="15" hidden="false" customHeight="true" outlineLevel="0" collapsed="false">
      <c r="A457" s="52" t="n">
        <v>456</v>
      </c>
      <c r="B457" s="52" t="s">
        <v>395</v>
      </c>
      <c r="C457" s="52" t="s">
        <v>817</v>
      </c>
      <c r="D457" s="52" t="s">
        <v>818</v>
      </c>
      <c r="E457" s="52" t="s">
        <v>869</v>
      </c>
      <c r="F457" s="52" t="s">
        <v>331</v>
      </c>
      <c r="G457" s="52" t="s">
        <v>870</v>
      </c>
      <c r="H457" s="52" t="n">
        <v>1</v>
      </c>
    </row>
    <row r="458" customFormat="false" ht="15" hidden="false" customHeight="true" outlineLevel="0" collapsed="false">
      <c r="A458" s="52" t="n">
        <v>457</v>
      </c>
      <c r="B458" s="52" t="s">
        <v>395</v>
      </c>
      <c r="C458" s="52" t="s">
        <v>817</v>
      </c>
      <c r="D458" s="52" t="s">
        <v>818</v>
      </c>
      <c r="E458" s="52" t="s">
        <v>869</v>
      </c>
      <c r="F458" s="52" t="s">
        <v>74</v>
      </c>
      <c r="G458" s="52" t="s">
        <v>871</v>
      </c>
      <c r="H458" s="52" t="n">
        <v>1</v>
      </c>
    </row>
    <row r="459" customFormat="false" ht="15" hidden="false" customHeight="true" outlineLevel="0" collapsed="false">
      <c r="A459" s="52" t="n">
        <v>458</v>
      </c>
      <c r="B459" s="52" t="s">
        <v>395</v>
      </c>
      <c r="C459" s="52" t="s">
        <v>817</v>
      </c>
      <c r="D459" s="52" t="s">
        <v>818</v>
      </c>
      <c r="E459" s="52" t="s">
        <v>869</v>
      </c>
      <c r="F459" s="52" t="s">
        <v>36</v>
      </c>
      <c r="G459" s="52" t="s">
        <v>872</v>
      </c>
      <c r="H459" s="52" t="n">
        <v>1</v>
      </c>
    </row>
    <row r="460" customFormat="false" ht="15" hidden="false" customHeight="true" outlineLevel="0" collapsed="false">
      <c r="A460" s="52" t="n">
        <v>459</v>
      </c>
      <c r="B460" s="52" t="s">
        <v>395</v>
      </c>
      <c r="C460" s="52" t="s">
        <v>817</v>
      </c>
      <c r="D460" s="52" t="s">
        <v>818</v>
      </c>
      <c r="E460" s="52" t="s">
        <v>869</v>
      </c>
      <c r="F460" s="52" t="s">
        <v>36</v>
      </c>
      <c r="G460" s="52" t="s">
        <v>873</v>
      </c>
      <c r="H460" s="52" t="n">
        <v>1</v>
      </c>
    </row>
    <row r="461" customFormat="false" ht="15" hidden="false" customHeight="true" outlineLevel="0" collapsed="false">
      <c r="A461" s="52" t="n">
        <v>460</v>
      </c>
      <c r="B461" s="52" t="s">
        <v>395</v>
      </c>
      <c r="C461" s="52" t="s">
        <v>817</v>
      </c>
      <c r="D461" s="52" t="s">
        <v>818</v>
      </c>
      <c r="E461" s="52" t="s">
        <v>869</v>
      </c>
      <c r="F461" s="52" t="s">
        <v>259</v>
      </c>
      <c r="G461" s="52" t="s">
        <v>874</v>
      </c>
      <c r="H461" s="52" t="n">
        <v>1</v>
      </c>
    </row>
    <row r="462" customFormat="false" ht="15" hidden="false" customHeight="true" outlineLevel="0" collapsed="false">
      <c r="A462" s="52" t="n">
        <v>461</v>
      </c>
      <c r="B462" s="52" t="s">
        <v>395</v>
      </c>
      <c r="C462" s="52" t="s">
        <v>817</v>
      </c>
      <c r="D462" s="52" t="s">
        <v>818</v>
      </c>
      <c r="E462" s="52" t="s">
        <v>869</v>
      </c>
      <c r="F462" s="52" t="s">
        <v>259</v>
      </c>
      <c r="G462" s="52" t="s">
        <v>875</v>
      </c>
      <c r="H462" s="52" t="n">
        <v>1</v>
      </c>
    </row>
    <row r="463" customFormat="false" ht="15" hidden="false" customHeight="true" outlineLevel="0" collapsed="false">
      <c r="A463" s="52" t="n">
        <v>462</v>
      </c>
      <c r="B463" s="52" t="s">
        <v>395</v>
      </c>
      <c r="C463" s="52" t="s">
        <v>817</v>
      </c>
      <c r="D463" s="52" t="s">
        <v>818</v>
      </c>
      <c r="E463" s="52" t="s">
        <v>869</v>
      </c>
      <c r="F463" s="52" t="s">
        <v>259</v>
      </c>
      <c r="G463" s="52" t="s">
        <v>260</v>
      </c>
      <c r="H463" s="52" t="n">
        <v>1</v>
      </c>
    </row>
    <row r="464" customFormat="false" ht="15" hidden="false" customHeight="true" outlineLevel="0" collapsed="false">
      <c r="A464" s="52" t="n">
        <v>463</v>
      </c>
      <c r="B464" s="52" t="s">
        <v>395</v>
      </c>
      <c r="C464" s="52" t="s">
        <v>817</v>
      </c>
      <c r="D464" s="52" t="s">
        <v>818</v>
      </c>
      <c r="E464" s="52" t="s">
        <v>869</v>
      </c>
      <c r="F464" s="52" t="s">
        <v>52</v>
      </c>
      <c r="G464" s="52" t="s">
        <v>876</v>
      </c>
      <c r="H464" s="52" t="n">
        <v>1</v>
      </c>
    </row>
    <row r="465" customFormat="false" ht="15" hidden="false" customHeight="true" outlineLevel="0" collapsed="false">
      <c r="A465" s="52" t="n">
        <v>464</v>
      </c>
      <c r="B465" s="52" t="s">
        <v>395</v>
      </c>
      <c r="C465" s="52" t="s">
        <v>817</v>
      </c>
      <c r="D465" s="52" t="s">
        <v>818</v>
      </c>
      <c r="E465" s="52" t="s">
        <v>869</v>
      </c>
      <c r="F465" s="52" t="s">
        <v>52</v>
      </c>
      <c r="G465" s="52" t="s">
        <v>252</v>
      </c>
      <c r="H465" s="52" t="n">
        <v>1</v>
      </c>
    </row>
    <row r="466" customFormat="false" ht="15" hidden="false" customHeight="true" outlineLevel="0" collapsed="false">
      <c r="A466" s="52" t="n">
        <v>465</v>
      </c>
      <c r="B466" s="52" t="s">
        <v>395</v>
      </c>
      <c r="C466" s="52" t="s">
        <v>817</v>
      </c>
      <c r="D466" s="52" t="s">
        <v>818</v>
      </c>
      <c r="E466" s="52" t="s">
        <v>869</v>
      </c>
      <c r="F466" s="52" t="s">
        <v>52</v>
      </c>
      <c r="G466" s="52" t="s">
        <v>877</v>
      </c>
      <c r="H466" s="52" t="n">
        <v>1</v>
      </c>
    </row>
    <row r="467" customFormat="false" ht="15" hidden="false" customHeight="true" outlineLevel="0" collapsed="false">
      <c r="A467" s="52" t="n">
        <v>466</v>
      </c>
      <c r="B467" s="52" t="s">
        <v>395</v>
      </c>
      <c r="C467" s="52" t="s">
        <v>817</v>
      </c>
      <c r="D467" s="52" t="s">
        <v>818</v>
      </c>
      <c r="E467" s="52" t="s">
        <v>869</v>
      </c>
      <c r="F467" s="52" t="s">
        <v>52</v>
      </c>
      <c r="G467" s="52" t="s">
        <v>878</v>
      </c>
      <c r="H467" s="52" t="n">
        <v>1</v>
      </c>
    </row>
    <row r="468" customFormat="false" ht="15" hidden="false" customHeight="true" outlineLevel="0" collapsed="false">
      <c r="A468" s="52" t="n">
        <v>467</v>
      </c>
      <c r="B468" s="52" t="s">
        <v>395</v>
      </c>
      <c r="C468" s="52" t="s">
        <v>817</v>
      </c>
      <c r="D468" s="52" t="s">
        <v>818</v>
      </c>
      <c r="E468" s="52" t="s">
        <v>869</v>
      </c>
      <c r="F468" s="52" t="s">
        <v>52</v>
      </c>
      <c r="G468" s="52" t="s">
        <v>879</v>
      </c>
      <c r="H468" s="52" t="n">
        <v>1</v>
      </c>
    </row>
    <row r="469" customFormat="false" ht="15" hidden="false" customHeight="true" outlineLevel="0" collapsed="false">
      <c r="A469" s="52" t="n">
        <v>468</v>
      </c>
      <c r="B469" s="52" t="s">
        <v>395</v>
      </c>
      <c r="C469" s="52" t="s">
        <v>817</v>
      </c>
      <c r="D469" s="52" t="s">
        <v>818</v>
      </c>
      <c r="E469" s="52" t="s">
        <v>869</v>
      </c>
      <c r="F469" s="52" t="s">
        <v>21</v>
      </c>
      <c r="G469" s="52" t="s">
        <v>880</v>
      </c>
      <c r="H469" s="52" t="n">
        <v>1</v>
      </c>
    </row>
    <row r="470" customFormat="false" ht="15" hidden="false" customHeight="true" outlineLevel="0" collapsed="false">
      <c r="A470" s="52" t="n">
        <v>469</v>
      </c>
      <c r="B470" s="52" t="s">
        <v>395</v>
      </c>
      <c r="C470" s="52" t="s">
        <v>817</v>
      </c>
      <c r="D470" s="52" t="s">
        <v>818</v>
      </c>
      <c r="E470" s="52" t="s">
        <v>869</v>
      </c>
      <c r="F470" s="52" t="s">
        <v>21</v>
      </c>
      <c r="G470" s="52" t="s">
        <v>881</v>
      </c>
      <c r="H470" s="52" t="n">
        <v>1</v>
      </c>
    </row>
    <row r="471" customFormat="false" ht="15" hidden="false" customHeight="true" outlineLevel="0" collapsed="false">
      <c r="A471" s="52" t="n">
        <v>470</v>
      </c>
      <c r="B471" s="52" t="s">
        <v>395</v>
      </c>
      <c r="C471" s="52" t="s">
        <v>817</v>
      </c>
      <c r="D471" s="52" t="s">
        <v>818</v>
      </c>
      <c r="E471" s="52" t="s">
        <v>869</v>
      </c>
      <c r="F471" s="52" t="s">
        <v>21</v>
      </c>
      <c r="G471" s="52" t="s">
        <v>882</v>
      </c>
      <c r="H471" s="52" t="n">
        <v>1</v>
      </c>
    </row>
    <row r="472" customFormat="false" ht="15" hidden="false" customHeight="true" outlineLevel="0" collapsed="false">
      <c r="A472" s="52" t="n">
        <v>471</v>
      </c>
      <c r="B472" s="52" t="s">
        <v>395</v>
      </c>
      <c r="C472" s="52" t="s">
        <v>817</v>
      </c>
      <c r="D472" s="52" t="s">
        <v>818</v>
      </c>
      <c r="E472" s="52" t="s">
        <v>869</v>
      </c>
      <c r="F472" s="52" t="s">
        <v>21</v>
      </c>
      <c r="G472" s="52" t="s">
        <v>245</v>
      </c>
      <c r="H472" s="52" t="n">
        <v>1</v>
      </c>
    </row>
    <row r="473" customFormat="false" ht="15" hidden="false" customHeight="true" outlineLevel="0" collapsed="false">
      <c r="A473" s="52" t="n">
        <v>472</v>
      </c>
      <c r="B473" s="52" t="s">
        <v>395</v>
      </c>
      <c r="C473" s="52" t="s">
        <v>817</v>
      </c>
      <c r="D473" s="52" t="s">
        <v>818</v>
      </c>
      <c r="E473" s="52" t="s">
        <v>869</v>
      </c>
      <c r="F473" s="52" t="s">
        <v>123</v>
      </c>
      <c r="G473" s="52" t="s">
        <v>437</v>
      </c>
      <c r="H473" s="52" t="n">
        <v>1</v>
      </c>
    </row>
    <row r="474" customFormat="false" ht="15" hidden="false" customHeight="true" outlineLevel="0" collapsed="false">
      <c r="A474" s="52" t="n">
        <v>473</v>
      </c>
      <c r="B474" s="52" t="s">
        <v>395</v>
      </c>
      <c r="C474" s="52" t="s">
        <v>817</v>
      </c>
      <c r="D474" s="52" t="s">
        <v>818</v>
      </c>
      <c r="E474" s="52" t="s">
        <v>869</v>
      </c>
      <c r="F474" s="52" t="s">
        <v>123</v>
      </c>
      <c r="G474" s="52" t="s">
        <v>238</v>
      </c>
      <c r="H474" s="52" t="n">
        <v>1</v>
      </c>
    </row>
    <row r="475" customFormat="false" ht="15" hidden="false" customHeight="true" outlineLevel="0" collapsed="false">
      <c r="A475" s="52" t="n">
        <v>474</v>
      </c>
      <c r="B475" s="52" t="s">
        <v>395</v>
      </c>
      <c r="C475" s="52" t="s">
        <v>817</v>
      </c>
      <c r="D475" s="52" t="s">
        <v>818</v>
      </c>
      <c r="E475" s="52" t="s">
        <v>869</v>
      </c>
      <c r="F475" s="52" t="s">
        <v>123</v>
      </c>
      <c r="G475" s="52" t="s">
        <v>883</v>
      </c>
      <c r="H475" s="52" t="n">
        <v>1</v>
      </c>
    </row>
    <row r="476" customFormat="false" ht="15" hidden="false" customHeight="true" outlineLevel="0" collapsed="false">
      <c r="A476" s="52" t="n">
        <v>475</v>
      </c>
      <c r="B476" s="52" t="s">
        <v>395</v>
      </c>
      <c r="C476" s="52" t="s">
        <v>817</v>
      </c>
      <c r="D476" s="52" t="s">
        <v>818</v>
      </c>
      <c r="E476" s="52" t="s">
        <v>869</v>
      </c>
      <c r="F476" s="52" t="s">
        <v>123</v>
      </c>
      <c r="G476" s="52" t="s">
        <v>884</v>
      </c>
      <c r="H476" s="52" t="n">
        <v>1</v>
      </c>
    </row>
    <row r="477" customFormat="false" ht="15" hidden="false" customHeight="true" outlineLevel="0" collapsed="false">
      <c r="A477" s="52" t="n">
        <v>476</v>
      </c>
      <c r="B477" s="52" t="s">
        <v>395</v>
      </c>
      <c r="C477" s="52" t="s">
        <v>817</v>
      </c>
      <c r="D477" s="52" t="s">
        <v>818</v>
      </c>
      <c r="E477" s="52" t="s">
        <v>869</v>
      </c>
      <c r="F477" s="52" t="s">
        <v>123</v>
      </c>
      <c r="G477" s="52" t="s">
        <v>885</v>
      </c>
      <c r="H477" s="52" t="n">
        <v>1</v>
      </c>
    </row>
    <row r="478" customFormat="false" ht="15" hidden="false" customHeight="true" outlineLevel="0" collapsed="false">
      <c r="A478" s="52" t="n">
        <v>477</v>
      </c>
      <c r="B478" s="52" t="s">
        <v>395</v>
      </c>
      <c r="C478" s="52" t="s">
        <v>817</v>
      </c>
      <c r="D478" s="52" t="s">
        <v>818</v>
      </c>
      <c r="E478" s="52" t="s">
        <v>869</v>
      </c>
      <c r="F478" s="52" t="s">
        <v>13</v>
      </c>
      <c r="G478" s="52" t="s">
        <v>886</v>
      </c>
      <c r="H478" s="52" t="n">
        <v>1</v>
      </c>
    </row>
    <row r="479" customFormat="false" ht="15" hidden="false" customHeight="true" outlineLevel="0" collapsed="false">
      <c r="A479" s="52" t="n">
        <v>478</v>
      </c>
      <c r="B479" s="52" t="s">
        <v>395</v>
      </c>
      <c r="C479" s="52" t="s">
        <v>817</v>
      </c>
      <c r="D479" s="52" t="s">
        <v>818</v>
      </c>
      <c r="E479" s="52" t="s">
        <v>869</v>
      </c>
      <c r="F479" s="52" t="s">
        <v>13</v>
      </c>
      <c r="G479" s="52" t="s">
        <v>887</v>
      </c>
      <c r="H479" s="52" t="n">
        <v>1</v>
      </c>
    </row>
    <row r="480" customFormat="false" ht="15" hidden="false" customHeight="true" outlineLevel="0" collapsed="false">
      <c r="A480" s="52" t="n">
        <v>479</v>
      </c>
      <c r="B480" s="52" t="s">
        <v>395</v>
      </c>
      <c r="C480" s="52" t="s">
        <v>817</v>
      </c>
      <c r="D480" s="52" t="s">
        <v>818</v>
      </c>
      <c r="E480" s="52" t="s">
        <v>869</v>
      </c>
      <c r="F480" s="52" t="s">
        <v>13</v>
      </c>
      <c r="G480" s="52" t="s">
        <v>231</v>
      </c>
      <c r="H480" s="52" t="n">
        <v>1</v>
      </c>
    </row>
    <row r="481" customFormat="false" ht="15" hidden="false" customHeight="true" outlineLevel="0" collapsed="false">
      <c r="A481" s="52" t="n">
        <v>480</v>
      </c>
      <c r="B481" s="52" t="s">
        <v>395</v>
      </c>
      <c r="C481" s="52" t="s">
        <v>817</v>
      </c>
      <c r="D481" s="52" t="s">
        <v>818</v>
      </c>
      <c r="E481" s="52" t="s">
        <v>869</v>
      </c>
      <c r="F481" s="52" t="s">
        <v>101</v>
      </c>
      <c r="G481" s="52" t="s">
        <v>888</v>
      </c>
      <c r="H481" s="52" t="n">
        <v>1</v>
      </c>
    </row>
    <row r="482" customFormat="false" ht="15" hidden="false" customHeight="true" outlineLevel="0" collapsed="false">
      <c r="A482" s="52" t="n">
        <v>481</v>
      </c>
      <c r="B482" s="52" t="s">
        <v>395</v>
      </c>
      <c r="C482" s="52" t="s">
        <v>817</v>
      </c>
      <c r="D482" s="52" t="s">
        <v>818</v>
      </c>
      <c r="E482" s="52" t="s">
        <v>869</v>
      </c>
      <c r="F482" s="52" t="s">
        <v>86</v>
      </c>
      <c r="G482" s="52" t="s">
        <v>442</v>
      </c>
      <c r="H482" s="52" t="n">
        <v>0</v>
      </c>
    </row>
    <row r="483" customFormat="false" ht="15" hidden="false" customHeight="true" outlineLevel="0" collapsed="false">
      <c r="A483" s="52" t="n">
        <v>482</v>
      </c>
      <c r="B483" s="52" t="s">
        <v>395</v>
      </c>
      <c r="C483" s="52" t="s">
        <v>817</v>
      </c>
      <c r="D483" s="52" t="s">
        <v>818</v>
      </c>
      <c r="E483" s="52" t="s">
        <v>889</v>
      </c>
      <c r="F483" s="52" t="s">
        <v>331</v>
      </c>
      <c r="G483" s="52" t="s">
        <v>890</v>
      </c>
      <c r="H483" s="52" t="n">
        <v>1</v>
      </c>
    </row>
    <row r="484" customFormat="false" ht="15" hidden="false" customHeight="true" outlineLevel="0" collapsed="false">
      <c r="A484" s="52" t="n">
        <v>483</v>
      </c>
      <c r="B484" s="52" t="s">
        <v>395</v>
      </c>
      <c r="C484" s="52" t="s">
        <v>817</v>
      </c>
      <c r="D484" s="52" t="s">
        <v>818</v>
      </c>
      <c r="E484" s="52" t="s">
        <v>889</v>
      </c>
      <c r="F484" s="52" t="s">
        <v>331</v>
      </c>
      <c r="G484" s="52" t="s">
        <v>891</v>
      </c>
      <c r="H484" s="52" t="n">
        <v>1</v>
      </c>
    </row>
    <row r="485" customFormat="false" ht="15" hidden="false" customHeight="true" outlineLevel="0" collapsed="false">
      <c r="A485" s="52" t="n">
        <v>484</v>
      </c>
      <c r="B485" s="52" t="s">
        <v>395</v>
      </c>
      <c r="C485" s="52" t="s">
        <v>817</v>
      </c>
      <c r="D485" s="52" t="s">
        <v>818</v>
      </c>
      <c r="E485" s="52" t="s">
        <v>889</v>
      </c>
      <c r="F485" s="52" t="s">
        <v>331</v>
      </c>
      <c r="G485" s="52" t="s">
        <v>892</v>
      </c>
      <c r="H485" s="52" t="n">
        <v>1</v>
      </c>
    </row>
    <row r="486" customFormat="false" ht="15" hidden="false" customHeight="true" outlineLevel="0" collapsed="false">
      <c r="A486" s="52" t="n">
        <v>485</v>
      </c>
      <c r="B486" s="52" t="s">
        <v>395</v>
      </c>
      <c r="C486" s="52" t="s">
        <v>817</v>
      </c>
      <c r="D486" s="52" t="s">
        <v>818</v>
      </c>
      <c r="E486" s="52" t="s">
        <v>889</v>
      </c>
      <c r="F486" s="52" t="s">
        <v>74</v>
      </c>
      <c r="G486" s="52" t="s">
        <v>893</v>
      </c>
      <c r="H486" s="52" t="n">
        <v>1</v>
      </c>
    </row>
    <row r="487" customFormat="false" ht="15" hidden="false" customHeight="true" outlineLevel="0" collapsed="false">
      <c r="A487" s="52" t="n">
        <v>486</v>
      </c>
      <c r="B487" s="52" t="s">
        <v>395</v>
      </c>
      <c r="C487" s="52" t="s">
        <v>817</v>
      </c>
      <c r="D487" s="52" t="s">
        <v>818</v>
      </c>
      <c r="E487" s="52" t="s">
        <v>889</v>
      </c>
      <c r="F487" s="52" t="s">
        <v>74</v>
      </c>
      <c r="G487" s="52" t="s">
        <v>894</v>
      </c>
      <c r="H487" s="52" t="n">
        <v>1</v>
      </c>
    </row>
    <row r="488" customFormat="false" ht="15" hidden="false" customHeight="true" outlineLevel="0" collapsed="false">
      <c r="A488" s="52" t="n">
        <v>487</v>
      </c>
      <c r="B488" s="52" t="s">
        <v>395</v>
      </c>
      <c r="C488" s="52" t="s">
        <v>817</v>
      </c>
      <c r="D488" s="52" t="s">
        <v>818</v>
      </c>
      <c r="E488" s="52" t="s">
        <v>889</v>
      </c>
      <c r="F488" s="52" t="s">
        <v>74</v>
      </c>
      <c r="G488" s="52" t="s">
        <v>895</v>
      </c>
      <c r="H488" s="52" t="n">
        <v>1</v>
      </c>
    </row>
    <row r="489" customFormat="false" ht="15" hidden="false" customHeight="true" outlineLevel="0" collapsed="false">
      <c r="A489" s="52" t="n">
        <v>488</v>
      </c>
      <c r="B489" s="52" t="s">
        <v>395</v>
      </c>
      <c r="C489" s="52" t="s">
        <v>817</v>
      </c>
      <c r="D489" s="52" t="s">
        <v>818</v>
      </c>
      <c r="E489" s="52" t="s">
        <v>889</v>
      </c>
      <c r="F489" s="52" t="s">
        <v>74</v>
      </c>
      <c r="G489" s="52" t="s">
        <v>896</v>
      </c>
      <c r="H489" s="52" t="n">
        <v>1</v>
      </c>
    </row>
    <row r="490" customFormat="false" ht="15" hidden="false" customHeight="true" outlineLevel="0" collapsed="false">
      <c r="A490" s="52" t="n">
        <v>489</v>
      </c>
      <c r="B490" s="52" t="s">
        <v>395</v>
      </c>
      <c r="C490" s="52" t="s">
        <v>817</v>
      </c>
      <c r="D490" s="52" t="s">
        <v>818</v>
      </c>
      <c r="E490" s="52" t="s">
        <v>889</v>
      </c>
      <c r="F490" s="52" t="s">
        <v>74</v>
      </c>
      <c r="G490" s="52" t="s">
        <v>897</v>
      </c>
      <c r="H490" s="52" t="n">
        <v>1</v>
      </c>
    </row>
    <row r="491" customFormat="false" ht="15" hidden="false" customHeight="true" outlineLevel="0" collapsed="false">
      <c r="A491" s="52" t="n">
        <v>490</v>
      </c>
      <c r="B491" s="52" t="s">
        <v>395</v>
      </c>
      <c r="C491" s="52" t="s">
        <v>817</v>
      </c>
      <c r="D491" s="52" t="s">
        <v>818</v>
      </c>
      <c r="E491" s="52" t="s">
        <v>889</v>
      </c>
      <c r="F491" s="52" t="s">
        <v>36</v>
      </c>
      <c r="G491" s="52" t="s">
        <v>898</v>
      </c>
      <c r="H491" s="52" t="n">
        <v>1</v>
      </c>
    </row>
    <row r="492" customFormat="false" ht="15" hidden="false" customHeight="true" outlineLevel="0" collapsed="false">
      <c r="A492" s="52" t="n">
        <v>491</v>
      </c>
      <c r="B492" s="52" t="s">
        <v>395</v>
      </c>
      <c r="C492" s="52" t="s">
        <v>817</v>
      </c>
      <c r="D492" s="52" t="s">
        <v>818</v>
      </c>
      <c r="E492" s="52" t="s">
        <v>889</v>
      </c>
      <c r="F492" s="52" t="s">
        <v>36</v>
      </c>
      <c r="G492" s="52" t="s">
        <v>899</v>
      </c>
      <c r="H492" s="52" t="n">
        <v>1</v>
      </c>
    </row>
    <row r="493" customFormat="false" ht="15" hidden="false" customHeight="true" outlineLevel="0" collapsed="false">
      <c r="A493" s="52" t="n">
        <v>492</v>
      </c>
      <c r="B493" s="52" t="s">
        <v>395</v>
      </c>
      <c r="C493" s="52" t="s">
        <v>817</v>
      </c>
      <c r="D493" s="52" t="s">
        <v>818</v>
      </c>
      <c r="E493" s="52" t="s">
        <v>889</v>
      </c>
      <c r="F493" s="52" t="s">
        <v>36</v>
      </c>
      <c r="G493" s="52" t="s">
        <v>873</v>
      </c>
      <c r="H493" s="52" t="n">
        <v>1</v>
      </c>
    </row>
    <row r="494" customFormat="false" ht="15" hidden="false" customHeight="true" outlineLevel="0" collapsed="false">
      <c r="A494" s="52" t="n">
        <v>493</v>
      </c>
      <c r="B494" s="52" t="s">
        <v>395</v>
      </c>
      <c r="C494" s="52" t="s">
        <v>817</v>
      </c>
      <c r="D494" s="52" t="s">
        <v>818</v>
      </c>
      <c r="E494" s="52" t="s">
        <v>889</v>
      </c>
      <c r="F494" s="52" t="s">
        <v>259</v>
      </c>
      <c r="G494" s="52" t="s">
        <v>900</v>
      </c>
      <c r="H494" s="52" t="n">
        <v>1</v>
      </c>
    </row>
    <row r="495" customFormat="false" ht="15" hidden="false" customHeight="true" outlineLevel="0" collapsed="false">
      <c r="A495" s="52" t="n">
        <v>494</v>
      </c>
      <c r="B495" s="52" t="s">
        <v>395</v>
      </c>
      <c r="C495" s="52" t="s">
        <v>817</v>
      </c>
      <c r="D495" s="52" t="s">
        <v>818</v>
      </c>
      <c r="E495" s="52" t="s">
        <v>889</v>
      </c>
      <c r="F495" s="52" t="s">
        <v>259</v>
      </c>
      <c r="G495" s="52" t="s">
        <v>901</v>
      </c>
      <c r="H495" s="52" t="n">
        <v>1</v>
      </c>
    </row>
    <row r="496" customFormat="false" ht="15" hidden="false" customHeight="true" outlineLevel="0" collapsed="false">
      <c r="A496" s="52" t="n">
        <v>495</v>
      </c>
      <c r="B496" s="52" t="s">
        <v>395</v>
      </c>
      <c r="C496" s="52" t="s">
        <v>817</v>
      </c>
      <c r="D496" s="52" t="s">
        <v>818</v>
      </c>
      <c r="E496" s="52" t="s">
        <v>889</v>
      </c>
      <c r="F496" s="52" t="s">
        <v>259</v>
      </c>
      <c r="G496" s="52" t="s">
        <v>902</v>
      </c>
      <c r="H496" s="52" t="n">
        <v>1</v>
      </c>
    </row>
    <row r="497" customFormat="false" ht="15" hidden="false" customHeight="true" outlineLevel="0" collapsed="false">
      <c r="A497" s="52" t="n">
        <v>496</v>
      </c>
      <c r="B497" s="52" t="s">
        <v>395</v>
      </c>
      <c r="C497" s="52" t="s">
        <v>817</v>
      </c>
      <c r="D497" s="52" t="s">
        <v>818</v>
      </c>
      <c r="E497" s="52" t="s">
        <v>889</v>
      </c>
      <c r="F497" s="52" t="s">
        <v>52</v>
      </c>
      <c r="G497" s="52" t="s">
        <v>903</v>
      </c>
      <c r="H497" s="52" t="n">
        <v>1</v>
      </c>
    </row>
    <row r="498" customFormat="false" ht="15" hidden="false" customHeight="true" outlineLevel="0" collapsed="false">
      <c r="A498" s="52" t="n">
        <v>497</v>
      </c>
      <c r="B498" s="52" t="s">
        <v>395</v>
      </c>
      <c r="C498" s="52" t="s">
        <v>817</v>
      </c>
      <c r="D498" s="52" t="s">
        <v>818</v>
      </c>
      <c r="E498" s="52" t="s">
        <v>889</v>
      </c>
      <c r="F498" s="52" t="s">
        <v>52</v>
      </c>
      <c r="G498" s="52" t="s">
        <v>904</v>
      </c>
      <c r="H498" s="52" t="n">
        <v>1</v>
      </c>
    </row>
    <row r="499" customFormat="false" ht="15" hidden="false" customHeight="true" outlineLevel="0" collapsed="false">
      <c r="A499" s="52" t="n">
        <v>498</v>
      </c>
      <c r="B499" s="52" t="s">
        <v>395</v>
      </c>
      <c r="C499" s="52" t="s">
        <v>817</v>
      </c>
      <c r="D499" s="52" t="s">
        <v>818</v>
      </c>
      <c r="E499" s="52" t="s">
        <v>889</v>
      </c>
      <c r="F499" s="52" t="s">
        <v>21</v>
      </c>
      <c r="G499" s="52" t="s">
        <v>905</v>
      </c>
      <c r="H499" s="52" t="n">
        <v>1</v>
      </c>
    </row>
    <row r="500" customFormat="false" ht="15" hidden="false" customHeight="true" outlineLevel="0" collapsed="false">
      <c r="A500" s="52" t="n">
        <v>499</v>
      </c>
      <c r="B500" s="52" t="s">
        <v>395</v>
      </c>
      <c r="C500" s="52" t="s">
        <v>817</v>
      </c>
      <c r="D500" s="52" t="s">
        <v>818</v>
      </c>
      <c r="E500" s="52" t="s">
        <v>889</v>
      </c>
      <c r="F500" s="52" t="s">
        <v>21</v>
      </c>
      <c r="G500" s="52" t="s">
        <v>906</v>
      </c>
      <c r="H500" s="52" t="n">
        <v>1</v>
      </c>
    </row>
    <row r="501" customFormat="false" ht="15" hidden="false" customHeight="true" outlineLevel="0" collapsed="false">
      <c r="A501" s="52" t="n">
        <v>500</v>
      </c>
      <c r="B501" s="52" t="s">
        <v>395</v>
      </c>
      <c r="C501" s="52" t="s">
        <v>817</v>
      </c>
      <c r="D501" s="52" t="s">
        <v>818</v>
      </c>
      <c r="E501" s="52" t="s">
        <v>889</v>
      </c>
      <c r="F501" s="52" t="s">
        <v>123</v>
      </c>
      <c r="G501" s="52" t="s">
        <v>907</v>
      </c>
      <c r="H501" s="52" t="n">
        <v>1</v>
      </c>
    </row>
    <row r="502" customFormat="false" ht="15" hidden="false" customHeight="true" outlineLevel="0" collapsed="false">
      <c r="A502" s="52" t="n">
        <v>501</v>
      </c>
      <c r="B502" s="52" t="s">
        <v>395</v>
      </c>
      <c r="C502" s="52" t="s">
        <v>817</v>
      </c>
      <c r="D502" s="52" t="s">
        <v>818</v>
      </c>
      <c r="E502" s="52" t="s">
        <v>889</v>
      </c>
      <c r="F502" s="52" t="s">
        <v>123</v>
      </c>
      <c r="G502" s="52" t="s">
        <v>908</v>
      </c>
      <c r="H502" s="52" t="n">
        <v>1</v>
      </c>
    </row>
    <row r="503" customFormat="false" ht="15" hidden="false" customHeight="true" outlineLevel="0" collapsed="false">
      <c r="A503" s="52" t="n">
        <v>502</v>
      </c>
      <c r="B503" s="52" t="s">
        <v>395</v>
      </c>
      <c r="C503" s="52" t="s">
        <v>817</v>
      </c>
      <c r="D503" s="52" t="s">
        <v>818</v>
      </c>
      <c r="E503" s="52" t="s">
        <v>889</v>
      </c>
      <c r="F503" s="52" t="s">
        <v>13</v>
      </c>
      <c r="G503" s="52" t="s">
        <v>909</v>
      </c>
      <c r="H503" s="52" t="n">
        <v>1</v>
      </c>
    </row>
    <row r="504" customFormat="false" ht="15" hidden="false" customHeight="true" outlineLevel="0" collapsed="false">
      <c r="A504" s="52" t="n">
        <v>503</v>
      </c>
      <c r="B504" s="52" t="s">
        <v>395</v>
      </c>
      <c r="C504" s="52" t="s">
        <v>817</v>
      </c>
      <c r="D504" s="52" t="s">
        <v>818</v>
      </c>
      <c r="E504" s="52" t="s">
        <v>889</v>
      </c>
      <c r="F504" s="52" t="s">
        <v>101</v>
      </c>
      <c r="G504" s="52" t="s">
        <v>442</v>
      </c>
      <c r="H504" s="52" t="n">
        <v>0</v>
      </c>
    </row>
    <row r="505" customFormat="false" ht="15" hidden="false" customHeight="true" outlineLevel="0" collapsed="false">
      <c r="A505" s="52" t="n">
        <v>504</v>
      </c>
      <c r="B505" s="52" t="s">
        <v>395</v>
      </c>
      <c r="C505" s="52" t="s">
        <v>817</v>
      </c>
      <c r="D505" s="52" t="s">
        <v>818</v>
      </c>
      <c r="E505" s="52" t="s">
        <v>889</v>
      </c>
      <c r="F505" s="52" t="s">
        <v>86</v>
      </c>
      <c r="G505" s="52" t="s">
        <v>442</v>
      </c>
      <c r="H505" s="52" t="n">
        <v>0</v>
      </c>
    </row>
    <row r="506" customFormat="false" ht="15" hidden="false" customHeight="true" outlineLevel="0" collapsed="false">
      <c r="A506" s="52" t="n">
        <v>505</v>
      </c>
      <c r="B506" s="52" t="s">
        <v>395</v>
      </c>
      <c r="C506" s="52" t="s">
        <v>817</v>
      </c>
      <c r="D506" s="52" t="s">
        <v>818</v>
      </c>
      <c r="E506" s="52" t="s">
        <v>910</v>
      </c>
      <c r="F506" s="52" t="s">
        <v>331</v>
      </c>
      <c r="G506" s="52" t="s">
        <v>463</v>
      </c>
      <c r="H506" s="52" t="n">
        <v>0</v>
      </c>
    </row>
    <row r="507" customFormat="false" ht="15" hidden="false" customHeight="true" outlineLevel="0" collapsed="false">
      <c r="A507" s="52" t="n">
        <v>506</v>
      </c>
      <c r="B507" s="52" t="s">
        <v>395</v>
      </c>
      <c r="C507" s="52" t="s">
        <v>817</v>
      </c>
      <c r="D507" s="52" t="s">
        <v>818</v>
      </c>
      <c r="E507" s="52" t="s">
        <v>910</v>
      </c>
      <c r="F507" s="52" t="s">
        <v>74</v>
      </c>
      <c r="G507" s="52" t="s">
        <v>911</v>
      </c>
      <c r="H507" s="52" t="n">
        <v>1</v>
      </c>
    </row>
    <row r="508" customFormat="false" ht="15" hidden="false" customHeight="true" outlineLevel="0" collapsed="false">
      <c r="A508" s="52" t="n">
        <v>507</v>
      </c>
      <c r="B508" s="52" t="s">
        <v>395</v>
      </c>
      <c r="C508" s="52" t="s">
        <v>817</v>
      </c>
      <c r="D508" s="52" t="s">
        <v>818</v>
      </c>
      <c r="E508" s="52" t="s">
        <v>910</v>
      </c>
      <c r="F508" s="52" t="s">
        <v>259</v>
      </c>
      <c r="G508" s="52" t="s">
        <v>912</v>
      </c>
      <c r="H508" s="52" t="n">
        <v>1</v>
      </c>
    </row>
    <row r="509" customFormat="false" ht="15" hidden="false" customHeight="true" outlineLevel="0" collapsed="false">
      <c r="A509" s="52" t="n">
        <v>508</v>
      </c>
      <c r="B509" s="52" t="s">
        <v>395</v>
      </c>
      <c r="C509" s="52" t="s">
        <v>817</v>
      </c>
      <c r="D509" s="52" t="s">
        <v>818</v>
      </c>
      <c r="E509" s="52" t="s">
        <v>910</v>
      </c>
      <c r="F509" s="52" t="s">
        <v>259</v>
      </c>
      <c r="G509" s="52" t="s">
        <v>913</v>
      </c>
      <c r="H509" s="52" t="n">
        <v>1</v>
      </c>
    </row>
    <row r="510" customFormat="false" ht="15" hidden="false" customHeight="true" outlineLevel="0" collapsed="false">
      <c r="A510" s="52" t="n">
        <v>509</v>
      </c>
      <c r="B510" s="52" t="s">
        <v>395</v>
      </c>
      <c r="C510" s="52" t="s">
        <v>817</v>
      </c>
      <c r="D510" s="52" t="s">
        <v>818</v>
      </c>
      <c r="E510" s="52" t="s">
        <v>910</v>
      </c>
      <c r="F510" s="52" t="s">
        <v>259</v>
      </c>
      <c r="G510" s="52" t="s">
        <v>914</v>
      </c>
      <c r="H510" s="52" t="n">
        <v>1</v>
      </c>
    </row>
    <row r="511" customFormat="false" ht="15" hidden="false" customHeight="true" outlineLevel="0" collapsed="false">
      <c r="A511" s="52" t="n">
        <v>510</v>
      </c>
      <c r="B511" s="52" t="s">
        <v>395</v>
      </c>
      <c r="C511" s="52" t="s">
        <v>817</v>
      </c>
      <c r="D511" s="52" t="s">
        <v>818</v>
      </c>
      <c r="E511" s="52" t="s">
        <v>910</v>
      </c>
      <c r="F511" s="52" t="s">
        <v>52</v>
      </c>
      <c r="G511" s="52" t="s">
        <v>915</v>
      </c>
      <c r="H511" s="52" t="n">
        <v>1</v>
      </c>
    </row>
    <row r="512" customFormat="false" ht="15" hidden="false" customHeight="true" outlineLevel="0" collapsed="false">
      <c r="A512" s="52" t="n">
        <v>511</v>
      </c>
      <c r="B512" s="52" t="s">
        <v>395</v>
      </c>
      <c r="C512" s="52" t="s">
        <v>817</v>
      </c>
      <c r="D512" s="52" t="s">
        <v>818</v>
      </c>
      <c r="E512" s="52" t="s">
        <v>910</v>
      </c>
      <c r="F512" s="52" t="s">
        <v>52</v>
      </c>
      <c r="G512" s="52" t="s">
        <v>916</v>
      </c>
      <c r="H512" s="52" t="n">
        <v>1</v>
      </c>
    </row>
    <row r="513" customFormat="false" ht="15" hidden="false" customHeight="true" outlineLevel="0" collapsed="false">
      <c r="A513" s="52" t="n">
        <v>512</v>
      </c>
      <c r="B513" s="52" t="s">
        <v>395</v>
      </c>
      <c r="C513" s="52" t="s">
        <v>817</v>
      </c>
      <c r="D513" s="52" t="s">
        <v>818</v>
      </c>
      <c r="E513" s="52" t="s">
        <v>910</v>
      </c>
      <c r="F513" s="52" t="s">
        <v>52</v>
      </c>
      <c r="G513" s="52" t="s">
        <v>878</v>
      </c>
      <c r="H513" s="52" t="n">
        <v>1</v>
      </c>
    </row>
    <row r="514" customFormat="false" ht="15" hidden="false" customHeight="true" outlineLevel="0" collapsed="false">
      <c r="A514" s="52" t="n">
        <v>513</v>
      </c>
      <c r="B514" s="52" t="s">
        <v>395</v>
      </c>
      <c r="C514" s="52" t="s">
        <v>817</v>
      </c>
      <c r="D514" s="52" t="s">
        <v>818</v>
      </c>
      <c r="E514" s="52" t="s">
        <v>910</v>
      </c>
      <c r="F514" s="52" t="s">
        <v>21</v>
      </c>
      <c r="G514" s="52" t="s">
        <v>917</v>
      </c>
      <c r="H514" s="52" t="n">
        <v>1</v>
      </c>
    </row>
    <row r="515" customFormat="false" ht="15" hidden="false" customHeight="true" outlineLevel="0" collapsed="false">
      <c r="A515" s="52" t="n">
        <v>514</v>
      </c>
      <c r="B515" s="52" t="s">
        <v>395</v>
      </c>
      <c r="C515" s="52" t="s">
        <v>817</v>
      </c>
      <c r="D515" s="52" t="s">
        <v>818</v>
      </c>
      <c r="E515" s="52" t="s">
        <v>910</v>
      </c>
      <c r="F515" s="52" t="s">
        <v>21</v>
      </c>
      <c r="G515" s="52" t="s">
        <v>918</v>
      </c>
      <c r="H515" s="52" t="n">
        <v>1</v>
      </c>
    </row>
    <row r="516" customFormat="false" ht="15" hidden="false" customHeight="true" outlineLevel="0" collapsed="false">
      <c r="A516" s="52" t="n">
        <v>515</v>
      </c>
      <c r="B516" s="52" t="s">
        <v>395</v>
      </c>
      <c r="C516" s="52" t="s">
        <v>817</v>
      </c>
      <c r="D516" s="52" t="s">
        <v>818</v>
      </c>
      <c r="E516" s="52" t="s">
        <v>910</v>
      </c>
      <c r="F516" s="52" t="s">
        <v>21</v>
      </c>
      <c r="G516" s="52" t="s">
        <v>919</v>
      </c>
      <c r="H516" s="52" t="n">
        <v>1</v>
      </c>
    </row>
    <row r="517" customFormat="false" ht="15" hidden="false" customHeight="true" outlineLevel="0" collapsed="false">
      <c r="A517" s="52" t="n">
        <v>516</v>
      </c>
      <c r="B517" s="52" t="s">
        <v>395</v>
      </c>
      <c r="C517" s="52" t="s">
        <v>817</v>
      </c>
      <c r="D517" s="52" t="s">
        <v>818</v>
      </c>
      <c r="E517" s="52" t="s">
        <v>910</v>
      </c>
      <c r="F517" s="52" t="s">
        <v>123</v>
      </c>
      <c r="G517" s="52" t="s">
        <v>920</v>
      </c>
      <c r="H517" s="52" t="n">
        <v>1</v>
      </c>
    </row>
    <row r="518" customFormat="false" ht="15" hidden="false" customHeight="true" outlineLevel="0" collapsed="false">
      <c r="A518" s="52" t="n">
        <v>517</v>
      </c>
      <c r="B518" s="52" t="s">
        <v>395</v>
      </c>
      <c r="C518" s="52" t="s">
        <v>817</v>
      </c>
      <c r="D518" s="52" t="s">
        <v>818</v>
      </c>
      <c r="E518" s="52" t="s">
        <v>910</v>
      </c>
      <c r="F518" s="52" t="s">
        <v>123</v>
      </c>
      <c r="G518" s="52" t="s">
        <v>921</v>
      </c>
      <c r="H518" s="52" t="n">
        <v>1</v>
      </c>
    </row>
    <row r="519" customFormat="false" ht="15" hidden="false" customHeight="true" outlineLevel="0" collapsed="false">
      <c r="A519" s="52" t="n">
        <v>518</v>
      </c>
      <c r="B519" s="52" t="s">
        <v>395</v>
      </c>
      <c r="C519" s="52" t="s">
        <v>817</v>
      </c>
      <c r="D519" s="52" t="s">
        <v>818</v>
      </c>
      <c r="E519" s="52" t="s">
        <v>910</v>
      </c>
      <c r="F519" s="52" t="s">
        <v>13</v>
      </c>
      <c r="G519" s="52" t="s">
        <v>922</v>
      </c>
      <c r="H519" s="52" t="n">
        <v>1</v>
      </c>
    </row>
    <row r="520" customFormat="false" ht="15" hidden="false" customHeight="true" outlineLevel="0" collapsed="false">
      <c r="A520" s="52" t="n">
        <v>519</v>
      </c>
      <c r="B520" s="52" t="s">
        <v>395</v>
      </c>
      <c r="C520" s="52" t="s">
        <v>817</v>
      </c>
      <c r="D520" s="52" t="s">
        <v>818</v>
      </c>
      <c r="E520" s="52" t="s">
        <v>910</v>
      </c>
      <c r="F520" s="52" t="s">
        <v>13</v>
      </c>
      <c r="G520" s="52" t="s">
        <v>923</v>
      </c>
      <c r="H520" s="52" t="n">
        <v>1</v>
      </c>
    </row>
    <row r="521" customFormat="false" ht="15" hidden="false" customHeight="true" outlineLevel="0" collapsed="false">
      <c r="A521" s="52" t="n">
        <v>520</v>
      </c>
      <c r="B521" s="52" t="s">
        <v>395</v>
      </c>
      <c r="C521" s="52" t="s">
        <v>817</v>
      </c>
      <c r="D521" s="52" t="s">
        <v>818</v>
      </c>
      <c r="E521" s="52" t="s">
        <v>910</v>
      </c>
      <c r="F521" s="52" t="s">
        <v>101</v>
      </c>
      <c r="G521" s="52" t="s">
        <v>839</v>
      </c>
      <c r="H521" s="52" t="n">
        <v>1</v>
      </c>
    </row>
    <row r="522" customFormat="false" ht="15" hidden="false" customHeight="true" outlineLevel="0" collapsed="false">
      <c r="A522" s="52" t="n">
        <v>521</v>
      </c>
      <c r="B522" s="52" t="s">
        <v>395</v>
      </c>
      <c r="C522" s="52" t="s">
        <v>817</v>
      </c>
      <c r="D522" s="52" t="s">
        <v>818</v>
      </c>
      <c r="E522" s="52" t="s">
        <v>910</v>
      </c>
      <c r="F522" s="52" t="s">
        <v>101</v>
      </c>
      <c r="G522" s="52" t="s">
        <v>924</v>
      </c>
      <c r="H522" s="52" t="n">
        <v>1</v>
      </c>
    </row>
    <row r="523" customFormat="false" ht="15" hidden="false" customHeight="true" outlineLevel="0" collapsed="false">
      <c r="A523" s="52" t="n">
        <v>522</v>
      </c>
      <c r="B523" s="52" t="s">
        <v>395</v>
      </c>
      <c r="C523" s="52" t="s">
        <v>817</v>
      </c>
      <c r="D523" s="52" t="s">
        <v>818</v>
      </c>
      <c r="E523" s="52" t="s">
        <v>910</v>
      </c>
      <c r="F523" s="52" t="s">
        <v>101</v>
      </c>
      <c r="G523" s="52" t="s">
        <v>925</v>
      </c>
      <c r="H523" s="52" t="n">
        <v>1</v>
      </c>
    </row>
    <row r="524" customFormat="false" ht="15" hidden="false" customHeight="true" outlineLevel="0" collapsed="false">
      <c r="A524" s="52" t="n">
        <v>523</v>
      </c>
      <c r="B524" s="52" t="s">
        <v>395</v>
      </c>
      <c r="C524" s="52" t="s">
        <v>817</v>
      </c>
      <c r="D524" s="52" t="s">
        <v>818</v>
      </c>
      <c r="E524" s="52" t="s">
        <v>910</v>
      </c>
      <c r="F524" s="52" t="s">
        <v>86</v>
      </c>
      <c r="G524" s="52" t="s">
        <v>442</v>
      </c>
      <c r="H524" s="52" t="n">
        <v>0</v>
      </c>
    </row>
    <row r="525" customFormat="false" ht="15" hidden="false" customHeight="true" outlineLevel="0" collapsed="false">
      <c r="A525" s="52" t="n">
        <v>524</v>
      </c>
      <c r="B525" s="52" t="s">
        <v>395</v>
      </c>
      <c r="C525" s="52" t="s">
        <v>817</v>
      </c>
      <c r="D525" s="52" t="s">
        <v>818</v>
      </c>
      <c r="E525" s="52" t="s">
        <v>926</v>
      </c>
      <c r="F525" s="52" t="s">
        <v>331</v>
      </c>
      <c r="G525" s="52" t="s">
        <v>463</v>
      </c>
      <c r="H525" s="52" t="n">
        <v>0</v>
      </c>
    </row>
    <row r="526" customFormat="false" ht="15" hidden="false" customHeight="true" outlineLevel="0" collapsed="false">
      <c r="A526" s="52" t="n">
        <v>525</v>
      </c>
      <c r="B526" s="52" t="s">
        <v>395</v>
      </c>
      <c r="C526" s="52" t="s">
        <v>817</v>
      </c>
      <c r="D526" s="52" t="s">
        <v>818</v>
      </c>
      <c r="E526" s="52" t="s">
        <v>926</v>
      </c>
      <c r="F526" s="52" t="s">
        <v>74</v>
      </c>
      <c r="G526" s="52" t="s">
        <v>927</v>
      </c>
      <c r="H526" s="52" t="n">
        <v>1</v>
      </c>
    </row>
    <row r="527" customFormat="false" ht="15" hidden="false" customHeight="true" outlineLevel="0" collapsed="false">
      <c r="A527" s="52" t="n">
        <v>526</v>
      </c>
      <c r="B527" s="52" t="s">
        <v>395</v>
      </c>
      <c r="C527" s="52" t="s">
        <v>817</v>
      </c>
      <c r="D527" s="52" t="s">
        <v>818</v>
      </c>
      <c r="E527" s="52" t="s">
        <v>926</v>
      </c>
      <c r="F527" s="52" t="s">
        <v>36</v>
      </c>
      <c r="G527" s="52" t="s">
        <v>37</v>
      </c>
      <c r="H527" s="52" t="n">
        <v>1</v>
      </c>
    </row>
    <row r="528" customFormat="false" ht="15" hidden="false" customHeight="true" outlineLevel="0" collapsed="false">
      <c r="A528" s="52" t="n">
        <v>527</v>
      </c>
      <c r="B528" s="52" t="s">
        <v>395</v>
      </c>
      <c r="C528" s="52" t="s">
        <v>817</v>
      </c>
      <c r="D528" s="52" t="s">
        <v>818</v>
      </c>
      <c r="E528" s="52" t="s">
        <v>926</v>
      </c>
      <c r="F528" s="52" t="s">
        <v>36</v>
      </c>
      <c r="G528" s="52" t="s">
        <v>44</v>
      </c>
      <c r="H528" s="52" t="n">
        <v>1</v>
      </c>
    </row>
    <row r="529" customFormat="false" ht="15" hidden="false" customHeight="true" outlineLevel="0" collapsed="false">
      <c r="A529" s="52" t="n">
        <v>528</v>
      </c>
      <c r="B529" s="52" t="s">
        <v>395</v>
      </c>
      <c r="C529" s="52" t="s">
        <v>817</v>
      </c>
      <c r="D529" s="52" t="s">
        <v>818</v>
      </c>
      <c r="E529" s="52" t="s">
        <v>926</v>
      </c>
      <c r="F529" s="52" t="s">
        <v>259</v>
      </c>
      <c r="G529" s="52" t="s">
        <v>928</v>
      </c>
      <c r="H529" s="52" t="n">
        <v>1</v>
      </c>
    </row>
    <row r="530" customFormat="false" ht="15" hidden="false" customHeight="true" outlineLevel="0" collapsed="false">
      <c r="A530" s="52" t="n">
        <v>529</v>
      </c>
      <c r="B530" s="52" t="s">
        <v>395</v>
      </c>
      <c r="C530" s="52" t="s">
        <v>817</v>
      </c>
      <c r="D530" s="52" t="s">
        <v>818</v>
      </c>
      <c r="E530" s="52" t="s">
        <v>926</v>
      </c>
      <c r="F530" s="52" t="s">
        <v>259</v>
      </c>
      <c r="G530" s="52" t="s">
        <v>929</v>
      </c>
      <c r="H530" s="52" t="n">
        <v>1</v>
      </c>
    </row>
    <row r="531" customFormat="false" ht="15" hidden="false" customHeight="true" outlineLevel="0" collapsed="false">
      <c r="A531" s="52" t="n">
        <v>530</v>
      </c>
      <c r="B531" s="52" t="s">
        <v>395</v>
      </c>
      <c r="C531" s="52" t="s">
        <v>817</v>
      </c>
      <c r="D531" s="52" t="s">
        <v>818</v>
      </c>
      <c r="E531" s="52" t="s">
        <v>926</v>
      </c>
      <c r="F531" s="52" t="s">
        <v>21</v>
      </c>
      <c r="G531" s="52" t="s">
        <v>930</v>
      </c>
      <c r="H531" s="52" t="n">
        <v>1</v>
      </c>
    </row>
    <row r="532" customFormat="false" ht="15" hidden="false" customHeight="true" outlineLevel="0" collapsed="false">
      <c r="A532" s="52" t="n">
        <v>531</v>
      </c>
      <c r="B532" s="52" t="s">
        <v>395</v>
      </c>
      <c r="C532" s="52" t="s">
        <v>817</v>
      </c>
      <c r="D532" s="52" t="s">
        <v>818</v>
      </c>
      <c r="E532" s="52" t="s">
        <v>926</v>
      </c>
      <c r="F532" s="52" t="s">
        <v>21</v>
      </c>
      <c r="G532" s="52" t="s">
        <v>931</v>
      </c>
      <c r="H532" s="52" t="n">
        <v>1</v>
      </c>
    </row>
    <row r="533" customFormat="false" ht="15" hidden="false" customHeight="true" outlineLevel="0" collapsed="false">
      <c r="A533" s="52" t="n">
        <v>532</v>
      </c>
      <c r="B533" s="52" t="s">
        <v>395</v>
      </c>
      <c r="C533" s="52" t="s">
        <v>817</v>
      </c>
      <c r="D533" s="52" t="s">
        <v>818</v>
      </c>
      <c r="E533" s="52" t="s">
        <v>926</v>
      </c>
      <c r="F533" s="52" t="s">
        <v>21</v>
      </c>
      <c r="G533" s="52" t="s">
        <v>29</v>
      </c>
      <c r="H533" s="52" t="n">
        <v>1</v>
      </c>
    </row>
    <row r="534" customFormat="false" ht="15" hidden="false" customHeight="true" outlineLevel="0" collapsed="false">
      <c r="A534" s="52" t="n">
        <v>533</v>
      </c>
      <c r="B534" s="52" t="s">
        <v>395</v>
      </c>
      <c r="C534" s="52" t="s">
        <v>817</v>
      </c>
      <c r="D534" s="52" t="s">
        <v>818</v>
      </c>
      <c r="E534" s="52" t="s">
        <v>926</v>
      </c>
      <c r="F534" s="52" t="s">
        <v>21</v>
      </c>
      <c r="G534" s="52" t="s">
        <v>22</v>
      </c>
      <c r="H534" s="52" t="n">
        <v>1</v>
      </c>
    </row>
    <row r="535" customFormat="false" ht="15" hidden="false" customHeight="true" outlineLevel="0" collapsed="false">
      <c r="A535" s="52" t="n">
        <v>534</v>
      </c>
      <c r="B535" s="52" t="s">
        <v>395</v>
      </c>
      <c r="C535" s="52" t="s">
        <v>817</v>
      </c>
      <c r="D535" s="52" t="s">
        <v>818</v>
      </c>
      <c r="E535" s="52" t="s">
        <v>926</v>
      </c>
      <c r="F535" s="52" t="s">
        <v>21</v>
      </c>
      <c r="G535" s="52" t="s">
        <v>932</v>
      </c>
      <c r="H535" s="52" t="n">
        <v>1</v>
      </c>
    </row>
    <row r="536" customFormat="false" ht="15" hidden="false" customHeight="true" outlineLevel="0" collapsed="false">
      <c r="A536" s="52" t="n">
        <v>535</v>
      </c>
      <c r="B536" s="52" t="s">
        <v>395</v>
      </c>
      <c r="C536" s="52" t="s">
        <v>817</v>
      </c>
      <c r="D536" s="52" t="s">
        <v>818</v>
      </c>
      <c r="E536" s="52" t="s">
        <v>926</v>
      </c>
      <c r="F536" s="52" t="s">
        <v>123</v>
      </c>
      <c r="G536" s="52" t="s">
        <v>933</v>
      </c>
      <c r="H536" s="52" t="n">
        <v>1</v>
      </c>
    </row>
    <row r="537" customFormat="false" ht="15" hidden="false" customHeight="true" outlineLevel="0" collapsed="false">
      <c r="A537" s="52" t="n">
        <v>536</v>
      </c>
      <c r="B537" s="52" t="s">
        <v>395</v>
      </c>
      <c r="C537" s="52" t="s">
        <v>817</v>
      </c>
      <c r="D537" s="52" t="s">
        <v>818</v>
      </c>
      <c r="E537" s="52" t="s">
        <v>926</v>
      </c>
      <c r="F537" s="52" t="s">
        <v>123</v>
      </c>
      <c r="G537" s="52" t="s">
        <v>934</v>
      </c>
      <c r="H537" s="52" t="n">
        <v>1</v>
      </c>
    </row>
    <row r="538" customFormat="false" ht="15" hidden="false" customHeight="true" outlineLevel="0" collapsed="false">
      <c r="A538" s="52" t="n">
        <v>537</v>
      </c>
      <c r="B538" s="52" t="s">
        <v>395</v>
      </c>
      <c r="C538" s="52" t="s">
        <v>817</v>
      </c>
      <c r="D538" s="52" t="s">
        <v>818</v>
      </c>
      <c r="E538" s="52" t="s">
        <v>926</v>
      </c>
      <c r="F538" s="52" t="s">
        <v>123</v>
      </c>
      <c r="G538" s="52" t="s">
        <v>935</v>
      </c>
      <c r="H538" s="52" t="n">
        <v>1</v>
      </c>
    </row>
    <row r="539" customFormat="false" ht="15" hidden="false" customHeight="true" outlineLevel="0" collapsed="false">
      <c r="A539" s="52" t="n">
        <v>538</v>
      </c>
      <c r="B539" s="52" t="s">
        <v>395</v>
      </c>
      <c r="C539" s="52" t="s">
        <v>817</v>
      </c>
      <c r="D539" s="52" t="s">
        <v>818</v>
      </c>
      <c r="E539" s="52" t="s">
        <v>926</v>
      </c>
      <c r="F539" s="52" t="s">
        <v>13</v>
      </c>
      <c r="G539" s="52" t="s">
        <v>936</v>
      </c>
      <c r="H539" s="52" t="n">
        <v>1</v>
      </c>
    </row>
    <row r="540" customFormat="false" ht="15" hidden="false" customHeight="true" outlineLevel="0" collapsed="false">
      <c r="A540" s="52" t="n">
        <v>539</v>
      </c>
      <c r="B540" s="52" t="s">
        <v>395</v>
      </c>
      <c r="C540" s="52" t="s">
        <v>817</v>
      </c>
      <c r="D540" s="52" t="s">
        <v>818</v>
      </c>
      <c r="E540" s="52" t="s">
        <v>926</v>
      </c>
      <c r="F540" s="52" t="s">
        <v>13</v>
      </c>
      <c r="G540" s="52" t="s">
        <v>937</v>
      </c>
      <c r="H540" s="52" t="n">
        <v>1</v>
      </c>
    </row>
    <row r="541" customFormat="false" ht="15" hidden="false" customHeight="true" outlineLevel="0" collapsed="false">
      <c r="A541" s="52" t="n">
        <v>540</v>
      </c>
      <c r="B541" s="52" t="s">
        <v>395</v>
      </c>
      <c r="C541" s="52" t="s">
        <v>817</v>
      </c>
      <c r="D541" s="52" t="s">
        <v>818</v>
      </c>
      <c r="E541" s="52" t="s">
        <v>926</v>
      </c>
      <c r="F541" s="52" t="s">
        <v>13</v>
      </c>
      <c r="G541" s="52" t="s">
        <v>938</v>
      </c>
      <c r="H541" s="52" t="n">
        <v>1</v>
      </c>
    </row>
    <row r="542" customFormat="false" ht="15" hidden="false" customHeight="true" outlineLevel="0" collapsed="false">
      <c r="A542" s="52" t="n">
        <v>541</v>
      </c>
      <c r="B542" s="52" t="s">
        <v>395</v>
      </c>
      <c r="C542" s="52" t="s">
        <v>817</v>
      </c>
      <c r="D542" s="52" t="s">
        <v>818</v>
      </c>
      <c r="E542" s="52" t="s">
        <v>926</v>
      </c>
      <c r="F542" s="52" t="s">
        <v>13</v>
      </c>
      <c r="G542" s="52" t="s">
        <v>939</v>
      </c>
      <c r="H542" s="52" t="n">
        <v>1</v>
      </c>
    </row>
    <row r="543" customFormat="false" ht="15" hidden="false" customHeight="true" outlineLevel="0" collapsed="false">
      <c r="A543" s="52" t="n">
        <v>542</v>
      </c>
      <c r="B543" s="52" t="s">
        <v>395</v>
      </c>
      <c r="C543" s="52" t="s">
        <v>817</v>
      </c>
      <c r="D543" s="52" t="s">
        <v>818</v>
      </c>
      <c r="E543" s="52" t="s">
        <v>926</v>
      </c>
      <c r="F543" s="52" t="s">
        <v>13</v>
      </c>
      <c r="G543" s="52" t="s">
        <v>940</v>
      </c>
      <c r="H543" s="52" t="n">
        <v>1</v>
      </c>
    </row>
    <row r="544" customFormat="false" ht="15" hidden="false" customHeight="true" outlineLevel="0" collapsed="false">
      <c r="A544" s="52" t="n">
        <v>543</v>
      </c>
      <c r="B544" s="52" t="s">
        <v>395</v>
      </c>
      <c r="C544" s="52" t="s">
        <v>817</v>
      </c>
      <c r="D544" s="52" t="s">
        <v>818</v>
      </c>
      <c r="E544" s="52" t="s">
        <v>926</v>
      </c>
      <c r="F544" s="52" t="s">
        <v>13</v>
      </c>
      <c r="G544" s="52" t="s">
        <v>941</v>
      </c>
      <c r="H544" s="52" t="n">
        <v>1</v>
      </c>
    </row>
    <row r="545" customFormat="false" ht="15" hidden="false" customHeight="true" outlineLevel="0" collapsed="false">
      <c r="A545" s="52" t="n">
        <v>544</v>
      </c>
      <c r="B545" s="52" t="s">
        <v>395</v>
      </c>
      <c r="C545" s="52" t="s">
        <v>817</v>
      </c>
      <c r="D545" s="52" t="s">
        <v>818</v>
      </c>
      <c r="E545" s="52" t="s">
        <v>926</v>
      </c>
      <c r="F545" s="52" t="s">
        <v>13</v>
      </c>
      <c r="G545" s="52" t="s">
        <v>14</v>
      </c>
      <c r="H545" s="52" t="n">
        <v>1</v>
      </c>
    </row>
    <row r="546" customFormat="false" ht="15" hidden="false" customHeight="true" outlineLevel="0" collapsed="false">
      <c r="A546" s="52" t="n">
        <v>545</v>
      </c>
      <c r="B546" s="52" t="s">
        <v>395</v>
      </c>
      <c r="C546" s="52" t="s">
        <v>817</v>
      </c>
      <c r="D546" s="52" t="s">
        <v>818</v>
      </c>
      <c r="E546" s="52" t="s">
        <v>926</v>
      </c>
      <c r="F546" s="52" t="s">
        <v>13</v>
      </c>
      <c r="G546" s="52" t="s">
        <v>942</v>
      </c>
      <c r="H546" s="52" t="n">
        <v>1</v>
      </c>
    </row>
    <row r="547" customFormat="false" ht="15" hidden="false" customHeight="true" outlineLevel="0" collapsed="false">
      <c r="A547" s="52" t="n">
        <v>546</v>
      </c>
      <c r="B547" s="52" t="s">
        <v>395</v>
      </c>
      <c r="C547" s="52" t="s">
        <v>817</v>
      </c>
      <c r="D547" s="52" t="s">
        <v>818</v>
      </c>
      <c r="E547" s="52" t="s">
        <v>926</v>
      </c>
      <c r="F547" s="52" t="s">
        <v>101</v>
      </c>
      <c r="G547" s="52" t="s">
        <v>943</v>
      </c>
      <c r="H547" s="52" t="n">
        <v>1</v>
      </c>
    </row>
    <row r="548" customFormat="false" ht="15" hidden="false" customHeight="true" outlineLevel="0" collapsed="false">
      <c r="A548" s="52" t="n">
        <v>547</v>
      </c>
      <c r="B548" s="52" t="s">
        <v>395</v>
      </c>
      <c r="C548" s="52" t="s">
        <v>817</v>
      </c>
      <c r="D548" s="52" t="s">
        <v>818</v>
      </c>
      <c r="E548" s="52" t="s">
        <v>926</v>
      </c>
      <c r="F548" s="52" t="s">
        <v>101</v>
      </c>
      <c r="G548" s="52" t="s">
        <v>944</v>
      </c>
      <c r="H548" s="52" t="n">
        <v>1</v>
      </c>
    </row>
    <row r="549" customFormat="false" ht="15" hidden="false" customHeight="true" outlineLevel="0" collapsed="false">
      <c r="A549" s="52" t="n">
        <v>548</v>
      </c>
      <c r="B549" s="52" t="s">
        <v>395</v>
      </c>
      <c r="C549" s="52" t="s">
        <v>817</v>
      </c>
      <c r="D549" s="52" t="s">
        <v>818</v>
      </c>
      <c r="E549" s="52" t="s">
        <v>926</v>
      </c>
      <c r="F549" s="52" t="s">
        <v>101</v>
      </c>
      <c r="G549" s="52" t="s">
        <v>945</v>
      </c>
      <c r="H549" s="52" t="n">
        <v>1</v>
      </c>
    </row>
    <row r="550" customFormat="false" ht="15" hidden="false" customHeight="true" outlineLevel="0" collapsed="false">
      <c r="A550" s="52" t="n">
        <v>549</v>
      </c>
      <c r="B550" s="52" t="s">
        <v>395</v>
      </c>
      <c r="C550" s="52" t="s">
        <v>817</v>
      </c>
      <c r="D550" s="52" t="s">
        <v>818</v>
      </c>
      <c r="E550" s="52" t="s">
        <v>926</v>
      </c>
      <c r="F550" s="52" t="s">
        <v>86</v>
      </c>
      <c r="G550" s="52" t="s">
        <v>946</v>
      </c>
      <c r="H550" s="52" t="n">
        <v>1</v>
      </c>
    </row>
    <row r="551" customFormat="false" ht="15" hidden="false" customHeight="true" outlineLevel="0" collapsed="false">
      <c r="A551" s="52" t="n">
        <v>550</v>
      </c>
      <c r="B551" s="52" t="s">
        <v>395</v>
      </c>
      <c r="C551" s="52" t="s">
        <v>817</v>
      </c>
      <c r="D551" s="52" t="s">
        <v>818</v>
      </c>
      <c r="E551" s="52" t="s">
        <v>947</v>
      </c>
      <c r="F551" s="52" t="s">
        <v>331</v>
      </c>
      <c r="G551" s="52" t="s">
        <v>542</v>
      </c>
      <c r="H551" s="52" t="n">
        <v>0</v>
      </c>
    </row>
    <row r="552" customFormat="false" ht="15" hidden="false" customHeight="true" outlineLevel="0" collapsed="false">
      <c r="A552" s="52" t="n">
        <v>551</v>
      </c>
      <c r="B552" s="52" t="s">
        <v>395</v>
      </c>
      <c r="C552" s="52" t="s">
        <v>817</v>
      </c>
      <c r="D552" s="52" t="s">
        <v>818</v>
      </c>
      <c r="E552" s="52" t="s">
        <v>947</v>
      </c>
      <c r="F552" s="52" t="s">
        <v>74</v>
      </c>
      <c r="G552" s="52" t="s">
        <v>542</v>
      </c>
      <c r="H552" s="52" t="n">
        <v>0</v>
      </c>
    </row>
    <row r="553" customFormat="false" ht="15" hidden="false" customHeight="true" outlineLevel="0" collapsed="false">
      <c r="A553" s="52" t="n">
        <v>552</v>
      </c>
      <c r="B553" s="52" t="s">
        <v>395</v>
      </c>
      <c r="C553" s="52" t="s">
        <v>817</v>
      </c>
      <c r="D553" s="52" t="s">
        <v>818</v>
      </c>
      <c r="E553" s="52" t="s">
        <v>947</v>
      </c>
      <c r="F553" s="52" t="s">
        <v>36</v>
      </c>
      <c r="G553" s="52" t="s">
        <v>948</v>
      </c>
      <c r="H553" s="52" t="n">
        <v>1</v>
      </c>
    </row>
    <row r="554" customFormat="false" ht="15" hidden="false" customHeight="true" outlineLevel="0" collapsed="false">
      <c r="A554" s="52" t="n">
        <v>553</v>
      </c>
      <c r="B554" s="52" t="s">
        <v>395</v>
      </c>
      <c r="C554" s="52" t="s">
        <v>817</v>
      </c>
      <c r="D554" s="52" t="s">
        <v>818</v>
      </c>
      <c r="E554" s="52" t="s">
        <v>947</v>
      </c>
      <c r="F554" s="52" t="s">
        <v>36</v>
      </c>
      <c r="G554" s="52" t="s">
        <v>949</v>
      </c>
      <c r="H554" s="52" t="n">
        <v>1</v>
      </c>
    </row>
    <row r="555" customFormat="false" ht="15" hidden="false" customHeight="true" outlineLevel="0" collapsed="false">
      <c r="A555" s="52" t="n">
        <v>554</v>
      </c>
      <c r="B555" s="52" t="s">
        <v>395</v>
      </c>
      <c r="C555" s="52" t="s">
        <v>817</v>
      </c>
      <c r="D555" s="52" t="s">
        <v>818</v>
      </c>
      <c r="E555" s="52" t="s">
        <v>947</v>
      </c>
      <c r="F555" s="52" t="s">
        <v>259</v>
      </c>
      <c r="G555" s="52" t="s">
        <v>950</v>
      </c>
      <c r="H555" s="52" t="n">
        <v>1</v>
      </c>
    </row>
    <row r="556" customFormat="false" ht="15" hidden="false" customHeight="true" outlineLevel="0" collapsed="false">
      <c r="A556" s="52" t="n">
        <v>555</v>
      </c>
      <c r="B556" s="52" t="s">
        <v>395</v>
      </c>
      <c r="C556" s="52" t="s">
        <v>817</v>
      </c>
      <c r="D556" s="52" t="s">
        <v>818</v>
      </c>
      <c r="E556" s="52" t="s">
        <v>947</v>
      </c>
      <c r="F556" s="52" t="s">
        <v>52</v>
      </c>
      <c r="G556" s="52" t="s">
        <v>951</v>
      </c>
      <c r="H556" s="52" t="n">
        <v>1</v>
      </c>
    </row>
    <row r="557" customFormat="false" ht="15" hidden="false" customHeight="true" outlineLevel="0" collapsed="false">
      <c r="A557" s="52" t="n">
        <v>556</v>
      </c>
      <c r="B557" s="52" t="s">
        <v>395</v>
      </c>
      <c r="C557" s="52" t="s">
        <v>817</v>
      </c>
      <c r="D557" s="52" t="s">
        <v>818</v>
      </c>
      <c r="E557" s="52" t="s">
        <v>947</v>
      </c>
      <c r="F557" s="52" t="s">
        <v>52</v>
      </c>
      <c r="G557" s="52" t="s">
        <v>952</v>
      </c>
      <c r="H557" s="52" t="n">
        <v>1</v>
      </c>
    </row>
    <row r="558" customFormat="false" ht="15" hidden="false" customHeight="true" outlineLevel="0" collapsed="false">
      <c r="A558" s="52" t="n">
        <v>557</v>
      </c>
      <c r="B558" s="52" t="s">
        <v>395</v>
      </c>
      <c r="C558" s="52" t="s">
        <v>817</v>
      </c>
      <c r="D558" s="52" t="s">
        <v>818</v>
      </c>
      <c r="E558" s="52" t="s">
        <v>947</v>
      </c>
      <c r="F558" s="52" t="s">
        <v>21</v>
      </c>
      <c r="G558" s="52" t="s">
        <v>953</v>
      </c>
      <c r="H558" s="52" t="n">
        <v>1</v>
      </c>
    </row>
    <row r="559" customFormat="false" ht="15" hidden="false" customHeight="true" outlineLevel="0" collapsed="false">
      <c r="A559" s="52" t="n">
        <v>558</v>
      </c>
      <c r="B559" s="52" t="s">
        <v>395</v>
      </c>
      <c r="C559" s="52" t="s">
        <v>817</v>
      </c>
      <c r="D559" s="52" t="s">
        <v>818</v>
      </c>
      <c r="E559" s="52" t="s">
        <v>947</v>
      </c>
      <c r="F559" s="52" t="s">
        <v>21</v>
      </c>
      <c r="G559" s="52" t="s">
        <v>954</v>
      </c>
      <c r="H559" s="52" t="n">
        <v>1</v>
      </c>
    </row>
    <row r="560" customFormat="false" ht="15" hidden="false" customHeight="true" outlineLevel="0" collapsed="false">
      <c r="A560" s="52" t="n">
        <v>559</v>
      </c>
      <c r="B560" s="52" t="s">
        <v>395</v>
      </c>
      <c r="C560" s="52" t="s">
        <v>817</v>
      </c>
      <c r="D560" s="52" t="s">
        <v>818</v>
      </c>
      <c r="E560" s="52" t="s">
        <v>947</v>
      </c>
      <c r="F560" s="52" t="s">
        <v>21</v>
      </c>
      <c r="G560" s="52" t="s">
        <v>955</v>
      </c>
      <c r="H560" s="52" t="n">
        <v>1</v>
      </c>
    </row>
    <row r="561" customFormat="false" ht="15" hidden="false" customHeight="true" outlineLevel="0" collapsed="false">
      <c r="A561" s="52" t="n">
        <v>560</v>
      </c>
      <c r="B561" s="52" t="s">
        <v>395</v>
      </c>
      <c r="C561" s="52" t="s">
        <v>817</v>
      </c>
      <c r="D561" s="52" t="s">
        <v>818</v>
      </c>
      <c r="E561" s="52" t="s">
        <v>947</v>
      </c>
      <c r="F561" s="52" t="s">
        <v>21</v>
      </c>
      <c r="G561" s="52" t="s">
        <v>956</v>
      </c>
      <c r="H561" s="52" t="n">
        <v>1</v>
      </c>
    </row>
    <row r="562" customFormat="false" ht="15" hidden="false" customHeight="true" outlineLevel="0" collapsed="false">
      <c r="A562" s="52" t="n">
        <v>561</v>
      </c>
      <c r="B562" s="52" t="s">
        <v>395</v>
      </c>
      <c r="C562" s="52" t="s">
        <v>817</v>
      </c>
      <c r="D562" s="52" t="s">
        <v>818</v>
      </c>
      <c r="E562" s="52" t="s">
        <v>947</v>
      </c>
      <c r="F562" s="52" t="s">
        <v>123</v>
      </c>
      <c r="G562" s="52" t="s">
        <v>835</v>
      </c>
      <c r="H562" s="52" t="n">
        <v>1</v>
      </c>
    </row>
    <row r="563" customFormat="false" ht="15" hidden="false" customHeight="true" outlineLevel="0" collapsed="false">
      <c r="A563" s="52" t="n">
        <v>562</v>
      </c>
      <c r="B563" s="52" t="s">
        <v>395</v>
      </c>
      <c r="C563" s="52" t="s">
        <v>817</v>
      </c>
      <c r="D563" s="52" t="s">
        <v>818</v>
      </c>
      <c r="E563" s="52" t="s">
        <v>947</v>
      </c>
      <c r="F563" s="52" t="s">
        <v>123</v>
      </c>
      <c r="G563" s="52" t="s">
        <v>957</v>
      </c>
      <c r="H563" s="52" t="n">
        <v>1</v>
      </c>
    </row>
    <row r="564" customFormat="false" ht="15" hidden="false" customHeight="true" outlineLevel="0" collapsed="false">
      <c r="A564" s="52" t="n">
        <v>563</v>
      </c>
      <c r="B564" s="52" t="s">
        <v>395</v>
      </c>
      <c r="C564" s="52" t="s">
        <v>817</v>
      </c>
      <c r="D564" s="52" t="s">
        <v>818</v>
      </c>
      <c r="E564" s="52" t="s">
        <v>947</v>
      </c>
      <c r="F564" s="52" t="s">
        <v>123</v>
      </c>
      <c r="G564" s="52" t="s">
        <v>200</v>
      </c>
      <c r="H564" s="52" t="n">
        <v>1</v>
      </c>
    </row>
    <row r="565" customFormat="false" ht="15" hidden="false" customHeight="true" outlineLevel="0" collapsed="false">
      <c r="A565" s="52" t="n">
        <v>564</v>
      </c>
      <c r="B565" s="52" t="s">
        <v>395</v>
      </c>
      <c r="C565" s="52" t="s">
        <v>817</v>
      </c>
      <c r="D565" s="52" t="s">
        <v>818</v>
      </c>
      <c r="E565" s="52" t="s">
        <v>947</v>
      </c>
      <c r="F565" s="52" t="s">
        <v>123</v>
      </c>
      <c r="G565" s="52" t="s">
        <v>958</v>
      </c>
      <c r="H565" s="52" t="n">
        <v>1</v>
      </c>
    </row>
    <row r="566" customFormat="false" ht="15" hidden="false" customHeight="true" outlineLevel="0" collapsed="false">
      <c r="A566" s="52" t="n">
        <v>565</v>
      </c>
      <c r="B566" s="52" t="s">
        <v>395</v>
      </c>
      <c r="C566" s="52" t="s">
        <v>817</v>
      </c>
      <c r="D566" s="52" t="s">
        <v>818</v>
      </c>
      <c r="E566" s="52" t="s">
        <v>947</v>
      </c>
      <c r="F566" s="52" t="s">
        <v>123</v>
      </c>
      <c r="G566" s="52" t="s">
        <v>207</v>
      </c>
      <c r="H566" s="52" t="n">
        <v>1</v>
      </c>
    </row>
    <row r="567" customFormat="false" ht="15" hidden="false" customHeight="true" outlineLevel="0" collapsed="false">
      <c r="A567" s="52" t="n">
        <v>566</v>
      </c>
      <c r="B567" s="52" t="s">
        <v>395</v>
      </c>
      <c r="C567" s="52" t="s">
        <v>817</v>
      </c>
      <c r="D567" s="52" t="s">
        <v>818</v>
      </c>
      <c r="E567" s="52" t="s">
        <v>947</v>
      </c>
      <c r="F567" s="52" t="s">
        <v>123</v>
      </c>
      <c r="G567" s="52" t="s">
        <v>959</v>
      </c>
      <c r="H567" s="52" t="n">
        <v>1</v>
      </c>
    </row>
    <row r="568" customFormat="false" ht="15" hidden="false" customHeight="true" outlineLevel="0" collapsed="false">
      <c r="A568" s="52" t="n">
        <v>567</v>
      </c>
      <c r="B568" s="52" t="s">
        <v>395</v>
      </c>
      <c r="C568" s="52" t="s">
        <v>817</v>
      </c>
      <c r="D568" s="52" t="s">
        <v>818</v>
      </c>
      <c r="E568" s="52" t="s">
        <v>947</v>
      </c>
      <c r="F568" s="52" t="s">
        <v>13</v>
      </c>
      <c r="G568" s="52" t="s">
        <v>960</v>
      </c>
      <c r="H568" s="52" t="n">
        <v>1</v>
      </c>
    </row>
    <row r="569" customFormat="false" ht="15" hidden="false" customHeight="true" outlineLevel="0" collapsed="false">
      <c r="A569" s="52" t="n">
        <v>568</v>
      </c>
      <c r="B569" s="52" t="s">
        <v>395</v>
      </c>
      <c r="C569" s="52" t="s">
        <v>817</v>
      </c>
      <c r="D569" s="52" t="s">
        <v>818</v>
      </c>
      <c r="E569" s="52" t="s">
        <v>947</v>
      </c>
      <c r="F569" s="52" t="s">
        <v>13</v>
      </c>
      <c r="G569" s="52" t="s">
        <v>961</v>
      </c>
      <c r="H569" s="52" t="n">
        <v>1</v>
      </c>
    </row>
    <row r="570" customFormat="false" ht="15" hidden="false" customHeight="true" outlineLevel="0" collapsed="false">
      <c r="A570" s="52" t="n">
        <v>569</v>
      </c>
      <c r="B570" s="52" t="s">
        <v>395</v>
      </c>
      <c r="C570" s="52" t="s">
        <v>817</v>
      </c>
      <c r="D570" s="52" t="s">
        <v>818</v>
      </c>
      <c r="E570" s="52" t="s">
        <v>947</v>
      </c>
      <c r="F570" s="52" t="s">
        <v>13</v>
      </c>
      <c r="G570" s="52" t="s">
        <v>962</v>
      </c>
      <c r="H570" s="52" t="n">
        <v>1</v>
      </c>
    </row>
    <row r="571" customFormat="false" ht="15" hidden="false" customHeight="true" outlineLevel="0" collapsed="false">
      <c r="A571" s="52" t="n">
        <v>570</v>
      </c>
      <c r="B571" s="52" t="s">
        <v>395</v>
      </c>
      <c r="C571" s="52" t="s">
        <v>817</v>
      </c>
      <c r="D571" s="52" t="s">
        <v>818</v>
      </c>
      <c r="E571" s="52" t="s">
        <v>947</v>
      </c>
      <c r="F571" s="52" t="s">
        <v>13</v>
      </c>
      <c r="G571" s="52" t="s">
        <v>193</v>
      </c>
      <c r="H571" s="52" t="n">
        <v>1</v>
      </c>
    </row>
    <row r="572" customFormat="false" ht="15" hidden="false" customHeight="true" outlineLevel="0" collapsed="false">
      <c r="A572" s="52" t="n">
        <v>571</v>
      </c>
      <c r="B572" s="52" t="s">
        <v>395</v>
      </c>
      <c r="C572" s="52" t="s">
        <v>817</v>
      </c>
      <c r="D572" s="52" t="s">
        <v>818</v>
      </c>
      <c r="E572" s="52" t="s">
        <v>947</v>
      </c>
      <c r="F572" s="52" t="s">
        <v>13</v>
      </c>
      <c r="G572" s="52" t="s">
        <v>963</v>
      </c>
      <c r="H572" s="52" t="n">
        <v>1</v>
      </c>
    </row>
    <row r="573" customFormat="false" ht="15" hidden="false" customHeight="true" outlineLevel="0" collapsed="false">
      <c r="A573" s="52" t="n">
        <v>572</v>
      </c>
      <c r="B573" s="52" t="s">
        <v>395</v>
      </c>
      <c r="C573" s="52" t="s">
        <v>817</v>
      </c>
      <c r="D573" s="52" t="s">
        <v>818</v>
      </c>
      <c r="E573" s="52" t="s">
        <v>947</v>
      </c>
      <c r="F573" s="52" t="s">
        <v>13</v>
      </c>
      <c r="G573" s="52" t="s">
        <v>186</v>
      </c>
      <c r="H573" s="52" t="n">
        <v>1</v>
      </c>
    </row>
    <row r="574" customFormat="false" ht="15" hidden="false" customHeight="true" outlineLevel="0" collapsed="false">
      <c r="A574" s="52" t="n">
        <v>573</v>
      </c>
      <c r="B574" s="52" t="s">
        <v>395</v>
      </c>
      <c r="C574" s="52" t="s">
        <v>817</v>
      </c>
      <c r="D574" s="52" t="s">
        <v>818</v>
      </c>
      <c r="E574" s="52" t="s">
        <v>947</v>
      </c>
      <c r="F574" s="52" t="s">
        <v>101</v>
      </c>
      <c r="G574" s="52" t="s">
        <v>839</v>
      </c>
      <c r="H574" s="52" t="n">
        <v>1</v>
      </c>
    </row>
    <row r="575" customFormat="false" ht="15" hidden="false" customHeight="true" outlineLevel="0" collapsed="false">
      <c r="A575" s="52" t="n">
        <v>574</v>
      </c>
      <c r="B575" s="52" t="s">
        <v>395</v>
      </c>
      <c r="C575" s="52" t="s">
        <v>817</v>
      </c>
      <c r="D575" s="52" t="s">
        <v>818</v>
      </c>
      <c r="E575" s="52" t="s">
        <v>947</v>
      </c>
      <c r="F575" s="52" t="s">
        <v>101</v>
      </c>
      <c r="G575" s="52" t="s">
        <v>964</v>
      </c>
      <c r="H575" s="52" t="n">
        <v>1</v>
      </c>
    </row>
    <row r="576" customFormat="false" ht="15" hidden="false" customHeight="true" outlineLevel="0" collapsed="false">
      <c r="A576" s="52" t="n">
        <v>575</v>
      </c>
      <c r="B576" s="52" t="s">
        <v>395</v>
      </c>
      <c r="C576" s="52" t="s">
        <v>817</v>
      </c>
      <c r="D576" s="52" t="s">
        <v>818</v>
      </c>
      <c r="E576" s="52" t="s">
        <v>947</v>
      </c>
      <c r="F576" s="52" t="s">
        <v>101</v>
      </c>
      <c r="G576" s="52" t="s">
        <v>179</v>
      </c>
      <c r="H576" s="52" t="n">
        <v>1</v>
      </c>
    </row>
    <row r="577" customFormat="false" ht="15" hidden="false" customHeight="true" outlineLevel="0" collapsed="false">
      <c r="A577" s="52" t="n">
        <v>576</v>
      </c>
      <c r="B577" s="52" t="s">
        <v>395</v>
      </c>
      <c r="C577" s="52" t="s">
        <v>817</v>
      </c>
      <c r="D577" s="52" t="s">
        <v>818</v>
      </c>
      <c r="E577" s="52" t="s">
        <v>947</v>
      </c>
      <c r="F577" s="52" t="s">
        <v>101</v>
      </c>
      <c r="G577" s="52" t="s">
        <v>965</v>
      </c>
      <c r="H577" s="52" t="n">
        <v>1</v>
      </c>
    </row>
    <row r="578" customFormat="false" ht="15" hidden="false" customHeight="true" outlineLevel="0" collapsed="false">
      <c r="A578" s="52" t="n">
        <v>577</v>
      </c>
      <c r="B578" s="52" t="s">
        <v>395</v>
      </c>
      <c r="C578" s="52" t="s">
        <v>817</v>
      </c>
      <c r="D578" s="52" t="s">
        <v>818</v>
      </c>
      <c r="E578" s="52" t="s">
        <v>947</v>
      </c>
      <c r="F578" s="52" t="s">
        <v>101</v>
      </c>
      <c r="G578" s="52" t="s">
        <v>966</v>
      </c>
      <c r="H578" s="52" t="n">
        <v>1</v>
      </c>
    </row>
    <row r="579" customFormat="false" ht="15" hidden="false" customHeight="true" outlineLevel="0" collapsed="false">
      <c r="A579" s="52" t="n">
        <v>578</v>
      </c>
      <c r="B579" s="52" t="s">
        <v>395</v>
      </c>
      <c r="C579" s="52" t="s">
        <v>817</v>
      </c>
      <c r="D579" s="52" t="s">
        <v>818</v>
      </c>
      <c r="E579" s="52" t="s">
        <v>947</v>
      </c>
      <c r="F579" s="52" t="s">
        <v>101</v>
      </c>
      <c r="G579" s="52" t="s">
        <v>967</v>
      </c>
      <c r="H579" s="52" t="n">
        <v>1</v>
      </c>
    </row>
    <row r="580" customFormat="false" ht="15" hidden="false" customHeight="true" outlineLevel="0" collapsed="false">
      <c r="A580" s="52" t="n">
        <v>579</v>
      </c>
      <c r="B580" s="52" t="s">
        <v>395</v>
      </c>
      <c r="C580" s="52" t="s">
        <v>817</v>
      </c>
      <c r="D580" s="52" t="s">
        <v>818</v>
      </c>
      <c r="E580" s="52" t="s">
        <v>947</v>
      </c>
      <c r="F580" s="52" t="s">
        <v>86</v>
      </c>
      <c r="G580" s="52" t="s">
        <v>158</v>
      </c>
      <c r="H580" s="52" t="n">
        <v>1</v>
      </c>
    </row>
    <row r="581" customFormat="false" ht="15" hidden="false" customHeight="true" outlineLevel="0" collapsed="false">
      <c r="A581" s="52" t="n">
        <v>580</v>
      </c>
      <c r="B581" s="52" t="s">
        <v>395</v>
      </c>
      <c r="C581" s="52" t="s">
        <v>817</v>
      </c>
      <c r="D581" s="52" t="s">
        <v>818</v>
      </c>
      <c r="E581" s="52" t="s">
        <v>947</v>
      </c>
      <c r="F581" s="52" t="s">
        <v>86</v>
      </c>
      <c r="G581" s="52" t="s">
        <v>968</v>
      </c>
      <c r="H581" s="52" t="n">
        <v>1</v>
      </c>
    </row>
    <row r="582" customFormat="false" ht="15" hidden="false" customHeight="true" outlineLevel="0" collapsed="false">
      <c r="A582" s="52" t="n">
        <v>581</v>
      </c>
      <c r="B582" s="52" t="s">
        <v>395</v>
      </c>
      <c r="C582" s="52" t="s">
        <v>817</v>
      </c>
      <c r="D582" s="52" t="s">
        <v>818</v>
      </c>
      <c r="E582" s="52" t="s">
        <v>947</v>
      </c>
      <c r="F582" s="52" t="s">
        <v>86</v>
      </c>
      <c r="G582" s="52" t="s">
        <v>172</v>
      </c>
      <c r="H582" s="52" t="n">
        <v>1</v>
      </c>
    </row>
    <row r="583" customFormat="false" ht="15" hidden="false" customHeight="true" outlineLevel="0" collapsed="false">
      <c r="A583" s="52" t="n">
        <v>582</v>
      </c>
      <c r="B583" s="52" t="s">
        <v>395</v>
      </c>
      <c r="C583" s="52" t="s">
        <v>817</v>
      </c>
      <c r="D583" s="52" t="s">
        <v>818</v>
      </c>
      <c r="E583" s="52" t="s">
        <v>947</v>
      </c>
      <c r="F583" s="52" t="s">
        <v>86</v>
      </c>
      <c r="G583" s="52" t="s">
        <v>969</v>
      </c>
      <c r="H583" s="52" t="n">
        <v>1</v>
      </c>
    </row>
    <row r="584" customFormat="false" ht="15" hidden="false" customHeight="true" outlineLevel="0" collapsed="false">
      <c r="A584" s="52" t="n">
        <v>583</v>
      </c>
      <c r="B584" s="52" t="s">
        <v>395</v>
      </c>
      <c r="C584" s="52" t="s">
        <v>817</v>
      </c>
      <c r="D584" s="52" t="s">
        <v>818</v>
      </c>
      <c r="E584" s="52" t="s">
        <v>947</v>
      </c>
      <c r="F584" s="52" t="s">
        <v>86</v>
      </c>
      <c r="G584" s="52" t="s">
        <v>970</v>
      </c>
      <c r="H584" s="52" t="n">
        <v>1</v>
      </c>
    </row>
    <row r="585" customFormat="false" ht="15" hidden="false" customHeight="true" outlineLevel="0" collapsed="false">
      <c r="A585" s="52" t="n">
        <v>584</v>
      </c>
      <c r="B585" s="52" t="s">
        <v>395</v>
      </c>
      <c r="C585" s="52" t="s">
        <v>817</v>
      </c>
      <c r="D585" s="52" t="s">
        <v>818</v>
      </c>
      <c r="E585" s="52" t="s">
        <v>947</v>
      </c>
      <c r="F585" s="52" t="s">
        <v>86</v>
      </c>
      <c r="G585" s="52" t="s">
        <v>971</v>
      </c>
      <c r="H585" s="52" t="n">
        <v>1</v>
      </c>
    </row>
    <row r="586" customFormat="false" ht="15" hidden="false" customHeight="true" outlineLevel="0" collapsed="false">
      <c r="A586" s="52" t="n">
        <v>585</v>
      </c>
      <c r="B586" s="52" t="s">
        <v>395</v>
      </c>
      <c r="C586" s="52" t="s">
        <v>817</v>
      </c>
      <c r="D586" s="52" t="s">
        <v>818</v>
      </c>
      <c r="E586" s="52" t="s">
        <v>947</v>
      </c>
      <c r="F586" s="52" t="s">
        <v>86</v>
      </c>
      <c r="G586" s="52" t="s">
        <v>165</v>
      </c>
      <c r="H586" s="52" t="n">
        <v>1</v>
      </c>
    </row>
    <row r="587" customFormat="false" ht="15" hidden="false" customHeight="true" outlineLevel="0" collapsed="false">
      <c r="A587" s="52" t="n">
        <v>586</v>
      </c>
      <c r="B587" s="52" t="s">
        <v>395</v>
      </c>
      <c r="C587" s="52" t="s">
        <v>817</v>
      </c>
      <c r="D587" s="52" t="s">
        <v>818</v>
      </c>
      <c r="E587" s="52" t="s">
        <v>972</v>
      </c>
      <c r="F587" s="52" t="s">
        <v>331</v>
      </c>
      <c r="G587" s="52" t="s">
        <v>973</v>
      </c>
      <c r="H587" s="52" t="n">
        <v>1</v>
      </c>
    </row>
    <row r="588" customFormat="false" ht="15" hidden="false" customHeight="true" outlineLevel="0" collapsed="false">
      <c r="A588" s="52" t="n">
        <v>587</v>
      </c>
      <c r="B588" s="52" t="s">
        <v>395</v>
      </c>
      <c r="C588" s="52" t="s">
        <v>817</v>
      </c>
      <c r="D588" s="52" t="s">
        <v>818</v>
      </c>
      <c r="E588" s="52" t="s">
        <v>972</v>
      </c>
      <c r="F588" s="52" t="s">
        <v>74</v>
      </c>
      <c r="G588" s="52" t="s">
        <v>974</v>
      </c>
      <c r="H588" s="52" t="n">
        <v>1</v>
      </c>
    </row>
    <row r="589" customFormat="false" ht="15" hidden="false" customHeight="true" outlineLevel="0" collapsed="false">
      <c r="A589" s="52" t="n">
        <v>588</v>
      </c>
      <c r="B589" s="52" t="s">
        <v>395</v>
      </c>
      <c r="C589" s="52" t="s">
        <v>817</v>
      </c>
      <c r="D589" s="52" t="s">
        <v>818</v>
      </c>
      <c r="E589" s="52" t="s">
        <v>972</v>
      </c>
      <c r="F589" s="52" t="s">
        <v>36</v>
      </c>
      <c r="G589" s="52" t="s">
        <v>975</v>
      </c>
      <c r="H589" s="52" t="n">
        <v>1</v>
      </c>
    </row>
    <row r="590" customFormat="false" ht="15" hidden="false" customHeight="true" outlineLevel="0" collapsed="false">
      <c r="A590" s="52" t="n">
        <v>589</v>
      </c>
      <c r="B590" s="52" t="s">
        <v>395</v>
      </c>
      <c r="C590" s="52" t="s">
        <v>817</v>
      </c>
      <c r="D590" s="52" t="s">
        <v>818</v>
      </c>
      <c r="E590" s="52" t="s">
        <v>972</v>
      </c>
      <c r="F590" s="52" t="s">
        <v>259</v>
      </c>
      <c r="G590" s="52" t="s">
        <v>976</v>
      </c>
      <c r="H590" s="52" t="n">
        <v>1</v>
      </c>
    </row>
    <row r="591" customFormat="false" ht="15" hidden="false" customHeight="true" outlineLevel="0" collapsed="false">
      <c r="A591" s="52" t="n">
        <v>590</v>
      </c>
      <c r="B591" s="52" t="s">
        <v>395</v>
      </c>
      <c r="C591" s="52" t="s">
        <v>817</v>
      </c>
      <c r="D591" s="52" t="s">
        <v>818</v>
      </c>
      <c r="E591" s="52" t="s">
        <v>972</v>
      </c>
      <c r="F591" s="52" t="s">
        <v>52</v>
      </c>
      <c r="G591" s="52" t="s">
        <v>977</v>
      </c>
      <c r="H591" s="52" t="n">
        <v>1</v>
      </c>
    </row>
    <row r="592" customFormat="false" ht="15" hidden="false" customHeight="true" outlineLevel="0" collapsed="false">
      <c r="A592" s="52" t="n">
        <v>591</v>
      </c>
      <c r="B592" s="52" t="s">
        <v>395</v>
      </c>
      <c r="C592" s="52" t="s">
        <v>817</v>
      </c>
      <c r="D592" s="52" t="s">
        <v>818</v>
      </c>
      <c r="E592" s="52" t="s">
        <v>972</v>
      </c>
      <c r="F592" s="52" t="s">
        <v>52</v>
      </c>
      <c r="G592" s="52" t="s">
        <v>978</v>
      </c>
      <c r="H592" s="52" t="n">
        <v>1</v>
      </c>
    </row>
    <row r="593" customFormat="false" ht="15" hidden="false" customHeight="true" outlineLevel="0" collapsed="false">
      <c r="A593" s="52" t="n">
        <v>592</v>
      </c>
      <c r="B593" s="52" t="s">
        <v>395</v>
      </c>
      <c r="C593" s="52" t="s">
        <v>817</v>
      </c>
      <c r="D593" s="52" t="s">
        <v>818</v>
      </c>
      <c r="E593" s="52" t="s">
        <v>972</v>
      </c>
      <c r="F593" s="52" t="s">
        <v>21</v>
      </c>
      <c r="G593" s="52" t="s">
        <v>979</v>
      </c>
      <c r="H593" s="52" t="n">
        <v>1</v>
      </c>
    </row>
    <row r="594" customFormat="false" ht="15" hidden="false" customHeight="true" outlineLevel="0" collapsed="false">
      <c r="A594" s="52" t="n">
        <v>593</v>
      </c>
      <c r="B594" s="52" t="s">
        <v>395</v>
      </c>
      <c r="C594" s="52" t="s">
        <v>817</v>
      </c>
      <c r="D594" s="52" t="s">
        <v>818</v>
      </c>
      <c r="E594" s="52" t="s">
        <v>972</v>
      </c>
      <c r="F594" s="52" t="s">
        <v>21</v>
      </c>
      <c r="G594" s="52" t="s">
        <v>980</v>
      </c>
      <c r="H594" s="52" t="n">
        <v>1</v>
      </c>
    </row>
    <row r="595" customFormat="false" ht="15" hidden="false" customHeight="true" outlineLevel="0" collapsed="false">
      <c r="A595" s="52" t="n">
        <v>594</v>
      </c>
      <c r="B595" s="52" t="s">
        <v>395</v>
      </c>
      <c r="C595" s="52" t="s">
        <v>817</v>
      </c>
      <c r="D595" s="52" t="s">
        <v>818</v>
      </c>
      <c r="E595" s="52" t="s">
        <v>972</v>
      </c>
      <c r="F595" s="52" t="s">
        <v>21</v>
      </c>
      <c r="G595" s="52" t="s">
        <v>981</v>
      </c>
      <c r="H595" s="52" t="n">
        <v>1</v>
      </c>
    </row>
    <row r="596" customFormat="false" ht="15" hidden="false" customHeight="true" outlineLevel="0" collapsed="false">
      <c r="A596" s="52" t="n">
        <v>595</v>
      </c>
      <c r="B596" s="52" t="s">
        <v>395</v>
      </c>
      <c r="C596" s="52" t="s">
        <v>817</v>
      </c>
      <c r="D596" s="52" t="s">
        <v>818</v>
      </c>
      <c r="E596" s="52" t="s">
        <v>972</v>
      </c>
      <c r="F596" s="52" t="s">
        <v>123</v>
      </c>
      <c r="G596" s="52" t="s">
        <v>982</v>
      </c>
      <c r="H596" s="52" t="n">
        <v>1</v>
      </c>
    </row>
    <row r="597" customFormat="false" ht="15" hidden="false" customHeight="true" outlineLevel="0" collapsed="false">
      <c r="A597" s="52" t="n">
        <v>596</v>
      </c>
      <c r="B597" s="52" t="s">
        <v>395</v>
      </c>
      <c r="C597" s="52" t="s">
        <v>817</v>
      </c>
      <c r="D597" s="52" t="s">
        <v>818</v>
      </c>
      <c r="E597" s="52" t="s">
        <v>972</v>
      </c>
      <c r="F597" s="52" t="s">
        <v>123</v>
      </c>
      <c r="G597" s="52" t="s">
        <v>983</v>
      </c>
      <c r="H597" s="52" t="n">
        <v>1</v>
      </c>
    </row>
    <row r="598" customFormat="false" ht="15" hidden="false" customHeight="true" outlineLevel="0" collapsed="false">
      <c r="A598" s="52" t="n">
        <v>597</v>
      </c>
      <c r="B598" s="52" t="s">
        <v>395</v>
      </c>
      <c r="C598" s="52" t="s">
        <v>817</v>
      </c>
      <c r="D598" s="52" t="s">
        <v>818</v>
      </c>
      <c r="E598" s="52" t="s">
        <v>972</v>
      </c>
      <c r="F598" s="52" t="s">
        <v>13</v>
      </c>
      <c r="G598" s="52" t="s">
        <v>984</v>
      </c>
      <c r="H598" s="52" t="n">
        <v>1</v>
      </c>
    </row>
    <row r="599" customFormat="false" ht="15" hidden="false" customHeight="true" outlineLevel="0" collapsed="false">
      <c r="A599" s="52" t="n">
        <v>598</v>
      </c>
      <c r="B599" s="52" t="s">
        <v>395</v>
      </c>
      <c r="C599" s="52" t="s">
        <v>817</v>
      </c>
      <c r="D599" s="52" t="s">
        <v>818</v>
      </c>
      <c r="E599" s="52" t="s">
        <v>972</v>
      </c>
      <c r="F599" s="52" t="s">
        <v>13</v>
      </c>
      <c r="G599" s="52" t="s">
        <v>985</v>
      </c>
      <c r="H599" s="52" t="n">
        <v>1</v>
      </c>
    </row>
    <row r="600" customFormat="false" ht="15" hidden="false" customHeight="true" outlineLevel="0" collapsed="false">
      <c r="A600" s="52" t="n">
        <v>599</v>
      </c>
      <c r="B600" s="52" t="s">
        <v>395</v>
      </c>
      <c r="C600" s="52" t="s">
        <v>817</v>
      </c>
      <c r="D600" s="52" t="s">
        <v>818</v>
      </c>
      <c r="E600" s="52" t="s">
        <v>972</v>
      </c>
      <c r="F600" s="52" t="s">
        <v>101</v>
      </c>
      <c r="G600" s="52" t="s">
        <v>986</v>
      </c>
      <c r="H600" s="52" t="n">
        <v>1</v>
      </c>
    </row>
    <row r="601" customFormat="false" ht="15" hidden="false" customHeight="true" outlineLevel="0" collapsed="false">
      <c r="A601" s="52" t="n">
        <v>600</v>
      </c>
      <c r="B601" s="52" t="s">
        <v>395</v>
      </c>
      <c r="C601" s="52" t="s">
        <v>817</v>
      </c>
      <c r="D601" s="52" t="s">
        <v>818</v>
      </c>
      <c r="E601" s="52" t="s">
        <v>972</v>
      </c>
      <c r="F601" s="52" t="s">
        <v>101</v>
      </c>
      <c r="G601" s="52" t="s">
        <v>987</v>
      </c>
      <c r="H601" s="52" t="n">
        <v>1</v>
      </c>
    </row>
    <row r="602" customFormat="false" ht="15" hidden="false" customHeight="true" outlineLevel="0" collapsed="false">
      <c r="A602" s="52" t="n">
        <v>601</v>
      </c>
      <c r="B602" s="52" t="s">
        <v>395</v>
      </c>
      <c r="C602" s="52" t="s">
        <v>817</v>
      </c>
      <c r="D602" s="52" t="s">
        <v>818</v>
      </c>
      <c r="E602" s="52" t="s">
        <v>972</v>
      </c>
      <c r="F602" s="52" t="s">
        <v>86</v>
      </c>
      <c r="G602" s="52" t="s">
        <v>442</v>
      </c>
      <c r="H602" s="52" t="n">
        <v>0</v>
      </c>
    </row>
    <row r="603" customFormat="false" ht="15" hidden="false" customHeight="true" outlineLevel="0" collapsed="false">
      <c r="A603" s="52" t="n">
        <v>602</v>
      </c>
      <c r="B603" s="52" t="s">
        <v>395</v>
      </c>
      <c r="C603" s="52" t="s">
        <v>817</v>
      </c>
      <c r="D603" s="52" t="s">
        <v>818</v>
      </c>
      <c r="E603" s="52" t="s">
        <v>988</v>
      </c>
      <c r="F603" s="52" t="s">
        <v>331</v>
      </c>
      <c r="G603" s="52" t="s">
        <v>989</v>
      </c>
      <c r="H603" s="52" t="n">
        <v>1</v>
      </c>
    </row>
    <row r="604" customFormat="false" ht="15" hidden="false" customHeight="true" outlineLevel="0" collapsed="false">
      <c r="A604" s="52" t="n">
        <v>603</v>
      </c>
      <c r="B604" s="52" t="s">
        <v>395</v>
      </c>
      <c r="C604" s="52" t="s">
        <v>817</v>
      </c>
      <c r="D604" s="52" t="s">
        <v>818</v>
      </c>
      <c r="E604" s="52" t="s">
        <v>988</v>
      </c>
      <c r="F604" s="52" t="s">
        <v>74</v>
      </c>
      <c r="G604" s="52" t="s">
        <v>990</v>
      </c>
      <c r="H604" s="52" t="n">
        <v>1</v>
      </c>
    </row>
    <row r="605" customFormat="false" ht="15" hidden="false" customHeight="true" outlineLevel="0" collapsed="false">
      <c r="A605" s="52" t="n">
        <v>604</v>
      </c>
      <c r="B605" s="52" t="s">
        <v>395</v>
      </c>
      <c r="C605" s="52" t="s">
        <v>817</v>
      </c>
      <c r="D605" s="52" t="s">
        <v>818</v>
      </c>
      <c r="E605" s="52" t="s">
        <v>988</v>
      </c>
      <c r="F605" s="52" t="s">
        <v>259</v>
      </c>
      <c r="G605" s="52" t="s">
        <v>991</v>
      </c>
      <c r="H605" s="52" t="n">
        <v>1</v>
      </c>
    </row>
    <row r="606" customFormat="false" ht="15" hidden="false" customHeight="true" outlineLevel="0" collapsed="false">
      <c r="A606" s="52" t="n">
        <v>605</v>
      </c>
      <c r="B606" s="52" t="s">
        <v>395</v>
      </c>
      <c r="C606" s="52" t="s">
        <v>817</v>
      </c>
      <c r="D606" s="52" t="s">
        <v>818</v>
      </c>
      <c r="E606" s="52" t="s">
        <v>988</v>
      </c>
      <c r="F606" s="52" t="s">
        <v>259</v>
      </c>
      <c r="G606" s="52" t="s">
        <v>992</v>
      </c>
      <c r="H606" s="52" t="n">
        <v>1</v>
      </c>
    </row>
    <row r="607" customFormat="false" ht="15" hidden="false" customHeight="true" outlineLevel="0" collapsed="false">
      <c r="A607" s="52" t="n">
        <v>606</v>
      </c>
      <c r="B607" s="52" t="s">
        <v>395</v>
      </c>
      <c r="C607" s="52" t="s">
        <v>817</v>
      </c>
      <c r="D607" s="52" t="s">
        <v>818</v>
      </c>
      <c r="E607" s="52" t="s">
        <v>988</v>
      </c>
      <c r="F607" s="52" t="s">
        <v>52</v>
      </c>
      <c r="G607" s="52" t="s">
        <v>993</v>
      </c>
      <c r="H607" s="52" t="n">
        <v>1</v>
      </c>
    </row>
    <row r="608" customFormat="false" ht="15" hidden="false" customHeight="true" outlineLevel="0" collapsed="false">
      <c r="A608" s="52" t="n">
        <v>607</v>
      </c>
      <c r="B608" s="52" t="s">
        <v>395</v>
      </c>
      <c r="C608" s="52" t="s">
        <v>817</v>
      </c>
      <c r="D608" s="52" t="s">
        <v>818</v>
      </c>
      <c r="E608" s="52" t="s">
        <v>988</v>
      </c>
      <c r="F608" s="52" t="s">
        <v>52</v>
      </c>
      <c r="G608" s="52" t="s">
        <v>994</v>
      </c>
      <c r="H608" s="52" t="n">
        <v>1</v>
      </c>
    </row>
    <row r="609" customFormat="false" ht="15" hidden="false" customHeight="true" outlineLevel="0" collapsed="false">
      <c r="A609" s="52" t="n">
        <v>608</v>
      </c>
      <c r="B609" s="52" t="s">
        <v>395</v>
      </c>
      <c r="C609" s="52" t="s">
        <v>817</v>
      </c>
      <c r="D609" s="52" t="s">
        <v>818</v>
      </c>
      <c r="E609" s="52" t="s">
        <v>988</v>
      </c>
      <c r="F609" s="52" t="s">
        <v>21</v>
      </c>
      <c r="G609" s="52" t="s">
        <v>995</v>
      </c>
      <c r="H609" s="52" t="n">
        <v>1</v>
      </c>
    </row>
    <row r="610" customFormat="false" ht="15" hidden="false" customHeight="true" outlineLevel="0" collapsed="false">
      <c r="A610" s="52" t="n">
        <v>609</v>
      </c>
      <c r="B610" s="52" t="s">
        <v>395</v>
      </c>
      <c r="C610" s="52" t="s">
        <v>817</v>
      </c>
      <c r="D610" s="52" t="s">
        <v>818</v>
      </c>
      <c r="E610" s="52" t="s">
        <v>988</v>
      </c>
      <c r="F610" s="52" t="s">
        <v>21</v>
      </c>
      <c r="G610" s="52" t="s">
        <v>996</v>
      </c>
      <c r="H610" s="52" t="n">
        <v>1</v>
      </c>
    </row>
    <row r="611" customFormat="false" ht="15" hidden="false" customHeight="true" outlineLevel="0" collapsed="false">
      <c r="A611" s="52" t="n">
        <v>610</v>
      </c>
      <c r="B611" s="52" t="s">
        <v>395</v>
      </c>
      <c r="C611" s="52" t="s">
        <v>817</v>
      </c>
      <c r="D611" s="52" t="s">
        <v>818</v>
      </c>
      <c r="E611" s="52" t="s">
        <v>988</v>
      </c>
      <c r="F611" s="52" t="s">
        <v>123</v>
      </c>
      <c r="G611" s="52" t="s">
        <v>997</v>
      </c>
      <c r="H611" s="52" t="n">
        <v>1</v>
      </c>
    </row>
    <row r="612" customFormat="false" ht="15" hidden="false" customHeight="true" outlineLevel="0" collapsed="false">
      <c r="A612" s="52" t="n">
        <v>611</v>
      </c>
      <c r="B612" s="52" t="s">
        <v>395</v>
      </c>
      <c r="C612" s="52" t="s">
        <v>817</v>
      </c>
      <c r="D612" s="52" t="s">
        <v>818</v>
      </c>
      <c r="E612" s="52" t="s">
        <v>988</v>
      </c>
      <c r="F612" s="52" t="s">
        <v>13</v>
      </c>
      <c r="G612" s="52" t="s">
        <v>998</v>
      </c>
      <c r="H612" s="52" t="n">
        <v>1</v>
      </c>
    </row>
    <row r="613" customFormat="false" ht="15" hidden="false" customHeight="true" outlineLevel="0" collapsed="false">
      <c r="A613" s="52" t="n">
        <v>612</v>
      </c>
      <c r="B613" s="52" t="s">
        <v>395</v>
      </c>
      <c r="C613" s="52" t="s">
        <v>817</v>
      </c>
      <c r="D613" s="52" t="s">
        <v>818</v>
      </c>
      <c r="E613" s="52" t="s">
        <v>988</v>
      </c>
      <c r="F613" s="52" t="s">
        <v>13</v>
      </c>
      <c r="G613" s="52" t="s">
        <v>999</v>
      </c>
      <c r="H613" s="52" t="n">
        <v>1</v>
      </c>
    </row>
    <row r="614" customFormat="false" ht="15" hidden="false" customHeight="true" outlineLevel="0" collapsed="false">
      <c r="A614" s="52" t="n">
        <v>613</v>
      </c>
      <c r="B614" s="52" t="s">
        <v>395</v>
      </c>
      <c r="C614" s="52" t="s">
        <v>817</v>
      </c>
      <c r="D614" s="52" t="s">
        <v>818</v>
      </c>
      <c r="E614" s="52" t="s">
        <v>988</v>
      </c>
      <c r="F614" s="52" t="s">
        <v>101</v>
      </c>
      <c r="G614" s="52" t="s">
        <v>442</v>
      </c>
      <c r="H614" s="52" t="n">
        <v>0</v>
      </c>
    </row>
    <row r="615" customFormat="false" ht="15" hidden="false" customHeight="true" outlineLevel="0" collapsed="false">
      <c r="A615" s="52" t="n">
        <v>614</v>
      </c>
      <c r="B615" s="52" t="s">
        <v>395</v>
      </c>
      <c r="C615" s="52" t="s">
        <v>817</v>
      </c>
      <c r="D615" s="52" t="s">
        <v>818</v>
      </c>
      <c r="E615" s="52" t="s">
        <v>988</v>
      </c>
      <c r="F615" s="52" t="s">
        <v>86</v>
      </c>
      <c r="G615" s="52" t="s">
        <v>442</v>
      </c>
      <c r="H615" s="52" t="n">
        <v>0</v>
      </c>
    </row>
    <row r="616" customFormat="false" ht="15" hidden="false" customHeight="true" outlineLevel="0" collapsed="false">
      <c r="A616" s="52" t="n">
        <v>615</v>
      </c>
      <c r="B616" s="52" t="s">
        <v>395</v>
      </c>
      <c r="C616" s="52" t="s">
        <v>817</v>
      </c>
      <c r="D616" s="52" t="s">
        <v>1000</v>
      </c>
      <c r="E616" s="52" t="s">
        <v>1001</v>
      </c>
      <c r="F616" s="52" t="s">
        <v>331</v>
      </c>
      <c r="G616" s="52" t="s">
        <v>1002</v>
      </c>
      <c r="H616" s="52" t="n">
        <v>1</v>
      </c>
    </row>
    <row r="617" customFormat="false" ht="15" hidden="false" customHeight="true" outlineLevel="0" collapsed="false">
      <c r="A617" s="52" t="n">
        <v>616</v>
      </c>
      <c r="B617" s="52" t="s">
        <v>395</v>
      </c>
      <c r="C617" s="52" t="s">
        <v>817</v>
      </c>
      <c r="D617" s="52" t="s">
        <v>1000</v>
      </c>
      <c r="E617" s="52" t="s">
        <v>1001</v>
      </c>
      <c r="F617" s="52" t="s">
        <v>74</v>
      </c>
      <c r="G617" s="52" t="s">
        <v>1003</v>
      </c>
      <c r="H617" s="52" t="n">
        <v>1</v>
      </c>
    </row>
    <row r="618" customFormat="false" ht="15" hidden="false" customHeight="true" outlineLevel="0" collapsed="false">
      <c r="A618" s="52" t="n">
        <v>617</v>
      </c>
      <c r="B618" s="52" t="s">
        <v>395</v>
      </c>
      <c r="C618" s="52" t="s">
        <v>817</v>
      </c>
      <c r="D618" s="52" t="s">
        <v>1000</v>
      </c>
      <c r="E618" s="52" t="s">
        <v>1001</v>
      </c>
      <c r="F618" s="52" t="s">
        <v>259</v>
      </c>
      <c r="G618" s="52" t="s">
        <v>1004</v>
      </c>
      <c r="H618" s="52" t="n">
        <v>1</v>
      </c>
    </row>
    <row r="619" customFormat="false" ht="15" hidden="false" customHeight="true" outlineLevel="0" collapsed="false">
      <c r="A619" s="52" t="n">
        <v>618</v>
      </c>
      <c r="B619" s="52" t="s">
        <v>395</v>
      </c>
      <c r="C619" s="52" t="s">
        <v>817</v>
      </c>
      <c r="D619" s="52" t="s">
        <v>1000</v>
      </c>
      <c r="E619" s="52" t="s">
        <v>1001</v>
      </c>
      <c r="F619" s="52" t="s">
        <v>52</v>
      </c>
      <c r="G619" s="52" t="s">
        <v>1005</v>
      </c>
      <c r="H619" s="52" t="n">
        <v>1</v>
      </c>
    </row>
    <row r="620" customFormat="false" ht="15" hidden="false" customHeight="true" outlineLevel="0" collapsed="false">
      <c r="A620" s="52" t="n">
        <v>619</v>
      </c>
      <c r="B620" s="52" t="s">
        <v>395</v>
      </c>
      <c r="C620" s="52" t="s">
        <v>817</v>
      </c>
      <c r="D620" s="52" t="s">
        <v>1000</v>
      </c>
      <c r="E620" s="52" t="s">
        <v>1001</v>
      </c>
      <c r="F620" s="52" t="s">
        <v>21</v>
      </c>
      <c r="G620" s="52" t="s">
        <v>1006</v>
      </c>
      <c r="H620" s="52" t="n">
        <v>1</v>
      </c>
    </row>
    <row r="621" customFormat="false" ht="15" hidden="false" customHeight="true" outlineLevel="0" collapsed="false">
      <c r="A621" s="52" t="n">
        <v>620</v>
      </c>
      <c r="B621" s="52" t="s">
        <v>395</v>
      </c>
      <c r="C621" s="52" t="s">
        <v>817</v>
      </c>
      <c r="D621" s="52" t="s">
        <v>1000</v>
      </c>
      <c r="E621" s="52" t="s">
        <v>1001</v>
      </c>
      <c r="F621" s="52" t="s">
        <v>13</v>
      </c>
      <c r="G621" s="52" t="s">
        <v>1007</v>
      </c>
      <c r="H621" s="52" t="n">
        <v>1</v>
      </c>
    </row>
    <row r="622" customFormat="false" ht="15" hidden="false" customHeight="true" outlineLevel="0" collapsed="false">
      <c r="A622" s="52" t="n">
        <v>621</v>
      </c>
      <c r="B622" s="52" t="s">
        <v>395</v>
      </c>
      <c r="C622" s="52" t="s">
        <v>817</v>
      </c>
      <c r="D622" s="52" t="s">
        <v>1000</v>
      </c>
      <c r="E622" s="52" t="s">
        <v>1001</v>
      </c>
      <c r="F622" s="52" t="s">
        <v>101</v>
      </c>
      <c r="G622" s="52" t="s">
        <v>1008</v>
      </c>
      <c r="H622" s="52" t="n">
        <v>1</v>
      </c>
    </row>
    <row r="623" customFormat="false" ht="15" hidden="false" customHeight="true" outlineLevel="0" collapsed="false">
      <c r="A623" s="52" t="n">
        <v>622</v>
      </c>
      <c r="B623" s="52" t="s">
        <v>395</v>
      </c>
      <c r="C623" s="52" t="s">
        <v>817</v>
      </c>
      <c r="D623" s="52" t="s">
        <v>1000</v>
      </c>
      <c r="E623" s="52" t="s">
        <v>1001</v>
      </c>
      <c r="F623" s="52" t="s">
        <v>86</v>
      </c>
      <c r="G623" s="52" t="s">
        <v>1009</v>
      </c>
      <c r="H623" s="52" t="n">
        <v>1</v>
      </c>
    </row>
    <row r="624" customFormat="false" ht="15" hidden="false" customHeight="true" outlineLevel="0" collapsed="false">
      <c r="A624" s="52" t="n">
        <v>623</v>
      </c>
      <c r="B624" s="52" t="s">
        <v>395</v>
      </c>
      <c r="C624" s="52" t="s">
        <v>817</v>
      </c>
      <c r="D624" s="52" t="s">
        <v>1000</v>
      </c>
      <c r="E624" s="52" t="s">
        <v>1010</v>
      </c>
      <c r="F624" s="52" t="s">
        <v>331</v>
      </c>
      <c r="G624" s="52" t="s">
        <v>1011</v>
      </c>
      <c r="H624" s="52" t="n">
        <v>1</v>
      </c>
    </row>
    <row r="625" customFormat="false" ht="15" hidden="false" customHeight="true" outlineLevel="0" collapsed="false">
      <c r="A625" s="52" t="n">
        <v>624</v>
      </c>
      <c r="B625" s="52" t="s">
        <v>395</v>
      </c>
      <c r="C625" s="52" t="s">
        <v>817</v>
      </c>
      <c r="D625" s="52" t="s">
        <v>1000</v>
      </c>
      <c r="E625" s="52" t="s">
        <v>1010</v>
      </c>
      <c r="F625" s="52" t="s">
        <v>74</v>
      </c>
      <c r="G625" s="52" t="s">
        <v>1012</v>
      </c>
      <c r="H625" s="52" t="n">
        <v>1</v>
      </c>
    </row>
    <row r="626" customFormat="false" ht="15" hidden="false" customHeight="true" outlineLevel="0" collapsed="false">
      <c r="A626" s="52" t="n">
        <v>625</v>
      </c>
      <c r="B626" s="52" t="s">
        <v>395</v>
      </c>
      <c r="C626" s="52" t="s">
        <v>817</v>
      </c>
      <c r="D626" s="52" t="s">
        <v>1000</v>
      </c>
      <c r="E626" s="52" t="s">
        <v>1010</v>
      </c>
      <c r="F626" s="52" t="s">
        <v>74</v>
      </c>
      <c r="G626" s="52" t="s">
        <v>75</v>
      </c>
      <c r="H626" s="52" t="n">
        <v>1</v>
      </c>
    </row>
    <row r="627" customFormat="false" ht="15" hidden="false" customHeight="true" outlineLevel="0" collapsed="false">
      <c r="A627" s="52" t="n">
        <v>626</v>
      </c>
      <c r="B627" s="52" t="s">
        <v>395</v>
      </c>
      <c r="C627" s="52" t="s">
        <v>817</v>
      </c>
      <c r="D627" s="52" t="s">
        <v>1000</v>
      </c>
      <c r="E627" s="52" t="s">
        <v>1010</v>
      </c>
      <c r="F627" s="52" t="s">
        <v>36</v>
      </c>
      <c r="G627" s="52" t="s">
        <v>1013</v>
      </c>
      <c r="H627" s="52" t="n">
        <v>1</v>
      </c>
    </row>
    <row r="628" customFormat="false" ht="15" hidden="false" customHeight="true" outlineLevel="0" collapsed="false">
      <c r="A628" s="52" t="n">
        <v>627</v>
      </c>
      <c r="B628" s="52" t="s">
        <v>395</v>
      </c>
      <c r="C628" s="52" t="s">
        <v>817</v>
      </c>
      <c r="D628" s="52" t="s">
        <v>1000</v>
      </c>
      <c r="E628" s="52" t="s">
        <v>1010</v>
      </c>
      <c r="F628" s="52" t="s">
        <v>36</v>
      </c>
      <c r="G628" s="52" t="s">
        <v>1014</v>
      </c>
      <c r="H628" s="52" t="n">
        <v>1</v>
      </c>
    </row>
    <row r="629" customFormat="false" ht="15" hidden="false" customHeight="true" outlineLevel="0" collapsed="false">
      <c r="A629" s="52" t="n">
        <v>628</v>
      </c>
      <c r="B629" s="52" t="s">
        <v>395</v>
      </c>
      <c r="C629" s="52" t="s">
        <v>817</v>
      </c>
      <c r="D629" s="52" t="s">
        <v>1000</v>
      </c>
      <c r="E629" s="52" t="s">
        <v>1010</v>
      </c>
      <c r="F629" s="52" t="s">
        <v>36</v>
      </c>
      <c r="G629" s="52" t="s">
        <v>67</v>
      </c>
      <c r="H629" s="52" t="n">
        <v>1</v>
      </c>
    </row>
    <row r="630" customFormat="false" ht="15" hidden="false" customHeight="true" outlineLevel="0" collapsed="false">
      <c r="A630" s="52" t="n">
        <v>629</v>
      </c>
      <c r="B630" s="52" t="s">
        <v>395</v>
      </c>
      <c r="C630" s="52" t="s">
        <v>817</v>
      </c>
      <c r="D630" s="52" t="s">
        <v>1000</v>
      </c>
      <c r="E630" s="52" t="s">
        <v>1010</v>
      </c>
      <c r="F630" s="52" t="s">
        <v>36</v>
      </c>
      <c r="G630" s="52" t="s">
        <v>60</v>
      </c>
      <c r="H630" s="52" t="n">
        <v>1</v>
      </c>
    </row>
    <row r="631" customFormat="false" ht="15" hidden="false" customHeight="true" outlineLevel="0" collapsed="false">
      <c r="A631" s="52" t="n">
        <v>630</v>
      </c>
      <c r="B631" s="52" t="s">
        <v>395</v>
      </c>
      <c r="C631" s="52" t="s">
        <v>817</v>
      </c>
      <c r="D631" s="52" t="s">
        <v>1000</v>
      </c>
      <c r="E631" s="52" t="s">
        <v>1010</v>
      </c>
      <c r="F631" s="52" t="s">
        <v>259</v>
      </c>
      <c r="G631" s="52" t="s">
        <v>1015</v>
      </c>
      <c r="H631" s="52" t="n">
        <v>1</v>
      </c>
    </row>
    <row r="632" customFormat="false" ht="15" hidden="false" customHeight="true" outlineLevel="0" collapsed="false">
      <c r="A632" s="52" t="n">
        <v>631</v>
      </c>
      <c r="B632" s="52" t="s">
        <v>395</v>
      </c>
      <c r="C632" s="52" t="s">
        <v>817</v>
      </c>
      <c r="D632" s="52" t="s">
        <v>1000</v>
      </c>
      <c r="E632" s="52" t="s">
        <v>1010</v>
      </c>
      <c r="F632" s="52" t="s">
        <v>259</v>
      </c>
      <c r="G632" s="52" t="s">
        <v>1016</v>
      </c>
      <c r="H632" s="52" t="n">
        <v>1</v>
      </c>
    </row>
    <row r="633" customFormat="false" ht="15" hidden="false" customHeight="true" outlineLevel="0" collapsed="false">
      <c r="A633" s="52" t="n">
        <v>632</v>
      </c>
      <c r="B633" s="52" t="s">
        <v>395</v>
      </c>
      <c r="C633" s="52" t="s">
        <v>817</v>
      </c>
      <c r="D633" s="52" t="s">
        <v>1000</v>
      </c>
      <c r="E633" s="52" t="s">
        <v>1010</v>
      </c>
      <c r="F633" s="52" t="s">
        <v>259</v>
      </c>
      <c r="G633" s="52" t="s">
        <v>1017</v>
      </c>
      <c r="H633" s="52" t="n">
        <v>1</v>
      </c>
    </row>
    <row r="634" customFormat="false" ht="15" hidden="false" customHeight="true" outlineLevel="0" collapsed="false">
      <c r="A634" s="52" t="n">
        <v>633</v>
      </c>
      <c r="B634" s="52" t="s">
        <v>395</v>
      </c>
      <c r="C634" s="52" t="s">
        <v>817</v>
      </c>
      <c r="D634" s="52" t="s">
        <v>1000</v>
      </c>
      <c r="E634" s="52" t="s">
        <v>1010</v>
      </c>
      <c r="F634" s="52" t="s">
        <v>259</v>
      </c>
      <c r="G634" s="52" t="s">
        <v>1018</v>
      </c>
      <c r="H634" s="52" t="n">
        <v>1</v>
      </c>
    </row>
    <row r="635" customFormat="false" ht="15" hidden="false" customHeight="true" outlineLevel="0" collapsed="false">
      <c r="A635" s="52" t="n">
        <v>634</v>
      </c>
      <c r="B635" s="52" t="s">
        <v>395</v>
      </c>
      <c r="C635" s="52" t="s">
        <v>817</v>
      </c>
      <c r="D635" s="52" t="s">
        <v>1000</v>
      </c>
      <c r="E635" s="52" t="s">
        <v>1010</v>
      </c>
      <c r="F635" s="52" t="s">
        <v>259</v>
      </c>
      <c r="G635" s="52" t="s">
        <v>1019</v>
      </c>
      <c r="H635" s="52" t="n">
        <v>1</v>
      </c>
    </row>
    <row r="636" customFormat="false" ht="15" hidden="false" customHeight="true" outlineLevel="0" collapsed="false">
      <c r="A636" s="52" t="n">
        <v>635</v>
      </c>
      <c r="B636" s="52" t="s">
        <v>395</v>
      </c>
      <c r="C636" s="52" t="s">
        <v>817</v>
      </c>
      <c r="D636" s="52" t="s">
        <v>1000</v>
      </c>
      <c r="E636" s="52" t="s">
        <v>1010</v>
      </c>
      <c r="F636" s="52" t="s">
        <v>52</v>
      </c>
      <c r="G636" s="52" t="s">
        <v>288</v>
      </c>
      <c r="H636" s="52" t="n">
        <v>1</v>
      </c>
    </row>
    <row r="637" customFormat="false" ht="15" hidden="false" customHeight="true" outlineLevel="0" collapsed="false">
      <c r="A637" s="52" t="n">
        <v>636</v>
      </c>
      <c r="B637" s="52" t="s">
        <v>395</v>
      </c>
      <c r="C637" s="52" t="s">
        <v>817</v>
      </c>
      <c r="D637" s="52" t="s">
        <v>1000</v>
      </c>
      <c r="E637" s="52" t="s">
        <v>1010</v>
      </c>
      <c r="F637" s="52" t="s">
        <v>52</v>
      </c>
      <c r="G637" s="52" t="s">
        <v>1020</v>
      </c>
      <c r="H637" s="52" t="n">
        <v>1</v>
      </c>
    </row>
    <row r="638" customFormat="false" ht="15" hidden="false" customHeight="true" outlineLevel="0" collapsed="false">
      <c r="A638" s="52" t="n">
        <v>637</v>
      </c>
      <c r="B638" s="52" t="s">
        <v>395</v>
      </c>
      <c r="C638" s="52" t="s">
        <v>817</v>
      </c>
      <c r="D638" s="52" t="s">
        <v>1000</v>
      </c>
      <c r="E638" s="52" t="s">
        <v>1010</v>
      </c>
      <c r="F638" s="52" t="s">
        <v>52</v>
      </c>
      <c r="G638" s="52" t="s">
        <v>1021</v>
      </c>
      <c r="H638" s="52" t="n">
        <v>1</v>
      </c>
    </row>
    <row r="639" customFormat="false" ht="15" hidden="false" customHeight="true" outlineLevel="0" collapsed="false">
      <c r="A639" s="52" t="n">
        <v>638</v>
      </c>
      <c r="B639" s="52" t="s">
        <v>395</v>
      </c>
      <c r="C639" s="52" t="s">
        <v>817</v>
      </c>
      <c r="D639" s="52" t="s">
        <v>1000</v>
      </c>
      <c r="E639" s="52" t="s">
        <v>1010</v>
      </c>
      <c r="F639" s="52" t="s">
        <v>52</v>
      </c>
      <c r="G639" s="52" t="s">
        <v>53</v>
      </c>
      <c r="H639" s="52" t="n">
        <v>1</v>
      </c>
    </row>
    <row r="640" customFormat="false" ht="15" hidden="false" customHeight="true" outlineLevel="0" collapsed="false">
      <c r="A640" s="52" t="n">
        <v>639</v>
      </c>
      <c r="B640" s="52" t="s">
        <v>395</v>
      </c>
      <c r="C640" s="52" t="s">
        <v>817</v>
      </c>
      <c r="D640" s="52" t="s">
        <v>1000</v>
      </c>
      <c r="E640" s="52" t="s">
        <v>1010</v>
      </c>
      <c r="F640" s="52" t="s">
        <v>21</v>
      </c>
      <c r="G640" s="52" t="s">
        <v>1022</v>
      </c>
      <c r="H640" s="52" t="n">
        <v>1</v>
      </c>
    </row>
    <row r="641" customFormat="false" ht="15" hidden="false" customHeight="true" outlineLevel="0" collapsed="false">
      <c r="A641" s="52" t="n">
        <v>640</v>
      </c>
      <c r="B641" s="52" t="s">
        <v>395</v>
      </c>
      <c r="C641" s="52" t="s">
        <v>817</v>
      </c>
      <c r="D641" s="52" t="s">
        <v>1000</v>
      </c>
      <c r="E641" s="52" t="s">
        <v>1010</v>
      </c>
      <c r="F641" s="52" t="s">
        <v>21</v>
      </c>
      <c r="G641" s="52" t="s">
        <v>1023</v>
      </c>
      <c r="H641" s="52" t="n">
        <v>1</v>
      </c>
    </row>
    <row r="642" customFormat="false" ht="15" hidden="false" customHeight="true" outlineLevel="0" collapsed="false">
      <c r="A642" s="52" t="n">
        <v>641</v>
      </c>
      <c r="B642" s="52" t="s">
        <v>395</v>
      </c>
      <c r="C642" s="52" t="s">
        <v>817</v>
      </c>
      <c r="D642" s="52" t="s">
        <v>1000</v>
      </c>
      <c r="E642" s="52" t="s">
        <v>1010</v>
      </c>
      <c r="F642" s="52" t="s">
        <v>21</v>
      </c>
      <c r="G642" s="52" t="s">
        <v>1024</v>
      </c>
      <c r="H642" s="52" t="n">
        <v>1</v>
      </c>
    </row>
    <row r="643" customFormat="false" ht="15" hidden="false" customHeight="true" outlineLevel="0" collapsed="false">
      <c r="A643" s="52" t="n">
        <v>642</v>
      </c>
      <c r="B643" s="52" t="s">
        <v>395</v>
      </c>
      <c r="C643" s="52" t="s">
        <v>817</v>
      </c>
      <c r="D643" s="52" t="s">
        <v>1000</v>
      </c>
      <c r="E643" s="52" t="s">
        <v>1010</v>
      </c>
      <c r="F643" s="52" t="s">
        <v>123</v>
      </c>
      <c r="G643" s="52" t="s">
        <v>221</v>
      </c>
      <c r="H643" s="52" t="n">
        <v>1</v>
      </c>
    </row>
    <row r="644" customFormat="false" ht="15" hidden="false" customHeight="true" outlineLevel="0" collapsed="false">
      <c r="A644" s="52" t="n">
        <v>643</v>
      </c>
      <c r="B644" s="52" t="s">
        <v>395</v>
      </c>
      <c r="C644" s="52" t="s">
        <v>817</v>
      </c>
      <c r="D644" s="52" t="s">
        <v>1000</v>
      </c>
      <c r="E644" s="52" t="s">
        <v>1010</v>
      </c>
      <c r="F644" s="52" t="s">
        <v>13</v>
      </c>
      <c r="G644" s="52" t="s">
        <v>214</v>
      </c>
      <c r="H644" s="52" t="n">
        <v>1</v>
      </c>
    </row>
    <row r="645" customFormat="false" ht="15" hidden="false" customHeight="true" outlineLevel="0" collapsed="false">
      <c r="A645" s="52" t="n">
        <v>644</v>
      </c>
      <c r="B645" s="52" t="s">
        <v>395</v>
      </c>
      <c r="C645" s="52" t="s">
        <v>817</v>
      </c>
      <c r="D645" s="52" t="s">
        <v>1000</v>
      </c>
      <c r="E645" s="52" t="s">
        <v>1010</v>
      </c>
      <c r="F645" s="52" t="s">
        <v>13</v>
      </c>
      <c r="G645" s="52" t="s">
        <v>1025</v>
      </c>
      <c r="H645" s="52" t="n">
        <v>1</v>
      </c>
    </row>
    <row r="646" customFormat="false" ht="15" hidden="false" customHeight="true" outlineLevel="0" collapsed="false">
      <c r="A646" s="52" t="n">
        <v>645</v>
      </c>
      <c r="B646" s="52" t="s">
        <v>395</v>
      </c>
      <c r="C646" s="52" t="s">
        <v>817</v>
      </c>
      <c r="D646" s="52" t="s">
        <v>1000</v>
      </c>
      <c r="E646" s="52" t="s">
        <v>1010</v>
      </c>
      <c r="F646" s="52" t="s">
        <v>13</v>
      </c>
      <c r="G646" s="52" t="s">
        <v>1026</v>
      </c>
      <c r="H646" s="52" t="n">
        <v>1</v>
      </c>
    </row>
    <row r="647" customFormat="false" ht="15" hidden="false" customHeight="true" outlineLevel="0" collapsed="false">
      <c r="A647" s="52" t="n">
        <v>646</v>
      </c>
      <c r="B647" s="52" t="s">
        <v>395</v>
      </c>
      <c r="C647" s="52" t="s">
        <v>817</v>
      </c>
      <c r="D647" s="52" t="s">
        <v>1000</v>
      </c>
      <c r="E647" s="52" t="s">
        <v>1010</v>
      </c>
      <c r="F647" s="52" t="s">
        <v>13</v>
      </c>
      <c r="G647" s="52" t="s">
        <v>1027</v>
      </c>
      <c r="H647" s="52" t="n">
        <v>1</v>
      </c>
    </row>
    <row r="648" customFormat="false" ht="15" hidden="false" customHeight="true" outlineLevel="0" collapsed="false">
      <c r="A648" s="52" t="n">
        <v>647</v>
      </c>
      <c r="B648" s="52" t="s">
        <v>395</v>
      </c>
      <c r="C648" s="52" t="s">
        <v>817</v>
      </c>
      <c r="D648" s="52" t="s">
        <v>1000</v>
      </c>
      <c r="E648" s="52" t="s">
        <v>1010</v>
      </c>
      <c r="F648" s="52" t="s">
        <v>101</v>
      </c>
      <c r="G648" s="52" t="s">
        <v>1028</v>
      </c>
      <c r="H648" s="52" t="n">
        <v>1</v>
      </c>
    </row>
    <row r="649" customFormat="false" ht="15" hidden="false" customHeight="true" outlineLevel="0" collapsed="false">
      <c r="A649" s="52" t="n">
        <v>648</v>
      </c>
      <c r="B649" s="52" t="s">
        <v>395</v>
      </c>
      <c r="C649" s="52" t="s">
        <v>817</v>
      </c>
      <c r="D649" s="52" t="s">
        <v>1000</v>
      </c>
      <c r="E649" s="52" t="s">
        <v>1010</v>
      </c>
      <c r="F649" s="52" t="s">
        <v>101</v>
      </c>
      <c r="G649" s="52" t="s">
        <v>138</v>
      </c>
      <c r="H649" s="52" t="n">
        <v>1</v>
      </c>
    </row>
    <row r="650" customFormat="false" ht="15" hidden="false" customHeight="true" outlineLevel="0" collapsed="false">
      <c r="A650" s="52" t="n">
        <v>649</v>
      </c>
      <c r="B650" s="52" t="s">
        <v>395</v>
      </c>
      <c r="C650" s="52" t="s">
        <v>817</v>
      </c>
      <c r="D650" s="52" t="s">
        <v>1000</v>
      </c>
      <c r="E650" s="52" t="s">
        <v>1010</v>
      </c>
      <c r="F650" s="52" t="s">
        <v>101</v>
      </c>
      <c r="G650" s="52" t="s">
        <v>1029</v>
      </c>
      <c r="H650" s="52" t="n">
        <v>1</v>
      </c>
    </row>
    <row r="651" customFormat="false" ht="15" hidden="false" customHeight="true" outlineLevel="0" collapsed="false">
      <c r="A651" s="52" t="n">
        <v>650</v>
      </c>
      <c r="B651" s="52" t="s">
        <v>395</v>
      </c>
      <c r="C651" s="52" t="s">
        <v>817</v>
      </c>
      <c r="D651" s="52" t="s">
        <v>1000</v>
      </c>
      <c r="E651" s="52" t="s">
        <v>1010</v>
      </c>
      <c r="F651" s="52" t="s">
        <v>86</v>
      </c>
      <c r="G651" s="52" t="s">
        <v>1030</v>
      </c>
      <c r="H651" s="52" t="n">
        <v>1</v>
      </c>
    </row>
    <row r="652" customFormat="false" ht="15" hidden="false" customHeight="true" outlineLevel="0" collapsed="false">
      <c r="A652" s="52" t="n">
        <v>651</v>
      </c>
      <c r="B652" s="52" t="s">
        <v>395</v>
      </c>
      <c r="C652" s="52" t="s">
        <v>817</v>
      </c>
      <c r="D652" s="52" t="s">
        <v>1000</v>
      </c>
      <c r="E652" s="52" t="s">
        <v>1031</v>
      </c>
      <c r="F652" s="52" t="s">
        <v>331</v>
      </c>
      <c r="G652" s="52" t="s">
        <v>542</v>
      </c>
      <c r="H652" s="52" t="n">
        <v>0</v>
      </c>
    </row>
    <row r="653" customFormat="false" ht="15" hidden="false" customHeight="true" outlineLevel="0" collapsed="false">
      <c r="A653" s="52" t="n">
        <v>652</v>
      </c>
      <c r="B653" s="52" t="s">
        <v>395</v>
      </c>
      <c r="C653" s="52" t="s">
        <v>817</v>
      </c>
      <c r="D653" s="52" t="s">
        <v>1000</v>
      </c>
      <c r="E653" s="52" t="s">
        <v>1031</v>
      </c>
      <c r="F653" s="52" t="s">
        <v>74</v>
      </c>
      <c r="G653" s="52" t="s">
        <v>542</v>
      </c>
      <c r="H653" s="52" t="n">
        <v>0</v>
      </c>
    </row>
    <row r="654" customFormat="false" ht="15" hidden="false" customHeight="true" outlineLevel="0" collapsed="false">
      <c r="A654" s="52" t="n">
        <v>653</v>
      </c>
      <c r="B654" s="52" t="s">
        <v>395</v>
      </c>
      <c r="C654" s="52" t="s">
        <v>817</v>
      </c>
      <c r="D654" s="52" t="s">
        <v>1000</v>
      </c>
      <c r="E654" s="52" t="s">
        <v>1031</v>
      </c>
      <c r="F654" s="52" t="s">
        <v>259</v>
      </c>
      <c r="G654" s="52" t="s">
        <v>1032</v>
      </c>
      <c r="H654" s="52" t="n">
        <v>1</v>
      </c>
    </row>
    <row r="655" customFormat="false" ht="15" hidden="false" customHeight="true" outlineLevel="0" collapsed="false">
      <c r="A655" s="52" t="n">
        <v>654</v>
      </c>
      <c r="B655" s="52" t="s">
        <v>395</v>
      </c>
      <c r="C655" s="52" t="s">
        <v>817</v>
      </c>
      <c r="D655" s="52" t="s">
        <v>1000</v>
      </c>
      <c r="E655" s="52" t="s">
        <v>1031</v>
      </c>
      <c r="F655" s="52" t="s">
        <v>52</v>
      </c>
      <c r="G655" s="52" t="s">
        <v>1033</v>
      </c>
      <c r="H655" s="52" t="n">
        <v>1</v>
      </c>
    </row>
    <row r="656" customFormat="false" ht="15" hidden="false" customHeight="true" outlineLevel="0" collapsed="false">
      <c r="A656" s="52" t="n">
        <v>655</v>
      </c>
      <c r="B656" s="52" t="s">
        <v>395</v>
      </c>
      <c r="C656" s="52" t="s">
        <v>817</v>
      </c>
      <c r="D656" s="52" t="s">
        <v>1000</v>
      </c>
      <c r="E656" s="52" t="s">
        <v>1031</v>
      </c>
      <c r="F656" s="52" t="s">
        <v>52</v>
      </c>
      <c r="G656" s="52" t="s">
        <v>1034</v>
      </c>
      <c r="H656" s="52" t="n">
        <v>1</v>
      </c>
    </row>
    <row r="657" customFormat="false" ht="15" hidden="false" customHeight="true" outlineLevel="0" collapsed="false">
      <c r="A657" s="52" t="n">
        <v>656</v>
      </c>
      <c r="B657" s="52" t="s">
        <v>395</v>
      </c>
      <c r="C657" s="52" t="s">
        <v>817</v>
      </c>
      <c r="D657" s="52" t="s">
        <v>1000</v>
      </c>
      <c r="E657" s="52" t="s">
        <v>1031</v>
      </c>
      <c r="F657" s="52" t="s">
        <v>21</v>
      </c>
      <c r="G657" s="52" t="s">
        <v>1035</v>
      </c>
      <c r="H657" s="52" t="n">
        <v>1</v>
      </c>
    </row>
    <row r="658" customFormat="false" ht="15" hidden="false" customHeight="true" outlineLevel="0" collapsed="false">
      <c r="A658" s="52" t="n">
        <v>657</v>
      </c>
      <c r="B658" s="52" t="s">
        <v>395</v>
      </c>
      <c r="C658" s="52" t="s">
        <v>817</v>
      </c>
      <c r="D658" s="52" t="s">
        <v>1000</v>
      </c>
      <c r="E658" s="52" t="s">
        <v>1031</v>
      </c>
      <c r="F658" s="52" t="s">
        <v>21</v>
      </c>
      <c r="G658" s="52" t="s">
        <v>1036</v>
      </c>
      <c r="H658" s="52" t="n">
        <v>1</v>
      </c>
    </row>
    <row r="659" customFormat="false" ht="15" hidden="false" customHeight="true" outlineLevel="0" collapsed="false">
      <c r="A659" s="52" t="n">
        <v>658</v>
      </c>
      <c r="B659" s="52" t="s">
        <v>395</v>
      </c>
      <c r="C659" s="52" t="s">
        <v>817</v>
      </c>
      <c r="D659" s="52" t="s">
        <v>1000</v>
      </c>
      <c r="E659" s="52" t="s">
        <v>1031</v>
      </c>
      <c r="F659" s="52" t="s">
        <v>123</v>
      </c>
      <c r="G659" s="52" t="s">
        <v>1037</v>
      </c>
      <c r="H659" s="52" t="n">
        <v>1</v>
      </c>
    </row>
    <row r="660" customFormat="false" ht="15" hidden="false" customHeight="true" outlineLevel="0" collapsed="false">
      <c r="A660" s="52" t="n">
        <v>659</v>
      </c>
      <c r="B660" s="52" t="s">
        <v>395</v>
      </c>
      <c r="C660" s="52" t="s">
        <v>817</v>
      </c>
      <c r="D660" s="52" t="s">
        <v>1000</v>
      </c>
      <c r="E660" s="52" t="s">
        <v>1031</v>
      </c>
      <c r="F660" s="52" t="s">
        <v>13</v>
      </c>
      <c r="G660" s="52" t="s">
        <v>1038</v>
      </c>
      <c r="H660" s="52" t="n">
        <v>1</v>
      </c>
    </row>
    <row r="661" customFormat="false" ht="15" hidden="false" customHeight="true" outlineLevel="0" collapsed="false">
      <c r="A661" s="52" t="n">
        <v>660</v>
      </c>
      <c r="B661" s="52" t="s">
        <v>395</v>
      </c>
      <c r="C661" s="52" t="s">
        <v>817</v>
      </c>
      <c r="D661" s="52" t="s">
        <v>1000</v>
      </c>
      <c r="E661" s="52" t="s">
        <v>1031</v>
      </c>
      <c r="F661" s="52" t="s">
        <v>13</v>
      </c>
      <c r="G661" s="52" t="s">
        <v>1039</v>
      </c>
      <c r="H661" s="52" t="n">
        <v>1</v>
      </c>
    </row>
    <row r="662" customFormat="false" ht="15" hidden="false" customHeight="true" outlineLevel="0" collapsed="false">
      <c r="A662" s="52" t="n">
        <v>661</v>
      </c>
      <c r="B662" s="52" t="s">
        <v>395</v>
      </c>
      <c r="C662" s="52" t="s">
        <v>817</v>
      </c>
      <c r="D662" s="52" t="s">
        <v>1000</v>
      </c>
      <c r="E662" s="52" t="s">
        <v>1031</v>
      </c>
      <c r="F662" s="52" t="s">
        <v>101</v>
      </c>
      <c r="G662" s="52" t="s">
        <v>1040</v>
      </c>
      <c r="H662" s="52" t="n">
        <v>1</v>
      </c>
    </row>
    <row r="663" customFormat="false" ht="15" hidden="false" customHeight="true" outlineLevel="0" collapsed="false">
      <c r="A663" s="52" t="n">
        <v>662</v>
      </c>
      <c r="B663" s="52" t="s">
        <v>395</v>
      </c>
      <c r="C663" s="52" t="s">
        <v>817</v>
      </c>
      <c r="D663" s="52" t="s">
        <v>1000</v>
      </c>
      <c r="E663" s="52" t="s">
        <v>1031</v>
      </c>
      <c r="F663" s="52" t="s">
        <v>101</v>
      </c>
      <c r="G663" s="52" t="s">
        <v>1041</v>
      </c>
      <c r="H663" s="52" t="n">
        <v>1</v>
      </c>
    </row>
    <row r="664" customFormat="false" ht="15" hidden="false" customHeight="true" outlineLevel="0" collapsed="false">
      <c r="A664" s="52" t="n">
        <v>663</v>
      </c>
      <c r="B664" s="52" t="s">
        <v>395</v>
      </c>
      <c r="C664" s="52" t="s">
        <v>817</v>
      </c>
      <c r="D664" s="52" t="s">
        <v>1000</v>
      </c>
      <c r="E664" s="52" t="s">
        <v>1031</v>
      </c>
      <c r="F664" s="52" t="s">
        <v>86</v>
      </c>
      <c r="G664" s="52" t="s">
        <v>1042</v>
      </c>
      <c r="H664" s="52" t="n">
        <v>1</v>
      </c>
    </row>
    <row r="665" customFormat="false" ht="15" hidden="false" customHeight="true" outlineLevel="0" collapsed="false">
      <c r="A665" s="52" t="n">
        <v>664</v>
      </c>
      <c r="B665" s="52" t="s">
        <v>395</v>
      </c>
      <c r="C665" s="52" t="s">
        <v>817</v>
      </c>
      <c r="D665" s="52" t="s">
        <v>1043</v>
      </c>
      <c r="E665" s="52" t="s">
        <v>1044</v>
      </c>
      <c r="F665" s="52" t="s">
        <v>331</v>
      </c>
      <c r="G665" s="52" t="s">
        <v>1045</v>
      </c>
      <c r="H665" s="52" t="n">
        <v>1</v>
      </c>
    </row>
    <row r="666" customFormat="false" ht="15" hidden="false" customHeight="true" outlineLevel="0" collapsed="false">
      <c r="A666" s="52" t="n">
        <v>665</v>
      </c>
      <c r="B666" s="52" t="s">
        <v>395</v>
      </c>
      <c r="C666" s="52" t="s">
        <v>817</v>
      </c>
      <c r="D666" s="52" t="s">
        <v>1043</v>
      </c>
      <c r="E666" s="52" t="s">
        <v>1044</v>
      </c>
      <c r="F666" s="52" t="s">
        <v>331</v>
      </c>
      <c r="G666" s="52" t="s">
        <v>1046</v>
      </c>
      <c r="H666" s="52" t="n">
        <v>1</v>
      </c>
    </row>
    <row r="667" customFormat="false" ht="15" hidden="false" customHeight="true" outlineLevel="0" collapsed="false">
      <c r="A667" s="52" t="n">
        <v>666</v>
      </c>
      <c r="B667" s="52" t="s">
        <v>395</v>
      </c>
      <c r="C667" s="52" t="s">
        <v>817</v>
      </c>
      <c r="D667" s="52" t="s">
        <v>1043</v>
      </c>
      <c r="E667" s="52" t="s">
        <v>1044</v>
      </c>
      <c r="F667" s="52" t="s">
        <v>331</v>
      </c>
      <c r="G667" s="52" t="s">
        <v>1047</v>
      </c>
      <c r="H667" s="52" t="n">
        <v>1</v>
      </c>
    </row>
    <row r="668" customFormat="false" ht="15" hidden="false" customHeight="true" outlineLevel="0" collapsed="false">
      <c r="A668" s="52" t="n">
        <v>667</v>
      </c>
      <c r="B668" s="52" t="s">
        <v>395</v>
      </c>
      <c r="C668" s="52" t="s">
        <v>817</v>
      </c>
      <c r="D668" s="52" t="s">
        <v>1043</v>
      </c>
      <c r="E668" s="52" t="s">
        <v>1044</v>
      </c>
      <c r="F668" s="52" t="s">
        <v>74</v>
      </c>
      <c r="G668" s="52" t="s">
        <v>1048</v>
      </c>
      <c r="H668" s="52" t="n">
        <v>1</v>
      </c>
    </row>
    <row r="669" customFormat="false" ht="15" hidden="false" customHeight="true" outlineLevel="0" collapsed="false">
      <c r="A669" s="52" t="n">
        <v>668</v>
      </c>
      <c r="B669" s="52" t="s">
        <v>395</v>
      </c>
      <c r="C669" s="52" t="s">
        <v>817</v>
      </c>
      <c r="D669" s="52" t="s">
        <v>1043</v>
      </c>
      <c r="E669" s="52" t="s">
        <v>1044</v>
      </c>
      <c r="F669" s="52" t="s">
        <v>74</v>
      </c>
      <c r="G669" s="52" t="s">
        <v>1049</v>
      </c>
      <c r="H669" s="52" t="n">
        <v>1</v>
      </c>
    </row>
    <row r="670" customFormat="false" ht="15" hidden="false" customHeight="true" outlineLevel="0" collapsed="false">
      <c r="A670" s="52" t="n">
        <v>669</v>
      </c>
      <c r="B670" s="52" t="s">
        <v>395</v>
      </c>
      <c r="C670" s="52" t="s">
        <v>817</v>
      </c>
      <c r="D670" s="52" t="s">
        <v>1043</v>
      </c>
      <c r="E670" s="52" t="s">
        <v>1044</v>
      </c>
      <c r="F670" s="52" t="s">
        <v>74</v>
      </c>
      <c r="G670" s="52" t="s">
        <v>1050</v>
      </c>
      <c r="H670" s="52" t="n">
        <v>1</v>
      </c>
    </row>
    <row r="671" customFormat="false" ht="15" hidden="false" customHeight="true" outlineLevel="0" collapsed="false">
      <c r="A671" s="52" t="n">
        <v>670</v>
      </c>
      <c r="B671" s="52" t="s">
        <v>395</v>
      </c>
      <c r="C671" s="52" t="s">
        <v>817</v>
      </c>
      <c r="D671" s="52" t="s">
        <v>1043</v>
      </c>
      <c r="E671" s="52" t="s">
        <v>1044</v>
      </c>
      <c r="F671" s="52" t="s">
        <v>74</v>
      </c>
      <c r="G671" s="52" t="s">
        <v>267</v>
      </c>
      <c r="H671" s="52" t="n">
        <v>1</v>
      </c>
    </row>
    <row r="672" customFormat="false" ht="15" hidden="false" customHeight="true" outlineLevel="0" collapsed="false">
      <c r="A672" s="52" t="n">
        <v>671</v>
      </c>
      <c r="B672" s="52" t="s">
        <v>395</v>
      </c>
      <c r="C672" s="52" t="s">
        <v>817</v>
      </c>
      <c r="D672" s="52" t="s">
        <v>1043</v>
      </c>
      <c r="E672" s="52" t="s">
        <v>1044</v>
      </c>
      <c r="F672" s="52" t="s">
        <v>36</v>
      </c>
      <c r="G672" s="52" t="s">
        <v>1051</v>
      </c>
      <c r="H672" s="52" t="n">
        <v>1</v>
      </c>
    </row>
    <row r="673" customFormat="false" ht="15" hidden="false" customHeight="true" outlineLevel="0" collapsed="false">
      <c r="A673" s="52" t="n">
        <v>672</v>
      </c>
      <c r="B673" s="52" t="s">
        <v>395</v>
      </c>
      <c r="C673" s="52" t="s">
        <v>817</v>
      </c>
      <c r="D673" s="52" t="s">
        <v>1043</v>
      </c>
      <c r="E673" s="52" t="s">
        <v>1044</v>
      </c>
      <c r="F673" s="52" t="s">
        <v>259</v>
      </c>
      <c r="G673" s="52" t="s">
        <v>1052</v>
      </c>
      <c r="H673" s="52" t="n">
        <v>1</v>
      </c>
    </row>
    <row r="674" customFormat="false" ht="15" hidden="false" customHeight="true" outlineLevel="0" collapsed="false">
      <c r="A674" s="52" t="n">
        <v>673</v>
      </c>
      <c r="B674" s="52" t="s">
        <v>395</v>
      </c>
      <c r="C674" s="52" t="s">
        <v>817</v>
      </c>
      <c r="D674" s="52" t="s">
        <v>1043</v>
      </c>
      <c r="E674" s="52" t="s">
        <v>1044</v>
      </c>
      <c r="F674" s="52" t="s">
        <v>259</v>
      </c>
      <c r="G674" s="52" t="s">
        <v>1053</v>
      </c>
      <c r="H674" s="52" t="n">
        <v>1</v>
      </c>
    </row>
    <row r="675" customFormat="false" ht="15" hidden="false" customHeight="true" outlineLevel="0" collapsed="false">
      <c r="A675" s="52" t="n">
        <v>674</v>
      </c>
      <c r="B675" s="52" t="s">
        <v>395</v>
      </c>
      <c r="C675" s="52" t="s">
        <v>817</v>
      </c>
      <c r="D675" s="52" t="s">
        <v>1043</v>
      </c>
      <c r="E675" s="52" t="s">
        <v>1044</v>
      </c>
      <c r="F675" s="52" t="s">
        <v>259</v>
      </c>
      <c r="G675" s="52" t="s">
        <v>1054</v>
      </c>
      <c r="H675" s="52" t="n">
        <v>1</v>
      </c>
    </row>
    <row r="676" customFormat="false" ht="15" hidden="false" customHeight="true" outlineLevel="0" collapsed="false">
      <c r="A676" s="52" t="n">
        <v>675</v>
      </c>
      <c r="B676" s="52" t="s">
        <v>395</v>
      </c>
      <c r="C676" s="52" t="s">
        <v>817</v>
      </c>
      <c r="D676" s="52" t="s">
        <v>1043</v>
      </c>
      <c r="E676" s="52" t="s">
        <v>1044</v>
      </c>
      <c r="F676" s="52" t="s">
        <v>52</v>
      </c>
      <c r="G676" s="52" t="s">
        <v>1055</v>
      </c>
      <c r="H676" s="52" t="n">
        <v>1</v>
      </c>
    </row>
    <row r="677" customFormat="false" ht="15" hidden="false" customHeight="true" outlineLevel="0" collapsed="false">
      <c r="A677" s="52" t="n">
        <v>676</v>
      </c>
      <c r="B677" s="52" t="s">
        <v>395</v>
      </c>
      <c r="C677" s="52" t="s">
        <v>817</v>
      </c>
      <c r="D677" s="52" t="s">
        <v>1043</v>
      </c>
      <c r="E677" s="52" t="s">
        <v>1044</v>
      </c>
      <c r="F677" s="52" t="s">
        <v>52</v>
      </c>
      <c r="G677" s="52" t="s">
        <v>1056</v>
      </c>
      <c r="H677" s="52" t="n">
        <v>1</v>
      </c>
    </row>
    <row r="678" customFormat="false" ht="15" hidden="false" customHeight="true" outlineLevel="0" collapsed="false">
      <c r="A678" s="52" t="n">
        <v>677</v>
      </c>
      <c r="B678" s="52" t="s">
        <v>395</v>
      </c>
      <c r="C678" s="52" t="s">
        <v>817</v>
      </c>
      <c r="D678" s="52" t="s">
        <v>1043</v>
      </c>
      <c r="E678" s="52" t="s">
        <v>1044</v>
      </c>
      <c r="F678" s="52" t="s">
        <v>21</v>
      </c>
      <c r="G678" s="52" t="s">
        <v>281</v>
      </c>
      <c r="H678" s="52" t="n">
        <v>1</v>
      </c>
    </row>
    <row r="679" customFormat="false" ht="15" hidden="false" customHeight="true" outlineLevel="0" collapsed="false">
      <c r="A679" s="52" t="n">
        <v>678</v>
      </c>
      <c r="B679" s="52" t="s">
        <v>395</v>
      </c>
      <c r="C679" s="52" t="s">
        <v>817</v>
      </c>
      <c r="D679" s="52" t="s">
        <v>1043</v>
      </c>
      <c r="E679" s="52" t="s">
        <v>1044</v>
      </c>
      <c r="F679" s="52" t="s">
        <v>21</v>
      </c>
      <c r="G679" s="52" t="s">
        <v>1057</v>
      </c>
      <c r="H679" s="52" t="n">
        <v>1</v>
      </c>
    </row>
    <row r="680" customFormat="false" ht="15" hidden="false" customHeight="true" outlineLevel="0" collapsed="false">
      <c r="A680" s="52" t="n">
        <v>679</v>
      </c>
      <c r="B680" s="52" t="s">
        <v>395</v>
      </c>
      <c r="C680" s="52" t="s">
        <v>817</v>
      </c>
      <c r="D680" s="52" t="s">
        <v>1043</v>
      </c>
      <c r="E680" s="52" t="s">
        <v>1044</v>
      </c>
      <c r="F680" s="52" t="s">
        <v>123</v>
      </c>
      <c r="G680" s="52" t="s">
        <v>1058</v>
      </c>
      <c r="H680" s="52" t="n">
        <v>1</v>
      </c>
    </row>
    <row r="681" customFormat="false" ht="15" hidden="false" customHeight="true" outlineLevel="0" collapsed="false">
      <c r="A681" s="52" t="n">
        <v>680</v>
      </c>
      <c r="B681" s="52" t="s">
        <v>395</v>
      </c>
      <c r="C681" s="52" t="s">
        <v>817</v>
      </c>
      <c r="D681" s="52" t="s">
        <v>1043</v>
      </c>
      <c r="E681" s="52" t="s">
        <v>1044</v>
      </c>
      <c r="F681" s="52" t="s">
        <v>123</v>
      </c>
      <c r="G681" s="52" t="s">
        <v>1059</v>
      </c>
      <c r="H681" s="52" t="n">
        <v>1</v>
      </c>
    </row>
    <row r="682" customFormat="false" ht="15" hidden="false" customHeight="true" outlineLevel="0" collapsed="false">
      <c r="A682" s="52" t="n">
        <v>681</v>
      </c>
      <c r="B682" s="52" t="s">
        <v>395</v>
      </c>
      <c r="C682" s="52" t="s">
        <v>817</v>
      </c>
      <c r="D682" s="52" t="s">
        <v>1043</v>
      </c>
      <c r="E682" s="52" t="s">
        <v>1044</v>
      </c>
      <c r="F682" s="52" t="s">
        <v>123</v>
      </c>
      <c r="G682" s="52" t="s">
        <v>1060</v>
      </c>
      <c r="H682" s="52" t="n">
        <v>1</v>
      </c>
    </row>
    <row r="683" customFormat="false" ht="15" hidden="false" customHeight="true" outlineLevel="0" collapsed="false">
      <c r="A683" s="52" t="n">
        <v>682</v>
      </c>
      <c r="B683" s="52" t="s">
        <v>395</v>
      </c>
      <c r="C683" s="52" t="s">
        <v>817</v>
      </c>
      <c r="D683" s="52" t="s">
        <v>1043</v>
      </c>
      <c r="E683" s="52" t="s">
        <v>1044</v>
      </c>
      <c r="F683" s="52" t="s">
        <v>13</v>
      </c>
      <c r="G683" s="52" t="s">
        <v>145</v>
      </c>
      <c r="H683" s="52" t="n">
        <v>1</v>
      </c>
    </row>
    <row r="684" customFormat="false" ht="15" hidden="false" customHeight="true" outlineLevel="0" collapsed="false">
      <c r="A684" s="52" t="n">
        <v>683</v>
      </c>
      <c r="B684" s="52" t="s">
        <v>395</v>
      </c>
      <c r="C684" s="52" t="s">
        <v>817</v>
      </c>
      <c r="D684" s="52" t="s">
        <v>1043</v>
      </c>
      <c r="E684" s="52" t="s">
        <v>1044</v>
      </c>
      <c r="F684" s="52" t="s">
        <v>13</v>
      </c>
      <c r="G684" s="52" t="s">
        <v>274</v>
      </c>
      <c r="H684" s="52" t="n">
        <v>1</v>
      </c>
    </row>
    <row r="685" customFormat="false" ht="15" hidden="false" customHeight="true" outlineLevel="0" collapsed="false">
      <c r="A685" s="52" t="n">
        <v>684</v>
      </c>
      <c r="B685" s="52" t="s">
        <v>395</v>
      </c>
      <c r="C685" s="52" t="s">
        <v>817</v>
      </c>
      <c r="D685" s="52" t="s">
        <v>1043</v>
      </c>
      <c r="E685" s="52" t="s">
        <v>1044</v>
      </c>
      <c r="F685" s="52" t="s">
        <v>101</v>
      </c>
      <c r="G685" s="52" t="s">
        <v>1061</v>
      </c>
      <c r="H685" s="52" t="n">
        <v>1</v>
      </c>
    </row>
    <row r="686" customFormat="false" ht="15" hidden="false" customHeight="true" outlineLevel="0" collapsed="false">
      <c r="A686" s="52" t="n">
        <v>685</v>
      </c>
      <c r="B686" s="52" t="s">
        <v>395</v>
      </c>
      <c r="C686" s="52" t="s">
        <v>817</v>
      </c>
      <c r="D686" s="52" t="s">
        <v>1043</v>
      </c>
      <c r="E686" s="52" t="s">
        <v>1044</v>
      </c>
      <c r="F686" s="52" t="s">
        <v>101</v>
      </c>
      <c r="G686" s="52" t="s">
        <v>1062</v>
      </c>
      <c r="H686" s="52" t="n">
        <v>1</v>
      </c>
    </row>
    <row r="687" customFormat="false" ht="15" hidden="false" customHeight="true" outlineLevel="0" collapsed="false">
      <c r="A687" s="52" t="n">
        <v>686</v>
      </c>
      <c r="B687" s="52" t="s">
        <v>395</v>
      </c>
      <c r="C687" s="52" t="s">
        <v>817</v>
      </c>
      <c r="D687" s="52" t="s">
        <v>1043</v>
      </c>
      <c r="E687" s="52" t="s">
        <v>1044</v>
      </c>
      <c r="F687" s="52" t="s">
        <v>86</v>
      </c>
      <c r="G687" s="52" t="s">
        <v>131</v>
      </c>
      <c r="H687" s="52" t="n">
        <v>1</v>
      </c>
    </row>
    <row r="688" customFormat="false" ht="15" hidden="false" customHeight="true" outlineLevel="0" collapsed="false">
      <c r="A688" s="52" t="n">
        <v>687</v>
      </c>
      <c r="B688" s="52" t="s">
        <v>395</v>
      </c>
      <c r="C688" s="52" t="s">
        <v>817</v>
      </c>
      <c r="D688" s="52" t="s">
        <v>1043</v>
      </c>
      <c r="E688" s="52" t="s">
        <v>1044</v>
      </c>
      <c r="F688" s="52" t="s">
        <v>86</v>
      </c>
      <c r="G688" s="52" t="s">
        <v>1063</v>
      </c>
      <c r="H688" s="52" t="n">
        <v>1</v>
      </c>
    </row>
    <row r="689" customFormat="false" ht="15" hidden="false" customHeight="true" outlineLevel="0" collapsed="false">
      <c r="A689" s="52" t="n">
        <v>688</v>
      </c>
      <c r="B689" s="52" t="s">
        <v>395</v>
      </c>
      <c r="C689" s="52" t="s">
        <v>817</v>
      </c>
      <c r="D689" s="52" t="s">
        <v>1043</v>
      </c>
      <c r="E689" s="52" t="s">
        <v>1064</v>
      </c>
      <c r="F689" s="52" t="s">
        <v>331</v>
      </c>
      <c r="G689" s="52" t="s">
        <v>1065</v>
      </c>
      <c r="H689" s="52" t="n">
        <v>1</v>
      </c>
    </row>
    <row r="690" customFormat="false" ht="15" hidden="false" customHeight="true" outlineLevel="0" collapsed="false">
      <c r="A690" s="52" t="n">
        <v>689</v>
      </c>
      <c r="B690" s="52" t="s">
        <v>395</v>
      </c>
      <c r="C690" s="52" t="s">
        <v>817</v>
      </c>
      <c r="D690" s="52" t="s">
        <v>1043</v>
      </c>
      <c r="E690" s="52" t="s">
        <v>1064</v>
      </c>
      <c r="F690" s="52" t="s">
        <v>331</v>
      </c>
      <c r="G690" s="52" t="s">
        <v>1066</v>
      </c>
      <c r="H690" s="52" t="n">
        <v>1</v>
      </c>
    </row>
    <row r="691" customFormat="false" ht="15" hidden="false" customHeight="true" outlineLevel="0" collapsed="false">
      <c r="A691" s="52" t="n">
        <v>690</v>
      </c>
      <c r="B691" s="52" t="s">
        <v>395</v>
      </c>
      <c r="C691" s="52" t="s">
        <v>817</v>
      </c>
      <c r="D691" s="52" t="s">
        <v>1043</v>
      </c>
      <c r="E691" s="52" t="s">
        <v>1064</v>
      </c>
      <c r="F691" s="52" t="s">
        <v>74</v>
      </c>
      <c r="G691" s="52" t="s">
        <v>1067</v>
      </c>
      <c r="H691" s="52" t="n">
        <v>1</v>
      </c>
    </row>
    <row r="692" customFormat="false" ht="15" hidden="false" customHeight="true" outlineLevel="0" collapsed="false">
      <c r="A692" s="52" t="n">
        <v>691</v>
      </c>
      <c r="B692" s="52" t="s">
        <v>395</v>
      </c>
      <c r="C692" s="52" t="s">
        <v>817</v>
      </c>
      <c r="D692" s="52" t="s">
        <v>1043</v>
      </c>
      <c r="E692" s="52" t="s">
        <v>1064</v>
      </c>
      <c r="F692" s="52" t="s">
        <v>74</v>
      </c>
      <c r="G692" s="52" t="s">
        <v>1068</v>
      </c>
      <c r="H692" s="52" t="n">
        <v>1</v>
      </c>
    </row>
    <row r="693" customFormat="false" ht="15" hidden="false" customHeight="true" outlineLevel="0" collapsed="false">
      <c r="A693" s="52" t="n">
        <v>692</v>
      </c>
      <c r="B693" s="52" t="s">
        <v>395</v>
      </c>
      <c r="C693" s="52" t="s">
        <v>817</v>
      </c>
      <c r="D693" s="52" t="s">
        <v>1043</v>
      </c>
      <c r="E693" s="52" t="s">
        <v>1064</v>
      </c>
      <c r="F693" s="52" t="s">
        <v>74</v>
      </c>
      <c r="G693" s="52" t="s">
        <v>1069</v>
      </c>
      <c r="H693" s="52" t="n">
        <v>1</v>
      </c>
    </row>
    <row r="694" customFormat="false" ht="15" hidden="false" customHeight="true" outlineLevel="0" collapsed="false">
      <c r="A694" s="52" t="n">
        <v>693</v>
      </c>
      <c r="B694" s="52" t="s">
        <v>395</v>
      </c>
      <c r="C694" s="52" t="s">
        <v>817</v>
      </c>
      <c r="D694" s="52" t="s">
        <v>1043</v>
      </c>
      <c r="E694" s="52" t="s">
        <v>1064</v>
      </c>
      <c r="F694" s="52" t="s">
        <v>74</v>
      </c>
      <c r="G694" s="52" t="s">
        <v>1070</v>
      </c>
      <c r="H694" s="52" t="n">
        <v>1</v>
      </c>
    </row>
    <row r="695" customFormat="false" ht="15" hidden="false" customHeight="true" outlineLevel="0" collapsed="false">
      <c r="A695" s="52" t="n">
        <v>694</v>
      </c>
      <c r="B695" s="52" t="s">
        <v>395</v>
      </c>
      <c r="C695" s="52" t="s">
        <v>817</v>
      </c>
      <c r="D695" s="52" t="s">
        <v>1043</v>
      </c>
      <c r="E695" s="52" t="s">
        <v>1064</v>
      </c>
      <c r="F695" s="52" t="s">
        <v>36</v>
      </c>
      <c r="G695" s="52" t="s">
        <v>1071</v>
      </c>
      <c r="H695" s="52" t="n">
        <v>1</v>
      </c>
    </row>
    <row r="696" customFormat="false" ht="15" hidden="false" customHeight="true" outlineLevel="0" collapsed="false">
      <c r="A696" s="52" t="n">
        <v>695</v>
      </c>
      <c r="B696" s="52" t="s">
        <v>395</v>
      </c>
      <c r="C696" s="52" t="s">
        <v>817</v>
      </c>
      <c r="D696" s="52" t="s">
        <v>1043</v>
      </c>
      <c r="E696" s="52" t="s">
        <v>1064</v>
      </c>
      <c r="F696" s="52" t="s">
        <v>36</v>
      </c>
      <c r="G696" s="52" t="s">
        <v>1072</v>
      </c>
      <c r="H696" s="52" t="n">
        <v>1</v>
      </c>
    </row>
    <row r="697" customFormat="false" ht="15" hidden="false" customHeight="true" outlineLevel="0" collapsed="false">
      <c r="A697" s="52" t="n">
        <v>696</v>
      </c>
      <c r="B697" s="52" t="s">
        <v>395</v>
      </c>
      <c r="C697" s="52" t="s">
        <v>817</v>
      </c>
      <c r="D697" s="52" t="s">
        <v>1043</v>
      </c>
      <c r="E697" s="52" t="s">
        <v>1064</v>
      </c>
      <c r="F697" s="52" t="s">
        <v>36</v>
      </c>
      <c r="G697" s="52" t="s">
        <v>1073</v>
      </c>
      <c r="H697" s="52" t="n">
        <v>1</v>
      </c>
    </row>
    <row r="698" customFormat="false" ht="15" hidden="false" customHeight="true" outlineLevel="0" collapsed="false">
      <c r="A698" s="52" t="n">
        <v>697</v>
      </c>
      <c r="B698" s="52" t="s">
        <v>395</v>
      </c>
      <c r="C698" s="52" t="s">
        <v>817</v>
      </c>
      <c r="D698" s="52" t="s">
        <v>1043</v>
      </c>
      <c r="E698" s="52" t="s">
        <v>1064</v>
      </c>
      <c r="F698" s="52" t="s">
        <v>259</v>
      </c>
      <c r="G698" s="52" t="s">
        <v>1074</v>
      </c>
      <c r="H698" s="52" t="n">
        <v>1</v>
      </c>
    </row>
    <row r="699" customFormat="false" ht="15" hidden="false" customHeight="true" outlineLevel="0" collapsed="false">
      <c r="A699" s="52" t="n">
        <v>698</v>
      </c>
      <c r="B699" s="52" t="s">
        <v>395</v>
      </c>
      <c r="C699" s="52" t="s">
        <v>817</v>
      </c>
      <c r="D699" s="52" t="s">
        <v>1043</v>
      </c>
      <c r="E699" s="52" t="s">
        <v>1064</v>
      </c>
      <c r="F699" s="52" t="s">
        <v>52</v>
      </c>
      <c r="G699" s="52" t="s">
        <v>1075</v>
      </c>
      <c r="H699" s="52" t="n">
        <v>1</v>
      </c>
    </row>
    <row r="700" customFormat="false" ht="15" hidden="false" customHeight="true" outlineLevel="0" collapsed="false">
      <c r="A700" s="52" t="n">
        <v>699</v>
      </c>
      <c r="B700" s="52" t="s">
        <v>395</v>
      </c>
      <c r="C700" s="52" t="s">
        <v>817</v>
      </c>
      <c r="D700" s="52" t="s">
        <v>1043</v>
      </c>
      <c r="E700" s="52" t="s">
        <v>1064</v>
      </c>
      <c r="F700" s="52" t="s">
        <v>52</v>
      </c>
      <c r="G700" s="52" t="s">
        <v>1076</v>
      </c>
      <c r="H700" s="52" t="n">
        <v>1</v>
      </c>
    </row>
    <row r="701" customFormat="false" ht="15" hidden="false" customHeight="true" outlineLevel="0" collapsed="false">
      <c r="A701" s="52" t="n">
        <v>700</v>
      </c>
      <c r="B701" s="52" t="s">
        <v>395</v>
      </c>
      <c r="C701" s="52" t="s">
        <v>817</v>
      </c>
      <c r="D701" s="52" t="s">
        <v>1043</v>
      </c>
      <c r="E701" s="52" t="s">
        <v>1064</v>
      </c>
      <c r="F701" s="52" t="s">
        <v>21</v>
      </c>
      <c r="G701" s="52" t="s">
        <v>1077</v>
      </c>
      <c r="H701" s="52" t="n">
        <v>1</v>
      </c>
    </row>
    <row r="702" customFormat="false" ht="15" hidden="false" customHeight="true" outlineLevel="0" collapsed="false">
      <c r="A702" s="52" t="n">
        <v>701</v>
      </c>
      <c r="B702" s="52" t="s">
        <v>395</v>
      </c>
      <c r="C702" s="52" t="s">
        <v>817</v>
      </c>
      <c r="D702" s="52" t="s">
        <v>1043</v>
      </c>
      <c r="E702" s="52" t="s">
        <v>1064</v>
      </c>
      <c r="F702" s="52" t="s">
        <v>21</v>
      </c>
      <c r="G702" s="52" t="s">
        <v>1078</v>
      </c>
      <c r="H702" s="52" t="n">
        <v>1</v>
      </c>
    </row>
    <row r="703" customFormat="false" ht="15" hidden="false" customHeight="true" outlineLevel="0" collapsed="false">
      <c r="A703" s="52" t="n">
        <v>702</v>
      </c>
      <c r="B703" s="52" t="s">
        <v>395</v>
      </c>
      <c r="C703" s="52" t="s">
        <v>817</v>
      </c>
      <c r="D703" s="52" t="s">
        <v>1043</v>
      </c>
      <c r="E703" s="52" t="s">
        <v>1064</v>
      </c>
      <c r="F703" s="52" t="s">
        <v>21</v>
      </c>
      <c r="G703" s="52" t="s">
        <v>1079</v>
      </c>
      <c r="H703" s="52" t="n">
        <v>1</v>
      </c>
    </row>
    <row r="704" customFormat="false" ht="15" hidden="false" customHeight="true" outlineLevel="0" collapsed="false">
      <c r="A704" s="52" t="n">
        <v>703</v>
      </c>
      <c r="B704" s="52" t="s">
        <v>395</v>
      </c>
      <c r="C704" s="52" t="s">
        <v>817</v>
      </c>
      <c r="D704" s="52" t="s">
        <v>1043</v>
      </c>
      <c r="E704" s="52" t="s">
        <v>1064</v>
      </c>
      <c r="F704" s="52" t="s">
        <v>123</v>
      </c>
      <c r="G704" s="52" t="s">
        <v>1080</v>
      </c>
      <c r="H704" s="52" t="n">
        <v>1</v>
      </c>
    </row>
    <row r="705" customFormat="false" ht="15" hidden="false" customHeight="true" outlineLevel="0" collapsed="false">
      <c r="A705" s="52" t="n">
        <v>704</v>
      </c>
      <c r="B705" s="52" t="s">
        <v>395</v>
      </c>
      <c r="C705" s="52" t="s">
        <v>817</v>
      </c>
      <c r="D705" s="52" t="s">
        <v>1043</v>
      </c>
      <c r="E705" s="52" t="s">
        <v>1064</v>
      </c>
      <c r="F705" s="52" t="s">
        <v>123</v>
      </c>
      <c r="G705" s="52" t="s">
        <v>1081</v>
      </c>
      <c r="H705" s="52" t="n">
        <v>1</v>
      </c>
    </row>
    <row r="706" customFormat="false" ht="15" hidden="false" customHeight="true" outlineLevel="0" collapsed="false">
      <c r="A706" s="52" t="n">
        <v>705</v>
      </c>
      <c r="B706" s="52" t="s">
        <v>395</v>
      </c>
      <c r="C706" s="52" t="s">
        <v>817</v>
      </c>
      <c r="D706" s="52" t="s">
        <v>1043</v>
      </c>
      <c r="E706" s="52" t="s">
        <v>1064</v>
      </c>
      <c r="F706" s="52" t="s">
        <v>13</v>
      </c>
      <c r="G706" s="52" t="s">
        <v>1082</v>
      </c>
      <c r="H706" s="52" t="n">
        <v>1</v>
      </c>
    </row>
    <row r="707" customFormat="false" ht="15" hidden="false" customHeight="true" outlineLevel="0" collapsed="false">
      <c r="A707" s="52" t="n">
        <v>706</v>
      </c>
      <c r="B707" s="52" t="s">
        <v>395</v>
      </c>
      <c r="C707" s="52" t="s">
        <v>817</v>
      </c>
      <c r="D707" s="52" t="s">
        <v>1043</v>
      </c>
      <c r="E707" s="52" t="s">
        <v>1064</v>
      </c>
      <c r="F707" s="52" t="s">
        <v>13</v>
      </c>
      <c r="G707" s="52" t="s">
        <v>1083</v>
      </c>
      <c r="H707" s="52" t="n">
        <v>1</v>
      </c>
    </row>
    <row r="708" customFormat="false" ht="15" hidden="false" customHeight="true" outlineLevel="0" collapsed="false">
      <c r="A708" s="52" t="n">
        <v>707</v>
      </c>
      <c r="B708" s="52" t="s">
        <v>395</v>
      </c>
      <c r="C708" s="52" t="s">
        <v>817</v>
      </c>
      <c r="D708" s="52" t="s">
        <v>1043</v>
      </c>
      <c r="E708" s="52" t="s">
        <v>1064</v>
      </c>
      <c r="F708" s="52" t="s">
        <v>13</v>
      </c>
      <c r="G708" s="52" t="s">
        <v>1084</v>
      </c>
      <c r="H708" s="52" t="n">
        <v>1</v>
      </c>
    </row>
    <row r="709" customFormat="false" ht="15" hidden="false" customHeight="true" outlineLevel="0" collapsed="false">
      <c r="A709" s="52" t="n">
        <v>708</v>
      </c>
      <c r="B709" s="52" t="s">
        <v>395</v>
      </c>
      <c r="C709" s="52" t="s">
        <v>817</v>
      </c>
      <c r="D709" s="52" t="s">
        <v>1043</v>
      </c>
      <c r="E709" s="52" t="s">
        <v>1064</v>
      </c>
      <c r="F709" s="52" t="s">
        <v>101</v>
      </c>
      <c r="G709" s="52" t="s">
        <v>1085</v>
      </c>
      <c r="H709" s="52" t="n">
        <v>1</v>
      </c>
    </row>
    <row r="710" customFormat="false" ht="15" hidden="false" customHeight="true" outlineLevel="0" collapsed="false">
      <c r="A710" s="52" t="n">
        <v>709</v>
      </c>
      <c r="B710" s="52" t="s">
        <v>395</v>
      </c>
      <c r="C710" s="52" t="s">
        <v>817</v>
      </c>
      <c r="D710" s="52" t="s">
        <v>1043</v>
      </c>
      <c r="E710" s="52" t="s">
        <v>1064</v>
      </c>
      <c r="F710" s="52" t="s">
        <v>86</v>
      </c>
      <c r="G710" s="52" t="s">
        <v>1086</v>
      </c>
      <c r="H710" s="52" t="n">
        <v>1</v>
      </c>
    </row>
    <row r="711" customFormat="false" ht="15" hidden="false" customHeight="true" outlineLevel="0" collapsed="false">
      <c r="A711" s="52" t="n">
        <v>710</v>
      </c>
      <c r="B711" s="52" t="s">
        <v>396</v>
      </c>
      <c r="C711" s="52" t="s">
        <v>817</v>
      </c>
      <c r="D711" s="52" t="s">
        <v>624</v>
      </c>
      <c r="E711" s="52" t="s">
        <v>1087</v>
      </c>
      <c r="F711" s="52" t="s">
        <v>331</v>
      </c>
      <c r="G711" s="52" t="s">
        <v>463</v>
      </c>
      <c r="H711" s="52" t="n">
        <v>0</v>
      </c>
    </row>
    <row r="712" customFormat="false" ht="15" hidden="false" customHeight="true" outlineLevel="0" collapsed="false">
      <c r="A712" s="52" t="n">
        <v>711</v>
      </c>
      <c r="B712" s="52" t="s">
        <v>396</v>
      </c>
      <c r="C712" s="52" t="s">
        <v>817</v>
      </c>
      <c r="D712" s="52" t="s">
        <v>624</v>
      </c>
      <c r="E712" s="52" t="s">
        <v>1087</v>
      </c>
      <c r="F712" s="52" t="s">
        <v>74</v>
      </c>
      <c r="G712" s="52" t="s">
        <v>1088</v>
      </c>
      <c r="H712" s="52" t="n">
        <v>1</v>
      </c>
    </row>
    <row r="713" customFormat="false" ht="15" hidden="false" customHeight="true" outlineLevel="0" collapsed="false">
      <c r="A713" s="52" t="n">
        <v>712</v>
      </c>
      <c r="B713" s="52" t="s">
        <v>396</v>
      </c>
      <c r="C713" s="52" t="s">
        <v>817</v>
      </c>
      <c r="D713" s="52" t="s">
        <v>624</v>
      </c>
      <c r="E713" s="52" t="s">
        <v>1087</v>
      </c>
      <c r="F713" s="52" t="s">
        <v>259</v>
      </c>
      <c r="G713" s="52" t="s">
        <v>1089</v>
      </c>
      <c r="H713" s="52" t="n">
        <v>1</v>
      </c>
    </row>
    <row r="714" customFormat="false" ht="15" hidden="false" customHeight="true" outlineLevel="0" collapsed="false">
      <c r="A714" s="52" t="n">
        <v>713</v>
      </c>
      <c r="B714" s="52" t="s">
        <v>396</v>
      </c>
      <c r="C714" s="52" t="s">
        <v>817</v>
      </c>
      <c r="D714" s="52" t="s">
        <v>624</v>
      </c>
      <c r="E714" s="52" t="s">
        <v>1087</v>
      </c>
      <c r="F714" s="52" t="s">
        <v>259</v>
      </c>
      <c r="G714" s="52" t="s">
        <v>1090</v>
      </c>
      <c r="H714" s="52" t="n">
        <v>1</v>
      </c>
    </row>
    <row r="715" customFormat="false" ht="15" hidden="false" customHeight="true" outlineLevel="0" collapsed="false">
      <c r="A715" s="52" t="n">
        <v>714</v>
      </c>
      <c r="B715" s="52" t="s">
        <v>396</v>
      </c>
      <c r="C715" s="52" t="s">
        <v>817</v>
      </c>
      <c r="D715" s="52" t="s">
        <v>624</v>
      </c>
      <c r="E715" s="52" t="s">
        <v>1087</v>
      </c>
      <c r="F715" s="52" t="s">
        <v>259</v>
      </c>
      <c r="G715" s="52" t="s">
        <v>1091</v>
      </c>
      <c r="H715" s="52" t="n">
        <v>1</v>
      </c>
    </row>
    <row r="716" customFormat="false" ht="15" hidden="false" customHeight="true" outlineLevel="0" collapsed="false">
      <c r="A716" s="52" t="n">
        <v>715</v>
      </c>
      <c r="B716" s="52" t="s">
        <v>396</v>
      </c>
      <c r="C716" s="52" t="s">
        <v>817</v>
      </c>
      <c r="D716" s="52" t="s">
        <v>624</v>
      </c>
      <c r="E716" s="52" t="s">
        <v>1087</v>
      </c>
      <c r="F716" s="52" t="s">
        <v>259</v>
      </c>
      <c r="G716" s="52" t="s">
        <v>1092</v>
      </c>
      <c r="H716" s="52" t="n">
        <v>1</v>
      </c>
    </row>
    <row r="717" customFormat="false" ht="15" hidden="false" customHeight="true" outlineLevel="0" collapsed="false">
      <c r="A717" s="52" t="n">
        <v>716</v>
      </c>
      <c r="B717" s="52" t="s">
        <v>396</v>
      </c>
      <c r="C717" s="52" t="s">
        <v>817</v>
      </c>
      <c r="D717" s="52" t="s">
        <v>624</v>
      </c>
      <c r="E717" s="52" t="s">
        <v>1087</v>
      </c>
      <c r="F717" s="52" t="s">
        <v>52</v>
      </c>
      <c r="G717" s="52" t="s">
        <v>1093</v>
      </c>
      <c r="H717" s="52" t="n">
        <v>1</v>
      </c>
    </row>
    <row r="718" customFormat="false" ht="15" hidden="false" customHeight="true" outlineLevel="0" collapsed="false">
      <c r="A718" s="52" t="n">
        <v>717</v>
      </c>
      <c r="B718" s="52" t="s">
        <v>396</v>
      </c>
      <c r="C718" s="52" t="s">
        <v>817</v>
      </c>
      <c r="D718" s="52" t="s">
        <v>624</v>
      </c>
      <c r="E718" s="52" t="s">
        <v>1087</v>
      </c>
      <c r="F718" s="52" t="s">
        <v>21</v>
      </c>
      <c r="G718" s="52" t="s">
        <v>1094</v>
      </c>
      <c r="H718" s="52" t="n">
        <v>1</v>
      </c>
    </row>
    <row r="719" customFormat="false" ht="15" hidden="false" customHeight="true" outlineLevel="0" collapsed="false">
      <c r="A719" s="52" t="n">
        <v>718</v>
      </c>
      <c r="B719" s="52" t="s">
        <v>396</v>
      </c>
      <c r="C719" s="52" t="s">
        <v>817</v>
      </c>
      <c r="D719" s="52" t="s">
        <v>624</v>
      </c>
      <c r="E719" s="52" t="s">
        <v>1087</v>
      </c>
      <c r="F719" s="52" t="s">
        <v>123</v>
      </c>
      <c r="G719" s="52" t="s">
        <v>1095</v>
      </c>
      <c r="H719" s="52" t="n">
        <v>1</v>
      </c>
    </row>
    <row r="720" customFormat="false" ht="15" hidden="false" customHeight="true" outlineLevel="0" collapsed="false">
      <c r="A720" s="52" t="n">
        <v>719</v>
      </c>
      <c r="B720" s="52" t="s">
        <v>396</v>
      </c>
      <c r="C720" s="52" t="s">
        <v>817</v>
      </c>
      <c r="D720" s="52" t="s">
        <v>624</v>
      </c>
      <c r="E720" s="52" t="s">
        <v>1087</v>
      </c>
      <c r="F720" s="52" t="s">
        <v>123</v>
      </c>
      <c r="G720" s="52" t="s">
        <v>1096</v>
      </c>
      <c r="H720" s="52" t="n">
        <v>1</v>
      </c>
    </row>
    <row r="721" customFormat="false" ht="15" hidden="false" customHeight="true" outlineLevel="0" collapsed="false">
      <c r="A721" s="52" t="n">
        <v>720</v>
      </c>
      <c r="B721" s="52" t="s">
        <v>396</v>
      </c>
      <c r="C721" s="52" t="s">
        <v>817</v>
      </c>
      <c r="D721" s="52" t="s">
        <v>624</v>
      </c>
      <c r="E721" s="52" t="s">
        <v>1087</v>
      </c>
      <c r="F721" s="52" t="s">
        <v>13</v>
      </c>
      <c r="G721" s="52" t="s">
        <v>1097</v>
      </c>
      <c r="H721" s="52" t="n">
        <v>1</v>
      </c>
    </row>
    <row r="722" customFormat="false" ht="15" hidden="false" customHeight="true" outlineLevel="0" collapsed="false">
      <c r="A722" s="52" t="n">
        <v>721</v>
      </c>
      <c r="B722" s="52" t="s">
        <v>396</v>
      </c>
      <c r="C722" s="52" t="s">
        <v>817</v>
      </c>
      <c r="D722" s="52" t="s">
        <v>624</v>
      </c>
      <c r="E722" s="52" t="s">
        <v>1087</v>
      </c>
      <c r="F722" s="52" t="s">
        <v>101</v>
      </c>
      <c r="G722" s="52" t="s">
        <v>442</v>
      </c>
      <c r="H722" s="52" t="n">
        <v>0</v>
      </c>
    </row>
    <row r="723" customFormat="false" ht="15" hidden="false" customHeight="true" outlineLevel="0" collapsed="false">
      <c r="A723" s="52" t="n">
        <v>722</v>
      </c>
      <c r="B723" s="52" t="s">
        <v>396</v>
      </c>
      <c r="C723" s="52" t="s">
        <v>817</v>
      </c>
      <c r="D723" s="52" t="s">
        <v>624</v>
      </c>
      <c r="E723" s="52" t="s">
        <v>1087</v>
      </c>
      <c r="F723" s="52" t="s">
        <v>86</v>
      </c>
      <c r="G723" s="52" t="s">
        <v>442</v>
      </c>
      <c r="H723" s="52" t="n">
        <v>0</v>
      </c>
    </row>
    <row r="724" customFormat="false" ht="15" hidden="false" customHeight="true" outlineLevel="0" collapsed="false">
      <c r="A724" s="52" t="n">
        <v>723</v>
      </c>
      <c r="B724" s="52" t="s">
        <v>396</v>
      </c>
      <c r="C724" s="52" t="s">
        <v>817</v>
      </c>
      <c r="D724" s="52" t="s">
        <v>624</v>
      </c>
      <c r="E724" s="52" t="s">
        <v>1098</v>
      </c>
      <c r="F724" s="52" t="s">
        <v>331</v>
      </c>
      <c r="G724" s="52" t="s">
        <v>1099</v>
      </c>
      <c r="H724" s="52" t="n">
        <v>1</v>
      </c>
    </row>
    <row r="725" customFormat="false" ht="15" hidden="false" customHeight="true" outlineLevel="0" collapsed="false">
      <c r="A725" s="52" t="n">
        <v>724</v>
      </c>
      <c r="B725" s="52" t="s">
        <v>396</v>
      </c>
      <c r="C725" s="52" t="s">
        <v>817</v>
      </c>
      <c r="D725" s="52" t="s">
        <v>624</v>
      </c>
      <c r="E725" s="52" t="s">
        <v>1098</v>
      </c>
      <c r="F725" s="52" t="s">
        <v>74</v>
      </c>
      <c r="G725" s="52" t="s">
        <v>1100</v>
      </c>
      <c r="H725" s="52" t="n">
        <v>1</v>
      </c>
    </row>
    <row r="726" customFormat="false" ht="15" hidden="false" customHeight="true" outlineLevel="0" collapsed="false">
      <c r="A726" s="52" t="n">
        <v>725</v>
      </c>
      <c r="B726" s="52" t="s">
        <v>396</v>
      </c>
      <c r="C726" s="52" t="s">
        <v>817</v>
      </c>
      <c r="D726" s="52" t="s">
        <v>624</v>
      </c>
      <c r="E726" s="52" t="s">
        <v>1098</v>
      </c>
      <c r="F726" s="52" t="s">
        <v>36</v>
      </c>
      <c r="G726" s="52" t="s">
        <v>1101</v>
      </c>
      <c r="H726" s="52" t="n">
        <v>1</v>
      </c>
    </row>
    <row r="727" customFormat="false" ht="15" hidden="false" customHeight="true" outlineLevel="0" collapsed="false">
      <c r="A727" s="52" t="n">
        <v>726</v>
      </c>
      <c r="B727" s="52" t="s">
        <v>396</v>
      </c>
      <c r="C727" s="52" t="s">
        <v>817</v>
      </c>
      <c r="D727" s="52" t="s">
        <v>624</v>
      </c>
      <c r="E727" s="52" t="s">
        <v>1098</v>
      </c>
      <c r="F727" s="52" t="s">
        <v>36</v>
      </c>
      <c r="G727" s="52" t="s">
        <v>1102</v>
      </c>
      <c r="H727" s="52" t="n">
        <v>1</v>
      </c>
    </row>
    <row r="728" customFormat="false" ht="15" hidden="false" customHeight="true" outlineLevel="0" collapsed="false">
      <c r="A728" s="52" t="n">
        <v>727</v>
      </c>
      <c r="B728" s="52" t="s">
        <v>396</v>
      </c>
      <c r="C728" s="52" t="s">
        <v>817</v>
      </c>
      <c r="D728" s="52" t="s">
        <v>624</v>
      </c>
      <c r="E728" s="52" t="s">
        <v>1098</v>
      </c>
      <c r="F728" s="52" t="s">
        <v>259</v>
      </c>
      <c r="G728" s="52" t="s">
        <v>1103</v>
      </c>
      <c r="H728" s="52" t="n">
        <v>1</v>
      </c>
    </row>
    <row r="729" customFormat="false" ht="15" hidden="false" customHeight="true" outlineLevel="0" collapsed="false">
      <c r="A729" s="52" t="n">
        <v>728</v>
      </c>
      <c r="B729" s="52" t="s">
        <v>396</v>
      </c>
      <c r="C729" s="52" t="s">
        <v>817</v>
      </c>
      <c r="D729" s="52" t="s">
        <v>624</v>
      </c>
      <c r="E729" s="52" t="s">
        <v>1098</v>
      </c>
      <c r="F729" s="52" t="s">
        <v>259</v>
      </c>
      <c r="G729" s="52" t="s">
        <v>1104</v>
      </c>
      <c r="H729" s="52" t="n">
        <v>1</v>
      </c>
    </row>
    <row r="730" customFormat="false" ht="15" hidden="false" customHeight="true" outlineLevel="0" collapsed="false">
      <c r="A730" s="52" t="n">
        <v>729</v>
      </c>
      <c r="B730" s="52" t="s">
        <v>396</v>
      </c>
      <c r="C730" s="52" t="s">
        <v>817</v>
      </c>
      <c r="D730" s="52" t="s">
        <v>624</v>
      </c>
      <c r="E730" s="52" t="s">
        <v>1098</v>
      </c>
      <c r="F730" s="52" t="s">
        <v>52</v>
      </c>
      <c r="G730" s="52" t="s">
        <v>1105</v>
      </c>
      <c r="H730" s="52" t="n">
        <v>1</v>
      </c>
    </row>
    <row r="731" customFormat="false" ht="15" hidden="false" customHeight="true" outlineLevel="0" collapsed="false">
      <c r="A731" s="52" t="n">
        <v>730</v>
      </c>
      <c r="B731" s="52" t="s">
        <v>396</v>
      </c>
      <c r="C731" s="52" t="s">
        <v>817</v>
      </c>
      <c r="D731" s="52" t="s">
        <v>624</v>
      </c>
      <c r="E731" s="52" t="s">
        <v>1098</v>
      </c>
      <c r="F731" s="52" t="s">
        <v>52</v>
      </c>
      <c r="G731" s="52" t="s">
        <v>1106</v>
      </c>
      <c r="H731" s="52" t="n">
        <v>1</v>
      </c>
    </row>
    <row r="732" customFormat="false" ht="15" hidden="false" customHeight="true" outlineLevel="0" collapsed="false">
      <c r="A732" s="52" t="n">
        <v>731</v>
      </c>
      <c r="B732" s="52" t="s">
        <v>396</v>
      </c>
      <c r="C732" s="52" t="s">
        <v>817</v>
      </c>
      <c r="D732" s="52" t="s">
        <v>624</v>
      </c>
      <c r="E732" s="52" t="s">
        <v>1098</v>
      </c>
      <c r="F732" s="52" t="s">
        <v>21</v>
      </c>
      <c r="G732" s="52" t="s">
        <v>1107</v>
      </c>
      <c r="H732" s="52" t="n">
        <v>1</v>
      </c>
    </row>
    <row r="733" customFormat="false" ht="15" hidden="false" customHeight="true" outlineLevel="0" collapsed="false">
      <c r="A733" s="52" t="n">
        <v>732</v>
      </c>
      <c r="B733" s="52" t="s">
        <v>396</v>
      </c>
      <c r="C733" s="52" t="s">
        <v>817</v>
      </c>
      <c r="D733" s="52" t="s">
        <v>624</v>
      </c>
      <c r="E733" s="52" t="s">
        <v>1098</v>
      </c>
      <c r="F733" s="52" t="s">
        <v>21</v>
      </c>
      <c r="G733" s="52" t="s">
        <v>1108</v>
      </c>
      <c r="H733" s="52" t="n">
        <v>1</v>
      </c>
    </row>
    <row r="734" customFormat="false" ht="15" hidden="false" customHeight="true" outlineLevel="0" collapsed="false">
      <c r="A734" s="52" t="n">
        <v>733</v>
      </c>
      <c r="B734" s="52" t="s">
        <v>396</v>
      </c>
      <c r="C734" s="52" t="s">
        <v>817</v>
      </c>
      <c r="D734" s="52" t="s">
        <v>624</v>
      </c>
      <c r="E734" s="52" t="s">
        <v>1098</v>
      </c>
      <c r="F734" s="52" t="s">
        <v>13</v>
      </c>
      <c r="G734" s="52" t="s">
        <v>1109</v>
      </c>
      <c r="H734" s="52" t="n">
        <v>1</v>
      </c>
    </row>
    <row r="735" customFormat="false" ht="15" hidden="false" customHeight="true" outlineLevel="0" collapsed="false">
      <c r="A735" s="52" t="n">
        <v>734</v>
      </c>
      <c r="B735" s="52" t="s">
        <v>396</v>
      </c>
      <c r="C735" s="52" t="s">
        <v>817</v>
      </c>
      <c r="D735" s="52" t="s">
        <v>624</v>
      </c>
      <c r="E735" s="52" t="s">
        <v>1098</v>
      </c>
      <c r="F735" s="52" t="s">
        <v>101</v>
      </c>
      <c r="G735" s="52" t="s">
        <v>442</v>
      </c>
      <c r="H735" s="52" t="n">
        <v>0</v>
      </c>
    </row>
    <row r="736" customFormat="false" ht="15" hidden="false" customHeight="true" outlineLevel="0" collapsed="false">
      <c r="A736" s="52" t="n">
        <v>735</v>
      </c>
      <c r="B736" s="52" t="s">
        <v>396</v>
      </c>
      <c r="C736" s="52" t="s">
        <v>817</v>
      </c>
      <c r="D736" s="52" t="s">
        <v>624</v>
      </c>
      <c r="E736" s="52" t="s">
        <v>1098</v>
      </c>
      <c r="F736" s="52" t="s">
        <v>86</v>
      </c>
      <c r="G736" s="52" t="s">
        <v>442</v>
      </c>
      <c r="H736" s="52" t="n">
        <v>0</v>
      </c>
    </row>
    <row r="737" customFormat="false" ht="15" hidden="false" customHeight="true" outlineLevel="0" collapsed="false">
      <c r="A737" s="52" t="n">
        <v>736</v>
      </c>
      <c r="B737" s="52" t="s">
        <v>396</v>
      </c>
      <c r="C737" s="52" t="s">
        <v>817</v>
      </c>
      <c r="D737" s="52" t="s">
        <v>624</v>
      </c>
      <c r="E737" s="52" t="s">
        <v>1110</v>
      </c>
      <c r="F737" s="52" t="s">
        <v>331</v>
      </c>
      <c r="G737" s="52" t="s">
        <v>463</v>
      </c>
      <c r="H737" s="52" t="n">
        <v>0</v>
      </c>
    </row>
    <row r="738" customFormat="false" ht="15" hidden="false" customHeight="true" outlineLevel="0" collapsed="false">
      <c r="A738" s="52" t="n">
        <v>737</v>
      </c>
      <c r="B738" s="52" t="s">
        <v>396</v>
      </c>
      <c r="C738" s="52" t="s">
        <v>817</v>
      </c>
      <c r="D738" s="52" t="s">
        <v>624</v>
      </c>
      <c r="E738" s="52" t="s">
        <v>1110</v>
      </c>
      <c r="F738" s="52" t="s">
        <v>74</v>
      </c>
      <c r="G738" s="52" t="s">
        <v>1111</v>
      </c>
      <c r="H738" s="52" t="n">
        <v>1</v>
      </c>
    </row>
    <row r="739" customFormat="false" ht="15" hidden="false" customHeight="true" outlineLevel="0" collapsed="false">
      <c r="A739" s="52" t="n">
        <v>738</v>
      </c>
      <c r="B739" s="52" t="s">
        <v>396</v>
      </c>
      <c r="C739" s="52" t="s">
        <v>817</v>
      </c>
      <c r="D739" s="52" t="s">
        <v>624</v>
      </c>
      <c r="E739" s="52" t="s">
        <v>1110</v>
      </c>
      <c r="F739" s="52" t="s">
        <v>36</v>
      </c>
      <c r="G739" s="52" t="s">
        <v>1112</v>
      </c>
      <c r="H739" s="52" t="n">
        <v>1</v>
      </c>
    </row>
    <row r="740" customFormat="false" ht="15" hidden="false" customHeight="true" outlineLevel="0" collapsed="false">
      <c r="A740" s="52" t="n">
        <v>739</v>
      </c>
      <c r="B740" s="52" t="s">
        <v>396</v>
      </c>
      <c r="C740" s="52" t="s">
        <v>817</v>
      </c>
      <c r="D740" s="52" t="s">
        <v>624</v>
      </c>
      <c r="E740" s="52" t="s">
        <v>1110</v>
      </c>
      <c r="F740" s="52" t="s">
        <v>259</v>
      </c>
      <c r="G740" s="52" t="s">
        <v>1113</v>
      </c>
      <c r="H740" s="52" t="n">
        <v>1</v>
      </c>
    </row>
    <row r="741" customFormat="false" ht="15" hidden="false" customHeight="true" outlineLevel="0" collapsed="false">
      <c r="A741" s="52" t="n">
        <v>740</v>
      </c>
      <c r="B741" s="52" t="s">
        <v>396</v>
      </c>
      <c r="C741" s="52" t="s">
        <v>817</v>
      </c>
      <c r="D741" s="52" t="s">
        <v>624</v>
      </c>
      <c r="E741" s="52" t="s">
        <v>1110</v>
      </c>
      <c r="F741" s="52" t="s">
        <v>259</v>
      </c>
      <c r="G741" s="52" t="s">
        <v>1114</v>
      </c>
      <c r="H741" s="52" t="n">
        <v>1</v>
      </c>
    </row>
    <row r="742" customFormat="false" ht="15" hidden="false" customHeight="true" outlineLevel="0" collapsed="false">
      <c r="A742" s="52" t="n">
        <v>741</v>
      </c>
      <c r="B742" s="52" t="s">
        <v>396</v>
      </c>
      <c r="C742" s="52" t="s">
        <v>817</v>
      </c>
      <c r="D742" s="52" t="s">
        <v>624</v>
      </c>
      <c r="E742" s="52" t="s">
        <v>1110</v>
      </c>
      <c r="F742" s="52" t="s">
        <v>52</v>
      </c>
      <c r="G742" s="52" t="s">
        <v>1115</v>
      </c>
      <c r="H742" s="52" t="n">
        <v>1</v>
      </c>
    </row>
    <row r="743" customFormat="false" ht="15" hidden="false" customHeight="true" outlineLevel="0" collapsed="false">
      <c r="A743" s="52" t="n">
        <v>742</v>
      </c>
      <c r="B743" s="52" t="s">
        <v>396</v>
      </c>
      <c r="C743" s="52" t="s">
        <v>817</v>
      </c>
      <c r="D743" s="52" t="s">
        <v>624</v>
      </c>
      <c r="E743" s="52" t="s">
        <v>1110</v>
      </c>
      <c r="F743" s="52" t="s">
        <v>21</v>
      </c>
      <c r="G743" s="52" t="s">
        <v>1116</v>
      </c>
      <c r="H743" s="52" t="n">
        <v>1</v>
      </c>
    </row>
    <row r="744" customFormat="false" ht="15" hidden="false" customHeight="true" outlineLevel="0" collapsed="false">
      <c r="A744" s="52" t="n">
        <v>743</v>
      </c>
      <c r="B744" s="52" t="s">
        <v>396</v>
      </c>
      <c r="C744" s="52" t="s">
        <v>817</v>
      </c>
      <c r="D744" s="52" t="s">
        <v>624</v>
      </c>
      <c r="E744" s="52" t="s">
        <v>1110</v>
      </c>
      <c r="F744" s="52" t="s">
        <v>123</v>
      </c>
      <c r="G744" s="52" t="s">
        <v>1117</v>
      </c>
      <c r="H744" s="52" t="n">
        <v>1</v>
      </c>
    </row>
    <row r="745" customFormat="false" ht="15" hidden="false" customHeight="true" outlineLevel="0" collapsed="false">
      <c r="A745" s="52" t="n">
        <v>744</v>
      </c>
      <c r="B745" s="52" t="s">
        <v>396</v>
      </c>
      <c r="C745" s="52" t="s">
        <v>817</v>
      </c>
      <c r="D745" s="52" t="s">
        <v>624</v>
      </c>
      <c r="E745" s="52" t="s">
        <v>1110</v>
      </c>
      <c r="F745" s="52" t="s">
        <v>123</v>
      </c>
      <c r="G745" s="52" t="s">
        <v>1118</v>
      </c>
      <c r="H745" s="52" t="n">
        <v>1</v>
      </c>
    </row>
    <row r="746" customFormat="false" ht="15" hidden="false" customHeight="true" outlineLevel="0" collapsed="false">
      <c r="A746" s="52" t="n">
        <v>745</v>
      </c>
      <c r="B746" s="52" t="s">
        <v>396</v>
      </c>
      <c r="C746" s="52" t="s">
        <v>817</v>
      </c>
      <c r="D746" s="52" t="s">
        <v>624</v>
      </c>
      <c r="E746" s="52" t="s">
        <v>1110</v>
      </c>
      <c r="F746" s="52" t="s">
        <v>13</v>
      </c>
      <c r="G746" s="52" t="s">
        <v>1119</v>
      </c>
      <c r="H746" s="52" t="n">
        <v>1</v>
      </c>
    </row>
    <row r="747" customFormat="false" ht="15" hidden="false" customHeight="true" outlineLevel="0" collapsed="false">
      <c r="A747" s="52" t="n">
        <v>746</v>
      </c>
      <c r="B747" s="52" t="s">
        <v>396</v>
      </c>
      <c r="C747" s="52" t="s">
        <v>817</v>
      </c>
      <c r="D747" s="52" t="s">
        <v>624</v>
      </c>
      <c r="E747" s="52" t="s">
        <v>1110</v>
      </c>
      <c r="F747" s="52" t="s">
        <v>13</v>
      </c>
      <c r="G747" s="52" t="s">
        <v>1120</v>
      </c>
      <c r="H747" s="52" t="n">
        <v>1</v>
      </c>
    </row>
    <row r="748" customFormat="false" ht="15" hidden="false" customHeight="true" outlineLevel="0" collapsed="false">
      <c r="A748" s="52" t="n">
        <v>747</v>
      </c>
      <c r="B748" s="52" t="s">
        <v>396</v>
      </c>
      <c r="C748" s="52" t="s">
        <v>817</v>
      </c>
      <c r="D748" s="52" t="s">
        <v>624</v>
      </c>
      <c r="E748" s="52" t="s">
        <v>1110</v>
      </c>
      <c r="F748" s="52" t="s">
        <v>101</v>
      </c>
      <c r="G748" s="52" t="s">
        <v>1121</v>
      </c>
      <c r="H748" s="52" t="n">
        <v>1</v>
      </c>
    </row>
    <row r="749" customFormat="false" ht="15" hidden="false" customHeight="true" outlineLevel="0" collapsed="false">
      <c r="A749" s="52" t="n">
        <v>748</v>
      </c>
      <c r="B749" s="52" t="s">
        <v>396</v>
      </c>
      <c r="C749" s="52" t="s">
        <v>817</v>
      </c>
      <c r="D749" s="52" t="s">
        <v>624</v>
      </c>
      <c r="E749" s="52" t="s">
        <v>1110</v>
      </c>
      <c r="F749" s="52" t="s">
        <v>101</v>
      </c>
      <c r="G749" s="52" t="s">
        <v>1122</v>
      </c>
      <c r="H749" s="52" t="n">
        <v>1</v>
      </c>
    </row>
    <row r="750" customFormat="false" ht="15" hidden="false" customHeight="true" outlineLevel="0" collapsed="false">
      <c r="A750" s="52" t="n">
        <v>749</v>
      </c>
      <c r="B750" s="52" t="s">
        <v>396</v>
      </c>
      <c r="C750" s="52" t="s">
        <v>817</v>
      </c>
      <c r="D750" s="52" t="s">
        <v>624</v>
      </c>
      <c r="E750" s="52" t="s">
        <v>1110</v>
      </c>
      <c r="F750" s="52" t="s">
        <v>86</v>
      </c>
      <c r="G750" s="52" t="s">
        <v>442</v>
      </c>
      <c r="H750" s="52" t="n">
        <v>0</v>
      </c>
    </row>
    <row r="751" customFormat="false" ht="15" hidden="false" customHeight="true" outlineLevel="0" collapsed="false">
      <c r="A751" s="52" t="n">
        <v>750</v>
      </c>
      <c r="B751" s="52" t="s">
        <v>395</v>
      </c>
      <c r="C751" s="52" t="s">
        <v>1123</v>
      </c>
      <c r="D751" s="52" t="s">
        <v>624</v>
      </c>
      <c r="E751" s="52" t="s">
        <v>1124</v>
      </c>
      <c r="F751" s="52" t="s">
        <v>331</v>
      </c>
      <c r="G751" s="52" t="s">
        <v>1125</v>
      </c>
      <c r="H751" s="52" t="n">
        <v>1</v>
      </c>
    </row>
    <row r="752" customFormat="false" ht="15" hidden="false" customHeight="true" outlineLevel="0" collapsed="false">
      <c r="A752" s="52" t="n">
        <v>751</v>
      </c>
      <c r="B752" s="52" t="s">
        <v>395</v>
      </c>
      <c r="C752" s="52" t="s">
        <v>1123</v>
      </c>
      <c r="D752" s="52" t="s">
        <v>624</v>
      </c>
      <c r="E752" s="52" t="s">
        <v>1124</v>
      </c>
      <c r="F752" s="52" t="s">
        <v>74</v>
      </c>
      <c r="G752" s="52" t="s">
        <v>1126</v>
      </c>
      <c r="H752" s="52" t="n">
        <v>1</v>
      </c>
    </row>
    <row r="753" customFormat="false" ht="15" hidden="false" customHeight="true" outlineLevel="0" collapsed="false">
      <c r="A753" s="52" t="n">
        <v>752</v>
      </c>
      <c r="B753" s="52" t="s">
        <v>395</v>
      </c>
      <c r="C753" s="52" t="s">
        <v>1123</v>
      </c>
      <c r="D753" s="52" t="s">
        <v>624</v>
      </c>
      <c r="E753" s="52" t="s">
        <v>1124</v>
      </c>
      <c r="F753" s="52" t="s">
        <v>36</v>
      </c>
      <c r="G753" s="52" t="s">
        <v>1127</v>
      </c>
      <c r="H753" s="52" t="n">
        <v>1</v>
      </c>
    </row>
    <row r="754" customFormat="false" ht="15" hidden="false" customHeight="true" outlineLevel="0" collapsed="false">
      <c r="A754" s="52" t="n">
        <v>753</v>
      </c>
      <c r="B754" s="52" t="s">
        <v>395</v>
      </c>
      <c r="C754" s="52" t="s">
        <v>1123</v>
      </c>
      <c r="D754" s="52" t="s">
        <v>624</v>
      </c>
      <c r="E754" s="52" t="s">
        <v>1124</v>
      </c>
      <c r="F754" s="52" t="s">
        <v>259</v>
      </c>
      <c r="G754" s="52" t="s">
        <v>1128</v>
      </c>
      <c r="H754" s="52" t="n">
        <v>1</v>
      </c>
    </row>
    <row r="755" customFormat="false" ht="15" hidden="false" customHeight="true" outlineLevel="0" collapsed="false">
      <c r="A755" s="52" t="n">
        <v>754</v>
      </c>
      <c r="B755" s="52" t="s">
        <v>395</v>
      </c>
      <c r="C755" s="52" t="s">
        <v>1123</v>
      </c>
      <c r="D755" s="52" t="s">
        <v>624</v>
      </c>
      <c r="E755" s="52" t="s">
        <v>1124</v>
      </c>
      <c r="F755" s="52" t="s">
        <v>52</v>
      </c>
      <c r="G755" s="52" t="s">
        <v>1129</v>
      </c>
      <c r="H755" s="52" t="n">
        <v>1</v>
      </c>
    </row>
    <row r="756" customFormat="false" ht="15" hidden="false" customHeight="true" outlineLevel="0" collapsed="false">
      <c r="A756" s="52" t="n">
        <v>755</v>
      </c>
      <c r="B756" s="52" t="s">
        <v>395</v>
      </c>
      <c r="C756" s="52" t="s">
        <v>1123</v>
      </c>
      <c r="D756" s="52" t="s">
        <v>624</v>
      </c>
      <c r="E756" s="52" t="s">
        <v>1124</v>
      </c>
      <c r="F756" s="52" t="s">
        <v>21</v>
      </c>
      <c r="G756" s="52" t="s">
        <v>1130</v>
      </c>
      <c r="H756" s="52" t="n">
        <v>1</v>
      </c>
    </row>
    <row r="757" customFormat="false" ht="15" hidden="false" customHeight="true" outlineLevel="0" collapsed="false">
      <c r="A757" s="52" t="n">
        <v>756</v>
      </c>
      <c r="B757" s="52" t="s">
        <v>395</v>
      </c>
      <c r="C757" s="52" t="s">
        <v>1123</v>
      </c>
      <c r="D757" s="52" t="s">
        <v>624</v>
      </c>
      <c r="E757" s="52" t="s">
        <v>1124</v>
      </c>
      <c r="F757" s="52" t="s">
        <v>123</v>
      </c>
      <c r="G757" s="52" t="s">
        <v>1131</v>
      </c>
      <c r="H757" s="52" t="n">
        <v>1</v>
      </c>
    </row>
    <row r="758" customFormat="false" ht="15" hidden="false" customHeight="true" outlineLevel="0" collapsed="false">
      <c r="A758" s="52" t="n">
        <v>757</v>
      </c>
      <c r="B758" s="52" t="s">
        <v>395</v>
      </c>
      <c r="C758" s="52" t="s">
        <v>1123</v>
      </c>
      <c r="D758" s="52" t="s">
        <v>624</v>
      </c>
      <c r="E758" s="52" t="s">
        <v>1124</v>
      </c>
      <c r="F758" s="52" t="s">
        <v>13</v>
      </c>
      <c r="G758" s="52" t="s">
        <v>1132</v>
      </c>
      <c r="H758" s="52" t="n">
        <v>1</v>
      </c>
    </row>
    <row r="759" customFormat="false" ht="15" hidden="false" customHeight="true" outlineLevel="0" collapsed="false">
      <c r="A759" s="52" t="n">
        <v>758</v>
      </c>
      <c r="B759" s="52" t="s">
        <v>395</v>
      </c>
      <c r="C759" s="52" t="s">
        <v>1123</v>
      </c>
      <c r="D759" s="52" t="s">
        <v>624</v>
      </c>
      <c r="E759" s="52" t="s">
        <v>1124</v>
      </c>
      <c r="F759" s="52" t="s">
        <v>101</v>
      </c>
      <c r="G759" s="52" t="s">
        <v>1133</v>
      </c>
      <c r="H759" s="52" t="n">
        <v>1</v>
      </c>
    </row>
    <row r="760" customFormat="false" ht="15" hidden="false" customHeight="true" outlineLevel="0" collapsed="false">
      <c r="A760" s="52" t="n">
        <v>759</v>
      </c>
      <c r="B760" s="52" t="s">
        <v>395</v>
      </c>
      <c r="C760" s="52" t="s">
        <v>1123</v>
      </c>
      <c r="D760" s="52" t="s">
        <v>624</v>
      </c>
      <c r="E760" s="52" t="s">
        <v>1124</v>
      </c>
      <c r="F760" s="52" t="s">
        <v>86</v>
      </c>
      <c r="G760" s="52" t="s">
        <v>442</v>
      </c>
      <c r="H760" s="52" t="n">
        <v>0</v>
      </c>
    </row>
    <row r="761" customFormat="false" ht="15" hidden="false" customHeight="true" outlineLevel="0" collapsed="false">
      <c r="A761" s="52" t="n">
        <v>760</v>
      </c>
      <c r="B761" s="52" t="s">
        <v>395</v>
      </c>
      <c r="C761" s="52" t="s">
        <v>1123</v>
      </c>
      <c r="D761" s="52" t="s">
        <v>1134</v>
      </c>
      <c r="E761" s="52" t="s">
        <v>1135</v>
      </c>
      <c r="F761" s="52" t="s">
        <v>331</v>
      </c>
      <c r="G761" s="52" t="s">
        <v>463</v>
      </c>
      <c r="H761" s="52" t="n">
        <v>0</v>
      </c>
    </row>
    <row r="762" customFormat="false" ht="15" hidden="false" customHeight="true" outlineLevel="0" collapsed="false">
      <c r="A762" s="52" t="n">
        <v>761</v>
      </c>
      <c r="B762" s="52" t="s">
        <v>395</v>
      </c>
      <c r="C762" s="52" t="s">
        <v>1123</v>
      </c>
      <c r="D762" s="52" t="s">
        <v>1134</v>
      </c>
      <c r="E762" s="52" t="s">
        <v>1135</v>
      </c>
      <c r="F762" s="52" t="s">
        <v>74</v>
      </c>
      <c r="G762" s="52" t="s">
        <v>1136</v>
      </c>
      <c r="H762" s="52" t="n">
        <v>1</v>
      </c>
    </row>
    <row r="763" customFormat="false" ht="15" hidden="false" customHeight="true" outlineLevel="0" collapsed="false">
      <c r="A763" s="52" t="n">
        <v>762</v>
      </c>
      <c r="B763" s="52" t="s">
        <v>395</v>
      </c>
      <c r="C763" s="52" t="s">
        <v>1123</v>
      </c>
      <c r="D763" s="52" t="s">
        <v>1134</v>
      </c>
      <c r="E763" s="52" t="s">
        <v>1135</v>
      </c>
      <c r="F763" s="52" t="s">
        <v>36</v>
      </c>
      <c r="G763" s="52" t="s">
        <v>1137</v>
      </c>
      <c r="H763" s="52" t="n">
        <v>1</v>
      </c>
    </row>
    <row r="764" customFormat="false" ht="15" hidden="false" customHeight="true" outlineLevel="0" collapsed="false">
      <c r="A764" s="52" t="n">
        <v>763</v>
      </c>
      <c r="B764" s="52" t="s">
        <v>395</v>
      </c>
      <c r="C764" s="52" t="s">
        <v>1123</v>
      </c>
      <c r="D764" s="52" t="s">
        <v>1134</v>
      </c>
      <c r="E764" s="52" t="s">
        <v>1135</v>
      </c>
      <c r="F764" s="52" t="s">
        <v>259</v>
      </c>
      <c r="G764" s="52" t="s">
        <v>1138</v>
      </c>
      <c r="H764" s="52" t="n">
        <v>1</v>
      </c>
    </row>
    <row r="765" customFormat="false" ht="15" hidden="false" customHeight="true" outlineLevel="0" collapsed="false">
      <c r="A765" s="52" t="n">
        <v>764</v>
      </c>
      <c r="B765" s="52" t="s">
        <v>395</v>
      </c>
      <c r="C765" s="52" t="s">
        <v>1123</v>
      </c>
      <c r="D765" s="52" t="s">
        <v>1134</v>
      </c>
      <c r="E765" s="52" t="s">
        <v>1135</v>
      </c>
      <c r="F765" s="52" t="s">
        <v>21</v>
      </c>
      <c r="G765" s="52" t="s">
        <v>1139</v>
      </c>
      <c r="H765" s="52" t="n">
        <v>1</v>
      </c>
    </row>
    <row r="766" customFormat="false" ht="15" hidden="false" customHeight="true" outlineLevel="0" collapsed="false">
      <c r="A766" s="52" t="n">
        <v>765</v>
      </c>
      <c r="B766" s="52" t="s">
        <v>395</v>
      </c>
      <c r="C766" s="52" t="s">
        <v>1123</v>
      </c>
      <c r="D766" s="52" t="s">
        <v>1134</v>
      </c>
      <c r="E766" s="52" t="s">
        <v>1135</v>
      </c>
      <c r="F766" s="52" t="s">
        <v>21</v>
      </c>
      <c r="G766" s="52" t="s">
        <v>1140</v>
      </c>
      <c r="H766" s="52" t="n">
        <v>1</v>
      </c>
    </row>
    <row r="767" customFormat="false" ht="15" hidden="false" customHeight="true" outlineLevel="0" collapsed="false">
      <c r="A767" s="52" t="n">
        <v>766</v>
      </c>
      <c r="B767" s="52" t="s">
        <v>395</v>
      </c>
      <c r="C767" s="52" t="s">
        <v>1123</v>
      </c>
      <c r="D767" s="52" t="s">
        <v>1134</v>
      </c>
      <c r="E767" s="52" t="s">
        <v>1135</v>
      </c>
      <c r="F767" s="52" t="s">
        <v>21</v>
      </c>
      <c r="G767" s="52" t="s">
        <v>1141</v>
      </c>
      <c r="H767" s="52" t="n">
        <v>1</v>
      </c>
    </row>
    <row r="768" customFormat="false" ht="15" hidden="false" customHeight="true" outlineLevel="0" collapsed="false">
      <c r="A768" s="52" t="n">
        <v>767</v>
      </c>
      <c r="B768" s="52" t="s">
        <v>395</v>
      </c>
      <c r="C768" s="52" t="s">
        <v>1123</v>
      </c>
      <c r="D768" s="52" t="s">
        <v>1134</v>
      </c>
      <c r="E768" s="52" t="s">
        <v>1135</v>
      </c>
      <c r="F768" s="52" t="s">
        <v>123</v>
      </c>
      <c r="G768" s="52" t="s">
        <v>1142</v>
      </c>
      <c r="H768" s="52" t="n">
        <v>1</v>
      </c>
    </row>
    <row r="769" customFormat="false" ht="15" hidden="false" customHeight="true" outlineLevel="0" collapsed="false">
      <c r="A769" s="52" t="n">
        <v>768</v>
      </c>
      <c r="B769" s="52" t="s">
        <v>395</v>
      </c>
      <c r="C769" s="52" t="s">
        <v>1123</v>
      </c>
      <c r="D769" s="52" t="s">
        <v>1134</v>
      </c>
      <c r="E769" s="52" t="s">
        <v>1135</v>
      </c>
      <c r="F769" s="52" t="s">
        <v>123</v>
      </c>
      <c r="G769" s="52" t="s">
        <v>1143</v>
      </c>
      <c r="H769" s="52" t="n">
        <v>1</v>
      </c>
    </row>
    <row r="770" customFormat="false" ht="15" hidden="false" customHeight="true" outlineLevel="0" collapsed="false">
      <c r="A770" s="52" t="n">
        <v>769</v>
      </c>
      <c r="B770" s="52" t="s">
        <v>395</v>
      </c>
      <c r="C770" s="52" t="s">
        <v>1123</v>
      </c>
      <c r="D770" s="52" t="s">
        <v>1134</v>
      </c>
      <c r="E770" s="52" t="s">
        <v>1135</v>
      </c>
      <c r="F770" s="52" t="s">
        <v>13</v>
      </c>
      <c r="G770" s="52" t="s">
        <v>1144</v>
      </c>
      <c r="H770" s="52" t="n">
        <v>1</v>
      </c>
    </row>
    <row r="771" customFormat="false" ht="15" hidden="false" customHeight="true" outlineLevel="0" collapsed="false">
      <c r="A771" s="52" t="n">
        <v>770</v>
      </c>
      <c r="B771" s="52" t="s">
        <v>395</v>
      </c>
      <c r="C771" s="52" t="s">
        <v>1123</v>
      </c>
      <c r="D771" s="52" t="s">
        <v>1134</v>
      </c>
      <c r="E771" s="52" t="s">
        <v>1135</v>
      </c>
      <c r="F771" s="52" t="s">
        <v>13</v>
      </c>
      <c r="G771" s="52" t="s">
        <v>1145</v>
      </c>
      <c r="H771" s="52" t="n">
        <v>1</v>
      </c>
    </row>
    <row r="772" customFormat="false" ht="15" hidden="false" customHeight="true" outlineLevel="0" collapsed="false">
      <c r="A772" s="52" t="n">
        <v>771</v>
      </c>
      <c r="B772" s="52" t="s">
        <v>395</v>
      </c>
      <c r="C772" s="52" t="s">
        <v>1123</v>
      </c>
      <c r="D772" s="52" t="s">
        <v>1134</v>
      </c>
      <c r="E772" s="52" t="s">
        <v>1135</v>
      </c>
      <c r="F772" s="52" t="s">
        <v>101</v>
      </c>
      <c r="G772" s="52" t="s">
        <v>1146</v>
      </c>
      <c r="H772" s="52" t="n">
        <v>1</v>
      </c>
    </row>
    <row r="773" customFormat="false" ht="15" hidden="false" customHeight="true" outlineLevel="0" collapsed="false">
      <c r="A773" s="52" t="n">
        <v>772</v>
      </c>
      <c r="B773" s="52" t="s">
        <v>395</v>
      </c>
      <c r="C773" s="52" t="s">
        <v>1123</v>
      </c>
      <c r="D773" s="52" t="s">
        <v>1134</v>
      </c>
      <c r="E773" s="52" t="s">
        <v>1135</v>
      </c>
      <c r="F773" s="52" t="s">
        <v>86</v>
      </c>
      <c r="G773" s="52" t="s">
        <v>1147</v>
      </c>
      <c r="H773" s="52" t="n">
        <v>1</v>
      </c>
    </row>
    <row r="774" customFormat="false" ht="15" hidden="false" customHeight="true" outlineLevel="0" collapsed="false">
      <c r="A774" s="52" t="n">
        <v>773</v>
      </c>
      <c r="B774" s="52" t="s">
        <v>395</v>
      </c>
      <c r="C774" s="52" t="s">
        <v>1123</v>
      </c>
      <c r="D774" s="52" t="s">
        <v>1134</v>
      </c>
      <c r="E774" s="52" t="s">
        <v>1135</v>
      </c>
      <c r="F774" s="52" t="s">
        <v>86</v>
      </c>
      <c r="G774" s="52" t="s">
        <v>1148</v>
      </c>
      <c r="H774" s="52" t="n">
        <v>1</v>
      </c>
    </row>
    <row r="775" customFormat="false" ht="15" hidden="false" customHeight="true" outlineLevel="0" collapsed="false">
      <c r="A775" s="52" t="n">
        <v>774</v>
      </c>
      <c r="B775" s="52" t="s">
        <v>395</v>
      </c>
      <c r="C775" s="52" t="s">
        <v>1123</v>
      </c>
      <c r="D775" s="52" t="s">
        <v>1134</v>
      </c>
      <c r="E775" s="52" t="s">
        <v>1149</v>
      </c>
      <c r="F775" s="52" t="s">
        <v>331</v>
      </c>
      <c r="G775" s="52" t="s">
        <v>542</v>
      </c>
      <c r="H775" s="52" t="n">
        <v>0</v>
      </c>
    </row>
    <row r="776" customFormat="false" ht="15" hidden="false" customHeight="true" outlineLevel="0" collapsed="false">
      <c r="A776" s="52" t="n">
        <v>775</v>
      </c>
      <c r="B776" s="52" t="s">
        <v>395</v>
      </c>
      <c r="C776" s="52" t="s">
        <v>1123</v>
      </c>
      <c r="D776" s="52" t="s">
        <v>1134</v>
      </c>
      <c r="E776" s="52" t="s">
        <v>1149</v>
      </c>
      <c r="F776" s="52" t="s">
        <v>74</v>
      </c>
      <c r="G776" s="52" t="s">
        <v>542</v>
      </c>
      <c r="H776" s="52" t="n">
        <v>0</v>
      </c>
    </row>
    <row r="777" customFormat="false" ht="15" hidden="false" customHeight="true" outlineLevel="0" collapsed="false">
      <c r="A777" s="52" t="n">
        <v>776</v>
      </c>
      <c r="B777" s="52" t="s">
        <v>395</v>
      </c>
      <c r="C777" s="52" t="s">
        <v>1123</v>
      </c>
      <c r="D777" s="52" t="s">
        <v>1134</v>
      </c>
      <c r="E777" s="52" t="s">
        <v>1149</v>
      </c>
      <c r="F777" s="52" t="s">
        <v>36</v>
      </c>
      <c r="G777" s="52" t="s">
        <v>1150</v>
      </c>
      <c r="H777" s="52" t="n">
        <v>1</v>
      </c>
    </row>
    <row r="778" customFormat="false" ht="15" hidden="false" customHeight="true" outlineLevel="0" collapsed="false">
      <c r="A778" s="52" t="n">
        <v>777</v>
      </c>
      <c r="B778" s="52" t="s">
        <v>395</v>
      </c>
      <c r="C778" s="52" t="s">
        <v>1123</v>
      </c>
      <c r="D778" s="52" t="s">
        <v>1134</v>
      </c>
      <c r="E778" s="52" t="s">
        <v>1149</v>
      </c>
      <c r="F778" s="52" t="s">
        <v>36</v>
      </c>
      <c r="G778" s="52" t="s">
        <v>1151</v>
      </c>
      <c r="H778" s="52" t="n">
        <v>1</v>
      </c>
    </row>
    <row r="779" customFormat="false" ht="15" hidden="false" customHeight="true" outlineLevel="0" collapsed="false">
      <c r="A779" s="52" t="n">
        <v>778</v>
      </c>
      <c r="B779" s="52" t="s">
        <v>395</v>
      </c>
      <c r="C779" s="52" t="s">
        <v>1123</v>
      </c>
      <c r="D779" s="52" t="s">
        <v>1134</v>
      </c>
      <c r="E779" s="52" t="s">
        <v>1149</v>
      </c>
      <c r="F779" s="52" t="s">
        <v>36</v>
      </c>
      <c r="G779" s="52" t="s">
        <v>1152</v>
      </c>
      <c r="H779" s="52" t="n">
        <v>1</v>
      </c>
    </row>
    <row r="780" customFormat="false" ht="15" hidden="false" customHeight="true" outlineLevel="0" collapsed="false">
      <c r="A780" s="52" t="n">
        <v>779</v>
      </c>
      <c r="B780" s="52" t="s">
        <v>395</v>
      </c>
      <c r="C780" s="52" t="s">
        <v>1123</v>
      </c>
      <c r="D780" s="52" t="s">
        <v>1134</v>
      </c>
      <c r="E780" s="52" t="s">
        <v>1149</v>
      </c>
      <c r="F780" s="52" t="s">
        <v>259</v>
      </c>
      <c r="G780" s="52" t="s">
        <v>1153</v>
      </c>
      <c r="H780" s="52" t="n">
        <v>1</v>
      </c>
    </row>
    <row r="781" customFormat="false" ht="15" hidden="false" customHeight="true" outlineLevel="0" collapsed="false">
      <c r="A781" s="52" t="n">
        <v>780</v>
      </c>
      <c r="B781" s="52" t="s">
        <v>395</v>
      </c>
      <c r="C781" s="52" t="s">
        <v>1123</v>
      </c>
      <c r="D781" s="52" t="s">
        <v>1134</v>
      </c>
      <c r="E781" s="52" t="s">
        <v>1149</v>
      </c>
      <c r="F781" s="52" t="s">
        <v>259</v>
      </c>
      <c r="G781" s="52" t="s">
        <v>1154</v>
      </c>
      <c r="H781" s="52" t="n">
        <v>1</v>
      </c>
    </row>
    <row r="782" customFormat="false" ht="15" hidden="false" customHeight="true" outlineLevel="0" collapsed="false">
      <c r="A782" s="52" t="n">
        <v>781</v>
      </c>
      <c r="B782" s="52" t="s">
        <v>395</v>
      </c>
      <c r="C782" s="52" t="s">
        <v>1123</v>
      </c>
      <c r="D782" s="52" t="s">
        <v>1134</v>
      </c>
      <c r="E782" s="52" t="s">
        <v>1149</v>
      </c>
      <c r="F782" s="52" t="s">
        <v>21</v>
      </c>
      <c r="G782" s="52" t="s">
        <v>1155</v>
      </c>
      <c r="H782" s="52" t="n">
        <v>1</v>
      </c>
    </row>
    <row r="783" customFormat="false" ht="15" hidden="false" customHeight="true" outlineLevel="0" collapsed="false">
      <c r="A783" s="52" t="n">
        <v>782</v>
      </c>
      <c r="B783" s="52" t="s">
        <v>395</v>
      </c>
      <c r="C783" s="52" t="s">
        <v>1123</v>
      </c>
      <c r="D783" s="52" t="s">
        <v>1134</v>
      </c>
      <c r="E783" s="52" t="s">
        <v>1149</v>
      </c>
      <c r="F783" s="52" t="s">
        <v>21</v>
      </c>
      <c r="G783" s="52" t="s">
        <v>1156</v>
      </c>
      <c r="H783" s="52" t="n">
        <v>1</v>
      </c>
    </row>
    <row r="784" customFormat="false" ht="15" hidden="false" customHeight="true" outlineLevel="0" collapsed="false">
      <c r="A784" s="52" t="n">
        <v>783</v>
      </c>
      <c r="B784" s="52" t="s">
        <v>395</v>
      </c>
      <c r="C784" s="52" t="s">
        <v>1123</v>
      </c>
      <c r="D784" s="52" t="s">
        <v>1134</v>
      </c>
      <c r="E784" s="52" t="s">
        <v>1149</v>
      </c>
      <c r="F784" s="52" t="s">
        <v>21</v>
      </c>
      <c r="G784" s="52" t="s">
        <v>1157</v>
      </c>
      <c r="H784" s="52" t="n">
        <v>1</v>
      </c>
    </row>
    <row r="785" customFormat="false" ht="15" hidden="false" customHeight="true" outlineLevel="0" collapsed="false">
      <c r="A785" s="52" t="n">
        <v>784</v>
      </c>
      <c r="B785" s="52" t="s">
        <v>395</v>
      </c>
      <c r="C785" s="52" t="s">
        <v>1123</v>
      </c>
      <c r="D785" s="52" t="s">
        <v>1134</v>
      </c>
      <c r="E785" s="52" t="s">
        <v>1149</v>
      </c>
      <c r="F785" s="52" t="s">
        <v>123</v>
      </c>
      <c r="G785" s="52" t="s">
        <v>1158</v>
      </c>
      <c r="H785" s="52" t="n">
        <v>1</v>
      </c>
    </row>
    <row r="786" customFormat="false" ht="15" hidden="false" customHeight="true" outlineLevel="0" collapsed="false">
      <c r="A786" s="52" t="n">
        <v>785</v>
      </c>
      <c r="B786" s="52" t="s">
        <v>395</v>
      </c>
      <c r="C786" s="52" t="s">
        <v>1123</v>
      </c>
      <c r="D786" s="52" t="s">
        <v>1134</v>
      </c>
      <c r="E786" s="52" t="s">
        <v>1149</v>
      </c>
      <c r="F786" s="52" t="s">
        <v>13</v>
      </c>
      <c r="G786" s="52" t="s">
        <v>1159</v>
      </c>
      <c r="H786" s="52" t="n">
        <v>1</v>
      </c>
    </row>
    <row r="787" customFormat="false" ht="15" hidden="false" customHeight="true" outlineLevel="0" collapsed="false">
      <c r="A787" s="52" t="n">
        <v>786</v>
      </c>
      <c r="B787" s="52" t="s">
        <v>395</v>
      </c>
      <c r="C787" s="52" t="s">
        <v>1123</v>
      </c>
      <c r="D787" s="52" t="s">
        <v>1134</v>
      </c>
      <c r="E787" s="52" t="s">
        <v>1149</v>
      </c>
      <c r="F787" s="52" t="s">
        <v>13</v>
      </c>
      <c r="G787" s="52" t="s">
        <v>1160</v>
      </c>
      <c r="H787" s="52" t="n">
        <v>1</v>
      </c>
    </row>
    <row r="788" customFormat="false" ht="15" hidden="false" customHeight="true" outlineLevel="0" collapsed="false">
      <c r="A788" s="52" t="n">
        <v>787</v>
      </c>
      <c r="B788" s="52" t="s">
        <v>395</v>
      </c>
      <c r="C788" s="52" t="s">
        <v>1123</v>
      </c>
      <c r="D788" s="52" t="s">
        <v>1134</v>
      </c>
      <c r="E788" s="52" t="s">
        <v>1149</v>
      </c>
      <c r="F788" s="52" t="s">
        <v>101</v>
      </c>
      <c r="G788" s="52" t="s">
        <v>1161</v>
      </c>
      <c r="H788" s="52" t="n">
        <v>1</v>
      </c>
    </row>
    <row r="789" customFormat="false" ht="15" hidden="false" customHeight="true" outlineLevel="0" collapsed="false">
      <c r="A789" s="52" t="n">
        <v>788</v>
      </c>
      <c r="B789" s="52" t="s">
        <v>395</v>
      </c>
      <c r="C789" s="52" t="s">
        <v>1123</v>
      </c>
      <c r="D789" s="52" t="s">
        <v>1134</v>
      </c>
      <c r="E789" s="52" t="s">
        <v>1149</v>
      </c>
      <c r="F789" s="52" t="s">
        <v>86</v>
      </c>
      <c r="G789" s="52" t="s">
        <v>1162</v>
      </c>
      <c r="H789" s="52" t="n">
        <v>1</v>
      </c>
    </row>
    <row r="790" customFormat="false" ht="15" hidden="false" customHeight="true" outlineLevel="0" collapsed="false">
      <c r="A790" s="52" t="n">
        <v>789</v>
      </c>
      <c r="B790" s="52" t="s">
        <v>395</v>
      </c>
      <c r="C790" s="52" t="s">
        <v>1123</v>
      </c>
      <c r="D790" s="52" t="s">
        <v>1134</v>
      </c>
      <c r="E790" s="52" t="s">
        <v>1163</v>
      </c>
      <c r="F790" s="52" t="s">
        <v>331</v>
      </c>
      <c r="G790" s="52" t="s">
        <v>1164</v>
      </c>
      <c r="H790" s="52" t="n">
        <v>1</v>
      </c>
    </row>
    <row r="791" customFormat="false" ht="15" hidden="false" customHeight="true" outlineLevel="0" collapsed="false">
      <c r="A791" s="52" t="n">
        <v>790</v>
      </c>
      <c r="B791" s="52" t="s">
        <v>395</v>
      </c>
      <c r="C791" s="52" t="s">
        <v>1123</v>
      </c>
      <c r="D791" s="52" t="s">
        <v>1134</v>
      </c>
      <c r="E791" s="52" t="s">
        <v>1163</v>
      </c>
      <c r="F791" s="52" t="s">
        <v>74</v>
      </c>
      <c r="G791" s="52" t="s">
        <v>1165</v>
      </c>
      <c r="H791" s="52" t="n">
        <v>1</v>
      </c>
    </row>
    <row r="792" customFormat="false" ht="15" hidden="false" customHeight="true" outlineLevel="0" collapsed="false">
      <c r="A792" s="52" t="n">
        <v>791</v>
      </c>
      <c r="B792" s="52" t="s">
        <v>395</v>
      </c>
      <c r="C792" s="52" t="s">
        <v>1123</v>
      </c>
      <c r="D792" s="52" t="s">
        <v>1134</v>
      </c>
      <c r="E792" s="52" t="s">
        <v>1163</v>
      </c>
      <c r="F792" s="52" t="s">
        <v>259</v>
      </c>
      <c r="G792" s="52" t="s">
        <v>1166</v>
      </c>
      <c r="H792" s="52" t="n">
        <v>1</v>
      </c>
    </row>
    <row r="793" customFormat="false" ht="15" hidden="false" customHeight="true" outlineLevel="0" collapsed="false">
      <c r="A793" s="52" t="n">
        <v>792</v>
      </c>
      <c r="B793" s="52" t="s">
        <v>395</v>
      </c>
      <c r="C793" s="52" t="s">
        <v>1123</v>
      </c>
      <c r="D793" s="52" t="s">
        <v>1134</v>
      </c>
      <c r="E793" s="52" t="s">
        <v>1163</v>
      </c>
      <c r="F793" s="52" t="s">
        <v>52</v>
      </c>
      <c r="G793" s="52" t="s">
        <v>1167</v>
      </c>
      <c r="H793" s="52" t="n">
        <v>1</v>
      </c>
    </row>
    <row r="794" customFormat="false" ht="15" hidden="false" customHeight="true" outlineLevel="0" collapsed="false">
      <c r="A794" s="52" t="n">
        <v>793</v>
      </c>
      <c r="B794" s="52" t="s">
        <v>395</v>
      </c>
      <c r="C794" s="52" t="s">
        <v>1123</v>
      </c>
      <c r="D794" s="52" t="s">
        <v>1134</v>
      </c>
      <c r="E794" s="52" t="s">
        <v>1163</v>
      </c>
      <c r="F794" s="52" t="s">
        <v>21</v>
      </c>
      <c r="G794" s="52" t="s">
        <v>1168</v>
      </c>
      <c r="H794" s="52" t="n">
        <v>1</v>
      </c>
    </row>
    <row r="795" customFormat="false" ht="15" hidden="false" customHeight="true" outlineLevel="0" collapsed="false">
      <c r="A795" s="52" t="n">
        <v>794</v>
      </c>
      <c r="B795" s="52" t="s">
        <v>395</v>
      </c>
      <c r="C795" s="52" t="s">
        <v>1123</v>
      </c>
      <c r="D795" s="52" t="s">
        <v>1134</v>
      </c>
      <c r="E795" s="52" t="s">
        <v>1163</v>
      </c>
      <c r="F795" s="52" t="s">
        <v>123</v>
      </c>
      <c r="G795" s="52" t="s">
        <v>1169</v>
      </c>
      <c r="H795" s="52" t="n">
        <v>1</v>
      </c>
    </row>
    <row r="796" customFormat="false" ht="15" hidden="false" customHeight="true" outlineLevel="0" collapsed="false">
      <c r="A796" s="52" t="n">
        <v>795</v>
      </c>
      <c r="B796" s="52" t="s">
        <v>395</v>
      </c>
      <c r="C796" s="52" t="s">
        <v>1123</v>
      </c>
      <c r="D796" s="52" t="s">
        <v>1134</v>
      </c>
      <c r="E796" s="52" t="s">
        <v>1163</v>
      </c>
      <c r="F796" s="52" t="s">
        <v>13</v>
      </c>
      <c r="G796" s="52" t="s">
        <v>442</v>
      </c>
      <c r="H796" s="52" t="n">
        <v>0</v>
      </c>
    </row>
    <row r="797" customFormat="false" ht="15" hidden="false" customHeight="true" outlineLevel="0" collapsed="false">
      <c r="A797" s="52" t="n">
        <v>796</v>
      </c>
      <c r="B797" s="52" t="s">
        <v>395</v>
      </c>
      <c r="C797" s="52" t="s">
        <v>1123</v>
      </c>
      <c r="D797" s="52" t="s">
        <v>1134</v>
      </c>
      <c r="E797" s="52" t="s">
        <v>1163</v>
      </c>
      <c r="F797" s="52" t="s">
        <v>101</v>
      </c>
      <c r="G797" s="52" t="s">
        <v>442</v>
      </c>
      <c r="H797" s="52" t="n">
        <v>0</v>
      </c>
    </row>
    <row r="798" customFormat="false" ht="15" hidden="false" customHeight="true" outlineLevel="0" collapsed="false">
      <c r="A798" s="52" t="n">
        <v>797</v>
      </c>
      <c r="B798" s="52" t="s">
        <v>395</v>
      </c>
      <c r="C798" s="52" t="s">
        <v>1123</v>
      </c>
      <c r="D798" s="52" t="s">
        <v>1134</v>
      </c>
      <c r="E798" s="52" t="s">
        <v>1163</v>
      </c>
      <c r="F798" s="52" t="s">
        <v>86</v>
      </c>
      <c r="G798" s="52" t="s">
        <v>442</v>
      </c>
      <c r="H798" s="52" t="n">
        <v>0</v>
      </c>
    </row>
    <row r="799" customFormat="false" ht="15" hidden="false" customHeight="true" outlineLevel="0" collapsed="false">
      <c r="A799" s="52" t="n">
        <v>798</v>
      </c>
      <c r="B799" s="52" t="s">
        <v>395</v>
      </c>
      <c r="C799" s="52" t="s">
        <v>1123</v>
      </c>
      <c r="D799" s="52" t="s">
        <v>1134</v>
      </c>
      <c r="E799" s="52" t="s">
        <v>1170</v>
      </c>
      <c r="F799" s="52" t="s">
        <v>331</v>
      </c>
      <c r="G799" s="52" t="s">
        <v>1171</v>
      </c>
      <c r="H799" s="52" t="n">
        <v>1</v>
      </c>
    </row>
    <row r="800" customFormat="false" ht="15" hidden="false" customHeight="true" outlineLevel="0" collapsed="false">
      <c r="A800" s="52" t="n">
        <v>799</v>
      </c>
      <c r="B800" s="52" t="s">
        <v>395</v>
      </c>
      <c r="C800" s="52" t="s">
        <v>1123</v>
      </c>
      <c r="D800" s="52" t="s">
        <v>1134</v>
      </c>
      <c r="E800" s="52" t="s">
        <v>1170</v>
      </c>
      <c r="F800" s="52" t="s">
        <v>74</v>
      </c>
      <c r="G800" s="52" t="s">
        <v>1172</v>
      </c>
      <c r="H800" s="52" t="n">
        <v>1</v>
      </c>
    </row>
    <row r="801" customFormat="false" ht="15" hidden="false" customHeight="true" outlineLevel="0" collapsed="false">
      <c r="A801" s="52" t="n">
        <v>800</v>
      </c>
      <c r="B801" s="52" t="s">
        <v>395</v>
      </c>
      <c r="C801" s="52" t="s">
        <v>1123</v>
      </c>
      <c r="D801" s="52" t="s">
        <v>1134</v>
      </c>
      <c r="E801" s="52" t="s">
        <v>1170</v>
      </c>
      <c r="F801" s="52" t="s">
        <v>259</v>
      </c>
      <c r="G801" s="52" t="s">
        <v>1173</v>
      </c>
      <c r="H801" s="52" t="n">
        <v>1</v>
      </c>
    </row>
    <row r="802" customFormat="false" ht="15" hidden="false" customHeight="true" outlineLevel="0" collapsed="false">
      <c r="A802" s="52" t="n">
        <v>801</v>
      </c>
      <c r="B802" s="52" t="s">
        <v>395</v>
      </c>
      <c r="C802" s="52" t="s">
        <v>1123</v>
      </c>
      <c r="D802" s="52" t="s">
        <v>1134</v>
      </c>
      <c r="E802" s="52" t="s">
        <v>1170</v>
      </c>
      <c r="F802" s="52" t="s">
        <v>52</v>
      </c>
      <c r="G802" s="52" t="s">
        <v>1174</v>
      </c>
      <c r="H802" s="52" t="n">
        <v>1</v>
      </c>
    </row>
    <row r="803" customFormat="false" ht="15" hidden="false" customHeight="true" outlineLevel="0" collapsed="false">
      <c r="A803" s="52" t="n">
        <v>802</v>
      </c>
      <c r="B803" s="52" t="s">
        <v>395</v>
      </c>
      <c r="C803" s="52" t="s">
        <v>1123</v>
      </c>
      <c r="D803" s="52" t="s">
        <v>1134</v>
      </c>
      <c r="E803" s="52" t="s">
        <v>1170</v>
      </c>
      <c r="F803" s="52" t="s">
        <v>21</v>
      </c>
      <c r="G803" s="52" t="s">
        <v>1175</v>
      </c>
      <c r="H803" s="52" t="n">
        <v>1</v>
      </c>
    </row>
    <row r="804" customFormat="false" ht="15" hidden="false" customHeight="true" outlineLevel="0" collapsed="false">
      <c r="A804" s="52" t="n">
        <v>803</v>
      </c>
      <c r="B804" s="52" t="s">
        <v>395</v>
      </c>
      <c r="C804" s="52" t="s">
        <v>1123</v>
      </c>
      <c r="D804" s="52" t="s">
        <v>1134</v>
      </c>
      <c r="E804" s="52" t="s">
        <v>1170</v>
      </c>
      <c r="F804" s="52" t="s">
        <v>13</v>
      </c>
      <c r="G804" s="52" t="s">
        <v>442</v>
      </c>
      <c r="H804" s="52" t="n">
        <v>0</v>
      </c>
    </row>
    <row r="805" customFormat="false" ht="15" hidden="false" customHeight="true" outlineLevel="0" collapsed="false">
      <c r="A805" s="52" t="n">
        <v>804</v>
      </c>
      <c r="B805" s="52" t="s">
        <v>395</v>
      </c>
      <c r="C805" s="52" t="s">
        <v>1123</v>
      </c>
      <c r="D805" s="52" t="s">
        <v>1134</v>
      </c>
      <c r="E805" s="52" t="s">
        <v>1170</v>
      </c>
      <c r="F805" s="52" t="s">
        <v>101</v>
      </c>
      <c r="G805" s="52" t="s">
        <v>442</v>
      </c>
      <c r="H805" s="52" t="n">
        <v>0</v>
      </c>
    </row>
    <row r="806" customFormat="false" ht="15" hidden="false" customHeight="true" outlineLevel="0" collapsed="false">
      <c r="A806" s="52" t="n">
        <v>805</v>
      </c>
      <c r="B806" s="52" t="s">
        <v>395</v>
      </c>
      <c r="C806" s="52" t="s">
        <v>1123</v>
      </c>
      <c r="D806" s="52" t="s">
        <v>1134</v>
      </c>
      <c r="E806" s="52" t="s">
        <v>1170</v>
      </c>
      <c r="F806" s="52" t="s">
        <v>86</v>
      </c>
      <c r="G806" s="52" t="s">
        <v>442</v>
      </c>
      <c r="H806" s="52" t="n">
        <v>0</v>
      </c>
    </row>
    <row r="807" customFormat="false" ht="15" hidden="false" customHeight="true" outlineLevel="0" collapsed="false">
      <c r="A807" s="52" t="n">
        <v>806</v>
      </c>
      <c r="B807" s="52" t="s">
        <v>395</v>
      </c>
      <c r="C807" s="52" t="s">
        <v>1123</v>
      </c>
      <c r="D807" s="52" t="s">
        <v>1134</v>
      </c>
      <c r="E807" s="52" t="s">
        <v>1176</v>
      </c>
      <c r="F807" s="52" t="s">
        <v>331</v>
      </c>
      <c r="G807" s="52" t="s">
        <v>1177</v>
      </c>
      <c r="H807" s="52" t="n">
        <v>1</v>
      </c>
    </row>
    <row r="808" customFormat="false" ht="15" hidden="false" customHeight="true" outlineLevel="0" collapsed="false">
      <c r="A808" s="52" t="n">
        <v>807</v>
      </c>
      <c r="B808" s="52" t="s">
        <v>395</v>
      </c>
      <c r="C808" s="52" t="s">
        <v>1123</v>
      </c>
      <c r="D808" s="52" t="s">
        <v>1134</v>
      </c>
      <c r="E808" s="52" t="s">
        <v>1176</v>
      </c>
      <c r="F808" s="52" t="s">
        <v>74</v>
      </c>
      <c r="G808" s="52" t="s">
        <v>1178</v>
      </c>
      <c r="H808" s="52" t="n">
        <v>1</v>
      </c>
    </row>
    <row r="809" customFormat="false" ht="15" hidden="false" customHeight="true" outlineLevel="0" collapsed="false">
      <c r="A809" s="52" t="n">
        <v>808</v>
      </c>
      <c r="B809" s="52" t="s">
        <v>395</v>
      </c>
      <c r="C809" s="52" t="s">
        <v>1123</v>
      </c>
      <c r="D809" s="52" t="s">
        <v>1134</v>
      </c>
      <c r="E809" s="52" t="s">
        <v>1176</v>
      </c>
      <c r="F809" s="52" t="s">
        <v>74</v>
      </c>
      <c r="G809" s="52" t="s">
        <v>1179</v>
      </c>
      <c r="H809" s="52" t="n">
        <v>1</v>
      </c>
    </row>
    <row r="810" customFormat="false" ht="15" hidden="false" customHeight="true" outlineLevel="0" collapsed="false">
      <c r="A810" s="52" t="n">
        <v>809</v>
      </c>
      <c r="B810" s="52" t="s">
        <v>395</v>
      </c>
      <c r="C810" s="52" t="s">
        <v>1123</v>
      </c>
      <c r="D810" s="52" t="s">
        <v>1134</v>
      </c>
      <c r="E810" s="52" t="s">
        <v>1176</v>
      </c>
      <c r="F810" s="52" t="s">
        <v>74</v>
      </c>
      <c r="G810" s="52" t="s">
        <v>1180</v>
      </c>
      <c r="H810" s="52" t="n">
        <v>1</v>
      </c>
    </row>
    <row r="811" customFormat="false" ht="15" hidden="false" customHeight="true" outlineLevel="0" collapsed="false">
      <c r="A811" s="52" t="n">
        <v>810</v>
      </c>
      <c r="B811" s="52" t="s">
        <v>395</v>
      </c>
      <c r="C811" s="52" t="s">
        <v>1123</v>
      </c>
      <c r="D811" s="52" t="s">
        <v>1134</v>
      </c>
      <c r="E811" s="52" t="s">
        <v>1176</v>
      </c>
      <c r="F811" s="52" t="s">
        <v>74</v>
      </c>
      <c r="G811" s="52" t="s">
        <v>1181</v>
      </c>
      <c r="H811" s="52" t="n">
        <v>1</v>
      </c>
    </row>
    <row r="812" customFormat="false" ht="15" hidden="false" customHeight="true" outlineLevel="0" collapsed="false">
      <c r="A812" s="52" t="n">
        <v>811</v>
      </c>
      <c r="B812" s="52" t="s">
        <v>395</v>
      </c>
      <c r="C812" s="52" t="s">
        <v>1123</v>
      </c>
      <c r="D812" s="52" t="s">
        <v>1134</v>
      </c>
      <c r="E812" s="52" t="s">
        <v>1176</v>
      </c>
      <c r="F812" s="52" t="s">
        <v>74</v>
      </c>
      <c r="G812" s="52" t="s">
        <v>1182</v>
      </c>
      <c r="H812" s="52" t="n">
        <v>1</v>
      </c>
    </row>
    <row r="813" customFormat="false" ht="15" hidden="false" customHeight="true" outlineLevel="0" collapsed="false">
      <c r="A813" s="52" t="n">
        <v>812</v>
      </c>
      <c r="B813" s="52" t="s">
        <v>395</v>
      </c>
      <c r="C813" s="52" t="s">
        <v>1123</v>
      </c>
      <c r="D813" s="52" t="s">
        <v>1134</v>
      </c>
      <c r="E813" s="52" t="s">
        <v>1176</v>
      </c>
      <c r="F813" s="52" t="s">
        <v>74</v>
      </c>
      <c r="G813" s="52" t="s">
        <v>1183</v>
      </c>
      <c r="H813" s="52" t="n">
        <v>1</v>
      </c>
    </row>
    <row r="814" customFormat="false" ht="15" hidden="false" customHeight="true" outlineLevel="0" collapsed="false">
      <c r="A814" s="52" t="n">
        <v>813</v>
      </c>
      <c r="B814" s="52" t="s">
        <v>395</v>
      </c>
      <c r="C814" s="52" t="s">
        <v>1123</v>
      </c>
      <c r="D814" s="52" t="s">
        <v>1134</v>
      </c>
      <c r="E814" s="52" t="s">
        <v>1176</v>
      </c>
      <c r="F814" s="52" t="s">
        <v>36</v>
      </c>
      <c r="G814" s="52" t="s">
        <v>1184</v>
      </c>
      <c r="H814" s="52" t="n">
        <v>1</v>
      </c>
    </row>
    <row r="815" customFormat="false" ht="15" hidden="false" customHeight="true" outlineLevel="0" collapsed="false">
      <c r="A815" s="52" t="n">
        <v>814</v>
      </c>
      <c r="B815" s="52" t="s">
        <v>395</v>
      </c>
      <c r="C815" s="52" t="s">
        <v>1123</v>
      </c>
      <c r="D815" s="52" t="s">
        <v>1134</v>
      </c>
      <c r="E815" s="52" t="s">
        <v>1176</v>
      </c>
      <c r="F815" s="52" t="s">
        <v>36</v>
      </c>
      <c r="G815" s="52" t="s">
        <v>1185</v>
      </c>
      <c r="H815" s="52" t="n">
        <v>1</v>
      </c>
    </row>
    <row r="816" customFormat="false" ht="15" hidden="false" customHeight="true" outlineLevel="0" collapsed="false">
      <c r="A816" s="52" t="n">
        <v>815</v>
      </c>
      <c r="B816" s="52" t="s">
        <v>395</v>
      </c>
      <c r="C816" s="52" t="s">
        <v>1123</v>
      </c>
      <c r="D816" s="52" t="s">
        <v>1134</v>
      </c>
      <c r="E816" s="52" t="s">
        <v>1176</v>
      </c>
      <c r="F816" s="52" t="s">
        <v>259</v>
      </c>
      <c r="G816" s="52" t="s">
        <v>1186</v>
      </c>
      <c r="H816" s="52" t="n">
        <v>1</v>
      </c>
    </row>
    <row r="817" customFormat="false" ht="15" hidden="false" customHeight="true" outlineLevel="0" collapsed="false">
      <c r="A817" s="52" t="n">
        <v>816</v>
      </c>
      <c r="B817" s="52" t="s">
        <v>395</v>
      </c>
      <c r="C817" s="52" t="s">
        <v>1123</v>
      </c>
      <c r="D817" s="52" t="s">
        <v>1134</v>
      </c>
      <c r="E817" s="52" t="s">
        <v>1176</v>
      </c>
      <c r="F817" s="52" t="s">
        <v>259</v>
      </c>
      <c r="G817" s="52" t="s">
        <v>1187</v>
      </c>
      <c r="H817" s="52" t="n">
        <v>1</v>
      </c>
    </row>
    <row r="818" customFormat="false" ht="15" hidden="false" customHeight="true" outlineLevel="0" collapsed="false">
      <c r="A818" s="52" t="n">
        <v>817</v>
      </c>
      <c r="B818" s="52" t="s">
        <v>395</v>
      </c>
      <c r="C818" s="52" t="s">
        <v>1123</v>
      </c>
      <c r="D818" s="52" t="s">
        <v>1134</v>
      </c>
      <c r="E818" s="52" t="s">
        <v>1176</v>
      </c>
      <c r="F818" s="52" t="s">
        <v>259</v>
      </c>
      <c r="G818" s="52" t="s">
        <v>1188</v>
      </c>
      <c r="H818" s="52" t="n">
        <v>1</v>
      </c>
    </row>
    <row r="819" customFormat="false" ht="15" hidden="false" customHeight="true" outlineLevel="0" collapsed="false">
      <c r="A819" s="52" t="n">
        <v>818</v>
      </c>
      <c r="B819" s="52" t="s">
        <v>395</v>
      </c>
      <c r="C819" s="52" t="s">
        <v>1123</v>
      </c>
      <c r="D819" s="52" t="s">
        <v>1134</v>
      </c>
      <c r="E819" s="52" t="s">
        <v>1176</v>
      </c>
      <c r="F819" s="52" t="s">
        <v>259</v>
      </c>
      <c r="G819" s="52" t="s">
        <v>1189</v>
      </c>
      <c r="H819" s="52" t="n">
        <v>1</v>
      </c>
    </row>
    <row r="820" customFormat="false" ht="15" hidden="false" customHeight="true" outlineLevel="0" collapsed="false">
      <c r="A820" s="52" t="n">
        <v>819</v>
      </c>
      <c r="B820" s="52" t="s">
        <v>395</v>
      </c>
      <c r="C820" s="52" t="s">
        <v>1123</v>
      </c>
      <c r="D820" s="52" t="s">
        <v>1134</v>
      </c>
      <c r="E820" s="52" t="s">
        <v>1176</v>
      </c>
      <c r="F820" s="52" t="s">
        <v>259</v>
      </c>
      <c r="G820" s="52" t="s">
        <v>1190</v>
      </c>
      <c r="H820" s="52" t="n">
        <v>1</v>
      </c>
    </row>
    <row r="821" customFormat="false" ht="15" hidden="false" customHeight="true" outlineLevel="0" collapsed="false">
      <c r="A821" s="52" t="n">
        <v>820</v>
      </c>
      <c r="B821" s="52" t="s">
        <v>395</v>
      </c>
      <c r="C821" s="52" t="s">
        <v>1123</v>
      </c>
      <c r="D821" s="52" t="s">
        <v>1134</v>
      </c>
      <c r="E821" s="52" t="s">
        <v>1176</v>
      </c>
      <c r="F821" s="52" t="s">
        <v>259</v>
      </c>
      <c r="G821" s="52" t="s">
        <v>1191</v>
      </c>
      <c r="H821" s="52" t="n">
        <v>1</v>
      </c>
    </row>
    <row r="822" customFormat="false" ht="15" hidden="false" customHeight="true" outlineLevel="0" collapsed="false">
      <c r="A822" s="52" t="n">
        <v>821</v>
      </c>
      <c r="B822" s="52" t="s">
        <v>395</v>
      </c>
      <c r="C822" s="52" t="s">
        <v>1123</v>
      </c>
      <c r="D822" s="52" t="s">
        <v>1134</v>
      </c>
      <c r="E822" s="52" t="s">
        <v>1176</v>
      </c>
      <c r="F822" s="52" t="s">
        <v>52</v>
      </c>
      <c r="G822" s="52" t="s">
        <v>1192</v>
      </c>
      <c r="H822" s="52" t="n">
        <v>1</v>
      </c>
    </row>
    <row r="823" customFormat="false" ht="15" hidden="false" customHeight="true" outlineLevel="0" collapsed="false">
      <c r="A823" s="52" t="n">
        <v>822</v>
      </c>
      <c r="B823" s="52" t="s">
        <v>395</v>
      </c>
      <c r="C823" s="52" t="s">
        <v>1123</v>
      </c>
      <c r="D823" s="52" t="s">
        <v>1134</v>
      </c>
      <c r="E823" s="52" t="s">
        <v>1176</v>
      </c>
      <c r="F823" s="52" t="s">
        <v>52</v>
      </c>
      <c r="G823" s="52" t="s">
        <v>1193</v>
      </c>
      <c r="H823" s="52" t="n">
        <v>1</v>
      </c>
    </row>
    <row r="824" customFormat="false" ht="15" hidden="false" customHeight="true" outlineLevel="0" collapsed="false">
      <c r="A824" s="52" t="n">
        <v>823</v>
      </c>
      <c r="B824" s="52" t="s">
        <v>395</v>
      </c>
      <c r="C824" s="52" t="s">
        <v>1123</v>
      </c>
      <c r="D824" s="52" t="s">
        <v>1134</v>
      </c>
      <c r="E824" s="52" t="s">
        <v>1176</v>
      </c>
      <c r="F824" s="52" t="s">
        <v>52</v>
      </c>
      <c r="G824" s="52" t="s">
        <v>1194</v>
      </c>
      <c r="H824" s="52" t="n">
        <v>1</v>
      </c>
    </row>
    <row r="825" customFormat="false" ht="15" hidden="false" customHeight="true" outlineLevel="0" collapsed="false">
      <c r="A825" s="52" t="n">
        <v>824</v>
      </c>
      <c r="B825" s="52" t="s">
        <v>395</v>
      </c>
      <c r="C825" s="52" t="s">
        <v>1123</v>
      </c>
      <c r="D825" s="52" t="s">
        <v>1134</v>
      </c>
      <c r="E825" s="52" t="s">
        <v>1176</v>
      </c>
      <c r="F825" s="52" t="s">
        <v>21</v>
      </c>
      <c r="G825" s="52" t="s">
        <v>1195</v>
      </c>
      <c r="H825" s="52" t="n">
        <v>1</v>
      </c>
    </row>
    <row r="826" customFormat="false" ht="15" hidden="false" customHeight="true" outlineLevel="0" collapsed="false">
      <c r="A826" s="52" t="n">
        <v>825</v>
      </c>
      <c r="B826" s="52" t="s">
        <v>395</v>
      </c>
      <c r="C826" s="52" t="s">
        <v>1123</v>
      </c>
      <c r="D826" s="52" t="s">
        <v>1134</v>
      </c>
      <c r="E826" s="52" t="s">
        <v>1176</v>
      </c>
      <c r="F826" s="52" t="s">
        <v>21</v>
      </c>
      <c r="G826" s="52" t="s">
        <v>1196</v>
      </c>
      <c r="H826" s="52" t="n">
        <v>1</v>
      </c>
    </row>
    <row r="827" customFormat="false" ht="15" hidden="false" customHeight="true" outlineLevel="0" collapsed="false">
      <c r="A827" s="52" t="n">
        <v>826</v>
      </c>
      <c r="B827" s="52" t="s">
        <v>395</v>
      </c>
      <c r="C827" s="52" t="s">
        <v>1123</v>
      </c>
      <c r="D827" s="52" t="s">
        <v>1134</v>
      </c>
      <c r="E827" s="52" t="s">
        <v>1176</v>
      </c>
      <c r="F827" s="52" t="s">
        <v>21</v>
      </c>
      <c r="G827" s="52" t="s">
        <v>1197</v>
      </c>
      <c r="H827" s="52" t="n">
        <v>1</v>
      </c>
    </row>
    <row r="828" customFormat="false" ht="15" hidden="false" customHeight="true" outlineLevel="0" collapsed="false">
      <c r="A828" s="52" t="n">
        <v>827</v>
      </c>
      <c r="B828" s="52" t="s">
        <v>395</v>
      </c>
      <c r="C828" s="52" t="s">
        <v>1123</v>
      </c>
      <c r="D828" s="52" t="s">
        <v>1134</v>
      </c>
      <c r="E828" s="52" t="s">
        <v>1176</v>
      </c>
      <c r="F828" s="52" t="s">
        <v>21</v>
      </c>
      <c r="G828" s="52" t="s">
        <v>1198</v>
      </c>
      <c r="H828" s="52" t="n">
        <v>1</v>
      </c>
    </row>
    <row r="829" customFormat="false" ht="15" hidden="false" customHeight="true" outlineLevel="0" collapsed="false">
      <c r="A829" s="52" t="n">
        <v>828</v>
      </c>
      <c r="B829" s="52" t="s">
        <v>395</v>
      </c>
      <c r="C829" s="52" t="s">
        <v>1123</v>
      </c>
      <c r="D829" s="52" t="s">
        <v>1134</v>
      </c>
      <c r="E829" s="52" t="s">
        <v>1176</v>
      </c>
      <c r="F829" s="52" t="s">
        <v>21</v>
      </c>
      <c r="G829" s="52" t="s">
        <v>1199</v>
      </c>
      <c r="H829" s="52" t="n">
        <v>1</v>
      </c>
    </row>
    <row r="830" customFormat="false" ht="15" hidden="false" customHeight="true" outlineLevel="0" collapsed="false">
      <c r="A830" s="52" t="n">
        <v>829</v>
      </c>
      <c r="B830" s="52" t="s">
        <v>395</v>
      </c>
      <c r="C830" s="52" t="s">
        <v>1123</v>
      </c>
      <c r="D830" s="52" t="s">
        <v>1134</v>
      </c>
      <c r="E830" s="52" t="s">
        <v>1176</v>
      </c>
      <c r="F830" s="52" t="s">
        <v>123</v>
      </c>
      <c r="G830" s="52" t="s">
        <v>1200</v>
      </c>
      <c r="H830" s="52" t="n">
        <v>1</v>
      </c>
    </row>
    <row r="831" customFormat="false" ht="15" hidden="false" customHeight="true" outlineLevel="0" collapsed="false">
      <c r="A831" s="52" t="n">
        <v>830</v>
      </c>
      <c r="B831" s="52" t="s">
        <v>395</v>
      </c>
      <c r="C831" s="52" t="s">
        <v>1123</v>
      </c>
      <c r="D831" s="52" t="s">
        <v>1134</v>
      </c>
      <c r="E831" s="52" t="s">
        <v>1176</v>
      </c>
      <c r="F831" s="52" t="s">
        <v>123</v>
      </c>
      <c r="G831" s="52" t="s">
        <v>1201</v>
      </c>
      <c r="H831" s="52" t="n">
        <v>1</v>
      </c>
    </row>
    <row r="832" customFormat="false" ht="15" hidden="false" customHeight="true" outlineLevel="0" collapsed="false">
      <c r="A832" s="52" t="n">
        <v>831</v>
      </c>
      <c r="B832" s="52" t="s">
        <v>395</v>
      </c>
      <c r="C832" s="52" t="s">
        <v>1123</v>
      </c>
      <c r="D832" s="52" t="s">
        <v>1134</v>
      </c>
      <c r="E832" s="52" t="s">
        <v>1176</v>
      </c>
      <c r="F832" s="52" t="s">
        <v>123</v>
      </c>
      <c r="G832" s="52" t="s">
        <v>1202</v>
      </c>
      <c r="H832" s="52" t="n">
        <v>1</v>
      </c>
    </row>
    <row r="833" customFormat="false" ht="15" hidden="false" customHeight="true" outlineLevel="0" collapsed="false">
      <c r="A833" s="52" t="n">
        <v>832</v>
      </c>
      <c r="B833" s="52" t="s">
        <v>395</v>
      </c>
      <c r="C833" s="52" t="s">
        <v>1123</v>
      </c>
      <c r="D833" s="52" t="s">
        <v>1134</v>
      </c>
      <c r="E833" s="52" t="s">
        <v>1176</v>
      </c>
      <c r="F833" s="52" t="s">
        <v>13</v>
      </c>
      <c r="G833" s="52" t="s">
        <v>1203</v>
      </c>
      <c r="H833" s="52" t="n">
        <v>1</v>
      </c>
    </row>
    <row r="834" customFormat="false" ht="15" hidden="false" customHeight="true" outlineLevel="0" collapsed="false">
      <c r="A834" s="52" t="n">
        <v>833</v>
      </c>
      <c r="B834" s="52" t="s">
        <v>395</v>
      </c>
      <c r="C834" s="52" t="s">
        <v>1123</v>
      </c>
      <c r="D834" s="52" t="s">
        <v>1134</v>
      </c>
      <c r="E834" s="52" t="s">
        <v>1176</v>
      </c>
      <c r="F834" s="52" t="s">
        <v>101</v>
      </c>
      <c r="G834" s="52" t="s">
        <v>1204</v>
      </c>
      <c r="H834" s="52" t="n">
        <v>1</v>
      </c>
    </row>
    <row r="835" customFormat="false" ht="15" hidden="false" customHeight="true" outlineLevel="0" collapsed="false">
      <c r="A835" s="52" t="n">
        <v>834</v>
      </c>
      <c r="B835" s="52" t="s">
        <v>395</v>
      </c>
      <c r="C835" s="52" t="s">
        <v>1123</v>
      </c>
      <c r="D835" s="52" t="s">
        <v>1134</v>
      </c>
      <c r="E835" s="52" t="s">
        <v>1176</v>
      </c>
      <c r="F835" s="52" t="s">
        <v>86</v>
      </c>
      <c r="G835" s="52" t="s">
        <v>442</v>
      </c>
      <c r="H835" s="52" t="n">
        <v>0</v>
      </c>
    </row>
    <row r="836" customFormat="false" ht="15" hidden="false" customHeight="true" outlineLevel="0" collapsed="false">
      <c r="A836" s="52" t="n">
        <v>835</v>
      </c>
      <c r="B836" s="52" t="s">
        <v>395</v>
      </c>
      <c r="C836" s="52" t="s">
        <v>1123</v>
      </c>
      <c r="D836" s="52" t="s">
        <v>1134</v>
      </c>
      <c r="E836" s="52" t="s">
        <v>1205</v>
      </c>
      <c r="F836" s="52" t="s">
        <v>331</v>
      </c>
      <c r="G836" s="52" t="s">
        <v>1206</v>
      </c>
      <c r="H836" s="52" t="n">
        <v>1</v>
      </c>
    </row>
    <row r="837" customFormat="false" ht="15" hidden="false" customHeight="true" outlineLevel="0" collapsed="false">
      <c r="A837" s="52" t="n">
        <v>836</v>
      </c>
      <c r="B837" s="52" t="s">
        <v>395</v>
      </c>
      <c r="C837" s="52" t="s">
        <v>1123</v>
      </c>
      <c r="D837" s="52" t="s">
        <v>1134</v>
      </c>
      <c r="E837" s="52" t="s">
        <v>1205</v>
      </c>
      <c r="F837" s="52" t="s">
        <v>331</v>
      </c>
      <c r="G837" s="52" t="s">
        <v>1207</v>
      </c>
      <c r="H837" s="52" t="n">
        <v>1</v>
      </c>
    </row>
    <row r="838" customFormat="false" ht="15" hidden="false" customHeight="true" outlineLevel="0" collapsed="false">
      <c r="A838" s="52" t="n">
        <v>837</v>
      </c>
      <c r="B838" s="52" t="s">
        <v>395</v>
      </c>
      <c r="C838" s="52" t="s">
        <v>1123</v>
      </c>
      <c r="D838" s="52" t="s">
        <v>1134</v>
      </c>
      <c r="E838" s="52" t="s">
        <v>1205</v>
      </c>
      <c r="F838" s="52" t="s">
        <v>74</v>
      </c>
      <c r="G838" s="52" t="s">
        <v>1208</v>
      </c>
      <c r="H838" s="52" t="n">
        <v>1</v>
      </c>
    </row>
    <row r="839" customFormat="false" ht="15" hidden="false" customHeight="true" outlineLevel="0" collapsed="false">
      <c r="A839" s="52" t="n">
        <v>838</v>
      </c>
      <c r="B839" s="52" t="s">
        <v>395</v>
      </c>
      <c r="C839" s="52" t="s">
        <v>1123</v>
      </c>
      <c r="D839" s="52" t="s">
        <v>1134</v>
      </c>
      <c r="E839" s="52" t="s">
        <v>1205</v>
      </c>
      <c r="F839" s="52" t="s">
        <v>74</v>
      </c>
      <c r="G839" s="52" t="s">
        <v>1209</v>
      </c>
      <c r="H839" s="52" t="n">
        <v>1</v>
      </c>
    </row>
    <row r="840" customFormat="false" ht="15" hidden="false" customHeight="true" outlineLevel="0" collapsed="false">
      <c r="A840" s="52" t="n">
        <v>839</v>
      </c>
      <c r="B840" s="52" t="s">
        <v>395</v>
      </c>
      <c r="C840" s="52" t="s">
        <v>1123</v>
      </c>
      <c r="D840" s="52" t="s">
        <v>1134</v>
      </c>
      <c r="E840" s="52" t="s">
        <v>1205</v>
      </c>
      <c r="F840" s="52" t="s">
        <v>36</v>
      </c>
      <c r="G840" s="52" t="s">
        <v>1210</v>
      </c>
      <c r="H840" s="52" t="n">
        <v>1</v>
      </c>
    </row>
    <row r="841" customFormat="false" ht="15" hidden="false" customHeight="true" outlineLevel="0" collapsed="false">
      <c r="A841" s="52" t="n">
        <v>840</v>
      </c>
      <c r="B841" s="52" t="s">
        <v>395</v>
      </c>
      <c r="C841" s="52" t="s">
        <v>1123</v>
      </c>
      <c r="D841" s="52" t="s">
        <v>1134</v>
      </c>
      <c r="E841" s="52" t="s">
        <v>1205</v>
      </c>
      <c r="F841" s="52" t="s">
        <v>36</v>
      </c>
      <c r="G841" s="52" t="s">
        <v>1211</v>
      </c>
      <c r="H841" s="52" t="n">
        <v>1</v>
      </c>
    </row>
    <row r="842" customFormat="false" ht="15" hidden="false" customHeight="true" outlineLevel="0" collapsed="false">
      <c r="A842" s="52" t="n">
        <v>841</v>
      </c>
      <c r="B842" s="52" t="s">
        <v>395</v>
      </c>
      <c r="C842" s="52" t="s">
        <v>1123</v>
      </c>
      <c r="D842" s="52" t="s">
        <v>1134</v>
      </c>
      <c r="E842" s="52" t="s">
        <v>1205</v>
      </c>
      <c r="F842" s="52" t="s">
        <v>36</v>
      </c>
      <c r="G842" s="52" t="s">
        <v>1212</v>
      </c>
      <c r="H842" s="52" t="n">
        <v>1</v>
      </c>
    </row>
    <row r="843" customFormat="false" ht="15" hidden="false" customHeight="true" outlineLevel="0" collapsed="false">
      <c r="A843" s="52" t="n">
        <v>842</v>
      </c>
      <c r="B843" s="52" t="s">
        <v>395</v>
      </c>
      <c r="C843" s="52" t="s">
        <v>1123</v>
      </c>
      <c r="D843" s="52" t="s">
        <v>1134</v>
      </c>
      <c r="E843" s="52" t="s">
        <v>1205</v>
      </c>
      <c r="F843" s="52" t="s">
        <v>259</v>
      </c>
      <c r="G843" s="52" t="s">
        <v>1213</v>
      </c>
      <c r="H843" s="52" t="n">
        <v>1</v>
      </c>
    </row>
    <row r="844" customFormat="false" ht="15" hidden="false" customHeight="true" outlineLevel="0" collapsed="false">
      <c r="A844" s="52" t="n">
        <v>843</v>
      </c>
      <c r="B844" s="52" t="s">
        <v>395</v>
      </c>
      <c r="C844" s="52" t="s">
        <v>1123</v>
      </c>
      <c r="D844" s="52" t="s">
        <v>1134</v>
      </c>
      <c r="E844" s="52" t="s">
        <v>1205</v>
      </c>
      <c r="F844" s="52" t="s">
        <v>52</v>
      </c>
      <c r="G844" s="52" t="s">
        <v>1214</v>
      </c>
      <c r="H844" s="52" t="n">
        <v>1</v>
      </c>
    </row>
    <row r="845" customFormat="false" ht="15" hidden="false" customHeight="true" outlineLevel="0" collapsed="false">
      <c r="A845" s="52" t="n">
        <v>844</v>
      </c>
      <c r="B845" s="52" t="s">
        <v>395</v>
      </c>
      <c r="C845" s="52" t="s">
        <v>1123</v>
      </c>
      <c r="D845" s="52" t="s">
        <v>1134</v>
      </c>
      <c r="E845" s="52" t="s">
        <v>1205</v>
      </c>
      <c r="F845" s="52" t="s">
        <v>21</v>
      </c>
      <c r="G845" s="52" t="s">
        <v>1215</v>
      </c>
      <c r="H845" s="52" t="n">
        <v>1</v>
      </c>
    </row>
    <row r="846" customFormat="false" ht="15" hidden="false" customHeight="true" outlineLevel="0" collapsed="false">
      <c r="A846" s="52" t="n">
        <v>845</v>
      </c>
      <c r="B846" s="52" t="s">
        <v>395</v>
      </c>
      <c r="C846" s="52" t="s">
        <v>1123</v>
      </c>
      <c r="D846" s="52" t="s">
        <v>1134</v>
      </c>
      <c r="E846" s="52" t="s">
        <v>1205</v>
      </c>
      <c r="F846" s="52" t="s">
        <v>21</v>
      </c>
      <c r="G846" s="52" t="s">
        <v>1216</v>
      </c>
      <c r="H846" s="52" t="n">
        <v>1</v>
      </c>
    </row>
    <row r="847" customFormat="false" ht="15" hidden="false" customHeight="true" outlineLevel="0" collapsed="false">
      <c r="A847" s="52" t="n">
        <v>846</v>
      </c>
      <c r="B847" s="52" t="s">
        <v>395</v>
      </c>
      <c r="C847" s="52" t="s">
        <v>1123</v>
      </c>
      <c r="D847" s="52" t="s">
        <v>1134</v>
      </c>
      <c r="E847" s="52" t="s">
        <v>1205</v>
      </c>
      <c r="F847" s="52" t="s">
        <v>123</v>
      </c>
      <c r="G847" s="52" t="s">
        <v>1217</v>
      </c>
      <c r="H847" s="52" t="n">
        <v>1</v>
      </c>
    </row>
    <row r="848" customFormat="false" ht="15" hidden="false" customHeight="true" outlineLevel="0" collapsed="false">
      <c r="A848" s="52" t="n">
        <v>847</v>
      </c>
      <c r="B848" s="52" t="s">
        <v>395</v>
      </c>
      <c r="C848" s="52" t="s">
        <v>1123</v>
      </c>
      <c r="D848" s="52" t="s">
        <v>1134</v>
      </c>
      <c r="E848" s="52" t="s">
        <v>1205</v>
      </c>
      <c r="F848" s="52" t="s">
        <v>123</v>
      </c>
      <c r="G848" s="52" t="s">
        <v>1218</v>
      </c>
      <c r="H848" s="52" t="n">
        <v>1</v>
      </c>
    </row>
    <row r="849" customFormat="false" ht="15" hidden="false" customHeight="true" outlineLevel="0" collapsed="false">
      <c r="A849" s="52" t="n">
        <v>848</v>
      </c>
      <c r="B849" s="52" t="s">
        <v>395</v>
      </c>
      <c r="C849" s="52" t="s">
        <v>1123</v>
      </c>
      <c r="D849" s="52" t="s">
        <v>1134</v>
      </c>
      <c r="E849" s="52" t="s">
        <v>1205</v>
      </c>
      <c r="F849" s="52" t="s">
        <v>13</v>
      </c>
      <c r="G849" s="52" t="s">
        <v>1219</v>
      </c>
      <c r="H849" s="52" t="n">
        <v>1</v>
      </c>
    </row>
    <row r="850" customFormat="false" ht="15" hidden="false" customHeight="true" outlineLevel="0" collapsed="false">
      <c r="A850" s="52" t="n">
        <v>849</v>
      </c>
      <c r="B850" s="52" t="s">
        <v>395</v>
      </c>
      <c r="C850" s="52" t="s">
        <v>1123</v>
      </c>
      <c r="D850" s="52" t="s">
        <v>1134</v>
      </c>
      <c r="E850" s="52" t="s">
        <v>1205</v>
      </c>
      <c r="F850" s="52" t="s">
        <v>13</v>
      </c>
      <c r="G850" s="52" t="s">
        <v>1220</v>
      </c>
      <c r="H850" s="52" t="n">
        <v>1</v>
      </c>
    </row>
    <row r="851" customFormat="false" ht="15" hidden="false" customHeight="true" outlineLevel="0" collapsed="false">
      <c r="A851" s="52" t="n">
        <v>850</v>
      </c>
      <c r="B851" s="52" t="s">
        <v>395</v>
      </c>
      <c r="C851" s="52" t="s">
        <v>1123</v>
      </c>
      <c r="D851" s="52" t="s">
        <v>1134</v>
      </c>
      <c r="E851" s="52" t="s">
        <v>1205</v>
      </c>
      <c r="F851" s="52" t="s">
        <v>101</v>
      </c>
      <c r="G851" s="52" t="s">
        <v>1221</v>
      </c>
      <c r="H851" s="52" t="n">
        <v>1</v>
      </c>
    </row>
    <row r="852" customFormat="false" ht="15" hidden="false" customHeight="true" outlineLevel="0" collapsed="false">
      <c r="A852" s="52" t="n">
        <v>851</v>
      </c>
      <c r="B852" s="52" t="s">
        <v>395</v>
      </c>
      <c r="C852" s="52" t="s">
        <v>1123</v>
      </c>
      <c r="D852" s="52" t="s">
        <v>1134</v>
      </c>
      <c r="E852" s="52" t="s">
        <v>1205</v>
      </c>
      <c r="F852" s="52" t="s">
        <v>101</v>
      </c>
      <c r="G852" s="52" t="s">
        <v>1222</v>
      </c>
      <c r="H852" s="52" t="n">
        <v>1</v>
      </c>
    </row>
    <row r="853" customFormat="false" ht="15" hidden="false" customHeight="true" outlineLevel="0" collapsed="false">
      <c r="A853" s="52" t="n">
        <v>852</v>
      </c>
      <c r="B853" s="52" t="s">
        <v>395</v>
      </c>
      <c r="C853" s="52" t="s">
        <v>1123</v>
      </c>
      <c r="D853" s="52" t="s">
        <v>1134</v>
      </c>
      <c r="E853" s="52" t="s">
        <v>1205</v>
      </c>
      <c r="F853" s="52" t="s">
        <v>86</v>
      </c>
      <c r="G853" s="52" t="s">
        <v>442</v>
      </c>
      <c r="H853" s="52" t="n">
        <v>0</v>
      </c>
    </row>
    <row r="854" customFormat="false" ht="15" hidden="false" customHeight="true" outlineLevel="0" collapsed="false">
      <c r="A854" s="52" t="n">
        <v>853</v>
      </c>
      <c r="B854" s="52" t="s">
        <v>395</v>
      </c>
      <c r="C854" s="52" t="s">
        <v>1123</v>
      </c>
      <c r="D854" s="52" t="s">
        <v>1134</v>
      </c>
      <c r="E854" s="52" t="s">
        <v>1223</v>
      </c>
      <c r="F854" s="52" t="s">
        <v>331</v>
      </c>
      <c r="G854" s="52" t="s">
        <v>1224</v>
      </c>
      <c r="H854" s="52" t="n">
        <v>1</v>
      </c>
    </row>
    <row r="855" customFormat="false" ht="15" hidden="false" customHeight="true" outlineLevel="0" collapsed="false">
      <c r="A855" s="52" t="n">
        <v>854</v>
      </c>
      <c r="B855" s="52" t="s">
        <v>395</v>
      </c>
      <c r="C855" s="52" t="s">
        <v>1123</v>
      </c>
      <c r="D855" s="52" t="s">
        <v>1134</v>
      </c>
      <c r="E855" s="52" t="s">
        <v>1223</v>
      </c>
      <c r="F855" s="52" t="s">
        <v>74</v>
      </c>
      <c r="G855" s="52" t="s">
        <v>1225</v>
      </c>
      <c r="H855" s="52" t="n">
        <v>1</v>
      </c>
    </row>
    <row r="856" customFormat="false" ht="15" hidden="false" customHeight="true" outlineLevel="0" collapsed="false">
      <c r="A856" s="52" t="n">
        <v>855</v>
      </c>
      <c r="B856" s="52" t="s">
        <v>395</v>
      </c>
      <c r="C856" s="52" t="s">
        <v>1123</v>
      </c>
      <c r="D856" s="52" t="s">
        <v>1134</v>
      </c>
      <c r="E856" s="52" t="s">
        <v>1223</v>
      </c>
      <c r="F856" s="52" t="s">
        <v>36</v>
      </c>
      <c r="G856" s="52" t="s">
        <v>1226</v>
      </c>
      <c r="H856" s="52" t="n">
        <v>1</v>
      </c>
    </row>
    <row r="857" customFormat="false" ht="15" hidden="false" customHeight="true" outlineLevel="0" collapsed="false">
      <c r="A857" s="52" t="n">
        <v>856</v>
      </c>
      <c r="B857" s="52" t="s">
        <v>395</v>
      </c>
      <c r="C857" s="52" t="s">
        <v>1123</v>
      </c>
      <c r="D857" s="52" t="s">
        <v>1134</v>
      </c>
      <c r="E857" s="52" t="s">
        <v>1223</v>
      </c>
      <c r="F857" s="52" t="s">
        <v>52</v>
      </c>
      <c r="G857" s="52" t="s">
        <v>1227</v>
      </c>
      <c r="H857" s="52" t="n">
        <v>1</v>
      </c>
    </row>
    <row r="858" customFormat="false" ht="15" hidden="false" customHeight="true" outlineLevel="0" collapsed="false">
      <c r="A858" s="52" t="n">
        <v>857</v>
      </c>
      <c r="B858" s="52" t="s">
        <v>395</v>
      </c>
      <c r="C858" s="52" t="s">
        <v>1123</v>
      </c>
      <c r="D858" s="52" t="s">
        <v>1134</v>
      </c>
      <c r="E858" s="52" t="s">
        <v>1223</v>
      </c>
      <c r="F858" s="52" t="s">
        <v>21</v>
      </c>
      <c r="G858" s="52" t="s">
        <v>1228</v>
      </c>
      <c r="H858" s="52" t="n">
        <v>1</v>
      </c>
    </row>
    <row r="859" customFormat="false" ht="15" hidden="false" customHeight="true" outlineLevel="0" collapsed="false">
      <c r="A859" s="52" t="n">
        <v>858</v>
      </c>
      <c r="B859" s="52" t="s">
        <v>395</v>
      </c>
      <c r="C859" s="52" t="s">
        <v>1123</v>
      </c>
      <c r="D859" s="52" t="s">
        <v>1134</v>
      </c>
      <c r="E859" s="52" t="s">
        <v>1223</v>
      </c>
      <c r="F859" s="52" t="s">
        <v>123</v>
      </c>
      <c r="G859" s="52" t="s">
        <v>1229</v>
      </c>
      <c r="H859" s="52" t="n">
        <v>1</v>
      </c>
    </row>
    <row r="860" customFormat="false" ht="15" hidden="false" customHeight="true" outlineLevel="0" collapsed="false">
      <c r="A860" s="52" t="n">
        <v>859</v>
      </c>
      <c r="B860" s="52" t="s">
        <v>395</v>
      </c>
      <c r="C860" s="52" t="s">
        <v>1123</v>
      </c>
      <c r="D860" s="52" t="s">
        <v>1134</v>
      </c>
      <c r="E860" s="52" t="s">
        <v>1223</v>
      </c>
      <c r="F860" s="52" t="s">
        <v>13</v>
      </c>
      <c r="G860" s="52" t="s">
        <v>1230</v>
      </c>
      <c r="H860" s="52" t="n">
        <v>1</v>
      </c>
    </row>
    <row r="861" customFormat="false" ht="15" hidden="false" customHeight="true" outlineLevel="0" collapsed="false">
      <c r="A861" s="52" t="n">
        <v>860</v>
      </c>
      <c r="B861" s="52" t="s">
        <v>395</v>
      </c>
      <c r="C861" s="52" t="s">
        <v>1123</v>
      </c>
      <c r="D861" s="52" t="s">
        <v>1134</v>
      </c>
      <c r="E861" s="52" t="s">
        <v>1223</v>
      </c>
      <c r="F861" s="52" t="s">
        <v>13</v>
      </c>
      <c r="G861" s="52" t="s">
        <v>1231</v>
      </c>
      <c r="H861" s="52" t="n">
        <v>1</v>
      </c>
    </row>
    <row r="862" customFormat="false" ht="15" hidden="false" customHeight="true" outlineLevel="0" collapsed="false">
      <c r="A862" s="52" t="n">
        <v>861</v>
      </c>
      <c r="B862" s="52" t="s">
        <v>395</v>
      </c>
      <c r="C862" s="52" t="s">
        <v>1123</v>
      </c>
      <c r="D862" s="52" t="s">
        <v>1134</v>
      </c>
      <c r="E862" s="52" t="s">
        <v>1223</v>
      </c>
      <c r="F862" s="52" t="s">
        <v>101</v>
      </c>
      <c r="G862" s="52" t="s">
        <v>1232</v>
      </c>
      <c r="H862" s="52" t="n">
        <v>1</v>
      </c>
    </row>
    <row r="863" customFormat="false" ht="15" hidden="false" customHeight="true" outlineLevel="0" collapsed="false">
      <c r="A863" s="52" t="n">
        <v>862</v>
      </c>
      <c r="B863" s="52" t="s">
        <v>395</v>
      </c>
      <c r="C863" s="52" t="s">
        <v>1123</v>
      </c>
      <c r="D863" s="52" t="s">
        <v>1134</v>
      </c>
      <c r="E863" s="52" t="s">
        <v>1223</v>
      </c>
      <c r="F863" s="52" t="s">
        <v>86</v>
      </c>
      <c r="G863" s="52" t="s">
        <v>442</v>
      </c>
      <c r="H863" s="52" t="n">
        <v>0</v>
      </c>
    </row>
    <row r="864" customFormat="false" ht="15" hidden="false" customHeight="true" outlineLevel="0" collapsed="false">
      <c r="A864" s="52" t="n">
        <v>863</v>
      </c>
      <c r="B864" s="52" t="s">
        <v>395</v>
      </c>
      <c r="C864" s="52" t="s">
        <v>1123</v>
      </c>
      <c r="D864" s="52" t="s">
        <v>1134</v>
      </c>
      <c r="E864" s="52" t="s">
        <v>1233</v>
      </c>
      <c r="F864" s="52" t="s">
        <v>331</v>
      </c>
      <c r="G864" s="52" t="s">
        <v>1234</v>
      </c>
      <c r="H864" s="52" t="n">
        <v>1</v>
      </c>
    </row>
    <row r="865" customFormat="false" ht="15" hidden="false" customHeight="true" outlineLevel="0" collapsed="false">
      <c r="A865" s="52" t="n">
        <v>864</v>
      </c>
      <c r="B865" s="52" t="s">
        <v>395</v>
      </c>
      <c r="C865" s="52" t="s">
        <v>1123</v>
      </c>
      <c r="D865" s="52" t="s">
        <v>1134</v>
      </c>
      <c r="E865" s="52" t="s">
        <v>1233</v>
      </c>
      <c r="F865" s="52" t="s">
        <v>74</v>
      </c>
      <c r="G865" s="52" t="s">
        <v>1235</v>
      </c>
      <c r="H865" s="52" t="n">
        <v>1</v>
      </c>
    </row>
    <row r="866" customFormat="false" ht="15" hidden="false" customHeight="true" outlineLevel="0" collapsed="false">
      <c r="A866" s="52" t="n">
        <v>865</v>
      </c>
      <c r="B866" s="52" t="s">
        <v>395</v>
      </c>
      <c r="C866" s="52" t="s">
        <v>1123</v>
      </c>
      <c r="D866" s="52" t="s">
        <v>1134</v>
      </c>
      <c r="E866" s="52" t="s">
        <v>1233</v>
      </c>
      <c r="F866" s="52" t="s">
        <v>36</v>
      </c>
      <c r="G866" s="52" t="s">
        <v>1236</v>
      </c>
      <c r="H866" s="52" t="n">
        <v>1</v>
      </c>
    </row>
    <row r="867" customFormat="false" ht="15" hidden="false" customHeight="true" outlineLevel="0" collapsed="false">
      <c r="A867" s="52" t="n">
        <v>866</v>
      </c>
      <c r="B867" s="52" t="s">
        <v>395</v>
      </c>
      <c r="C867" s="52" t="s">
        <v>1123</v>
      </c>
      <c r="D867" s="52" t="s">
        <v>1134</v>
      </c>
      <c r="E867" s="52" t="s">
        <v>1233</v>
      </c>
      <c r="F867" s="52" t="s">
        <v>259</v>
      </c>
      <c r="G867" s="52" t="s">
        <v>1237</v>
      </c>
      <c r="H867" s="52" t="n">
        <v>1</v>
      </c>
    </row>
    <row r="868" customFormat="false" ht="15" hidden="false" customHeight="true" outlineLevel="0" collapsed="false">
      <c r="A868" s="52" t="n">
        <v>867</v>
      </c>
      <c r="B868" s="52" t="s">
        <v>395</v>
      </c>
      <c r="C868" s="52" t="s">
        <v>1123</v>
      </c>
      <c r="D868" s="52" t="s">
        <v>1134</v>
      </c>
      <c r="E868" s="52" t="s">
        <v>1233</v>
      </c>
      <c r="F868" s="52" t="s">
        <v>52</v>
      </c>
      <c r="G868" s="52" t="s">
        <v>1238</v>
      </c>
      <c r="H868" s="52" t="n">
        <v>1</v>
      </c>
    </row>
    <row r="869" customFormat="false" ht="15" hidden="false" customHeight="true" outlineLevel="0" collapsed="false">
      <c r="A869" s="52" t="n">
        <v>868</v>
      </c>
      <c r="B869" s="52" t="s">
        <v>395</v>
      </c>
      <c r="C869" s="52" t="s">
        <v>1123</v>
      </c>
      <c r="D869" s="52" t="s">
        <v>1134</v>
      </c>
      <c r="E869" s="52" t="s">
        <v>1233</v>
      </c>
      <c r="F869" s="52" t="s">
        <v>21</v>
      </c>
      <c r="G869" s="52" t="s">
        <v>1239</v>
      </c>
      <c r="H869" s="52" t="n">
        <v>1</v>
      </c>
    </row>
    <row r="870" customFormat="false" ht="15" hidden="false" customHeight="true" outlineLevel="0" collapsed="false">
      <c r="A870" s="52" t="n">
        <v>869</v>
      </c>
      <c r="B870" s="52" t="s">
        <v>395</v>
      </c>
      <c r="C870" s="52" t="s">
        <v>1123</v>
      </c>
      <c r="D870" s="52" t="s">
        <v>1134</v>
      </c>
      <c r="E870" s="52" t="s">
        <v>1233</v>
      </c>
      <c r="F870" s="52" t="s">
        <v>13</v>
      </c>
      <c r="G870" s="52" t="s">
        <v>1240</v>
      </c>
      <c r="H870" s="52" t="n">
        <v>1</v>
      </c>
    </row>
    <row r="871" customFormat="false" ht="15" hidden="false" customHeight="true" outlineLevel="0" collapsed="false">
      <c r="A871" s="52" t="n">
        <v>870</v>
      </c>
      <c r="B871" s="52" t="s">
        <v>395</v>
      </c>
      <c r="C871" s="52" t="s">
        <v>1123</v>
      </c>
      <c r="D871" s="52" t="s">
        <v>1134</v>
      </c>
      <c r="E871" s="52" t="s">
        <v>1233</v>
      </c>
      <c r="F871" s="52" t="s">
        <v>101</v>
      </c>
      <c r="G871" s="52" t="s">
        <v>1241</v>
      </c>
      <c r="H871" s="52" t="n">
        <v>1</v>
      </c>
    </row>
    <row r="872" customFormat="false" ht="15" hidden="false" customHeight="true" outlineLevel="0" collapsed="false">
      <c r="A872" s="52" t="n">
        <v>871</v>
      </c>
      <c r="B872" s="52" t="s">
        <v>395</v>
      </c>
      <c r="C872" s="52" t="s">
        <v>1123</v>
      </c>
      <c r="D872" s="52" t="s">
        <v>1134</v>
      </c>
      <c r="E872" s="52" t="s">
        <v>1233</v>
      </c>
      <c r="F872" s="52" t="s">
        <v>86</v>
      </c>
      <c r="G872" s="52" t="s">
        <v>442</v>
      </c>
      <c r="H872" s="52" t="n">
        <v>0</v>
      </c>
    </row>
    <row r="873" customFormat="false" ht="15" hidden="false" customHeight="true" outlineLevel="0" collapsed="false">
      <c r="A873" s="52" t="n">
        <v>872</v>
      </c>
      <c r="B873" s="52" t="s">
        <v>395</v>
      </c>
      <c r="C873" s="52" t="s">
        <v>1123</v>
      </c>
      <c r="D873" s="52" t="s">
        <v>1134</v>
      </c>
      <c r="E873" s="52" t="s">
        <v>1242</v>
      </c>
      <c r="F873" s="52" t="s">
        <v>331</v>
      </c>
      <c r="G873" s="52" t="s">
        <v>1243</v>
      </c>
      <c r="H873" s="52" t="n">
        <v>1</v>
      </c>
    </row>
    <row r="874" customFormat="false" ht="15" hidden="false" customHeight="true" outlineLevel="0" collapsed="false">
      <c r="A874" s="52" t="n">
        <v>873</v>
      </c>
      <c r="B874" s="52" t="s">
        <v>395</v>
      </c>
      <c r="C874" s="52" t="s">
        <v>1123</v>
      </c>
      <c r="D874" s="52" t="s">
        <v>1134</v>
      </c>
      <c r="E874" s="52" t="s">
        <v>1242</v>
      </c>
      <c r="F874" s="52" t="s">
        <v>331</v>
      </c>
      <c r="G874" s="52" t="s">
        <v>1244</v>
      </c>
      <c r="H874" s="52" t="n">
        <v>1</v>
      </c>
    </row>
    <row r="875" customFormat="false" ht="15" hidden="false" customHeight="true" outlineLevel="0" collapsed="false">
      <c r="A875" s="52" t="n">
        <v>874</v>
      </c>
      <c r="B875" s="52" t="s">
        <v>395</v>
      </c>
      <c r="C875" s="52" t="s">
        <v>1123</v>
      </c>
      <c r="D875" s="52" t="s">
        <v>1134</v>
      </c>
      <c r="E875" s="52" t="s">
        <v>1242</v>
      </c>
      <c r="F875" s="52" t="s">
        <v>331</v>
      </c>
      <c r="G875" s="52" t="s">
        <v>1245</v>
      </c>
      <c r="H875" s="52" t="n">
        <v>1</v>
      </c>
    </row>
    <row r="876" customFormat="false" ht="15" hidden="false" customHeight="true" outlineLevel="0" collapsed="false">
      <c r="A876" s="52" t="n">
        <v>875</v>
      </c>
      <c r="B876" s="52" t="s">
        <v>395</v>
      </c>
      <c r="C876" s="52" t="s">
        <v>1123</v>
      </c>
      <c r="D876" s="52" t="s">
        <v>1134</v>
      </c>
      <c r="E876" s="52" t="s">
        <v>1242</v>
      </c>
      <c r="F876" s="52" t="s">
        <v>74</v>
      </c>
      <c r="G876" s="52" t="s">
        <v>1246</v>
      </c>
      <c r="H876" s="52" t="n">
        <v>1</v>
      </c>
    </row>
    <row r="877" customFormat="false" ht="15" hidden="false" customHeight="true" outlineLevel="0" collapsed="false">
      <c r="A877" s="52" t="n">
        <v>876</v>
      </c>
      <c r="B877" s="52" t="s">
        <v>395</v>
      </c>
      <c r="C877" s="52" t="s">
        <v>1123</v>
      </c>
      <c r="D877" s="52" t="s">
        <v>1134</v>
      </c>
      <c r="E877" s="52" t="s">
        <v>1242</v>
      </c>
      <c r="F877" s="52" t="s">
        <v>74</v>
      </c>
      <c r="G877" s="52" t="s">
        <v>1247</v>
      </c>
      <c r="H877" s="52" t="n">
        <v>1</v>
      </c>
    </row>
    <row r="878" customFormat="false" ht="15" hidden="false" customHeight="true" outlineLevel="0" collapsed="false">
      <c r="A878" s="52" t="n">
        <v>877</v>
      </c>
      <c r="B878" s="52" t="s">
        <v>395</v>
      </c>
      <c r="C878" s="52" t="s">
        <v>1123</v>
      </c>
      <c r="D878" s="52" t="s">
        <v>1134</v>
      </c>
      <c r="E878" s="52" t="s">
        <v>1242</v>
      </c>
      <c r="F878" s="52" t="s">
        <v>74</v>
      </c>
      <c r="G878" s="52" t="s">
        <v>1248</v>
      </c>
      <c r="H878" s="52" t="n">
        <v>1</v>
      </c>
    </row>
    <row r="879" customFormat="false" ht="15" hidden="false" customHeight="true" outlineLevel="0" collapsed="false">
      <c r="A879" s="52" t="n">
        <v>878</v>
      </c>
      <c r="B879" s="52" t="s">
        <v>395</v>
      </c>
      <c r="C879" s="52" t="s">
        <v>1123</v>
      </c>
      <c r="D879" s="52" t="s">
        <v>1134</v>
      </c>
      <c r="E879" s="52" t="s">
        <v>1242</v>
      </c>
      <c r="F879" s="52" t="s">
        <v>259</v>
      </c>
      <c r="G879" s="52" t="s">
        <v>1249</v>
      </c>
      <c r="H879" s="52" t="n">
        <v>1</v>
      </c>
    </row>
    <row r="880" customFormat="false" ht="15" hidden="false" customHeight="true" outlineLevel="0" collapsed="false">
      <c r="A880" s="52" t="n">
        <v>879</v>
      </c>
      <c r="B880" s="52" t="s">
        <v>395</v>
      </c>
      <c r="C880" s="52" t="s">
        <v>1123</v>
      </c>
      <c r="D880" s="52" t="s">
        <v>1134</v>
      </c>
      <c r="E880" s="52" t="s">
        <v>1242</v>
      </c>
      <c r="F880" s="52" t="s">
        <v>259</v>
      </c>
      <c r="G880" s="52" t="s">
        <v>1250</v>
      </c>
      <c r="H880" s="52" t="n">
        <v>1</v>
      </c>
    </row>
    <row r="881" customFormat="false" ht="15" hidden="false" customHeight="true" outlineLevel="0" collapsed="false">
      <c r="A881" s="52" t="n">
        <v>880</v>
      </c>
      <c r="B881" s="52" t="s">
        <v>395</v>
      </c>
      <c r="C881" s="52" t="s">
        <v>1123</v>
      </c>
      <c r="D881" s="52" t="s">
        <v>1134</v>
      </c>
      <c r="E881" s="52" t="s">
        <v>1242</v>
      </c>
      <c r="F881" s="52" t="s">
        <v>52</v>
      </c>
      <c r="G881" s="52" t="s">
        <v>1251</v>
      </c>
      <c r="H881" s="52" t="n">
        <v>1</v>
      </c>
    </row>
    <row r="882" customFormat="false" ht="15" hidden="false" customHeight="true" outlineLevel="0" collapsed="false">
      <c r="A882" s="52" t="n">
        <v>881</v>
      </c>
      <c r="B882" s="52" t="s">
        <v>395</v>
      </c>
      <c r="C882" s="52" t="s">
        <v>1123</v>
      </c>
      <c r="D882" s="52" t="s">
        <v>1134</v>
      </c>
      <c r="E882" s="52" t="s">
        <v>1242</v>
      </c>
      <c r="F882" s="52" t="s">
        <v>21</v>
      </c>
      <c r="G882" s="52" t="s">
        <v>1252</v>
      </c>
      <c r="H882" s="52" t="n">
        <v>1</v>
      </c>
    </row>
    <row r="883" customFormat="false" ht="15" hidden="false" customHeight="true" outlineLevel="0" collapsed="false">
      <c r="A883" s="52" t="n">
        <v>882</v>
      </c>
      <c r="B883" s="52" t="s">
        <v>395</v>
      </c>
      <c r="C883" s="52" t="s">
        <v>1123</v>
      </c>
      <c r="D883" s="52" t="s">
        <v>1134</v>
      </c>
      <c r="E883" s="52" t="s">
        <v>1242</v>
      </c>
      <c r="F883" s="52" t="s">
        <v>21</v>
      </c>
      <c r="G883" s="52" t="s">
        <v>1253</v>
      </c>
      <c r="H883" s="52" t="n">
        <v>1</v>
      </c>
    </row>
    <row r="884" customFormat="false" ht="15" hidden="false" customHeight="true" outlineLevel="0" collapsed="false">
      <c r="A884" s="52" t="n">
        <v>883</v>
      </c>
      <c r="B884" s="52" t="s">
        <v>395</v>
      </c>
      <c r="C884" s="52" t="s">
        <v>1123</v>
      </c>
      <c r="D884" s="52" t="s">
        <v>1134</v>
      </c>
      <c r="E884" s="52" t="s">
        <v>1242</v>
      </c>
      <c r="F884" s="52" t="s">
        <v>13</v>
      </c>
      <c r="G884" s="52" t="s">
        <v>1254</v>
      </c>
      <c r="H884" s="52" t="n">
        <v>1</v>
      </c>
    </row>
    <row r="885" customFormat="false" ht="15" hidden="false" customHeight="true" outlineLevel="0" collapsed="false">
      <c r="A885" s="52" t="n">
        <v>884</v>
      </c>
      <c r="B885" s="52" t="s">
        <v>395</v>
      </c>
      <c r="C885" s="52" t="s">
        <v>1123</v>
      </c>
      <c r="D885" s="52" t="s">
        <v>1134</v>
      </c>
      <c r="E885" s="52" t="s">
        <v>1242</v>
      </c>
      <c r="F885" s="52" t="s">
        <v>101</v>
      </c>
      <c r="G885" s="52" t="s">
        <v>442</v>
      </c>
      <c r="H885" s="52" t="n">
        <v>0</v>
      </c>
    </row>
    <row r="886" customFormat="false" ht="15" hidden="false" customHeight="true" outlineLevel="0" collapsed="false">
      <c r="A886" s="52" t="n">
        <v>885</v>
      </c>
      <c r="B886" s="52" t="s">
        <v>395</v>
      </c>
      <c r="C886" s="52" t="s">
        <v>1123</v>
      </c>
      <c r="D886" s="52" t="s">
        <v>1134</v>
      </c>
      <c r="E886" s="52" t="s">
        <v>1242</v>
      </c>
      <c r="F886" s="52" t="s">
        <v>86</v>
      </c>
      <c r="G886" s="52" t="s">
        <v>442</v>
      </c>
      <c r="H886" s="52" t="n">
        <v>0</v>
      </c>
    </row>
    <row r="887" customFormat="false" ht="15" hidden="false" customHeight="true" outlineLevel="0" collapsed="false">
      <c r="A887" s="52" t="n">
        <v>886</v>
      </c>
      <c r="B887" s="52" t="s">
        <v>395</v>
      </c>
      <c r="C887" s="52" t="s">
        <v>1123</v>
      </c>
      <c r="D887" s="52" t="s">
        <v>1134</v>
      </c>
      <c r="E887" s="52" t="s">
        <v>1255</v>
      </c>
      <c r="F887" s="52" t="s">
        <v>331</v>
      </c>
      <c r="G887" s="52" t="s">
        <v>442</v>
      </c>
      <c r="H887" s="52" t="n">
        <v>0</v>
      </c>
    </row>
    <row r="888" customFormat="false" ht="15" hidden="false" customHeight="true" outlineLevel="0" collapsed="false">
      <c r="A888" s="52" t="n">
        <v>887</v>
      </c>
      <c r="B888" s="52" t="s">
        <v>395</v>
      </c>
      <c r="C888" s="52" t="s">
        <v>1123</v>
      </c>
      <c r="D888" s="52" t="s">
        <v>1134</v>
      </c>
      <c r="E888" s="52" t="s">
        <v>1255</v>
      </c>
      <c r="F888" s="52" t="s">
        <v>74</v>
      </c>
      <c r="G888" s="52" t="s">
        <v>1256</v>
      </c>
      <c r="H888" s="52" t="n">
        <v>1</v>
      </c>
    </row>
    <row r="889" customFormat="false" ht="15" hidden="false" customHeight="true" outlineLevel="0" collapsed="false">
      <c r="A889" s="52" t="n">
        <v>888</v>
      </c>
      <c r="B889" s="52" t="s">
        <v>395</v>
      </c>
      <c r="C889" s="52" t="s">
        <v>1123</v>
      </c>
      <c r="D889" s="52" t="s">
        <v>1134</v>
      </c>
      <c r="E889" s="52" t="s">
        <v>1255</v>
      </c>
      <c r="F889" s="52" t="s">
        <v>74</v>
      </c>
      <c r="G889" s="52" t="s">
        <v>1257</v>
      </c>
      <c r="H889" s="52" t="n">
        <v>1</v>
      </c>
    </row>
    <row r="890" customFormat="false" ht="15" hidden="false" customHeight="true" outlineLevel="0" collapsed="false">
      <c r="A890" s="52" t="n">
        <v>889</v>
      </c>
      <c r="B890" s="52" t="s">
        <v>395</v>
      </c>
      <c r="C890" s="52" t="s">
        <v>1123</v>
      </c>
      <c r="D890" s="52" t="s">
        <v>1134</v>
      </c>
      <c r="E890" s="52" t="s">
        <v>1255</v>
      </c>
      <c r="F890" s="52" t="s">
        <v>259</v>
      </c>
      <c r="G890" s="52" t="s">
        <v>1258</v>
      </c>
      <c r="H890" s="52" t="n">
        <v>1</v>
      </c>
    </row>
    <row r="891" customFormat="false" ht="15" hidden="false" customHeight="true" outlineLevel="0" collapsed="false">
      <c r="A891" s="52" t="n">
        <v>890</v>
      </c>
      <c r="B891" s="52" t="s">
        <v>395</v>
      </c>
      <c r="C891" s="52" t="s">
        <v>1123</v>
      </c>
      <c r="D891" s="52" t="s">
        <v>1134</v>
      </c>
      <c r="E891" s="52" t="s">
        <v>1255</v>
      </c>
      <c r="F891" s="52" t="s">
        <v>259</v>
      </c>
      <c r="G891" s="52" t="s">
        <v>1259</v>
      </c>
      <c r="H891" s="52" t="n">
        <v>1</v>
      </c>
    </row>
    <row r="892" customFormat="false" ht="15" hidden="false" customHeight="true" outlineLevel="0" collapsed="false">
      <c r="A892" s="52" t="n">
        <v>891</v>
      </c>
      <c r="B892" s="52" t="s">
        <v>395</v>
      </c>
      <c r="C892" s="52" t="s">
        <v>1123</v>
      </c>
      <c r="D892" s="52" t="s">
        <v>1134</v>
      </c>
      <c r="E892" s="52" t="s">
        <v>1255</v>
      </c>
      <c r="F892" s="52" t="s">
        <v>259</v>
      </c>
      <c r="G892" s="52" t="s">
        <v>1260</v>
      </c>
      <c r="H892" s="52" t="n">
        <v>1</v>
      </c>
    </row>
    <row r="893" customFormat="false" ht="15" hidden="false" customHeight="true" outlineLevel="0" collapsed="false">
      <c r="A893" s="52" t="n">
        <v>892</v>
      </c>
      <c r="B893" s="52" t="s">
        <v>395</v>
      </c>
      <c r="C893" s="52" t="s">
        <v>1123</v>
      </c>
      <c r="D893" s="52" t="s">
        <v>1134</v>
      </c>
      <c r="E893" s="52" t="s">
        <v>1255</v>
      </c>
      <c r="F893" s="52" t="s">
        <v>259</v>
      </c>
      <c r="G893" s="52" t="s">
        <v>1261</v>
      </c>
      <c r="H893" s="52" t="n">
        <v>1</v>
      </c>
    </row>
    <row r="894" customFormat="false" ht="15" hidden="false" customHeight="true" outlineLevel="0" collapsed="false">
      <c r="A894" s="52" t="n">
        <v>893</v>
      </c>
      <c r="B894" s="52" t="s">
        <v>395</v>
      </c>
      <c r="C894" s="52" t="s">
        <v>1123</v>
      </c>
      <c r="D894" s="52" t="s">
        <v>1134</v>
      </c>
      <c r="E894" s="52" t="s">
        <v>1255</v>
      </c>
      <c r="F894" s="52" t="s">
        <v>21</v>
      </c>
      <c r="G894" s="52" t="s">
        <v>1262</v>
      </c>
      <c r="H894" s="52" t="n">
        <v>1</v>
      </c>
    </row>
    <row r="895" customFormat="false" ht="15" hidden="false" customHeight="true" outlineLevel="0" collapsed="false">
      <c r="A895" s="52" t="n">
        <v>894</v>
      </c>
      <c r="B895" s="52" t="s">
        <v>395</v>
      </c>
      <c r="C895" s="52" t="s">
        <v>1123</v>
      </c>
      <c r="D895" s="52" t="s">
        <v>1134</v>
      </c>
      <c r="E895" s="52" t="s">
        <v>1255</v>
      </c>
      <c r="F895" s="52" t="s">
        <v>21</v>
      </c>
      <c r="G895" s="52" t="s">
        <v>1263</v>
      </c>
      <c r="H895" s="52" t="n">
        <v>1</v>
      </c>
    </row>
    <row r="896" customFormat="false" ht="15" hidden="false" customHeight="true" outlineLevel="0" collapsed="false">
      <c r="A896" s="52" t="n">
        <v>895</v>
      </c>
      <c r="B896" s="52" t="s">
        <v>395</v>
      </c>
      <c r="C896" s="52" t="s">
        <v>1123</v>
      </c>
      <c r="D896" s="52" t="s">
        <v>1134</v>
      </c>
      <c r="E896" s="52" t="s">
        <v>1255</v>
      </c>
      <c r="F896" s="52" t="s">
        <v>21</v>
      </c>
      <c r="G896" s="52" t="s">
        <v>1264</v>
      </c>
      <c r="H896" s="52" t="n">
        <v>1</v>
      </c>
    </row>
    <row r="897" customFormat="false" ht="15" hidden="false" customHeight="true" outlineLevel="0" collapsed="false">
      <c r="A897" s="52" t="n">
        <v>896</v>
      </c>
      <c r="B897" s="52" t="s">
        <v>395</v>
      </c>
      <c r="C897" s="52" t="s">
        <v>1123</v>
      </c>
      <c r="D897" s="52" t="s">
        <v>1134</v>
      </c>
      <c r="E897" s="52" t="s">
        <v>1255</v>
      </c>
      <c r="F897" s="52" t="s">
        <v>21</v>
      </c>
      <c r="G897" s="52" t="s">
        <v>1265</v>
      </c>
      <c r="H897" s="52" t="n">
        <v>1</v>
      </c>
    </row>
    <row r="898" customFormat="false" ht="15" hidden="false" customHeight="true" outlineLevel="0" collapsed="false">
      <c r="A898" s="52" t="n">
        <v>897</v>
      </c>
      <c r="B898" s="52" t="s">
        <v>395</v>
      </c>
      <c r="C898" s="52" t="s">
        <v>1123</v>
      </c>
      <c r="D898" s="52" t="s">
        <v>1134</v>
      </c>
      <c r="E898" s="52" t="s">
        <v>1255</v>
      </c>
      <c r="F898" s="52" t="s">
        <v>21</v>
      </c>
      <c r="G898" s="52" t="s">
        <v>1266</v>
      </c>
      <c r="H898" s="52" t="n">
        <v>1</v>
      </c>
    </row>
    <row r="899" customFormat="false" ht="15" hidden="false" customHeight="true" outlineLevel="0" collapsed="false">
      <c r="A899" s="52" t="n">
        <v>898</v>
      </c>
      <c r="B899" s="52" t="s">
        <v>395</v>
      </c>
      <c r="C899" s="52" t="s">
        <v>1123</v>
      </c>
      <c r="D899" s="52" t="s">
        <v>1134</v>
      </c>
      <c r="E899" s="52" t="s">
        <v>1255</v>
      </c>
      <c r="F899" s="52" t="s">
        <v>21</v>
      </c>
      <c r="G899" s="52" t="s">
        <v>1267</v>
      </c>
      <c r="H899" s="52" t="n">
        <v>1</v>
      </c>
    </row>
    <row r="900" customFormat="false" ht="15" hidden="false" customHeight="true" outlineLevel="0" collapsed="false">
      <c r="A900" s="52" t="n">
        <v>899</v>
      </c>
      <c r="B900" s="52" t="s">
        <v>395</v>
      </c>
      <c r="C900" s="52" t="s">
        <v>1123</v>
      </c>
      <c r="D900" s="52" t="s">
        <v>1134</v>
      </c>
      <c r="E900" s="52" t="s">
        <v>1255</v>
      </c>
      <c r="F900" s="52" t="s">
        <v>21</v>
      </c>
      <c r="G900" s="52" t="s">
        <v>1268</v>
      </c>
      <c r="H900" s="52" t="n">
        <v>1</v>
      </c>
    </row>
    <row r="901" customFormat="false" ht="15" hidden="false" customHeight="true" outlineLevel="0" collapsed="false">
      <c r="A901" s="52" t="n">
        <v>900</v>
      </c>
      <c r="B901" s="52" t="s">
        <v>395</v>
      </c>
      <c r="C901" s="52" t="s">
        <v>1123</v>
      </c>
      <c r="D901" s="52" t="s">
        <v>1134</v>
      </c>
      <c r="E901" s="52" t="s">
        <v>1255</v>
      </c>
      <c r="F901" s="52" t="s">
        <v>21</v>
      </c>
      <c r="G901" s="52" t="s">
        <v>1269</v>
      </c>
      <c r="H901" s="52" t="n">
        <v>1</v>
      </c>
    </row>
    <row r="902" customFormat="false" ht="15" hidden="false" customHeight="true" outlineLevel="0" collapsed="false">
      <c r="A902" s="52" t="n">
        <v>901</v>
      </c>
      <c r="B902" s="52" t="s">
        <v>395</v>
      </c>
      <c r="C902" s="52" t="s">
        <v>1123</v>
      </c>
      <c r="D902" s="52" t="s">
        <v>1134</v>
      </c>
      <c r="E902" s="52" t="s">
        <v>1255</v>
      </c>
      <c r="F902" s="52" t="s">
        <v>13</v>
      </c>
      <c r="G902" s="52" t="s">
        <v>1270</v>
      </c>
      <c r="H902" s="52" t="n">
        <v>1</v>
      </c>
    </row>
    <row r="903" customFormat="false" ht="15" hidden="false" customHeight="true" outlineLevel="0" collapsed="false">
      <c r="A903" s="52" t="n">
        <v>902</v>
      </c>
      <c r="B903" s="52" t="s">
        <v>395</v>
      </c>
      <c r="C903" s="52" t="s">
        <v>1123</v>
      </c>
      <c r="D903" s="52" t="s">
        <v>1134</v>
      </c>
      <c r="E903" s="52" t="s">
        <v>1255</v>
      </c>
      <c r="F903" s="52" t="s">
        <v>13</v>
      </c>
      <c r="G903" s="52" t="s">
        <v>1271</v>
      </c>
      <c r="H903" s="52" t="n">
        <v>1</v>
      </c>
    </row>
    <row r="904" customFormat="false" ht="15" hidden="false" customHeight="true" outlineLevel="0" collapsed="false">
      <c r="A904" s="52" t="n">
        <v>903</v>
      </c>
      <c r="B904" s="52" t="s">
        <v>395</v>
      </c>
      <c r="C904" s="52" t="s">
        <v>1123</v>
      </c>
      <c r="D904" s="52" t="s">
        <v>1134</v>
      </c>
      <c r="E904" s="52" t="s">
        <v>1255</v>
      </c>
      <c r="F904" s="52" t="s">
        <v>13</v>
      </c>
      <c r="G904" s="52" t="s">
        <v>1272</v>
      </c>
      <c r="H904" s="52" t="n">
        <v>1</v>
      </c>
    </row>
    <row r="905" customFormat="false" ht="15" hidden="false" customHeight="true" outlineLevel="0" collapsed="false">
      <c r="A905" s="52" t="n">
        <v>904</v>
      </c>
      <c r="B905" s="52" t="s">
        <v>395</v>
      </c>
      <c r="C905" s="52" t="s">
        <v>1123</v>
      </c>
      <c r="D905" s="52" t="s">
        <v>1134</v>
      </c>
      <c r="E905" s="52" t="s">
        <v>1255</v>
      </c>
      <c r="F905" s="52" t="s">
        <v>101</v>
      </c>
      <c r="G905" s="52" t="s">
        <v>1273</v>
      </c>
      <c r="H905" s="52" t="n">
        <v>1</v>
      </c>
    </row>
    <row r="906" customFormat="false" ht="15" hidden="false" customHeight="true" outlineLevel="0" collapsed="false">
      <c r="A906" s="52" t="n">
        <v>905</v>
      </c>
      <c r="B906" s="52" t="s">
        <v>395</v>
      </c>
      <c r="C906" s="52" t="s">
        <v>1123</v>
      </c>
      <c r="D906" s="52" t="s">
        <v>1134</v>
      </c>
      <c r="E906" s="52" t="s">
        <v>1255</v>
      </c>
      <c r="F906" s="52" t="s">
        <v>86</v>
      </c>
      <c r="G906" s="52" t="s">
        <v>442</v>
      </c>
      <c r="H906" s="52" t="n">
        <v>0</v>
      </c>
    </row>
    <row r="907" customFormat="false" ht="15" hidden="false" customHeight="true" outlineLevel="0" collapsed="false">
      <c r="A907" s="52" t="n">
        <v>906</v>
      </c>
      <c r="B907" s="52" t="s">
        <v>395</v>
      </c>
      <c r="C907" s="52" t="s">
        <v>1123</v>
      </c>
      <c r="D907" s="52" t="s">
        <v>1134</v>
      </c>
      <c r="E907" s="52" t="s">
        <v>1274</v>
      </c>
      <c r="F907" s="52" t="s">
        <v>331</v>
      </c>
      <c r="G907" s="52" t="s">
        <v>1275</v>
      </c>
      <c r="H907" s="52" t="n">
        <v>1</v>
      </c>
    </row>
    <row r="908" customFormat="false" ht="15" hidden="false" customHeight="true" outlineLevel="0" collapsed="false">
      <c r="A908" s="52" t="n">
        <v>907</v>
      </c>
      <c r="B908" s="52" t="s">
        <v>395</v>
      </c>
      <c r="C908" s="52" t="s">
        <v>1123</v>
      </c>
      <c r="D908" s="52" t="s">
        <v>1134</v>
      </c>
      <c r="E908" s="52" t="s">
        <v>1274</v>
      </c>
      <c r="F908" s="52" t="s">
        <v>331</v>
      </c>
      <c r="G908" s="52" t="s">
        <v>1276</v>
      </c>
      <c r="H908" s="52" t="n">
        <v>1</v>
      </c>
    </row>
    <row r="909" customFormat="false" ht="15" hidden="false" customHeight="true" outlineLevel="0" collapsed="false">
      <c r="A909" s="52" t="n">
        <v>908</v>
      </c>
      <c r="B909" s="52" t="s">
        <v>395</v>
      </c>
      <c r="C909" s="52" t="s">
        <v>1123</v>
      </c>
      <c r="D909" s="52" t="s">
        <v>1134</v>
      </c>
      <c r="E909" s="52" t="s">
        <v>1274</v>
      </c>
      <c r="F909" s="52" t="s">
        <v>331</v>
      </c>
      <c r="G909" s="52" t="s">
        <v>1277</v>
      </c>
      <c r="H909" s="52" t="n">
        <v>1</v>
      </c>
    </row>
    <row r="910" customFormat="false" ht="15" hidden="false" customHeight="true" outlineLevel="0" collapsed="false">
      <c r="A910" s="52" t="n">
        <v>909</v>
      </c>
      <c r="B910" s="52" t="s">
        <v>395</v>
      </c>
      <c r="C910" s="52" t="s">
        <v>1123</v>
      </c>
      <c r="D910" s="52" t="s">
        <v>1134</v>
      </c>
      <c r="E910" s="52" t="s">
        <v>1274</v>
      </c>
      <c r="F910" s="52" t="s">
        <v>331</v>
      </c>
      <c r="G910" s="52" t="s">
        <v>1278</v>
      </c>
      <c r="H910" s="52" t="n">
        <v>1</v>
      </c>
    </row>
    <row r="911" customFormat="false" ht="15" hidden="false" customHeight="true" outlineLevel="0" collapsed="false">
      <c r="A911" s="52" t="n">
        <v>910</v>
      </c>
      <c r="B911" s="52" t="s">
        <v>395</v>
      </c>
      <c r="C911" s="52" t="s">
        <v>1123</v>
      </c>
      <c r="D911" s="52" t="s">
        <v>1134</v>
      </c>
      <c r="E911" s="52" t="s">
        <v>1274</v>
      </c>
      <c r="F911" s="52" t="s">
        <v>74</v>
      </c>
      <c r="G911" s="52" t="s">
        <v>1279</v>
      </c>
      <c r="H911" s="52" t="n">
        <v>1</v>
      </c>
    </row>
    <row r="912" customFormat="false" ht="15" hidden="false" customHeight="true" outlineLevel="0" collapsed="false">
      <c r="A912" s="52" t="n">
        <v>911</v>
      </c>
      <c r="B912" s="52" t="s">
        <v>395</v>
      </c>
      <c r="C912" s="52" t="s">
        <v>1123</v>
      </c>
      <c r="D912" s="52" t="s">
        <v>1134</v>
      </c>
      <c r="E912" s="52" t="s">
        <v>1274</v>
      </c>
      <c r="F912" s="52" t="s">
        <v>74</v>
      </c>
      <c r="G912" s="52" t="s">
        <v>1280</v>
      </c>
      <c r="H912" s="52" t="n">
        <v>1</v>
      </c>
    </row>
    <row r="913" customFormat="false" ht="15" hidden="false" customHeight="true" outlineLevel="0" collapsed="false">
      <c r="A913" s="52" t="n">
        <v>912</v>
      </c>
      <c r="B913" s="52" t="s">
        <v>395</v>
      </c>
      <c r="C913" s="52" t="s">
        <v>1123</v>
      </c>
      <c r="D913" s="52" t="s">
        <v>1134</v>
      </c>
      <c r="E913" s="52" t="s">
        <v>1274</v>
      </c>
      <c r="F913" s="52" t="s">
        <v>74</v>
      </c>
      <c r="G913" s="52" t="s">
        <v>1281</v>
      </c>
      <c r="H913" s="52" t="n">
        <v>1</v>
      </c>
    </row>
    <row r="914" customFormat="false" ht="15" hidden="false" customHeight="true" outlineLevel="0" collapsed="false">
      <c r="A914" s="52" t="n">
        <v>913</v>
      </c>
      <c r="B914" s="52" t="s">
        <v>395</v>
      </c>
      <c r="C914" s="52" t="s">
        <v>1123</v>
      </c>
      <c r="D914" s="52" t="s">
        <v>1134</v>
      </c>
      <c r="E914" s="52" t="s">
        <v>1274</v>
      </c>
      <c r="F914" s="52" t="s">
        <v>259</v>
      </c>
      <c r="G914" s="52" t="s">
        <v>1282</v>
      </c>
      <c r="H914" s="52" t="n">
        <v>1</v>
      </c>
    </row>
    <row r="915" customFormat="false" ht="15" hidden="false" customHeight="true" outlineLevel="0" collapsed="false">
      <c r="A915" s="52" t="n">
        <v>914</v>
      </c>
      <c r="B915" s="52" t="s">
        <v>395</v>
      </c>
      <c r="C915" s="52" t="s">
        <v>1123</v>
      </c>
      <c r="D915" s="52" t="s">
        <v>1134</v>
      </c>
      <c r="E915" s="52" t="s">
        <v>1274</v>
      </c>
      <c r="F915" s="52" t="s">
        <v>259</v>
      </c>
      <c r="G915" s="52" t="s">
        <v>1283</v>
      </c>
      <c r="H915" s="52" t="n">
        <v>1</v>
      </c>
    </row>
    <row r="916" customFormat="false" ht="15" hidden="false" customHeight="true" outlineLevel="0" collapsed="false">
      <c r="A916" s="52" t="n">
        <v>915</v>
      </c>
      <c r="B916" s="52" t="s">
        <v>395</v>
      </c>
      <c r="C916" s="52" t="s">
        <v>1123</v>
      </c>
      <c r="D916" s="52" t="s">
        <v>1134</v>
      </c>
      <c r="E916" s="52" t="s">
        <v>1274</v>
      </c>
      <c r="F916" s="52" t="s">
        <v>259</v>
      </c>
      <c r="G916" s="52" t="s">
        <v>1284</v>
      </c>
      <c r="H916" s="52" t="n">
        <v>1</v>
      </c>
    </row>
    <row r="917" customFormat="false" ht="15" hidden="false" customHeight="true" outlineLevel="0" collapsed="false">
      <c r="A917" s="52" t="n">
        <v>916</v>
      </c>
      <c r="B917" s="52" t="s">
        <v>395</v>
      </c>
      <c r="C917" s="52" t="s">
        <v>1123</v>
      </c>
      <c r="D917" s="52" t="s">
        <v>1134</v>
      </c>
      <c r="E917" s="52" t="s">
        <v>1274</v>
      </c>
      <c r="F917" s="52" t="s">
        <v>259</v>
      </c>
      <c r="G917" s="52" t="s">
        <v>1285</v>
      </c>
      <c r="H917" s="52" t="n">
        <v>1</v>
      </c>
    </row>
    <row r="918" customFormat="false" ht="15" hidden="false" customHeight="true" outlineLevel="0" collapsed="false">
      <c r="A918" s="52" t="n">
        <v>917</v>
      </c>
      <c r="B918" s="52" t="s">
        <v>395</v>
      </c>
      <c r="C918" s="52" t="s">
        <v>1123</v>
      </c>
      <c r="D918" s="52" t="s">
        <v>1134</v>
      </c>
      <c r="E918" s="52" t="s">
        <v>1274</v>
      </c>
      <c r="F918" s="52" t="s">
        <v>21</v>
      </c>
      <c r="G918" s="52" t="s">
        <v>1286</v>
      </c>
      <c r="H918" s="52" t="n">
        <v>1</v>
      </c>
    </row>
    <row r="919" customFormat="false" ht="15" hidden="false" customHeight="true" outlineLevel="0" collapsed="false">
      <c r="A919" s="52" t="n">
        <v>918</v>
      </c>
      <c r="B919" s="52" t="s">
        <v>395</v>
      </c>
      <c r="C919" s="52" t="s">
        <v>1123</v>
      </c>
      <c r="D919" s="52" t="s">
        <v>1134</v>
      </c>
      <c r="E919" s="52" t="s">
        <v>1274</v>
      </c>
      <c r="F919" s="52" t="s">
        <v>21</v>
      </c>
      <c r="G919" s="52" t="s">
        <v>1287</v>
      </c>
      <c r="H919" s="52" t="n">
        <v>1</v>
      </c>
    </row>
    <row r="920" customFormat="false" ht="15" hidden="false" customHeight="true" outlineLevel="0" collapsed="false">
      <c r="A920" s="52" t="n">
        <v>919</v>
      </c>
      <c r="B920" s="52" t="s">
        <v>395</v>
      </c>
      <c r="C920" s="52" t="s">
        <v>1123</v>
      </c>
      <c r="D920" s="52" t="s">
        <v>1134</v>
      </c>
      <c r="E920" s="52" t="s">
        <v>1274</v>
      </c>
      <c r="F920" s="52" t="s">
        <v>13</v>
      </c>
      <c r="G920" s="52" t="s">
        <v>1288</v>
      </c>
      <c r="H920" s="52" t="n">
        <v>1</v>
      </c>
    </row>
    <row r="921" customFormat="false" ht="15" hidden="false" customHeight="true" outlineLevel="0" collapsed="false">
      <c r="A921" s="52" t="n">
        <v>920</v>
      </c>
      <c r="B921" s="52" t="s">
        <v>395</v>
      </c>
      <c r="C921" s="52" t="s">
        <v>1123</v>
      </c>
      <c r="D921" s="52" t="s">
        <v>1134</v>
      </c>
      <c r="E921" s="52" t="s">
        <v>1274</v>
      </c>
      <c r="F921" s="52" t="s">
        <v>101</v>
      </c>
      <c r="G921" s="52" t="s">
        <v>442</v>
      </c>
      <c r="H921" s="52" t="n">
        <v>0</v>
      </c>
    </row>
    <row r="922" customFormat="false" ht="15" hidden="false" customHeight="true" outlineLevel="0" collapsed="false">
      <c r="A922" s="52" t="n">
        <v>921</v>
      </c>
      <c r="B922" s="52" t="s">
        <v>395</v>
      </c>
      <c r="C922" s="52" t="s">
        <v>1123</v>
      </c>
      <c r="D922" s="52" t="s">
        <v>1134</v>
      </c>
      <c r="E922" s="52" t="s">
        <v>1274</v>
      </c>
      <c r="F922" s="52" t="s">
        <v>86</v>
      </c>
      <c r="G922" s="52" t="s">
        <v>442</v>
      </c>
      <c r="H922" s="52" t="n">
        <v>0</v>
      </c>
    </row>
    <row r="923" customFormat="false" ht="15" hidden="false" customHeight="true" outlineLevel="0" collapsed="false">
      <c r="A923" s="52" t="n">
        <v>922</v>
      </c>
      <c r="B923" s="52" t="s">
        <v>395</v>
      </c>
      <c r="C923" s="52" t="s">
        <v>1123</v>
      </c>
      <c r="D923" s="52" t="s">
        <v>1289</v>
      </c>
      <c r="E923" s="52" t="s">
        <v>1290</v>
      </c>
      <c r="F923" s="52" t="s">
        <v>331</v>
      </c>
      <c r="G923" s="52" t="s">
        <v>442</v>
      </c>
      <c r="H923" s="52" t="n">
        <v>0</v>
      </c>
    </row>
    <row r="924" customFormat="false" ht="15" hidden="false" customHeight="true" outlineLevel="0" collapsed="false">
      <c r="A924" s="52" t="n">
        <v>923</v>
      </c>
      <c r="B924" s="52" t="s">
        <v>395</v>
      </c>
      <c r="C924" s="52" t="s">
        <v>1123</v>
      </c>
      <c r="D924" s="52" t="s">
        <v>1289</v>
      </c>
      <c r="E924" s="52" t="s">
        <v>1290</v>
      </c>
      <c r="F924" s="52" t="s">
        <v>74</v>
      </c>
      <c r="G924" s="52" t="s">
        <v>1291</v>
      </c>
      <c r="H924" s="52" t="n">
        <v>1</v>
      </c>
    </row>
    <row r="925" customFormat="false" ht="15" hidden="false" customHeight="true" outlineLevel="0" collapsed="false">
      <c r="A925" s="52" t="n">
        <v>924</v>
      </c>
      <c r="B925" s="52" t="s">
        <v>395</v>
      </c>
      <c r="C925" s="52" t="s">
        <v>1123</v>
      </c>
      <c r="D925" s="52" t="s">
        <v>1289</v>
      </c>
      <c r="E925" s="52" t="s">
        <v>1290</v>
      </c>
      <c r="F925" s="52" t="s">
        <v>74</v>
      </c>
      <c r="G925" s="52" t="s">
        <v>1292</v>
      </c>
      <c r="H925" s="52" t="n">
        <v>1</v>
      </c>
    </row>
    <row r="926" customFormat="false" ht="15" hidden="false" customHeight="true" outlineLevel="0" collapsed="false">
      <c r="A926" s="52" t="n">
        <v>925</v>
      </c>
      <c r="B926" s="52" t="s">
        <v>395</v>
      </c>
      <c r="C926" s="52" t="s">
        <v>1123</v>
      </c>
      <c r="D926" s="52" t="s">
        <v>1289</v>
      </c>
      <c r="E926" s="52" t="s">
        <v>1290</v>
      </c>
      <c r="F926" s="52" t="s">
        <v>36</v>
      </c>
      <c r="G926" s="52" t="s">
        <v>1293</v>
      </c>
      <c r="H926" s="52" t="n">
        <v>1</v>
      </c>
    </row>
    <row r="927" customFormat="false" ht="15" hidden="false" customHeight="true" outlineLevel="0" collapsed="false">
      <c r="A927" s="52" t="n">
        <v>926</v>
      </c>
      <c r="B927" s="52" t="s">
        <v>395</v>
      </c>
      <c r="C927" s="52" t="s">
        <v>1123</v>
      </c>
      <c r="D927" s="52" t="s">
        <v>1289</v>
      </c>
      <c r="E927" s="52" t="s">
        <v>1290</v>
      </c>
      <c r="F927" s="52" t="s">
        <v>36</v>
      </c>
      <c r="G927" s="52" t="s">
        <v>1294</v>
      </c>
      <c r="H927" s="52" t="n">
        <v>1</v>
      </c>
    </row>
    <row r="928" customFormat="false" ht="15" hidden="false" customHeight="true" outlineLevel="0" collapsed="false">
      <c r="A928" s="52" t="n">
        <v>927</v>
      </c>
      <c r="B928" s="52" t="s">
        <v>395</v>
      </c>
      <c r="C928" s="52" t="s">
        <v>1123</v>
      </c>
      <c r="D928" s="52" t="s">
        <v>1289</v>
      </c>
      <c r="E928" s="52" t="s">
        <v>1290</v>
      </c>
      <c r="F928" s="52" t="s">
        <v>259</v>
      </c>
      <c r="G928" s="52" t="s">
        <v>1295</v>
      </c>
      <c r="H928" s="52" t="n">
        <v>1</v>
      </c>
    </row>
    <row r="929" customFormat="false" ht="15" hidden="false" customHeight="true" outlineLevel="0" collapsed="false">
      <c r="A929" s="52" t="n">
        <v>928</v>
      </c>
      <c r="B929" s="52" t="s">
        <v>395</v>
      </c>
      <c r="C929" s="52" t="s">
        <v>1123</v>
      </c>
      <c r="D929" s="52" t="s">
        <v>1289</v>
      </c>
      <c r="E929" s="52" t="s">
        <v>1290</v>
      </c>
      <c r="F929" s="52" t="s">
        <v>259</v>
      </c>
      <c r="G929" s="52" t="s">
        <v>1296</v>
      </c>
      <c r="H929" s="52" t="n">
        <v>1</v>
      </c>
    </row>
    <row r="930" customFormat="false" ht="15" hidden="false" customHeight="true" outlineLevel="0" collapsed="false">
      <c r="A930" s="52" t="n">
        <v>929</v>
      </c>
      <c r="B930" s="52" t="s">
        <v>395</v>
      </c>
      <c r="C930" s="52" t="s">
        <v>1123</v>
      </c>
      <c r="D930" s="52" t="s">
        <v>1289</v>
      </c>
      <c r="E930" s="52" t="s">
        <v>1290</v>
      </c>
      <c r="F930" s="52" t="s">
        <v>259</v>
      </c>
      <c r="G930" s="52" t="s">
        <v>1297</v>
      </c>
      <c r="H930" s="52" t="n">
        <v>1</v>
      </c>
    </row>
    <row r="931" customFormat="false" ht="15" hidden="false" customHeight="true" outlineLevel="0" collapsed="false">
      <c r="A931" s="52" t="n">
        <v>930</v>
      </c>
      <c r="B931" s="52" t="s">
        <v>395</v>
      </c>
      <c r="C931" s="52" t="s">
        <v>1123</v>
      </c>
      <c r="D931" s="52" t="s">
        <v>1289</v>
      </c>
      <c r="E931" s="52" t="s">
        <v>1290</v>
      </c>
      <c r="F931" s="52" t="s">
        <v>52</v>
      </c>
      <c r="G931" s="52" t="s">
        <v>1298</v>
      </c>
      <c r="H931" s="52" t="n">
        <v>1</v>
      </c>
    </row>
    <row r="932" customFormat="false" ht="15" hidden="false" customHeight="true" outlineLevel="0" collapsed="false">
      <c r="A932" s="52" t="n">
        <v>931</v>
      </c>
      <c r="B932" s="52" t="s">
        <v>395</v>
      </c>
      <c r="C932" s="52" t="s">
        <v>1123</v>
      </c>
      <c r="D932" s="52" t="s">
        <v>1289</v>
      </c>
      <c r="E932" s="52" t="s">
        <v>1290</v>
      </c>
      <c r="F932" s="52" t="s">
        <v>52</v>
      </c>
      <c r="G932" s="52" t="s">
        <v>1299</v>
      </c>
      <c r="H932" s="52" t="n">
        <v>1</v>
      </c>
    </row>
    <row r="933" customFormat="false" ht="15" hidden="false" customHeight="true" outlineLevel="0" collapsed="false">
      <c r="A933" s="52" t="n">
        <v>932</v>
      </c>
      <c r="B933" s="52" t="s">
        <v>395</v>
      </c>
      <c r="C933" s="52" t="s">
        <v>1123</v>
      </c>
      <c r="D933" s="52" t="s">
        <v>1289</v>
      </c>
      <c r="E933" s="52" t="s">
        <v>1290</v>
      </c>
      <c r="F933" s="52" t="s">
        <v>52</v>
      </c>
      <c r="G933" s="52" t="s">
        <v>1300</v>
      </c>
      <c r="H933" s="52" t="n">
        <v>1</v>
      </c>
    </row>
    <row r="934" customFormat="false" ht="15" hidden="false" customHeight="true" outlineLevel="0" collapsed="false">
      <c r="A934" s="52" t="n">
        <v>933</v>
      </c>
      <c r="B934" s="52" t="s">
        <v>395</v>
      </c>
      <c r="C934" s="52" t="s">
        <v>1123</v>
      </c>
      <c r="D934" s="52" t="s">
        <v>1289</v>
      </c>
      <c r="E934" s="52" t="s">
        <v>1290</v>
      </c>
      <c r="F934" s="52" t="s">
        <v>21</v>
      </c>
      <c r="G934" s="52" t="s">
        <v>1301</v>
      </c>
      <c r="H934" s="52" t="n">
        <v>1</v>
      </c>
    </row>
    <row r="935" customFormat="false" ht="15" hidden="false" customHeight="true" outlineLevel="0" collapsed="false">
      <c r="A935" s="52" t="n">
        <v>934</v>
      </c>
      <c r="B935" s="52" t="s">
        <v>395</v>
      </c>
      <c r="C935" s="52" t="s">
        <v>1123</v>
      </c>
      <c r="D935" s="52" t="s">
        <v>1289</v>
      </c>
      <c r="E935" s="52" t="s">
        <v>1290</v>
      </c>
      <c r="F935" s="52" t="s">
        <v>123</v>
      </c>
      <c r="G935" s="52" t="s">
        <v>1302</v>
      </c>
      <c r="H935" s="52" t="n">
        <v>1</v>
      </c>
    </row>
    <row r="936" customFormat="false" ht="15" hidden="false" customHeight="true" outlineLevel="0" collapsed="false">
      <c r="A936" s="52" t="n">
        <v>935</v>
      </c>
      <c r="B936" s="52" t="s">
        <v>395</v>
      </c>
      <c r="C936" s="52" t="s">
        <v>1123</v>
      </c>
      <c r="D936" s="52" t="s">
        <v>1289</v>
      </c>
      <c r="E936" s="52" t="s">
        <v>1290</v>
      </c>
      <c r="F936" s="52" t="s">
        <v>13</v>
      </c>
      <c r="G936" s="52" t="s">
        <v>1303</v>
      </c>
      <c r="H936" s="52" t="n">
        <v>1</v>
      </c>
    </row>
    <row r="937" customFormat="false" ht="15" hidden="false" customHeight="true" outlineLevel="0" collapsed="false">
      <c r="A937" s="52" t="n">
        <v>936</v>
      </c>
      <c r="B937" s="52" t="s">
        <v>395</v>
      </c>
      <c r="C937" s="52" t="s">
        <v>1123</v>
      </c>
      <c r="D937" s="52" t="s">
        <v>1289</v>
      </c>
      <c r="E937" s="52" t="s">
        <v>1290</v>
      </c>
      <c r="F937" s="52" t="s">
        <v>101</v>
      </c>
      <c r="G937" s="52" t="s">
        <v>1304</v>
      </c>
      <c r="H937" s="52" t="n">
        <v>1</v>
      </c>
    </row>
    <row r="938" customFormat="false" ht="15" hidden="false" customHeight="true" outlineLevel="0" collapsed="false">
      <c r="A938" s="52" t="n">
        <v>937</v>
      </c>
      <c r="B938" s="52" t="s">
        <v>395</v>
      </c>
      <c r="C938" s="52" t="s">
        <v>1123</v>
      </c>
      <c r="D938" s="52" t="s">
        <v>1289</v>
      </c>
      <c r="E938" s="52" t="s">
        <v>1290</v>
      </c>
      <c r="F938" s="52" t="s">
        <v>86</v>
      </c>
      <c r="G938" s="52" t="s">
        <v>442</v>
      </c>
      <c r="H938" s="52" t="n">
        <v>0</v>
      </c>
    </row>
    <row r="939" customFormat="false" ht="15" hidden="false" customHeight="true" outlineLevel="0" collapsed="false">
      <c r="A939" s="52" t="n">
        <v>938</v>
      </c>
      <c r="B939" s="52" t="s">
        <v>395</v>
      </c>
      <c r="C939" s="52" t="s">
        <v>1123</v>
      </c>
      <c r="D939" s="52" t="s">
        <v>1289</v>
      </c>
      <c r="E939" s="52" t="s">
        <v>1305</v>
      </c>
      <c r="F939" s="52" t="s">
        <v>331</v>
      </c>
      <c r="G939" s="52" t="s">
        <v>1306</v>
      </c>
      <c r="H939" s="52" t="n">
        <v>1</v>
      </c>
    </row>
    <row r="940" customFormat="false" ht="15" hidden="false" customHeight="true" outlineLevel="0" collapsed="false">
      <c r="A940" s="52" t="n">
        <v>939</v>
      </c>
      <c r="B940" s="52" t="s">
        <v>395</v>
      </c>
      <c r="C940" s="52" t="s">
        <v>1123</v>
      </c>
      <c r="D940" s="52" t="s">
        <v>1289</v>
      </c>
      <c r="E940" s="52" t="s">
        <v>1305</v>
      </c>
      <c r="F940" s="52" t="s">
        <v>74</v>
      </c>
      <c r="G940" s="52" t="s">
        <v>1307</v>
      </c>
      <c r="H940" s="52" t="n">
        <v>1</v>
      </c>
    </row>
    <row r="941" customFormat="false" ht="15" hidden="false" customHeight="true" outlineLevel="0" collapsed="false">
      <c r="A941" s="52" t="n">
        <v>940</v>
      </c>
      <c r="B941" s="52" t="s">
        <v>395</v>
      </c>
      <c r="C941" s="52" t="s">
        <v>1123</v>
      </c>
      <c r="D941" s="52" t="s">
        <v>1289</v>
      </c>
      <c r="E941" s="52" t="s">
        <v>1305</v>
      </c>
      <c r="F941" s="52" t="s">
        <v>74</v>
      </c>
      <c r="G941" s="52" t="s">
        <v>1308</v>
      </c>
      <c r="H941" s="52" t="n">
        <v>1</v>
      </c>
    </row>
    <row r="942" customFormat="false" ht="15" hidden="false" customHeight="true" outlineLevel="0" collapsed="false">
      <c r="A942" s="52" t="n">
        <v>941</v>
      </c>
      <c r="B942" s="52" t="s">
        <v>395</v>
      </c>
      <c r="C942" s="52" t="s">
        <v>1123</v>
      </c>
      <c r="D942" s="52" t="s">
        <v>1289</v>
      </c>
      <c r="E942" s="52" t="s">
        <v>1305</v>
      </c>
      <c r="F942" s="52" t="s">
        <v>74</v>
      </c>
      <c r="G942" s="52" t="s">
        <v>1309</v>
      </c>
      <c r="H942" s="52" t="n">
        <v>1</v>
      </c>
    </row>
    <row r="943" customFormat="false" ht="15" hidden="false" customHeight="true" outlineLevel="0" collapsed="false">
      <c r="A943" s="52" t="n">
        <v>942</v>
      </c>
      <c r="B943" s="52" t="s">
        <v>395</v>
      </c>
      <c r="C943" s="52" t="s">
        <v>1123</v>
      </c>
      <c r="D943" s="52" t="s">
        <v>1289</v>
      </c>
      <c r="E943" s="52" t="s">
        <v>1305</v>
      </c>
      <c r="F943" s="52" t="s">
        <v>36</v>
      </c>
      <c r="G943" s="52" t="s">
        <v>1310</v>
      </c>
      <c r="H943" s="52" t="n">
        <v>1</v>
      </c>
    </row>
    <row r="944" customFormat="false" ht="15" hidden="false" customHeight="true" outlineLevel="0" collapsed="false">
      <c r="A944" s="52" t="n">
        <v>943</v>
      </c>
      <c r="B944" s="52" t="s">
        <v>395</v>
      </c>
      <c r="C944" s="52" t="s">
        <v>1123</v>
      </c>
      <c r="D944" s="52" t="s">
        <v>1289</v>
      </c>
      <c r="E944" s="52" t="s">
        <v>1305</v>
      </c>
      <c r="F944" s="52" t="s">
        <v>36</v>
      </c>
      <c r="G944" s="52" t="s">
        <v>1311</v>
      </c>
      <c r="H944" s="52" t="n">
        <v>1</v>
      </c>
    </row>
    <row r="945" customFormat="false" ht="15" hidden="false" customHeight="true" outlineLevel="0" collapsed="false">
      <c r="A945" s="52" t="n">
        <v>944</v>
      </c>
      <c r="B945" s="52" t="s">
        <v>395</v>
      </c>
      <c r="C945" s="52" t="s">
        <v>1123</v>
      </c>
      <c r="D945" s="52" t="s">
        <v>1289</v>
      </c>
      <c r="E945" s="52" t="s">
        <v>1305</v>
      </c>
      <c r="F945" s="52" t="s">
        <v>36</v>
      </c>
      <c r="G945" s="52" t="s">
        <v>1312</v>
      </c>
      <c r="H945" s="52" t="n">
        <v>1</v>
      </c>
    </row>
    <row r="946" customFormat="false" ht="15" hidden="false" customHeight="true" outlineLevel="0" collapsed="false">
      <c r="A946" s="52" t="n">
        <v>945</v>
      </c>
      <c r="B946" s="52" t="s">
        <v>395</v>
      </c>
      <c r="C946" s="52" t="s">
        <v>1123</v>
      </c>
      <c r="D946" s="52" t="s">
        <v>1289</v>
      </c>
      <c r="E946" s="52" t="s">
        <v>1305</v>
      </c>
      <c r="F946" s="52" t="s">
        <v>259</v>
      </c>
      <c r="G946" s="52" t="s">
        <v>1313</v>
      </c>
      <c r="H946" s="52" t="n">
        <v>1</v>
      </c>
    </row>
    <row r="947" customFormat="false" ht="15" hidden="false" customHeight="true" outlineLevel="0" collapsed="false">
      <c r="A947" s="52" t="n">
        <v>946</v>
      </c>
      <c r="B947" s="52" t="s">
        <v>395</v>
      </c>
      <c r="C947" s="52" t="s">
        <v>1123</v>
      </c>
      <c r="D947" s="52" t="s">
        <v>1289</v>
      </c>
      <c r="E947" s="52" t="s">
        <v>1305</v>
      </c>
      <c r="F947" s="52" t="s">
        <v>259</v>
      </c>
      <c r="G947" s="52" t="s">
        <v>1314</v>
      </c>
      <c r="H947" s="52" t="n">
        <v>1</v>
      </c>
    </row>
    <row r="948" customFormat="false" ht="15" hidden="false" customHeight="true" outlineLevel="0" collapsed="false">
      <c r="A948" s="52" t="n">
        <v>947</v>
      </c>
      <c r="B948" s="52" t="s">
        <v>395</v>
      </c>
      <c r="C948" s="52" t="s">
        <v>1123</v>
      </c>
      <c r="D948" s="52" t="s">
        <v>1289</v>
      </c>
      <c r="E948" s="52" t="s">
        <v>1305</v>
      </c>
      <c r="F948" s="52" t="s">
        <v>259</v>
      </c>
      <c r="G948" s="52" t="s">
        <v>1315</v>
      </c>
      <c r="H948" s="52" t="n">
        <v>1</v>
      </c>
    </row>
    <row r="949" customFormat="false" ht="15" hidden="false" customHeight="true" outlineLevel="0" collapsed="false">
      <c r="A949" s="52" t="n">
        <v>948</v>
      </c>
      <c r="B949" s="52" t="s">
        <v>395</v>
      </c>
      <c r="C949" s="52" t="s">
        <v>1123</v>
      </c>
      <c r="D949" s="52" t="s">
        <v>1289</v>
      </c>
      <c r="E949" s="52" t="s">
        <v>1305</v>
      </c>
      <c r="F949" s="52" t="s">
        <v>52</v>
      </c>
      <c r="G949" s="52" t="s">
        <v>1316</v>
      </c>
      <c r="H949" s="52" t="n">
        <v>1</v>
      </c>
    </row>
    <row r="950" customFormat="false" ht="15" hidden="false" customHeight="true" outlineLevel="0" collapsed="false">
      <c r="A950" s="52" t="n">
        <v>949</v>
      </c>
      <c r="B950" s="52" t="s">
        <v>395</v>
      </c>
      <c r="C950" s="52" t="s">
        <v>1123</v>
      </c>
      <c r="D950" s="52" t="s">
        <v>1289</v>
      </c>
      <c r="E950" s="52" t="s">
        <v>1305</v>
      </c>
      <c r="F950" s="52" t="s">
        <v>52</v>
      </c>
      <c r="G950" s="52" t="s">
        <v>1317</v>
      </c>
      <c r="H950" s="52" t="n">
        <v>1</v>
      </c>
    </row>
    <row r="951" customFormat="false" ht="15" hidden="false" customHeight="true" outlineLevel="0" collapsed="false">
      <c r="A951" s="52" t="n">
        <v>950</v>
      </c>
      <c r="B951" s="52" t="s">
        <v>395</v>
      </c>
      <c r="C951" s="52" t="s">
        <v>1123</v>
      </c>
      <c r="D951" s="52" t="s">
        <v>1289</v>
      </c>
      <c r="E951" s="52" t="s">
        <v>1305</v>
      </c>
      <c r="F951" s="52" t="s">
        <v>21</v>
      </c>
      <c r="G951" s="52" t="s">
        <v>1318</v>
      </c>
      <c r="H951" s="52" t="n">
        <v>1</v>
      </c>
    </row>
    <row r="952" customFormat="false" ht="15" hidden="false" customHeight="true" outlineLevel="0" collapsed="false">
      <c r="A952" s="52" t="n">
        <v>951</v>
      </c>
      <c r="B952" s="52" t="s">
        <v>395</v>
      </c>
      <c r="C952" s="52" t="s">
        <v>1123</v>
      </c>
      <c r="D952" s="52" t="s">
        <v>1289</v>
      </c>
      <c r="E952" s="52" t="s">
        <v>1305</v>
      </c>
      <c r="F952" s="52" t="s">
        <v>21</v>
      </c>
      <c r="G952" s="52" t="s">
        <v>1319</v>
      </c>
      <c r="H952" s="52" t="n">
        <v>1</v>
      </c>
    </row>
    <row r="953" customFormat="false" ht="15" hidden="false" customHeight="true" outlineLevel="0" collapsed="false">
      <c r="A953" s="52" t="n">
        <v>952</v>
      </c>
      <c r="B953" s="52" t="s">
        <v>395</v>
      </c>
      <c r="C953" s="52" t="s">
        <v>1123</v>
      </c>
      <c r="D953" s="52" t="s">
        <v>1289</v>
      </c>
      <c r="E953" s="52" t="s">
        <v>1305</v>
      </c>
      <c r="F953" s="52" t="s">
        <v>123</v>
      </c>
      <c r="G953" s="52" t="s">
        <v>1320</v>
      </c>
      <c r="H953" s="52" t="n">
        <v>1</v>
      </c>
    </row>
    <row r="954" customFormat="false" ht="15" hidden="false" customHeight="true" outlineLevel="0" collapsed="false">
      <c r="A954" s="52" t="n">
        <v>953</v>
      </c>
      <c r="B954" s="52" t="s">
        <v>395</v>
      </c>
      <c r="C954" s="52" t="s">
        <v>1123</v>
      </c>
      <c r="D954" s="52" t="s">
        <v>1289</v>
      </c>
      <c r="E954" s="52" t="s">
        <v>1305</v>
      </c>
      <c r="F954" s="52" t="s">
        <v>13</v>
      </c>
      <c r="G954" s="52" t="s">
        <v>1321</v>
      </c>
      <c r="H954" s="52" t="n">
        <v>1</v>
      </c>
    </row>
    <row r="955" customFormat="false" ht="15" hidden="false" customHeight="true" outlineLevel="0" collapsed="false">
      <c r="A955" s="52" t="n">
        <v>954</v>
      </c>
      <c r="B955" s="52" t="s">
        <v>395</v>
      </c>
      <c r="C955" s="52" t="s">
        <v>1123</v>
      </c>
      <c r="D955" s="52" t="s">
        <v>1289</v>
      </c>
      <c r="E955" s="52" t="s">
        <v>1305</v>
      </c>
      <c r="F955" s="52" t="s">
        <v>13</v>
      </c>
      <c r="G955" s="52" t="s">
        <v>1322</v>
      </c>
      <c r="H955" s="52" t="n">
        <v>1</v>
      </c>
    </row>
    <row r="956" customFormat="false" ht="15" hidden="false" customHeight="true" outlineLevel="0" collapsed="false">
      <c r="A956" s="52" t="n">
        <v>955</v>
      </c>
      <c r="B956" s="52" t="s">
        <v>395</v>
      </c>
      <c r="C956" s="52" t="s">
        <v>1123</v>
      </c>
      <c r="D956" s="52" t="s">
        <v>1289</v>
      </c>
      <c r="E956" s="52" t="s">
        <v>1305</v>
      </c>
      <c r="F956" s="52" t="s">
        <v>101</v>
      </c>
      <c r="G956" s="52" t="s">
        <v>1323</v>
      </c>
      <c r="H956" s="52" t="n">
        <v>1</v>
      </c>
    </row>
    <row r="957" customFormat="false" ht="15" hidden="false" customHeight="true" outlineLevel="0" collapsed="false">
      <c r="A957" s="52" t="n">
        <v>956</v>
      </c>
      <c r="B957" s="52" t="s">
        <v>395</v>
      </c>
      <c r="C957" s="52" t="s">
        <v>1123</v>
      </c>
      <c r="D957" s="52" t="s">
        <v>1289</v>
      </c>
      <c r="E957" s="52" t="s">
        <v>1305</v>
      </c>
      <c r="F957" s="52" t="s">
        <v>86</v>
      </c>
      <c r="G957" s="52" t="s">
        <v>442</v>
      </c>
      <c r="H957" s="52" t="n">
        <v>0</v>
      </c>
    </row>
    <row r="958" customFormat="false" ht="15" hidden="false" customHeight="true" outlineLevel="0" collapsed="false">
      <c r="A958" s="52" t="n">
        <v>957</v>
      </c>
      <c r="B958" s="52" t="s">
        <v>395</v>
      </c>
      <c r="C958" s="52" t="s">
        <v>1123</v>
      </c>
      <c r="D958" s="52" t="s">
        <v>1289</v>
      </c>
      <c r="E958" s="52" t="s">
        <v>1324</v>
      </c>
      <c r="F958" s="52" t="s">
        <v>331</v>
      </c>
      <c r="G958" s="52" t="s">
        <v>1325</v>
      </c>
      <c r="H958" s="52" t="n">
        <v>1</v>
      </c>
    </row>
    <row r="959" customFormat="false" ht="15" hidden="false" customHeight="true" outlineLevel="0" collapsed="false">
      <c r="A959" s="52" t="n">
        <v>958</v>
      </c>
      <c r="B959" s="52" t="s">
        <v>395</v>
      </c>
      <c r="C959" s="52" t="s">
        <v>1123</v>
      </c>
      <c r="D959" s="52" t="s">
        <v>1289</v>
      </c>
      <c r="E959" s="52" t="s">
        <v>1324</v>
      </c>
      <c r="F959" s="52" t="s">
        <v>331</v>
      </c>
      <c r="G959" s="52" t="s">
        <v>1326</v>
      </c>
      <c r="H959" s="52" t="n">
        <v>1</v>
      </c>
    </row>
    <row r="960" customFormat="false" ht="15" hidden="false" customHeight="true" outlineLevel="0" collapsed="false">
      <c r="A960" s="52" t="n">
        <v>959</v>
      </c>
      <c r="B960" s="52" t="s">
        <v>395</v>
      </c>
      <c r="C960" s="52" t="s">
        <v>1123</v>
      </c>
      <c r="D960" s="52" t="s">
        <v>1289</v>
      </c>
      <c r="E960" s="52" t="s">
        <v>1324</v>
      </c>
      <c r="F960" s="52" t="s">
        <v>74</v>
      </c>
      <c r="G960" s="52" t="s">
        <v>1327</v>
      </c>
      <c r="H960" s="52" t="n">
        <v>1</v>
      </c>
    </row>
    <row r="961" customFormat="false" ht="15" hidden="false" customHeight="true" outlineLevel="0" collapsed="false">
      <c r="A961" s="52" t="n">
        <v>960</v>
      </c>
      <c r="B961" s="52" t="s">
        <v>395</v>
      </c>
      <c r="C961" s="52" t="s">
        <v>1123</v>
      </c>
      <c r="D961" s="52" t="s">
        <v>1289</v>
      </c>
      <c r="E961" s="52" t="s">
        <v>1324</v>
      </c>
      <c r="F961" s="52" t="s">
        <v>74</v>
      </c>
      <c r="G961" s="52" t="s">
        <v>1328</v>
      </c>
      <c r="H961" s="52" t="n">
        <v>1</v>
      </c>
    </row>
    <row r="962" customFormat="false" ht="15" hidden="false" customHeight="true" outlineLevel="0" collapsed="false">
      <c r="A962" s="52" t="n">
        <v>961</v>
      </c>
      <c r="B962" s="52" t="s">
        <v>395</v>
      </c>
      <c r="C962" s="52" t="s">
        <v>1123</v>
      </c>
      <c r="D962" s="52" t="s">
        <v>1289</v>
      </c>
      <c r="E962" s="52" t="s">
        <v>1324</v>
      </c>
      <c r="F962" s="52" t="s">
        <v>36</v>
      </c>
      <c r="G962" s="52" t="s">
        <v>1329</v>
      </c>
      <c r="H962" s="52" t="n">
        <v>1</v>
      </c>
    </row>
    <row r="963" customFormat="false" ht="15" hidden="false" customHeight="true" outlineLevel="0" collapsed="false">
      <c r="A963" s="52" t="n">
        <v>962</v>
      </c>
      <c r="B963" s="52" t="s">
        <v>395</v>
      </c>
      <c r="C963" s="52" t="s">
        <v>1123</v>
      </c>
      <c r="D963" s="52" t="s">
        <v>1289</v>
      </c>
      <c r="E963" s="52" t="s">
        <v>1324</v>
      </c>
      <c r="F963" s="52" t="s">
        <v>36</v>
      </c>
      <c r="G963" s="52" t="s">
        <v>1330</v>
      </c>
      <c r="H963" s="52" t="n">
        <v>1</v>
      </c>
    </row>
    <row r="964" customFormat="false" ht="15" hidden="false" customHeight="true" outlineLevel="0" collapsed="false">
      <c r="A964" s="52" t="n">
        <v>963</v>
      </c>
      <c r="B964" s="52" t="s">
        <v>395</v>
      </c>
      <c r="C964" s="52" t="s">
        <v>1123</v>
      </c>
      <c r="D964" s="52" t="s">
        <v>1289</v>
      </c>
      <c r="E964" s="52" t="s">
        <v>1324</v>
      </c>
      <c r="F964" s="52" t="s">
        <v>36</v>
      </c>
      <c r="G964" s="52" t="s">
        <v>1331</v>
      </c>
      <c r="H964" s="52" t="n">
        <v>1</v>
      </c>
    </row>
    <row r="965" customFormat="false" ht="15" hidden="false" customHeight="true" outlineLevel="0" collapsed="false">
      <c r="A965" s="52" t="n">
        <v>964</v>
      </c>
      <c r="B965" s="52" t="s">
        <v>395</v>
      </c>
      <c r="C965" s="52" t="s">
        <v>1123</v>
      </c>
      <c r="D965" s="52" t="s">
        <v>1289</v>
      </c>
      <c r="E965" s="52" t="s">
        <v>1324</v>
      </c>
      <c r="F965" s="52" t="s">
        <v>259</v>
      </c>
      <c r="G965" s="52" t="s">
        <v>1332</v>
      </c>
      <c r="H965" s="52" t="n">
        <v>1</v>
      </c>
    </row>
    <row r="966" customFormat="false" ht="15" hidden="false" customHeight="true" outlineLevel="0" collapsed="false">
      <c r="A966" s="52" t="n">
        <v>965</v>
      </c>
      <c r="B966" s="52" t="s">
        <v>395</v>
      </c>
      <c r="C966" s="52" t="s">
        <v>1123</v>
      </c>
      <c r="D966" s="52" t="s">
        <v>1289</v>
      </c>
      <c r="E966" s="52" t="s">
        <v>1324</v>
      </c>
      <c r="F966" s="52" t="s">
        <v>259</v>
      </c>
      <c r="G966" s="52" t="s">
        <v>1333</v>
      </c>
      <c r="H966" s="52" t="n">
        <v>1</v>
      </c>
    </row>
    <row r="967" customFormat="false" ht="15" hidden="false" customHeight="true" outlineLevel="0" collapsed="false">
      <c r="A967" s="52" t="n">
        <v>966</v>
      </c>
      <c r="B967" s="52" t="s">
        <v>395</v>
      </c>
      <c r="C967" s="52" t="s">
        <v>1123</v>
      </c>
      <c r="D967" s="52" t="s">
        <v>1289</v>
      </c>
      <c r="E967" s="52" t="s">
        <v>1324</v>
      </c>
      <c r="F967" s="52" t="s">
        <v>259</v>
      </c>
      <c r="G967" s="52" t="s">
        <v>1334</v>
      </c>
      <c r="H967" s="52" t="n">
        <v>1</v>
      </c>
    </row>
    <row r="968" customFormat="false" ht="15" hidden="false" customHeight="true" outlineLevel="0" collapsed="false">
      <c r="A968" s="52" t="n">
        <v>967</v>
      </c>
      <c r="B968" s="52" t="s">
        <v>395</v>
      </c>
      <c r="C968" s="52" t="s">
        <v>1123</v>
      </c>
      <c r="D968" s="52" t="s">
        <v>1289</v>
      </c>
      <c r="E968" s="52" t="s">
        <v>1324</v>
      </c>
      <c r="F968" s="52" t="s">
        <v>52</v>
      </c>
      <c r="G968" s="52" t="s">
        <v>1335</v>
      </c>
      <c r="H968" s="52" t="n">
        <v>1</v>
      </c>
    </row>
    <row r="969" customFormat="false" ht="15" hidden="false" customHeight="true" outlineLevel="0" collapsed="false">
      <c r="A969" s="52" t="n">
        <v>968</v>
      </c>
      <c r="B969" s="52" t="s">
        <v>395</v>
      </c>
      <c r="C969" s="52" t="s">
        <v>1123</v>
      </c>
      <c r="D969" s="52" t="s">
        <v>1289</v>
      </c>
      <c r="E969" s="52" t="s">
        <v>1324</v>
      </c>
      <c r="F969" s="52" t="s">
        <v>21</v>
      </c>
      <c r="G969" s="52" t="s">
        <v>1336</v>
      </c>
      <c r="H969" s="52" t="n">
        <v>1</v>
      </c>
    </row>
    <row r="970" customFormat="false" ht="15" hidden="false" customHeight="true" outlineLevel="0" collapsed="false">
      <c r="A970" s="52" t="n">
        <v>969</v>
      </c>
      <c r="B970" s="52" t="s">
        <v>395</v>
      </c>
      <c r="C970" s="52" t="s">
        <v>1123</v>
      </c>
      <c r="D970" s="52" t="s">
        <v>1289</v>
      </c>
      <c r="E970" s="52" t="s">
        <v>1324</v>
      </c>
      <c r="F970" s="52" t="s">
        <v>13</v>
      </c>
      <c r="G970" s="52" t="s">
        <v>1337</v>
      </c>
      <c r="H970" s="52" t="n">
        <v>1</v>
      </c>
    </row>
    <row r="971" customFormat="false" ht="15" hidden="false" customHeight="true" outlineLevel="0" collapsed="false">
      <c r="A971" s="52" t="n">
        <v>970</v>
      </c>
      <c r="B971" s="52" t="s">
        <v>395</v>
      </c>
      <c r="C971" s="52" t="s">
        <v>1123</v>
      </c>
      <c r="D971" s="52" t="s">
        <v>1289</v>
      </c>
      <c r="E971" s="52" t="s">
        <v>1324</v>
      </c>
      <c r="F971" s="52" t="s">
        <v>101</v>
      </c>
      <c r="G971" s="52" t="s">
        <v>442</v>
      </c>
      <c r="H971" s="52" t="n">
        <v>0</v>
      </c>
    </row>
    <row r="972" customFormat="false" ht="15" hidden="false" customHeight="true" outlineLevel="0" collapsed="false">
      <c r="A972" s="52" t="n">
        <v>971</v>
      </c>
      <c r="B972" s="52" t="s">
        <v>395</v>
      </c>
      <c r="C972" s="52" t="s">
        <v>1123</v>
      </c>
      <c r="D972" s="52" t="s">
        <v>1289</v>
      </c>
      <c r="E972" s="52" t="s">
        <v>1324</v>
      </c>
      <c r="F972" s="52" t="s">
        <v>86</v>
      </c>
      <c r="G972" s="52" t="s">
        <v>442</v>
      </c>
      <c r="H972" s="52" t="n">
        <v>0</v>
      </c>
    </row>
    <row r="973" customFormat="false" ht="15" hidden="false" customHeight="true" outlineLevel="0" collapsed="false">
      <c r="A973" s="52" t="n">
        <v>972</v>
      </c>
      <c r="B973" s="52" t="s">
        <v>395</v>
      </c>
      <c r="C973" s="52" t="s">
        <v>1123</v>
      </c>
      <c r="D973" s="52" t="s">
        <v>1289</v>
      </c>
      <c r="E973" s="52" t="s">
        <v>1338</v>
      </c>
      <c r="F973" s="52" t="s">
        <v>331</v>
      </c>
      <c r="G973" s="52" t="s">
        <v>1339</v>
      </c>
      <c r="H973" s="52" t="n">
        <v>1</v>
      </c>
    </row>
    <row r="974" customFormat="false" ht="15" hidden="false" customHeight="true" outlineLevel="0" collapsed="false">
      <c r="A974" s="52" t="n">
        <v>973</v>
      </c>
      <c r="B974" s="52" t="s">
        <v>395</v>
      </c>
      <c r="C974" s="52" t="s">
        <v>1123</v>
      </c>
      <c r="D974" s="52" t="s">
        <v>1289</v>
      </c>
      <c r="E974" s="52" t="s">
        <v>1338</v>
      </c>
      <c r="F974" s="52" t="s">
        <v>74</v>
      </c>
      <c r="G974" s="52" t="s">
        <v>1340</v>
      </c>
      <c r="H974" s="52" t="n">
        <v>1</v>
      </c>
    </row>
    <row r="975" customFormat="false" ht="15" hidden="false" customHeight="true" outlineLevel="0" collapsed="false">
      <c r="A975" s="52" t="n">
        <v>974</v>
      </c>
      <c r="B975" s="52" t="s">
        <v>395</v>
      </c>
      <c r="C975" s="52" t="s">
        <v>1123</v>
      </c>
      <c r="D975" s="52" t="s">
        <v>1289</v>
      </c>
      <c r="E975" s="52" t="s">
        <v>1338</v>
      </c>
      <c r="F975" s="52" t="s">
        <v>36</v>
      </c>
      <c r="G975" s="52" t="s">
        <v>1341</v>
      </c>
      <c r="H975" s="52" t="n">
        <v>1</v>
      </c>
    </row>
    <row r="976" customFormat="false" ht="15" hidden="false" customHeight="true" outlineLevel="0" collapsed="false">
      <c r="A976" s="52" t="n">
        <v>975</v>
      </c>
      <c r="B976" s="52" t="s">
        <v>395</v>
      </c>
      <c r="C976" s="52" t="s">
        <v>1123</v>
      </c>
      <c r="D976" s="52" t="s">
        <v>1289</v>
      </c>
      <c r="E976" s="52" t="s">
        <v>1338</v>
      </c>
      <c r="F976" s="52" t="s">
        <v>36</v>
      </c>
      <c r="G976" s="52" t="s">
        <v>1342</v>
      </c>
      <c r="H976" s="52" t="n">
        <v>1</v>
      </c>
    </row>
    <row r="977" customFormat="false" ht="15" hidden="false" customHeight="true" outlineLevel="0" collapsed="false">
      <c r="A977" s="52" t="n">
        <v>976</v>
      </c>
      <c r="B977" s="52" t="s">
        <v>395</v>
      </c>
      <c r="C977" s="52" t="s">
        <v>1123</v>
      </c>
      <c r="D977" s="52" t="s">
        <v>1289</v>
      </c>
      <c r="E977" s="52" t="s">
        <v>1338</v>
      </c>
      <c r="F977" s="52" t="s">
        <v>259</v>
      </c>
      <c r="G977" s="52" t="s">
        <v>1343</v>
      </c>
      <c r="H977" s="52" t="n">
        <v>1</v>
      </c>
    </row>
    <row r="978" customFormat="false" ht="15" hidden="false" customHeight="true" outlineLevel="0" collapsed="false">
      <c r="A978" s="52" t="n">
        <v>977</v>
      </c>
      <c r="B978" s="52" t="s">
        <v>395</v>
      </c>
      <c r="C978" s="52" t="s">
        <v>1123</v>
      </c>
      <c r="D978" s="52" t="s">
        <v>1289</v>
      </c>
      <c r="E978" s="52" t="s">
        <v>1338</v>
      </c>
      <c r="F978" s="52" t="s">
        <v>259</v>
      </c>
      <c r="G978" s="52" t="s">
        <v>1344</v>
      </c>
      <c r="H978" s="52" t="n">
        <v>1</v>
      </c>
    </row>
    <row r="979" customFormat="false" ht="15" hidden="false" customHeight="true" outlineLevel="0" collapsed="false">
      <c r="A979" s="52" t="n">
        <v>978</v>
      </c>
      <c r="B979" s="52" t="s">
        <v>395</v>
      </c>
      <c r="C979" s="52" t="s">
        <v>1123</v>
      </c>
      <c r="D979" s="52" t="s">
        <v>1289</v>
      </c>
      <c r="E979" s="52" t="s">
        <v>1338</v>
      </c>
      <c r="F979" s="52" t="s">
        <v>259</v>
      </c>
      <c r="G979" s="52" t="s">
        <v>1345</v>
      </c>
      <c r="H979" s="52" t="n">
        <v>1</v>
      </c>
    </row>
    <row r="980" customFormat="false" ht="15" hidden="false" customHeight="true" outlineLevel="0" collapsed="false">
      <c r="A980" s="52" t="n">
        <v>979</v>
      </c>
      <c r="B980" s="52" t="s">
        <v>395</v>
      </c>
      <c r="C980" s="52" t="s">
        <v>1123</v>
      </c>
      <c r="D980" s="52" t="s">
        <v>1289</v>
      </c>
      <c r="E980" s="52" t="s">
        <v>1338</v>
      </c>
      <c r="F980" s="52" t="s">
        <v>52</v>
      </c>
      <c r="G980" s="52" t="s">
        <v>1346</v>
      </c>
      <c r="H980" s="52" t="n">
        <v>1</v>
      </c>
    </row>
    <row r="981" customFormat="false" ht="15" hidden="false" customHeight="true" outlineLevel="0" collapsed="false">
      <c r="A981" s="52" t="n">
        <v>980</v>
      </c>
      <c r="B981" s="52" t="s">
        <v>395</v>
      </c>
      <c r="C981" s="52" t="s">
        <v>1123</v>
      </c>
      <c r="D981" s="52" t="s">
        <v>1289</v>
      </c>
      <c r="E981" s="52" t="s">
        <v>1338</v>
      </c>
      <c r="F981" s="52" t="s">
        <v>52</v>
      </c>
      <c r="G981" s="52" t="s">
        <v>1347</v>
      </c>
      <c r="H981" s="52" t="n">
        <v>1</v>
      </c>
    </row>
    <row r="982" customFormat="false" ht="15" hidden="false" customHeight="true" outlineLevel="0" collapsed="false">
      <c r="A982" s="52" t="n">
        <v>981</v>
      </c>
      <c r="B982" s="52" t="s">
        <v>395</v>
      </c>
      <c r="C982" s="52" t="s">
        <v>1123</v>
      </c>
      <c r="D982" s="52" t="s">
        <v>1289</v>
      </c>
      <c r="E982" s="52" t="s">
        <v>1338</v>
      </c>
      <c r="F982" s="52" t="s">
        <v>52</v>
      </c>
      <c r="G982" s="52" t="s">
        <v>1348</v>
      </c>
      <c r="H982" s="52" t="n">
        <v>1</v>
      </c>
    </row>
    <row r="983" customFormat="false" ht="15" hidden="false" customHeight="true" outlineLevel="0" collapsed="false">
      <c r="A983" s="52" t="n">
        <v>982</v>
      </c>
      <c r="B983" s="52" t="s">
        <v>395</v>
      </c>
      <c r="C983" s="52" t="s">
        <v>1123</v>
      </c>
      <c r="D983" s="52" t="s">
        <v>1289</v>
      </c>
      <c r="E983" s="52" t="s">
        <v>1338</v>
      </c>
      <c r="F983" s="52" t="s">
        <v>21</v>
      </c>
      <c r="G983" s="52" t="s">
        <v>1349</v>
      </c>
      <c r="H983" s="52" t="n">
        <v>1</v>
      </c>
    </row>
    <row r="984" customFormat="false" ht="15" hidden="false" customHeight="true" outlineLevel="0" collapsed="false">
      <c r="A984" s="52" t="n">
        <v>983</v>
      </c>
      <c r="B984" s="52" t="s">
        <v>395</v>
      </c>
      <c r="C984" s="52" t="s">
        <v>1123</v>
      </c>
      <c r="D984" s="52" t="s">
        <v>1289</v>
      </c>
      <c r="E984" s="52" t="s">
        <v>1338</v>
      </c>
      <c r="F984" s="52" t="s">
        <v>13</v>
      </c>
      <c r="G984" s="52" t="s">
        <v>1350</v>
      </c>
      <c r="H984" s="52" t="n">
        <v>1</v>
      </c>
    </row>
    <row r="985" customFormat="false" ht="15" hidden="false" customHeight="true" outlineLevel="0" collapsed="false">
      <c r="A985" s="52" t="n">
        <v>984</v>
      </c>
      <c r="B985" s="52" t="s">
        <v>395</v>
      </c>
      <c r="C985" s="52" t="s">
        <v>1123</v>
      </c>
      <c r="D985" s="52" t="s">
        <v>1289</v>
      </c>
      <c r="E985" s="52" t="s">
        <v>1338</v>
      </c>
      <c r="F985" s="52" t="s">
        <v>101</v>
      </c>
      <c r="G985" s="52" t="s">
        <v>1351</v>
      </c>
      <c r="H985" s="52" t="n">
        <v>1</v>
      </c>
    </row>
    <row r="986" customFormat="false" ht="15" hidden="false" customHeight="true" outlineLevel="0" collapsed="false">
      <c r="A986" s="52" t="n">
        <v>985</v>
      </c>
      <c r="B986" s="52" t="s">
        <v>395</v>
      </c>
      <c r="C986" s="52" t="s">
        <v>1123</v>
      </c>
      <c r="D986" s="52" t="s">
        <v>1289</v>
      </c>
      <c r="E986" s="52" t="s">
        <v>1338</v>
      </c>
      <c r="F986" s="52" t="s">
        <v>86</v>
      </c>
      <c r="G986" s="52" t="s">
        <v>442</v>
      </c>
      <c r="H986" s="52" t="n">
        <v>0</v>
      </c>
    </row>
    <row r="987" customFormat="false" ht="15" hidden="false" customHeight="true" outlineLevel="0" collapsed="false">
      <c r="A987" s="52" t="n">
        <v>986</v>
      </c>
      <c r="B987" s="52" t="s">
        <v>395</v>
      </c>
      <c r="C987" s="52" t="s">
        <v>1123</v>
      </c>
      <c r="D987" s="52" t="s">
        <v>1352</v>
      </c>
      <c r="E987" s="52" t="s">
        <v>1353</v>
      </c>
      <c r="F987" s="52" t="s">
        <v>331</v>
      </c>
      <c r="G987" s="52" t="s">
        <v>1354</v>
      </c>
      <c r="H987" s="52" t="n">
        <v>1</v>
      </c>
    </row>
    <row r="988" customFormat="false" ht="15" hidden="false" customHeight="true" outlineLevel="0" collapsed="false">
      <c r="A988" s="52" t="n">
        <v>987</v>
      </c>
      <c r="B988" s="52" t="s">
        <v>395</v>
      </c>
      <c r="C988" s="52" t="s">
        <v>1123</v>
      </c>
      <c r="D988" s="52" t="s">
        <v>1352</v>
      </c>
      <c r="E988" s="52" t="s">
        <v>1353</v>
      </c>
      <c r="F988" s="52" t="s">
        <v>331</v>
      </c>
      <c r="G988" s="52" t="s">
        <v>1355</v>
      </c>
      <c r="H988" s="52" t="n">
        <v>1</v>
      </c>
    </row>
    <row r="989" customFormat="false" ht="15" hidden="false" customHeight="true" outlineLevel="0" collapsed="false">
      <c r="A989" s="52" t="n">
        <v>988</v>
      </c>
      <c r="B989" s="52" t="s">
        <v>395</v>
      </c>
      <c r="C989" s="52" t="s">
        <v>1123</v>
      </c>
      <c r="D989" s="52" t="s">
        <v>1352</v>
      </c>
      <c r="E989" s="52" t="s">
        <v>1353</v>
      </c>
      <c r="F989" s="52" t="s">
        <v>74</v>
      </c>
      <c r="G989" s="52" t="s">
        <v>1356</v>
      </c>
      <c r="H989" s="52" t="n">
        <v>1</v>
      </c>
    </row>
    <row r="990" customFormat="false" ht="15" hidden="false" customHeight="true" outlineLevel="0" collapsed="false">
      <c r="A990" s="52" t="n">
        <v>989</v>
      </c>
      <c r="B990" s="52" t="s">
        <v>395</v>
      </c>
      <c r="C990" s="52" t="s">
        <v>1123</v>
      </c>
      <c r="D990" s="52" t="s">
        <v>1352</v>
      </c>
      <c r="E990" s="52" t="s">
        <v>1353</v>
      </c>
      <c r="F990" s="52" t="s">
        <v>74</v>
      </c>
      <c r="G990" s="52" t="s">
        <v>1357</v>
      </c>
      <c r="H990" s="52" t="n">
        <v>1</v>
      </c>
    </row>
    <row r="991" customFormat="false" ht="15" hidden="false" customHeight="true" outlineLevel="0" collapsed="false">
      <c r="A991" s="52" t="n">
        <v>990</v>
      </c>
      <c r="B991" s="52" t="s">
        <v>395</v>
      </c>
      <c r="C991" s="52" t="s">
        <v>1123</v>
      </c>
      <c r="D991" s="52" t="s">
        <v>1352</v>
      </c>
      <c r="E991" s="52" t="s">
        <v>1353</v>
      </c>
      <c r="F991" s="52" t="s">
        <v>36</v>
      </c>
      <c r="G991" s="52" t="s">
        <v>1358</v>
      </c>
      <c r="H991" s="52" t="n">
        <v>1</v>
      </c>
    </row>
    <row r="992" customFormat="false" ht="15" hidden="false" customHeight="true" outlineLevel="0" collapsed="false">
      <c r="A992" s="52" t="n">
        <v>991</v>
      </c>
      <c r="B992" s="52" t="s">
        <v>395</v>
      </c>
      <c r="C992" s="52" t="s">
        <v>1123</v>
      </c>
      <c r="D992" s="52" t="s">
        <v>1352</v>
      </c>
      <c r="E992" s="52" t="s">
        <v>1353</v>
      </c>
      <c r="F992" s="52" t="s">
        <v>36</v>
      </c>
      <c r="G992" s="52" t="s">
        <v>1359</v>
      </c>
      <c r="H992" s="52" t="n">
        <v>1</v>
      </c>
    </row>
    <row r="993" customFormat="false" ht="15" hidden="false" customHeight="true" outlineLevel="0" collapsed="false">
      <c r="A993" s="52" t="n">
        <v>992</v>
      </c>
      <c r="B993" s="52" t="s">
        <v>395</v>
      </c>
      <c r="C993" s="52" t="s">
        <v>1123</v>
      </c>
      <c r="D993" s="52" t="s">
        <v>1352</v>
      </c>
      <c r="E993" s="52" t="s">
        <v>1353</v>
      </c>
      <c r="F993" s="52" t="s">
        <v>36</v>
      </c>
      <c r="G993" s="52" t="s">
        <v>1360</v>
      </c>
      <c r="H993" s="52" t="n">
        <v>1</v>
      </c>
    </row>
    <row r="994" customFormat="false" ht="15" hidden="false" customHeight="true" outlineLevel="0" collapsed="false">
      <c r="A994" s="52" t="n">
        <v>993</v>
      </c>
      <c r="B994" s="52" t="s">
        <v>395</v>
      </c>
      <c r="C994" s="52" t="s">
        <v>1123</v>
      </c>
      <c r="D994" s="52" t="s">
        <v>1352</v>
      </c>
      <c r="E994" s="52" t="s">
        <v>1353</v>
      </c>
      <c r="F994" s="52" t="s">
        <v>259</v>
      </c>
      <c r="G994" s="52" t="s">
        <v>1361</v>
      </c>
      <c r="H994" s="52" t="n">
        <v>1</v>
      </c>
    </row>
    <row r="995" customFormat="false" ht="15" hidden="false" customHeight="true" outlineLevel="0" collapsed="false">
      <c r="A995" s="52" t="n">
        <v>994</v>
      </c>
      <c r="B995" s="52" t="s">
        <v>395</v>
      </c>
      <c r="C995" s="52" t="s">
        <v>1123</v>
      </c>
      <c r="D995" s="52" t="s">
        <v>1352</v>
      </c>
      <c r="E995" s="52" t="s">
        <v>1353</v>
      </c>
      <c r="F995" s="52" t="s">
        <v>259</v>
      </c>
      <c r="G995" s="52" t="s">
        <v>1362</v>
      </c>
      <c r="H995" s="52" t="n">
        <v>1</v>
      </c>
    </row>
    <row r="996" customFormat="false" ht="15" hidden="false" customHeight="true" outlineLevel="0" collapsed="false">
      <c r="A996" s="52" t="n">
        <v>995</v>
      </c>
      <c r="B996" s="52" t="s">
        <v>395</v>
      </c>
      <c r="C996" s="52" t="s">
        <v>1123</v>
      </c>
      <c r="D996" s="52" t="s">
        <v>1352</v>
      </c>
      <c r="E996" s="52" t="s">
        <v>1353</v>
      </c>
      <c r="F996" s="52" t="s">
        <v>259</v>
      </c>
      <c r="G996" s="52" t="s">
        <v>1363</v>
      </c>
      <c r="H996" s="52" t="n">
        <v>1</v>
      </c>
    </row>
    <row r="997" customFormat="false" ht="15" hidden="false" customHeight="true" outlineLevel="0" collapsed="false">
      <c r="A997" s="52" t="n">
        <v>996</v>
      </c>
      <c r="B997" s="52" t="s">
        <v>395</v>
      </c>
      <c r="C997" s="52" t="s">
        <v>1123</v>
      </c>
      <c r="D997" s="52" t="s">
        <v>1352</v>
      </c>
      <c r="E997" s="52" t="s">
        <v>1353</v>
      </c>
      <c r="F997" s="52" t="s">
        <v>52</v>
      </c>
      <c r="G997" s="52" t="s">
        <v>1364</v>
      </c>
      <c r="H997" s="52" t="n">
        <v>1</v>
      </c>
    </row>
    <row r="998" customFormat="false" ht="15" hidden="false" customHeight="true" outlineLevel="0" collapsed="false">
      <c r="A998" s="52" t="n">
        <v>997</v>
      </c>
      <c r="B998" s="52" t="s">
        <v>395</v>
      </c>
      <c r="C998" s="52" t="s">
        <v>1123</v>
      </c>
      <c r="D998" s="52" t="s">
        <v>1352</v>
      </c>
      <c r="E998" s="52" t="s">
        <v>1353</v>
      </c>
      <c r="F998" s="52" t="s">
        <v>52</v>
      </c>
      <c r="G998" s="52" t="s">
        <v>1365</v>
      </c>
      <c r="H998" s="52" t="n">
        <v>1</v>
      </c>
    </row>
    <row r="999" customFormat="false" ht="15" hidden="false" customHeight="true" outlineLevel="0" collapsed="false">
      <c r="A999" s="52" t="n">
        <v>998</v>
      </c>
      <c r="B999" s="52" t="s">
        <v>395</v>
      </c>
      <c r="C999" s="52" t="s">
        <v>1123</v>
      </c>
      <c r="D999" s="52" t="s">
        <v>1352</v>
      </c>
      <c r="E999" s="52" t="s">
        <v>1353</v>
      </c>
      <c r="F999" s="52" t="s">
        <v>21</v>
      </c>
      <c r="G999" s="52" t="s">
        <v>1366</v>
      </c>
      <c r="H999" s="52" t="n">
        <v>1</v>
      </c>
    </row>
    <row r="1000" customFormat="false" ht="15" hidden="false" customHeight="true" outlineLevel="0" collapsed="false">
      <c r="A1000" s="52" t="n">
        <v>999</v>
      </c>
      <c r="B1000" s="52" t="s">
        <v>395</v>
      </c>
      <c r="C1000" s="52" t="s">
        <v>1123</v>
      </c>
      <c r="D1000" s="52" t="s">
        <v>1352</v>
      </c>
      <c r="E1000" s="52" t="s">
        <v>1353</v>
      </c>
      <c r="F1000" s="52" t="s">
        <v>21</v>
      </c>
      <c r="G1000" s="52" t="s">
        <v>1367</v>
      </c>
      <c r="H1000" s="52" t="n">
        <v>1</v>
      </c>
    </row>
    <row r="1001" customFormat="false" ht="15" hidden="false" customHeight="true" outlineLevel="0" collapsed="false">
      <c r="A1001" s="52" t="n">
        <v>1000</v>
      </c>
      <c r="B1001" s="52" t="s">
        <v>395</v>
      </c>
      <c r="C1001" s="52" t="s">
        <v>1123</v>
      </c>
      <c r="D1001" s="52" t="s">
        <v>1352</v>
      </c>
      <c r="E1001" s="52" t="s">
        <v>1353</v>
      </c>
      <c r="F1001" s="52" t="s">
        <v>13</v>
      </c>
      <c r="G1001" s="52" t="s">
        <v>1368</v>
      </c>
      <c r="H1001" s="52" t="n">
        <v>1</v>
      </c>
    </row>
    <row r="1002" customFormat="false" ht="15" hidden="false" customHeight="true" outlineLevel="0" collapsed="false">
      <c r="A1002" s="52" t="n">
        <v>1001</v>
      </c>
      <c r="B1002" s="52" t="s">
        <v>395</v>
      </c>
      <c r="C1002" s="52" t="s">
        <v>1123</v>
      </c>
      <c r="D1002" s="52" t="s">
        <v>1352</v>
      </c>
      <c r="E1002" s="52" t="s">
        <v>1353</v>
      </c>
      <c r="F1002" s="52" t="s">
        <v>101</v>
      </c>
      <c r="G1002" s="52" t="s">
        <v>1369</v>
      </c>
      <c r="H1002" s="52" t="n">
        <v>1</v>
      </c>
    </row>
    <row r="1003" customFormat="false" ht="15" hidden="false" customHeight="true" outlineLevel="0" collapsed="false">
      <c r="A1003" s="52" t="n">
        <v>1002</v>
      </c>
      <c r="B1003" s="52" t="s">
        <v>395</v>
      </c>
      <c r="C1003" s="52" t="s">
        <v>1123</v>
      </c>
      <c r="D1003" s="52" t="s">
        <v>1352</v>
      </c>
      <c r="E1003" s="52" t="s">
        <v>1353</v>
      </c>
      <c r="F1003" s="52" t="s">
        <v>86</v>
      </c>
      <c r="G1003" s="52" t="s">
        <v>442</v>
      </c>
      <c r="H1003" s="52" t="n">
        <v>0</v>
      </c>
    </row>
    <row r="1004" customFormat="false" ht="15" hidden="false" customHeight="true" outlineLevel="0" collapsed="false">
      <c r="A1004" s="52" t="n">
        <v>1003</v>
      </c>
      <c r="B1004" s="52" t="s">
        <v>395</v>
      </c>
      <c r="C1004" s="52" t="s">
        <v>1123</v>
      </c>
      <c r="D1004" s="52" t="s">
        <v>1352</v>
      </c>
      <c r="E1004" s="52" t="s">
        <v>1370</v>
      </c>
      <c r="F1004" s="52" t="s">
        <v>331</v>
      </c>
      <c r="G1004" s="52" t="s">
        <v>1371</v>
      </c>
      <c r="H1004" s="52" t="n">
        <v>1</v>
      </c>
    </row>
    <row r="1005" customFormat="false" ht="15" hidden="false" customHeight="true" outlineLevel="0" collapsed="false">
      <c r="A1005" s="52" t="n">
        <v>1004</v>
      </c>
      <c r="B1005" s="52" t="s">
        <v>395</v>
      </c>
      <c r="C1005" s="52" t="s">
        <v>1123</v>
      </c>
      <c r="D1005" s="52" t="s">
        <v>1352</v>
      </c>
      <c r="E1005" s="52" t="s">
        <v>1370</v>
      </c>
      <c r="F1005" s="52" t="s">
        <v>74</v>
      </c>
      <c r="G1005" s="52" t="s">
        <v>1372</v>
      </c>
      <c r="H1005" s="52" t="n">
        <v>1</v>
      </c>
    </row>
    <row r="1006" customFormat="false" ht="15" hidden="false" customHeight="true" outlineLevel="0" collapsed="false">
      <c r="A1006" s="52" t="n">
        <v>1005</v>
      </c>
      <c r="B1006" s="52" t="s">
        <v>395</v>
      </c>
      <c r="C1006" s="52" t="s">
        <v>1123</v>
      </c>
      <c r="D1006" s="52" t="s">
        <v>1352</v>
      </c>
      <c r="E1006" s="52" t="s">
        <v>1370</v>
      </c>
      <c r="F1006" s="52" t="s">
        <v>36</v>
      </c>
      <c r="G1006" s="52" t="s">
        <v>1373</v>
      </c>
      <c r="H1006" s="52" t="n">
        <v>1</v>
      </c>
    </row>
    <row r="1007" customFormat="false" ht="15" hidden="false" customHeight="true" outlineLevel="0" collapsed="false">
      <c r="A1007" s="52" t="n">
        <v>1006</v>
      </c>
      <c r="B1007" s="52" t="s">
        <v>395</v>
      </c>
      <c r="C1007" s="52" t="s">
        <v>1123</v>
      </c>
      <c r="D1007" s="52" t="s">
        <v>1352</v>
      </c>
      <c r="E1007" s="52" t="s">
        <v>1370</v>
      </c>
      <c r="F1007" s="52" t="s">
        <v>259</v>
      </c>
      <c r="G1007" s="52" t="s">
        <v>1374</v>
      </c>
      <c r="H1007" s="52" t="n">
        <v>1</v>
      </c>
    </row>
    <row r="1008" customFormat="false" ht="15" hidden="false" customHeight="true" outlineLevel="0" collapsed="false">
      <c r="A1008" s="52" t="n">
        <v>1007</v>
      </c>
      <c r="B1008" s="52" t="s">
        <v>395</v>
      </c>
      <c r="C1008" s="52" t="s">
        <v>1123</v>
      </c>
      <c r="D1008" s="52" t="s">
        <v>1352</v>
      </c>
      <c r="E1008" s="52" t="s">
        <v>1370</v>
      </c>
      <c r="F1008" s="52" t="s">
        <v>259</v>
      </c>
      <c r="G1008" s="52" t="s">
        <v>1375</v>
      </c>
      <c r="H1008" s="52" t="n">
        <v>1</v>
      </c>
    </row>
    <row r="1009" customFormat="false" ht="15" hidden="false" customHeight="true" outlineLevel="0" collapsed="false">
      <c r="A1009" s="52" t="n">
        <v>1008</v>
      </c>
      <c r="B1009" s="52" t="s">
        <v>395</v>
      </c>
      <c r="C1009" s="52" t="s">
        <v>1123</v>
      </c>
      <c r="D1009" s="52" t="s">
        <v>1352</v>
      </c>
      <c r="E1009" s="52" t="s">
        <v>1370</v>
      </c>
      <c r="F1009" s="52" t="s">
        <v>52</v>
      </c>
      <c r="G1009" s="52" t="s">
        <v>1376</v>
      </c>
      <c r="H1009" s="52" t="n">
        <v>1</v>
      </c>
    </row>
    <row r="1010" customFormat="false" ht="15" hidden="false" customHeight="true" outlineLevel="0" collapsed="false">
      <c r="A1010" s="52" t="n">
        <v>1009</v>
      </c>
      <c r="B1010" s="52" t="s">
        <v>395</v>
      </c>
      <c r="C1010" s="52" t="s">
        <v>1123</v>
      </c>
      <c r="D1010" s="52" t="s">
        <v>1352</v>
      </c>
      <c r="E1010" s="52" t="s">
        <v>1370</v>
      </c>
      <c r="F1010" s="52" t="s">
        <v>21</v>
      </c>
      <c r="G1010" s="52" t="s">
        <v>1377</v>
      </c>
      <c r="H1010" s="52" t="n">
        <v>1</v>
      </c>
    </row>
    <row r="1011" customFormat="false" ht="15" hidden="false" customHeight="true" outlineLevel="0" collapsed="false">
      <c r="A1011" s="52" t="n">
        <v>1010</v>
      </c>
      <c r="B1011" s="52" t="s">
        <v>395</v>
      </c>
      <c r="C1011" s="52" t="s">
        <v>1123</v>
      </c>
      <c r="D1011" s="52" t="s">
        <v>1352</v>
      </c>
      <c r="E1011" s="52" t="s">
        <v>1370</v>
      </c>
      <c r="F1011" s="52" t="s">
        <v>123</v>
      </c>
      <c r="G1011" s="52" t="s">
        <v>1378</v>
      </c>
      <c r="H1011" s="52" t="n">
        <v>1</v>
      </c>
    </row>
    <row r="1012" customFormat="false" ht="15" hidden="false" customHeight="true" outlineLevel="0" collapsed="false">
      <c r="A1012" s="52" t="n">
        <v>1011</v>
      </c>
      <c r="B1012" s="52" t="s">
        <v>395</v>
      </c>
      <c r="C1012" s="52" t="s">
        <v>1123</v>
      </c>
      <c r="D1012" s="52" t="s">
        <v>1352</v>
      </c>
      <c r="E1012" s="52" t="s">
        <v>1370</v>
      </c>
      <c r="F1012" s="52" t="s">
        <v>13</v>
      </c>
      <c r="G1012" s="52" t="s">
        <v>1379</v>
      </c>
      <c r="H1012" s="52" t="n">
        <v>1</v>
      </c>
    </row>
    <row r="1013" customFormat="false" ht="15" hidden="false" customHeight="true" outlineLevel="0" collapsed="false">
      <c r="A1013" s="52" t="n">
        <v>1012</v>
      </c>
      <c r="B1013" s="52" t="s">
        <v>395</v>
      </c>
      <c r="C1013" s="52" t="s">
        <v>1123</v>
      </c>
      <c r="D1013" s="52" t="s">
        <v>1352</v>
      </c>
      <c r="E1013" s="52" t="s">
        <v>1370</v>
      </c>
      <c r="F1013" s="52" t="s">
        <v>101</v>
      </c>
      <c r="G1013" s="52" t="s">
        <v>1380</v>
      </c>
      <c r="H1013" s="52" t="n">
        <v>1</v>
      </c>
    </row>
    <row r="1014" customFormat="false" ht="15" hidden="false" customHeight="true" outlineLevel="0" collapsed="false">
      <c r="A1014" s="52" t="n">
        <v>1013</v>
      </c>
      <c r="B1014" s="52" t="s">
        <v>395</v>
      </c>
      <c r="C1014" s="52" t="s">
        <v>1123</v>
      </c>
      <c r="D1014" s="52" t="s">
        <v>1352</v>
      </c>
      <c r="E1014" s="52" t="s">
        <v>1370</v>
      </c>
      <c r="F1014" s="52" t="s">
        <v>86</v>
      </c>
      <c r="G1014" s="52" t="s">
        <v>442</v>
      </c>
      <c r="H1014" s="52" t="n">
        <v>0</v>
      </c>
    </row>
    <row r="1015" customFormat="false" ht="15" hidden="false" customHeight="true" outlineLevel="0" collapsed="false">
      <c r="A1015" s="52" t="n">
        <v>1014</v>
      </c>
      <c r="B1015" s="52" t="s">
        <v>395</v>
      </c>
      <c r="C1015" s="52" t="s">
        <v>1123</v>
      </c>
      <c r="D1015" s="52" t="s">
        <v>1352</v>
      </c>
      <c r="E1015" s="52" t="s">
        <v>1381</v>
      </c>
      <c r="F1015" s="52" t="s">
        <v>331</v>
      </c>
      <c r="G1015" s="52" t="s">
        <v>1382</v>
      </c>
      <c r="H1015" s="52" t="n">
        <v>1</v>
      </c>
    </row>
    <row r="1016" customFormat="false" ht="15" hidden="false" customHeight="true" outlineLevel="0" collapsed="false">
      <c r="A1016" s="52" t="n">
        <v>1015</v>
      </c>
      <c r="B1016" s="52" t="s">
        <v>395</v>
      </c>
      <c r="C1016" s="52" t="s">
        <v>1123</v>
      </c>
      <c r="D1016" s="52" t="s">
        <v>1352</v>
      </c>
      <c r="E1016" s="52" t="s">
        <v>1381</v>
      </c>
      <c r="F1016" s="52" t="s">
        <v>331</v>
      </c>
      <c r="G1016" s="52" t="s">
        <v>1383</v>
      </c>
      <c r="H1016" s="52" t="n">
        <v>1</v>
      </c>
    </row>
    <row r="1017" customFormat="false" ht="15" hidden="false" customHeight="true" outlineLevel="0" collapsed="false">
      <c r="A1017" s="52" t="n">
        <v>1016</v>
      </c>
      <c r="B1017" s="52" t="s">
        <v>395</v>
      </c>
      <c r="C1017" s="52" t="s">
        <v>1123</v>
      </c>
      <c r="D1017" s="52" t="s">
        <v>1352</v>
      </c>
      <c r="E1017" s="52" t="s">
        <v>1381</v>
      </c>
      <c r="F1017" s="52" t="s">
        <v>74</v>
      </c>
      <c r="G1017" s="52" t="s">
        <v>1384</v>
      </c>
      <c r="H1017" s="52" t="n">
        <v>1</v>
      </c>
    </row>
    <row r="1018" customFormat="false" ht="15" hidden="false" customHeight="true" outlineLevel="0" collapsed="false">
      <c r="A1018" s="52" t="n">
        <v>1017</v>
      </c>
      <c r="B1018" s="52" t="s">
        <v>395</v>
      </c>
      <c r="C1018" s="52" t="s">
        <v>1123</v>
      </c>
      <c r="D1018" s="52" t="s">
        <v>1352</v>
      </c>
      <c r="E1018" s="52" t="s">
        <v>1381</v>
      </c>
      <c r="F1018" s="52" t="s">
        <v>74</v>
      </c>
      <c r="G1018" s="52" t="s">
        <v>1385</v>
      </c>
      <c r="H1018" s="52" t="n">
        <v>1</v>
      </c>
    </row>
    <row r="1019" customFormat="false" ht="15" hidden="false" customHeight="true" outlineLevel="0" collapsed="false">
      <c r="A1019" s="52" t="n">
        <v>1018</v>
      </c>
      <c r="B1019" s="52" t="s">
        <v>395</v>
      </c>
      <c r="C1019" s="52" t="s">
        <v>1123</v>
      </c>
      <c r="D1019" s="52" t="s">
        <v>1352</v>
      </c>
      <c r="E1019" s="52" t="s">
        <v>1381</v>
      </c>
      <c r="F1019" s="52" t="s">
        <v>74</v>
      </c>
      <c r="G1019" s="52" t="s">
        <v>1386</v>
      </c>
      <c r="H1019" s="52" t="n">
        <v>1</v>
      </c>
    </row>
    <row r="1020" customFormat="false" ht="15" hidden="false" customHeight="true" outlineLevel="0" collapsed="false">
      <c r="A1020" s="52" t="n">
        <v>1019</v>
      </c>
      <c r="B1020" s="52" t="s">
        <v>395</v>
      </c>
      <c r="C1020" s="52" t="s">
        <v>1123</v>
      </c>
      <c r="D1020" s="52" t="s">
        <v>1352</v>
      </c>
      <c r="E1020" s="52" t="s">
        <v>1381</v>
      </c>
      <c r="F1020" s="52" t="s">
        <v>36</v>
      </c>
      <c r="G1020" s="52" t="s">
        <v>1387</v>
      </c>
      <c r="H1020" s="52" t="n">
        <v>1</v>
      </c>
    </row>
    <row r="1021" customFormat="false" ht="15" hidden="false" customHeight="true" outlineLevel="0" collapsed="false">
      <c r="A1021" s="52" t="n">
        <v>1020</v>
      </c>
      <c r="B1021" s="52" t="s">
        <v>395</v>
      </c>
      <c r="C1021" s="52" t="s">
        <v>1123</v>
      </c>
      <c r="D1021" s="52" t="s">
        <v>1352</v>
      </c>
      <c r="E1021" s="52" t="s">
        <v>1381</v>
      </c>
      <c r="F1021" s="52" t="s">
        <v>36</v>
      </c>
      <c r="G1021" s="52" t="s">
        <v>1388</v>
      </c>
      <c r="H1021" s="52" t="n">
        <v>1</v>
      </c>
    </row>
    <row r="1022" customFormat="false" ht="15" hidden="false" customHeight="true" outlineLevel="0" collapsed="false">
      <c r="A1022" s="52" t="n">
        <v>1021</v>
      </c>
      <c r="B1022" s="52" t="s">
        <v>395</v>
      </c>
      <c r="C1022" s="52" t="s">
        <v>1123</v>
      </c>
      <c r="D1022" s="52" t="s">
        <v>1352</v>
      </c>
      <c r="E1022" s="52" t="s">
        <v>1381</v>
      </c>
      <c r="F1022" s="52" t="s">
        <v>36</v>
      </c>
      <c r="G1022" s="52" t="s">
        <v>1389</v>
      </c>
      <c r="H1022" s="52" t="n">
        <v>1</v>
      </c>
    </row>
    <row r="1023" customFormat="false" ht="15" hidden="false" customHeight="true" outlineLevel="0" collapsed="false">
      <c r="A1023" s="52" t="n">
        <v>1022</v>
      </c>
      <c r="B1023" s="52" t="s">
        <v>395</v>
      </c>
      <c r="C1023" s="52" t="s">
        <v>1123</v>
      </c>
      <c r="D1023" s="52" t="s">
        <v>1352</v>
      </c>
      <c r="E1023" s="52" t="s">
        <v>1381</v>
      </c>
      <c r="F1023" s="52" t="s">
        <v>259</v>
      </c>
      <c r="G1023" s="52" t="s">
        <v>1390</v>
      </c>
      <c r="H1023" s="52" t="n">
        <v>1</v>
      </c>
    </row>
    <row r="1024" customFormat="false" ht="15" hidden="false" customHeight="true" outlineLevel="0" collapsed="false">
      <c r="A1024" s="52" t="n">
        <v>1023</v>
      </c>
      <c r="B1024" s="52" t="s">
        <v>395</v>
      </c>
      <c r="C1024" s="52" t="s">
        <v>1123</v>
      </c>
      <c r="D1024" s="52" t="s">
        <v>1352</v>
      </c>
      <c r="E1024" s="52" t="s">
        <v>1381</v>
      </c>
      <c r="F1024" s="52" t="s">
        <v>259</v>
      </c>
      <c r="G1024" s="52" t="s">
        <v>1391</v>
      </c>
      <c r="H1024" s="52" t="n">
        <v>1</v>
      </c>
    </row>
    <row r="1025" customFormat="false" ht="15" hidden="false" customHeight="true" outlineLevel="0" collapsed="false">
      <c r="A1025" s="52" t="n">
        <v>1024</v>
      </c>
      <c r="B1025" s="52" t="s">
        <v>395</v>
      </c>
      <c r="C1025" s="52" t="s">
        <v>1123</v>
      </c>
      <c r="D1025" s="52" t="s">
        <v>1352</v>
      </c>
      <c r="E1025" s="52" t="s">
        <v>1381</v>
      </c>
      <c r="F1025" s="52" t="s">
        <v>259</v>
      </c>
      <c r="G1025" s="52" t="s">
        <v>1392</v>
      </c>
      <c r="H1025" s="52" t="n">
        <v>1</v>
      </c>
    </row>
    <row r="1026" customFormat="false" ht="15" hidden="false" customHeight="true" outlineLevel="0" collapsed="false">
      <c r="A1026" s="52" t="n">
        <v>1025</v>
      </c>
      <c r="B1026" s="52" t="s">
        <v>395</v>
      </c>
      <c r="C1026" s="52" t="s">
        <v>1123</v>
      </c>
      <c r="D1026" s="52" t="s">
        <v>1352</v>
      </c>
      <c r="E1026" s="52" t="s">
        <v>1381</v>
      </c>
      <c r="F1026" s="52" t="s">
        <v>52</v>
      </c>
      <c r="G1026" s="52" t="s">
        <v>1393</v>
      </c>
      <c r="H1026" s="52" t="n">
        <v>1</v>
      </c>
    </row>
    <row r="1027" customFormat="false" ht="15" hidden="false" customHeight="true" outlineLevel="0" collapsed="false">
      <c r="A1027" s="52" t="n">
        <v>1026</v>
      </c>
      <c r="B1027" s="52" t="s">
        <v>395</v>
      </c>
      <c r="C1027" s="52" t="s">
        <v>1123</v>
      </c>
      <c r="D1027" s="52" t="s">
        <v>1352</v>
      </c>
      <c r="E1027" s="52" t="s">
        <v>1381</v>
      </c>
      <c r="F1027" s="52" t="s">
        <v>21</v>
      </c>
      <c r="G1027" s="52" t="s">
        <v>1394</v>
      </c>
      <c r="H1027" s="52" t="n">
        <v>1</v>
      </c>
    </row>
    <row r="1028" customFormat="false" ht="15" hidden="false" customHeight="true" outlineLevel="0" collapsed="false">
      <c r="A1028" s="52" t="n">
        <v>1027</v>
      </c>
      <c r="B1028" s="52" t="s">
        <v>395</v>
      </c>
      <c r="C1028" s="52" t="s">
        <v>1123</v>
      </c>
      <c r="D1028" s="52" t="s">
        <v>1352</v>
      </c>
      <c r="E1028" s="52" t="s">
        <v>1381</v>
      </c>
      <c r="F1028" s="52" t="s">
        <v>13</v>
      </c>
      <c r="G1028" s="52" t="s">
        <v>1395</v>
      </c>
      <c r="H1028" s="52" t="n">
        <v>1</v>
      </c>
    </row>
    <row r="1029" customFormat="false" ht="15" hidden="false" customHeight="true" outlineLevel="0" collapsed="false">
      <c r="A1029" s="52" t="n">
        <v>1028</v>
      </c>
      <c r="B1029" s="52" t="s">
        <v>395</v>
      </c>
      <c r="C1029" s="52" t="s">
        <v>1123</v>
      </c>
      <c r="D1029" s="52" t="s">
        <v>1352</v>
      </c>
      <c r="E1029" s="52" t="s">
        <v>1381</v>
      </c>
      <c r="F1029" s="52" t="s">
        <v>101</v>
      </c>
      <c r="G1029" s="52" t="s">
        <v>1396</v>
      </c>
      <c r="H1029" s="52" t="n">
        <v>1</v>
      </c>
    </row>
    <row r="1030" customFormat="false" ht="15" hidden="false" customHeight="true" outlineLevel="0" collapsed="false">
      <c r="A1030" s="52" t="n">
        <v>1029</v>
      </c>
      <c r="B1030" s="52" t="s">
        <v>395</v>
      </c>
      <c r="C1030" s="52" t="s">
        <v>1123</v>
      </c>
      <c r="D1030" s="52" t="s">
        <v>1352</v>
      </c>
      <c r="E1030" s="52" t="s">
        <v>1381</v>
      </c>
      <c r="F1030" s="52" t="s">
        <v>86</v>
      </c>
      <c r="G1030" s="52" t="s">
        <v>442</v>
      </c>
      <c r="H1030" s="52" t="n">
        <v>0</v>
      </c>
    </row>
    <row r="1031" customFormat="false" ht="15" hidden="false" customHeight="true" outlineLevel="0" collapsed="false">
      <c r="A1031" s="52" t="n">
        <v>1030</v>
      </c>
      <c r="B1031" s="52" t="s">
        <v>396</v>
      </c>
      <c r="C1031" s="52" t="s">
        <v>1123</v>
      </c>
      <c r="D1031" s="52" t="s">
        <v>1397</v>
      </c>
      <c r="E1031" s="52" t="s">
        <v>1398</v>
      </c>
      <c r="F1031" s="52" t="s">
        <v>331</v>
      </c>
      <c r="G1031" s="52" t="s">
        <v>1399</v>
      </c>
      <c r="H1031" s="52" t="n">
        <v>1</v>
      </c>
    </row>
    <row r="1032" customFormat="false" ht="15" hidden="false" customHeight="true" outlineLevel="0" collapsed="false">
      <c r="A1032" s="52" t="n">
        <v>1031</v>
      </c>
      <c r="B1032" s="52" t="s">
        <v>396</v>
      </c>
      <c r="C1032" s="52" t="s">
        <v>1123</v>
      </c>
      <c r="D1032" s="52" t="s">
        <v>1397</v>
      </c>
      <c r="E1032" s="52" t="s">
        <v>1398</v>
      </c>
      <c r="F1032" s="52" t="s">
        <v>74</v>
      </c>
      <c r="G1032" s="52" t="s">
        <v>1400</v>
      </c>
      <c r="H1032" s="52" t="n">
        <v>1</v>
      </c>
    </row>
    <row r="1033" customFormat="false" ht="15" hidden="false" customHeight="true" outlineLevel="0" collapsed="false">
      <c r="A1033" s="52" t="n">
        <v>1032</v>
      </c>
      <c r="B1033" s="52" t="s">
        <v>396</v>
      </c>
      <c r="C1033" s="52" t="s">
        <v>1123</v>
      </c>
      <c r="D1033" s="52" t="s">
        <v>1397</v>
      </c>
      <c r="E1033" s="52" t="s">
        <v>1398</v>
      </c>
      <c r="F1033" s="52" t="s">
        <v>36</v>
      </c>
      <c r="G1033" s="52" t="s">
        <v>1401</v>
      </c>
      <c r="H1033" s="52" t="n">
        <v>1</v>
      </c>
    </row>
    <row r="1034" customFormat="false" ht="15" hidden="false" customHeight="true" outlineLevel="0" collapsed="false">
      <c r="A1034" s="52" t="n">
        <v>1033</v>
      </c>
      <c r="B1034" s="52" t="s">
        <v>396</v>
      </c>
      <c r="C1034" s="52" t="s">
        <v>1123</v>
      </c>
      <c r="D1034" s="52" t="s">
        <v>1397</v>
      </c>
      <c r="E1034" s="52" t="s">
        <v>1398</v>
      </c>
      <c r="F1034" s="52" t="s">
        <v>259</v>
      </c>
      <c r="G1034" s="52" t="s">
        <v>1402</v>
      </c>
      <c r="H1034" s="52" t="n">
        <v>1</v>
      </c>
    </row>
    <row r="1035" customFormat="false" ht="15" hidden="false" customHeight="true" outlineLevel="0" collapsed="false">
      <c r="A1035" s="52" t="n">
        <v>1034</v>
      </c>
      <c r="B1035" s="52" t="s">
        <v>396</v>
      </c>
      <c r="C1035" s="52" t="s">
        <v>1123</v>
      </c>
      <c r="D1035" s="52" t="s">
        <v>1397</v>
      </c>
      <c r="E1035" s="52" t="s">
        <v>1398</v>
      </c>
      <c r="F1035" s="52" t="s">
        <v>259</v>
      </c>
      <c r="G1035" s="52" t="s">
        <v>1403</v>
      </c>
      <c r="H1035" s="52" t="n">
        <v>1</v>
      </c>
    </row>
    <row r="1036" customFormat="false" ht="15" hidden="false" customHeight="true" outlineLevel="0" collapsed="false">
      <c r="A1036" s="52" t="n">
        <v>1035</v>
      </c>
      <c r="B1036" s="52" t="s">
        <v>396</v>
      </c>
      <c r="C1036" s="52" t="s">
        <v>1123</v>
      </c>
      <c r="D1036" s="52" t="s">
        <v>1397</v>
      </c>
      <c r="E1036" s="52" t="s">
        <v>1398</v>
      </c>
      <c r="F1036" s="52" t="s">
        <v>52</v>
      </c>
      <c r="G1036" s="52" t="s">
        <v>1404</v>
      </c>
      <c r="H1036" s="52" t="n">
        <v>1</v>
      </c>
    </row>
    <row r="1037" customFormat="false" ht="15" hidden="false" customHeight="true" outlineLevel="0" collapsed="false">
      <c r="A1037" s="52" t="n">
        <v>1036</v>
      </c>
      <c r="B1037" s="52" t="s">
        <v>396</v>
      </c>
      <c r="C1037" s="52" t="s">
        <v>1123</v>
      </c>
      <c r="D1037" s="52" t="s">
        <v>1397</v>
      </c>
      <c r="E1037" s="52" t="s">
        <v>1398</v>
      </c>
      <c r="F1037" s="52" t="s">
        <v>21</v>
      </c>
      <c r="G1037" s="52" t="s">
        <v>1405</v>
      </c>
      <c r="H1037" s="52" t="n">
        <v>1</v>
      </c>
    </row>
    <row r="1038" customFormat="false" ht="15" hidden="false" customHeight="true" outlineLevel="0" collapsed="false">
      <c r="A1038" s="52" t="n">
        <v>1037</v>
      </c>
      <c r="B1038" s="52" t="s">
        <v>396</v>
      </c>
      <c r="C1038" s="52" t="s">
        <v>1123</v>
      </c>
      <c r="D1038" s="52" t="s">
        <v>1397</v>
      </c>
      <c r="E1038" s="52" t="s">
        <v>1398</v>
      </c>
      <c r="F1038" s="52" t="s">
        <v>13</v>
      </c>
      <c r="G1038" s="52" t="s">
        <v>442</v>
      </c>
      <c r="H1038" s="52" t="n">
        <v>0</v>
      </c>
    </row>
    <row r="1039" customFormat="false" ht="15" hidden="false" customHeight="true" outlineLevel="0" collapsed="false">
      <c r="A1039" s="52" t="n">
        <v>1038</v>
      </c>
      <c r="B1039" s="52" t="s">
        <v>396</v>
      </c>
      <c r="C1039" s="52" t="s">
        <v>1123</v>
      </c>
      <c r="D1039" s="52" t="s">
        <v>1397</v>
      </c>
      <c r="E1039" s="52" t="s">
        <v>1398</v>
      </c>
      <c r="F1039" s="52" t="s">
        <v>101</v>
      </c>
      <c r="G1039" s="52" t="s">
        <v>442</v>
      </c>
      <c r="H1039" s="52" t="n">
        <v>0</v>
      </c>
    </row>
    <row r="1040" customFormat="false" ht="15" hidden="false" customHeight="true" outlineLevel="0" collapsed="false">
      <c r="A1040" s="52" t="n">
        <v>1039</v>
      </c>
      <c r="B1040" s="52" t="s">
        <v>396</v>
      </c>
      <c r="C1040" s="52" t="s">
        <v>1123</v>
      </c>
      <c r="D1040" s="52" t="s">
        <v>1397</v>
      </c>
      <c r="E1040" s="52" t="s">
        <v>1398</v>
      </c>
      <c r="F1040" s="52" t="s">
        <v>86</v>
      </c>
      <c r="G1040" s="52" t="s">
        <v>442</v>
      </c>
      <c r="H1040" s="52" t="n">
        <v>0</v>
      </c>
    </row>
    <row r="1041" customFormat="false" ht="15" hidden="false" customHeight="true" outlineLevel="0" collapsed="false">
      <c r="A1041" s="52" t="n">
        <v>1040</v>
      </c>
      <c r="B1041" s="52" t="s">
        <v>396</v>
      </c>
      <c r="C1041" s="52" t="s">
        <v>1123</v>
      </c>
      <c r="D1041" s="52" t="s">
        <v>1397</v>
      </c>
      <c r="E1041" s="52" t="s">
        <v>1406</v>
      </c>
      <c r="F1041" s="52" t="s">
        <v>331</v>
      </c>
      <c r="G1041" s="52" t="s">
        <v>1407</v>
      </c>
      <c r="H1041" s="52" t="n">
        <v>1</v>
      </c>
    </row>
    <row r="1042" customFormat="false" ht="15" hidden="false" customHeight="true" outlineLevel="0" collapsed="false">
      <c r="A1042" s="52" t="n">
        <v>1041</v>
      </c>
      <c r="B1042" s="52" t="s">
        <v>396</v>
      </c>
      <c r="C1042" s="52" t="s">
        <v>1123</v>
      </c>
      <c r="D1042" s="52" t="s">
        <v>1397</v>
      </c>
      <c r="E1042" s="52" t="s">
        <v>1406</v>
      </c>
      <c r="F1042" s="52" t="s">
        <v>74</v>
      </c>
      <c r="G1042" s="52" t="s">
        <v>1408</v>
      </c>
      <c r="H1042" s="52" t="n">
        <v>1</v>
      </c>
    </row>
    <row r="1043" customFormat="false" ht="15" hidden="false" customHeight="true" outlineLevel="0" collapsed="false">
      <c r="A1043" s="52" t="n">
        <v>1042</v>
      </c>
      <c r="B1043" s="52" t="s">
        <v>396</v>
      </c>
      <c r="C1043" s="52" t="s">
        <v>1123</v>
      </c>
      <c r="D1043" s="52" t="s">
        <v>1397</v>
      </c>
      <c r="E1043" s="52" t="s">
        <v>1406</v>
      </c>
      <c r="F1043" s="52" t="s">
        <v>74</v>
      </c>
      <c r="G1043" s="52" t="s">
        <v>1409</v>
      </c>
      <c r="H1043" s="52" t="n">
        <v>1</v>
      </c>
    </row>
    <row r="1044" customFormat="false" ht="15" hidden="false" customHeight="true" outlineLevel="0" collapsed="false">
      <c r="A1044" s="52" t="n">
        <v>1043</v>
      </c>
      <c r="B1044" s="52" t="s">
        <v>396</v>
      </c>
      <c r="C1044" s="52" t="s">
        <v>1123</v>
      </c>
      <c r="D1044" s="52" t="s">
        <v>1397</v>
      </c>
      <c r="E1044" s="52" t="s">
        <v>1406</v>
      </c>
      <c r="F1044" s="52" t="s">
        <v>74</v>
      </c>
      <c r="G1044" s="52" t="s">
        <v>1410</v>
      </c>
      <c r="H1044" s="52" t="n">
        <v>1</v>
      </c>
    </row>
    <row r="1045" customFormat="false" ht="15" hidden="false" customHeight="true" outlineLevel="0" collapsed="false">
      <c r="A1045" s="52" t="n">
        <v>1044</v>
      </c>
      <c r="B1045" s="52" t="s">
        <v>396</v>
      </c>
      <c r="C1045" s="52" t="s">
        <v>1123</v>
      </c>
      <c r="D1045" s="52" t="s">
        <v>1397</v>
      </c>
      <c r="E1045" s="52" t="s">
        <v>1406</v>
      </c>
      <c r="F1045" s="52" t="s">
        <v>36</v>
      </c>
      <c r="G1045" s="52" t="s">
        <v>1411</v>
      </c>
      <c r="H1045" s="52" t="n">
        <v>1</v>
      </c>
    </row>
    <row r="1046" customFormat="false" ht="15" hidden="false" customHeight="true" outlineLevel="0" collapsed="false">
      <c r="A1046" s="52" t="n">
        <v>1045</v>
      </c>
      <c r="B1046" s="52" t="s">
        <v>396</v>
      </c>
      <c r="C1046" s="52" t="s">
        <v>1123</v>
      </c>
      <c r="D1046" s="52" t="s">
        <v>1397</v>
      </c>
      <c r="E1046" s="52" t="s">
        <v>1406</v>
      </c>
      <c r="F1046" s="52" t="s">
        <v>36</v>
      </c>
      <c r="G1046" s="52" t="s">
        <v>1412</v>
      </c>
      <c r="H1046" s="52" t="n">
        <v>1</v>
      </c>
    </row>
    <row r="1047" customFormat="false" ht="15" hidden="false" customHeight="true" outlineLevel="0" collapsed="false">
      <c r="A1047" s="52" t="n">
        <v>1046</v>
      </c>
      <c r="B1047" s="52" t="s">
        <v>396</v>
      </c>
      <c r="C1047" s="52" t="s">
        <v>1123</v>
      </c>
      <c r="D1047" s="52" t="s">
        <v>1397</v>
      </c>
      <c r="E1047" s="52" t="s">
        <v>1406</v>
      </c>
      <c r="F1047" s="52" t="s">
        <v>259</v>
      </c>
      <c r="G1047" s="52" t="s">
        <v>1413</v>
      </c>
      <c r="H1047" s="52" t="n">
        <v>1</v>
      </c>
    </row>
    <row r="1048" customFormat="false" ht="15" hidden="false" customHeight="true" outlineLevel="0" collapsed="false">
      <c r="A1048" s="52" t="n">
        <v>1047</v>
      </c>
      <c r="B1048" s="52" t="s">
        <v>396</v>
      </c>
      <c r="C1048" s="52" t="s">
        <v>1123</v>
      </c>
      <c r="D1048" s="52" t="s">
        <v>1397</v>
      </c>
      <c r="E1048" s="52" t="s">
        <v>1406</v>
      </c>
      <c r="F1048" s="52" t="s">
        <v>52</v>
      </c>
      <c r="G1048" s="52" t="s">
        <v>1414</v>
      </c>
      <c r="H1048" s="52" t="n">
        <v>1</v>
      </c>
    </row>
    <row r="1049" customFormat="false" ht="15" hidden="false" customHeight="true" outlineLevel="0" collapsed="false">
      <c r="A1049" s="52" t="n">
        <v>1048</v>
      </c>
      <c r="B1049" s="52" t="s">
        <v>396</v>
      </c>
      <c r="C1049" s="52" t="s">
        <v>1123</v>
      </c>
      <c r="D1049" s="52" t="s">
        <v>1397</v>
      </c>
      <c r="E1049" s="52" t="s">
        <v>1406</v>
      </c>
      <c r="F1049" s="52" t="s">
        <v>21</v>
      </c>
      <c r="G1049" s="52" t="s">
        <v>1415</v>
      </c>
      <c r="H1049" s="52" t="n">
        <v>1</v>
      </c>
    </row>
    <row r="1050" customFormat="false" ht="15" hidden="false" customHeight="true" outlineLevel="0" collapsed="false">
      <c r="A1050" s="52" t="n">
        <v>1049</v>
      </c>
      <c r="B1050" s="52" t="s">
        <v>396</v>
      </c>
      <c r="C1050" s="52" t="s">
        <v>1123</v>
      </c>
      <c r="D1050" s="52" t="s">
        <v>1397</v>
      </c>
      <c r="E1050" s="52" t="s">
        <v>1406</v>
      </c>
      <c r="F1050" s="52" t="s">
        <v>13</v>
      </c>
      <c r="G1050" s="52" t="s">
        <v>1416</v>
      </c>
      <c r="H1050" s="52" t="n">
        <v>1</v>
      </c>
    </row>
    <row r="1051" customFormat="false" ht="15" hidden="false" customHeight="true" outlineLevel="0" collapsed="false">
      <c r="A1051" s="52" t="n">
        <v>1050</v>
      </c>
      <c r="B1051" s="52" t="s">
        <v>396</v>
      </c>
      <c r="C1051" s="52" t="s">
        <v>1123</v>
      </c>
      <c r="D1051" s="52" t="s">
        <v>1397</v>
      </c>
      <c r="E1051" s="52" t="s">
        <v>1406</v>
      </c>
      <c r="F1051" s="52" t="s">
        <v>101</v>
      </c>
      <c r="G1051" s="52" t="s">
        <v>442</v>
      </c>
      <c r="H1051" s="52" t="n">
        <v>0</v>
      </c>
    </row>
    <row r="1052" customFormat="false" ht="15" hidden="false" customHeight="true" outlineLevel="0" collapsed="false">
      <c r="A1052" s="52" t="n">
        <v>1051</v>
      </c>
      <c r="B1052" s="52" t="s">
        <v>396</v>
      </c>
      <c r="C1052" s="52" t="s">
        <v>1123</v>
      </c>
      <c r="D1052" s="52" t="s">
        <v>1397</v>
      </c>
      <c r="E1052" s="52" t="s">
        <v>1406</v>
      </c>
      <c r="F1052" s="52" t="s">
        <v>86</v>
      </c>
      <c r="G1052" s="52" t="s">
        <v>442</v>
      </c>
      <c r="H1052" s="52" t="n">
        <v>0</v>
      </c>
    </row>
    <row r="1053" customFormat="false" ht="15" hidden="false" customHeight="true" outlineLevel="0" collapsed="false">
      <c r="A1053" s="52" t="n">
        <v>1052</v>
      </c>
      <c r="B1053" s="52" t="s">
        <v>396</v>
      </c>
      <c r="C1053" s="52" t="s">
        <v>1123</v>
      </c>
      <c r="D1053" s="52" t="s">
        <v>1397</v>
      </c>
      <c r="E1053" s="52" t="s">
        <v>1417</v>
      </c>
      <c r="F1053" s="52" t="s">
        <v>331</v>
      </c>
      <c r="G1053" s="52" t="s">
        <v>1418</v>
      </c>
      <c r="H1053" s="52" t="n">
        <v>1</v>
      </c>
    </row>
    <row r="1054" customFormat="false" ht="15" hidden="false" customHeight="true" outlineLevel="0" collapsed="false">
      <c r="A1054" s="52" t="n">
        <v>1053</v>
      </c>
      <c r="B1054" s="52" t="s">
        <v>396</v>
      </c>
      <c r="C1054" s="52" t="s">
        <v>1123</v>
      </c>
      <c r="D1054" s="52" t="s">
        <v>1397</v>
      </c>
      <c r="E1054" s="52" t="s">
        <v>1417</v>
      </c>
      <c r="F1054" s="52" t="s">
        <v>74</v>
      </c>
      <c r="G1054" s="52" t="s">
        <v>1419</v>
      </c>
      <c r="H1054" s="52" t="n">
        <v>1</v>
      </c>
    </row>
    <row r="1055" customFormat="false" ht="15" hidden="false" customHeight="true" outlineLevel="0" collapsed="false">
      <c r="A1055" s="52" t="n">
        <v>1054</v>
      </c>
      <c r="B1055" s="52" t="s">
        <v>396</v>
      </c>
      <c r="C1055" s="52" t="s">
        <v>1123</v>
      </c>
      <c r="D1055" s="52" t="s">
        <v>1397</v>
      </c>
      <c r="E1055" s="52" t="s">
        <v>1417</v>
      </c>
      <c r="F1055" s="52" t="s">
        <v>36</v>
      </c>
      <c r="G1055" s="52" t="s">
        <v>1420</v>
      </c>
      <c r="H1055" s="52" t="n">
        <v>1</v>
      </c>
    </row>
    <row r="1056" customFormat="false" ht="15" hidden="false" customHeight="true" outlineLevel="0" collapsed="false">
      <c r="A1056" s="52" t="n">
        <v>1055</v>
      </c>
      <c r="B1056" s="52" t="s">
        <v>396</v>
      </c>
      <c r="C1056" s="52" t="s">
        <v>1123</v>
      </c>
      <c r="D1056" s="52" t="s">
        <v>1397</v>
      </c>
      <c r="E1056" s="52" t="s">
        <v>1417</v>
      </c>
      <c r="F1056" s="52" t="s">
        <v>259</v>
      </c>
      <c r="G1056" s="52" t="s">
        <v>1421</v>
      </c>
      <c r="H1056" s="52" t="n">
        <v>1</v>
      </c>
    </row>
    <row r="1057" customFormat="false" ht="15" hidden="false" customHeight="true" outlineLevel="0" collapsed="false">
      <c r="A1057" s="52" t="n">
        <v>1056</v>
      </c>
      <c r="B1057" s="52" t="s">
        <v>396</v>
      </c>
      <c r="C1057" s="52" t="s">
        <v>1123</v>
      </c>
      <c r="D1057" s="52" t="s">
        <v>1397</v>
      </c>
      <c r="E1057" s="52" t="s">
        <v>1417</v>
      </c>
      <c r="F1057" s="52" t="s">
        <v>52</v>
      </c>
      <c r="G1057" s="52" t="s">
        <v>1422</v>
      </c>
      <c r="H1057" s="52" t="n">
        <v>1</v>
      </c>
    </row>
    <row r="1058" customFormat="false" ht="15" hidden="false" customHeight="true" outlineLevel="0" collapsed="false">
      <c r="A1058" s="52" t="n">
        <v>1057</v>
      </c>
      <c r="B1058" s="52" t="s">
        <v>396</v>
      </c>
      <c r="C1058" s="52" t="s">
        <v>1123</v>
      </c>
      <c r="D1058" s="52" t="s">
        <v>1397</v>
      </c>
      <c r="E1058" s="52" t="s">
        <v>1417</v>
      </c>
      <c r="F1058" s="52" t="s">
        <v>21</v>
      </c>
      <c r="G1058" s="52" t="s">
        <v>1423</v>
      </c>
      <c r="H1058" s="52" t="n">
        <v>1</v>
      </c>
    </row>
    <row r="1059" customFormat="false" ht="15" hidden="false" customHeight="true" outlineLevel="0" collapsed="false">
      <c r="A1059" s="52" t="n">
        <v>1058</v>
      </c>
      <c r="B1059" s="52" t="s">
        <v>396</v>
      </c>
      <c r="C1059" s="52" t="s">
        <v>1123</v>
      </c>
      <c r="D1059" s="52" t="s">
        <v>1397</v>
      </c>
      <c r="E1059" s="52" t="s">
        <v>1417</v>
      </c>
      <c r="F1059" s="52" t="s">
        <v>13</v>
      </c>
      <c r="G1059" s="52" t="s">
        <v>442</v>
      </c>
      <c r="H1059" s="52" t="n">
        <v>0</v>
      </c>
    </row>
    <row r="1060" customFormat="false" ht="15" hidden="false" customHeight="true" outlineLevel="0" collapsed="false">
      <c r="A1060" s="52" t="n">
        <v>1059</v>
      </c>
      <c r="B1060" s="52" t="s">
        <v>396</v>
      </c>
      <c r="C1060" s="52" t="s">
        <v>1123</v>
      </c>
      <c r="D1060" s="52" t="s">
        <v>1397</v>
      </c>
      <c r="E1060" s="52" t="s">
        <v>1417</v>
      </c>
      <c r="F1060" s="52" t="s">
        <v>101</v>
      </c>
      <c r="G1060" s="52" t="s">
        <v>442</v>
      </c>
      <c r="H1060" s="52" t="n">
        <v>0</v>
      </c>
    </row>
    <row r="1061" customFormat="false" ht="15" hidden="false" customHeight="true" outlineLevel="0" collapsed="false">
      <c r="A1061" s="52" t="n">
        <v>1060</v>
      </c>
      <c r="B1061" s="52" t="s">
        <v>396</v>
      </c>
      <c r="C1061" s="52" t="s">
        <v>1123</v>
      </c>
      <c r="D1061" s="52" t="s">
        <v>1397</v>
      </c>
      <c r="E1061" s="52" t="s">
        <v>1417</v>
      </c>
      <c r="F1061" s="52" t="s">
        <v>86</v>
      </c>
      <c r="G1061" s="52" t="s">
        <v>442</v>
      </c>
      <c r="H1061" s="52" t="n">
        <v>0</v>
      </c>
    </row>
    <row r="1062" customFormat="false" ht="15" hidden="false" customHeight="true" outlineLevel="0" collapsed="false">
      <c r="A1062" s="52" t="n">
        <v>1061</v>
      </c>
      <c r="B1062" s="52" t="s">
        <v>396</v>
      </c>
      <c r="C1062" s="52" t="s">
        <v>1123</v>
      </c>
      <c r="D1062" s="52" t="s">
        <v>1424</v>
      </c>
      <c r="E1062" s="52" t="s">
        <v>1425</v>
      </c>
      <c r="F1062" s="52" t="s">
        <v>331</v>
      </c>
      <c r="G1062" s="52" t="s">
        <v>1426</v>
      </c>
      <c r="H1062" s="52" t="n">
        <v>1</v>
      </c>
    </row>
    <row r="1063" customFormat="false" ht="15" hidden="false" customHeight="true" outlineLevel="0" collapsed="false">
      <c r="A1063" s="52" t="n">
        <v>1062</v>
      </c>
      <c r="B1063" s="52" t="s">
        <v>396</v>
      </c>
      <c r="C1063" s="52" t="s">
        <v>1123</v>
      </c>
      <c r="D1063" s="52" t="s">
        <v>1424</v>
      </c>
      <c r="E1063" s="52" t="s">
        <v>1425</v>
      </c>
      <c r="F1063" s="52" t="s">
        <v>74</v>
      </c>
      <c r="G1063" s="52" t="s">
        <v>1427</v>
      </c>
      <c r="H1063" s="52" t="n">
        <v>1</v>
      </c>
    </row>
    <row r="1064" customFormat="false" ht="15" hidden="false" customHeight="true" outlineLevel="0" collapsed="false">
      <c r="A1064" s="52" t="n">
        <v>1063</v>
      </c>
      <c r="B1064" s="52" t="s">
        <v>396</v>
      </c>
      <c r="C1064" s="52" t="s">
        <v>1123</v>
      </c>
      <c r="D1064" s="52" t="s">
        <v>1424</v>
      </c>
      <c r="E1064" s="52" t="s">
        <v>1425</v>
      </c>
      <c r="F1064" s="52" t="s">
        <v>74</v>
      </c>
      <c r="G1064" s="52" t="s">
        <v>1428</v>
      </c>
      <c r="H1064" s="52" t="n">
        <v>1</v>
      </c>
    </row>
    <row r="1065" customFormat="false" ht="15" hidden="false" customHeight="true" outlineLevel="0" collapsed="false">
      <c r="A1065" s="52" t="n">
        <v>1064</v>
      </c>
      <c r="B1065" s="52" t="s">
        <v>396</v>
      </c>
      <c r="C1065" s="52" t="s">
        <v>1123</v>
      </c>
      <c r="D1065" s="52" t="s">
        <v>1424</v>
      </c>
      <c r="E1065" s="52" t="s">
        <v>1425</v>
      </c>
      <c r="F1065" s="52" t="s">
        <v>36</v>
      </c>
      <c r="G1065" s="52" t="s">
        <v>1429</v>
      </c>
      <c r="H1065" s="52" t="n">
        <v>1</v>
      </c>
    </row>
    <row r="1066" customFormat="false" ht="15" hidden="false" customHeight="true" outlineLevel="0" collapsed="false">
      <c r="A1066" s="52" t="n">
        <v>1065</v>
      </c>
      <c r="B1066" s="52" t="s">
        <v>396</v>
      </c>
      <c r="C1066" s="52" t="s">
        <v>1123</v>
      </c>
      <c r="D1066" s="52" t="s">
        <v>1424</v>
      </c>
      <c r="E1066" s="52" t="s">
        <v>1425</v>
      </c>
      <c r="F1066" s="52" t="s">
        <v>259</v>
      </c>
      <c r="G1066" s="52" t="s">
        <v>1430</v>
      </c>
      <c r="H1066" s="52" t="n">
        <v>1</v>
      </c>
    </row>
    <row r="1067" customFormat="false" ht="15" hidden="false" customHeight="true" outlineLevel="0" collapsed="false">
      <c r="A1067" s="52" t="n">
        <v>1066</v>
      </c>
      <c r="B1067" s="52" t="s">
        <v>396</v>
      </c>
      <c r="C1067" s="52" t="s">
        <v>1123</v>
      </c>
      <c r="D1067" s="52" t="s">
        <v>1424</v>
      </c>
      <c r="E1067" s="52" t="s">
        <v>1425</v>
      </c>
      <c r="F1067" s="52" t="s">
        <v>259</v>
      </c>
      <c r="G1067" s="52" t="s">
        <v>1431</v>
      </c>
      <c r="H1067" s="52" t="n">
        <v>1</v>
      </c>
    </row>
    <row r="1068" customFormat="false" ht="15" hidden="false" customHeight="true" outlineLevel="0" collapsed="false">
      <c r="A1068" s="52" t="n">
        <v>1067</v>
      </c>
      <c r="B1068" s="52" t="s">
        <v>396</v>
      </c>
      <c r="C1068" s="52" t="s">
        <v>1123</v>
      </c>
      <c r="D1068" s="52" t="s">
        <v>1424</v>
      </c>
      <c r="E1068" s="52" t="s">
        <v>1425</v>
      </c>
      <c r="F1068" s="52" t="s">
        <v>52</v>
      </c>
      <c r="G1068" s="52" t="s">
        <v>1432</v>
      </c>
      <c r="H1068" s="52" t="n">
        <v>1</v>
      </c>
    </row>
    <row r="1069" customFormat="false" ht="15" hidden="false" customHeight="true" outlineLevel="0" collapsed="false">
      <c r="A1069" s="52" t="n">
        <v>1068</v>
      </c>
      <c r="B1069" s="52" t="s">
        <v>396</v>
      </c>
      <c r="C1069" s="52" t="s">
        <v>1123</v>
      </c>
      <c r="D1069" s="52" t="s">
        <v>1424</v>
      </c>
      <c r="E1069" s="52" t="s">
        <v>1425</v>
      </c>
      <c r="F1069" s="52" t="s">
        <v>21</v>
      </c>
      <c r="G1069" s="52" t="s">
        <v>1433</v>
      </c>
      <c r="H1069" s="52" t="n">
        <v>1</v>
      </c>
    </row>
    <row r="1070" customFormat="false" ht="15" hidden="false" customHeight="true" outlineLevel="0" collapsed="false">
      <c r="A1070" s="52" t="n">
        <v>1069</v>
      </c>
      <c r="B1070" s="52" t="s">
        <v>396</v>
      </c>
      <c r="C1070" s="52" t="s">
        <v>1123</v>
      </c>
      <c r="D1070" s="52" t="s">
        <v>1424</v>
      </c>
      <c r="E1070" s="52" t="s">
        <v>1425</v>
      </c>
      <c r="F1070" s="52" t="s">
        <v>13</v>
      </c>
      <c r="G1070" s="52" t="s">
        <v>442</v>
      </c>
      <c r="H1070" s="52" t="n">
        <v>0</v>
      </c>
    </row>
    <row r="1071" customFormat="false" ht="15" hidden="false" customHeight="true" outlineLevel="0" collapsed="false">
      <c r="A1071" s="52" t="n">
        <v>1070</v>
      </c>
      <c r="B1071" s="52" t="s">
        <v>396</v>
      </c>
      <c r="C1071" s="52" t="s">
        <v>1123</v>
      </c>
      <c r="D1071" s="52" t="s">
        <v>1424</v>
      </c>
      <c r="E1071" s="52" t="s">
        <v>1425</v>
      </c>
      <c r="F1071" s="52" t="s">
        <v>101</v>
      </c>
      <c r="G1071" s="52" t="s">
        <v>442</v>
      </c>
      <c r="H1071" s="52" t="n">
        <v>0</v>
      </c>
    </row>
    <row r="1072" customFormat="false" ht="15" hidden="false" customHeight="true" outlineLevel="0" collapsed="false">
      <c r="A1072" s="52" t="n">
        <v>1071</v>
      </c>
      <c r="B1072" s="52" t="s">
        <v>396</v>
      </c>
      <c r="C1072" s="52" t="s">
        <v>1123</v>
      </c>
      <c r="D1072" s="52" t="s">
        <v>1424</v>
      </c>
      <c r="E1072" s="52" t="s">
        <v>1425</v>
      </c>
      <c r="F1072" s="52" t="s">
        <v>86</v>
      </c>
      <c r="G1072" s="52" t="s">
        <v>442</v>
      </c>
      <c r="H1072" s="52" t="n">
        <v>0</v>
      </c>
    </row>
    <row r="1073" customFormat="false" ht="15" hidden="false" customHeight="true" outlineLevel="0" collapsed="false">
      <c r="A1073" s="52" t="n">
        <v>1072</v>
      </c>
      <c r="B1073" s="52" t="s">
        <v>396</v>
      </c>
      <c r="C1073" s="52" t="s">
        <v>1123</v>
      </c>
      <c r="D1073" s="52" t="s">
        <v>1424</v>
      </c>
      <c r="E1073" s="52" t="s">
        <v>1434</v>
      </c>
      <c r="F1073" s="52" t="s">
        <v>331</v>
      </c>
      <c r="G1073" s="52" t="s">
        <v>1435</v>
      </c>
      <c r="H1073" s="52" t="n">
        <v>1</v>
      </c>
    </row>
    <row r="1074" customFormat="false" ht="15" hidden="false" customHeight="true" outlineLevel="0" collapsed="false">
      <c r="A1074" s="52" t="n">
        <v>1073</v>
      </c>
      <c r="B1074" s="52" t="s">
        <v>396</v>
      </c>
      <c r="C1074" s="52" t="s">
        <v>1123</v>
      </c>
      <c r="D1074" s="52" t="s">
        <v>1424</v>
      </c>
      <c r="E1074" s="52" t="s">
        <v>1434</v>
      </c>
      <c r="F1074" s="52" t="s">
        <v>74</v>
      </c>
      <c r="G1074" s="52" t="s">
        <v>1436</v>
      </c>
      <c r="H1074" s="52" t="n">
        <v>1</v>
      </c>
    </row>
    <row r="1075" customFormat="false" ht="15" hidden="false" customHeight="true" outlineLevel="0" collapsed="false">
      <c r="A1075" s="52" t="n">
        <v>1074</v>
      </c>
      <c r="B1075" s="52" t="s">
        <v>396</v>
      </c>
      <c r="C1075" s="52" t="s">
        <v>1123</v>
      </c>
      <c r="D1075" s="52" t="s">
        <v>1424</v>
      </c>
      <c r="E1075" s="52" t="s">
        <v>1434</v>
      </c>
      <c r="F1075" s="52" t="s">
        <v>36</v>
      </c>
      <c r="G1075" s="52" t="s">
        <v>1437</v>
      </c>
      <c r="H1075" s="52" t="n">
        <v>1</v>
      </c>
    </row>
    <row r="1076" customFormat="false" ht="15" hidden="false" customHeight="true" outlineLevel="0" collapsed="false">
      <c r="A1076" s="52" t="n">
        <v>1075</v>
      </c>
      <c r="B1076" s="52" t="s">
        <v>396</v>
      </c>
      <c r="C1076" s="52" t="s">
        <v>1123</v>
      </c>
      <c r="D1076" s="52" t="s">
        <v>1424</v>
      </c>
      <c r="E1076" s="52" t="s">
        <v>1434</v>
      </c>
      <c r="F1076" s="52" t="s">
        <v>259</v>
      </c>
      <c r="G1076" s="52" t="s">
        <v>1438</v>
      </c>
      <c r="H1076" s="52" t="n">
        <v>1</v>
      </c>
    </row>
    <row r="1077" customFormat="false" ht="15" hidden="false" customHeight="true" outlineLevel="0" collapsed="false">
      <c r="A1077" s="52" t="n">
        <v>1076</v>
      </c>
      <c r="B1077" s="52" t="s">
        <v>396</v>
      </c>
      <c r="C1077" s="52" t="s">
        <v>1123</v>
      </c>
      <c r="D1077" s="52" t="s">
        <v>1424</v>
      </c>
      <c r="E1077" s="52" t="s">
        <v>1434</v>
      </c>
      <c r="F1077" s="52" t="s">
        <v>259</v>
      </c>
      <c r="G1077" s="52" t="s">
        <v>1439</v>
      </c>
      <c r="H1077" s="52" t="n">
        <v>1</v>
      </c>
    </row>
    <row r="1078" customFormat="false" ht="15" hidden="false" customHeight="true" outlineLevel="0" collapsed="false">
      <c r="A1078" s="52" t="n">
        <v>1077</v>
      </c>
      <c r="B1078" s="52" t="s">
        <v>396</v>
      </c>
      <c r="C1078" s="52" t="s">
        <v>1123</v>
      </c>
      <c r="D1078" s="52" t="s">
        <v>1424</v>
      </c>
      <c r="E1078" s="52" t="s">
        <v>1434</v>
      </c>
      <c r="F1078" s="52" t="s">
        <v>21</v>
      </c>
      <c r="G1078" s="52" t="s">
        <v>1440</v>
      </c>
      <c r="H1078" s="52" t="n">
        <v>1</v>
      </c>
    </row>
    <row r="1079" customFormat="false" ht="15" hidden="false" customHeight="true" outlineLevel="0" collapsed="false">
      <c r="A1079" s="52" t="n">
        <v>1078</v>
      </c>
      <c r="B1079" s="52" t="s">
        <v>396</v>
      </c>
      <c r="C1079" s="52" t="s">
        <v>1123</v>
      </c>
      <c r="D1079" s="52" t="s">
        <v>1424</v>
      </c>
      <c r="E1079" s="52" t="s">
        <v>1434</v>
      </c>
      <c r="F1079" s="52" t="s">
        <v>13</v>
      </c>
      <c r="G1079" s="52" t="s">
        <v>1441</v>
      </c>
      <c r="H1079" s="52" t="n">
        <v>1</v>
      </c>
    </row>
    <row r="1080" customFormat="false" ht="15" hidden="false" customHeight="true" outlineLevel="0" collapsed="false">
      <c r="A1080" s="52" t="n">
        <v>1079</v>
      </c>
      <c r="B1080" s="52" t="s">
        <v>396</v>
      </c>
      <c r="C1080" s="52" t="s">
        <v>1123</v>
      </c>
      <c r="D1080" s="52" t="s">
        <v>1424</v>
      </c>
      <c r="E1080" s="52" t="s">
        <v>1434</v>
      </c>
      <c r="F1080" s="52" t="s">
        <v>101</v>
      </c>
      <c r="G1080" s="52" t="s">
        <v>442</v>
      </c>
      <c r="H1080" s="52" t="n">
        <v>0</v>
      </c>
    </row>
    <row r="1081" customFormat="false" ht="15" hidden="false" customHeight="true" outlineLevel="0" collapsed="false">
      <c r="A1081" s="52" t="n">
        <v>1080</v>
      </c>
      <c r="B1081" s="52" t="s">
        <v>396</v>
      </c>
      <c r="C1081" s="52" t="s">
        <v>1123</v>
      </c>
      <c r="D1081" s="52" t="s">
        <v>1424</v>
      </c>
      <c r="E1081" s="52" t="s">
        <v>1434</v>
      </c>
      <c r="F1081" s="52" t="s">
        <v>86</v>
      </c>
      <c r="G1081" s="52" t="s">
        <v>442</v>
      </c>
      <c r="H1081" s="52" t="n">
        <v>0</v>
      </c>
    </row>
    <row r="1082" customFormat="false" ht="15" hidden="false" customHeight="true" outlineLevel="0" collapsed="false">
      <c r="A1082" s="52" t="n">
        <v>1081</v>
      </c>
      <c r="B1082" s="52" t="s">
        <v>398</v>
      </c>
      <c r="C1082" s="52" t="s">
        <v>624</v>
      </c>
      <c r="D1082" s="52" t="s">
        <v>624</v>
      </c>
      <c r="E1082" s="52" t="s">
        <v>1442</v>
      </c>
      <c r="F1082" s="52" t="s">
        <v>331</v>
      </c>
      <c r="G1082" s="52" t="s">
        <v>1443</v>
      </c>
      <c r="H1082" s="52" t="n">
        <v>1</v>
      </c>
    </row>
    <row r="1083" customFormat="false" ht="15" hidden="false" customHeight="true" outlineLevel="0" collapsed="false">
      <c r="A1083" s="52" t="n">
        <v>1082</v>
      </c>
      <c r="B1083" s="52" t="s">
        <v>398</v>
      </c>
      <c r="C1083" s="52" t="s">
        <v>624</v>
      </c>
      <c r="D1083" s="52" t="s">
        <v>624</v>
      </c>
      <c r="E1083" s="52" t="s">
        <v>1442</v>
      </c>
      <c r="F1083" s="52" t="s">
        <v>74</v>
      </c>
      <c r="G1083" s="52" t="s">
        <v>1444</v>
      </c>
      <c r="H1083" s="52" t="n">
        <v>1</v>
      </c>
    </row>
    <row r="1084" customFormat="false" ht="15" hidden="false" customHeight="true" outlineLevel="0" collapsed="false">
      <c r="A1084" s="52" t="n">
        <v>1083</v>
      </c>
      <c r="B1084" s="52" t="s">
        <v>398</v>
      </c>
      <c r="C1084" s="52" t="s">
        <v>624</v>
      </c>
      <c r="D1084" s="52" t="s">
        <v>624</v>
      </c>
      <c r="E1084" s="52" t="s">
        <v>1442</v>
      </c>
      <c r="F1084" s="52" t="s">
        <v>74</v>
      </c>
      <c r="G1084" s="52" t="s">
        <v>1445</v>
      </c>
      <c r="H1084" s="52" t="n">
        <v>1</v>
      </c>
    </row>
    <row r="1085" customFormat="false" ht="15" hidden="false" customHeight="true" outlineLevel="0" collapsed="false">
      <c r="A1085" s="52" t="n">
        <v>1084</v>
      </c>
      <c r="B1085" s="52" t="s">
        <v>398</v>
      </c>
      <c r="C1085" s="52" t="s">
        <v>624</v>
      </c>
      <c r="D1085" s="52" t="s">
        <v>624</v>
      </c>
      <c r="E1085" s="52" t="s">
        <v>1442</v>
      </c>
      <c r="F1085" s="52" t="s">
        <v>74</v>
      </c>
      <c r="G1085" s="52" t="s">
        <v>1446</v>
      </c>
      <c r="H1085" s="52" t="n">
        <v>1</v>
      </c>
    </row>
    <row r="1086" customFormat="false" ht="15" hidden="false" customHeight="true" outlineLevel="0" collapsed="false">
      <c r="A1086" s="52" t="n">
        <v>1085</v>
      </c>
      <c r="B1086" s="52" t="s">
        <v>398</v>
      </c>
      <c r="C1086" s="52" t="s">
        <v>624</v>
      </c>
      <c r="D1086" s="52" t="s">
        <v>624</v>
      </c>
      <c r="E1086" s="52" t="s">
        <v>1442</v>
      </c>
      <c r="F1086" s="52" t="s">
        <v>259</v>
      </c>
      <c r="G1086" s="52" t="s">
        <v>1447</v>
      </c>
      <c r="H1086" s="52" t="n">
        <v>1</v>
      </c>
    </row>
    <row r="1087" customFormat="false" ht="15" hidden="false" customHeight="true" outlineLevel="0" collapsed="false">
      <c r="A1087" s="52" t="n">
        <v>1086</v>
      </c>
      <c r="B1087" s="52" t="s">
        <v>398</v>
      </c>
      <c r="C1087" s="52" t="s">
        <v>624</v>
      </c>
      <c r="D1087" s="52" t="s">
        <v>624</v>
      </c>
      <c r="E1087" s="52" t="s">
        <v>1442</v>
      </c>
      <c r="F1087" s="52" t="s">
        <v>259</v>
      </c>
      <c r="G1087" s="52" t="s">
        <v>1448</v>
      </c>
      <c r="H1087" s="52" t="n">
        <v>1</v>
      </c>
    </row>
    <row r="1088" customFormat="false" ht="15" hidden="false" customHeight="true" outlineLevel="0" collapsed="false">
      <c r="A1088" s="52" t="n">
        <v>1087</v>
      </c>
      <c r="B1088" s="52" t="s">
        <v>398</v>
      </c>
      <c r="C1088" s="52" t="s">
        <v>624</v>
      </c>
      <c r="D1088" s="52" t="s">
        <v>624</v>
      </c>
      <c r="E1088" s="52" t="s">
        <v>1442</v>
      </c>
      <c r="F1088" s="52" t="s">
        <v>259</v>
      </c>
      <c r="G1088" s="52" t="s">
        <v>1449</v>
      </c>
      <c r="H1088" s="52" t="n">
        <v>1</v>
      </c>
    </row>
    <row r="1089" customFormat="false" ht="15" hidden="false" customHeight="true" outlineLevel="0" collapsed="false">
      <c r="A1089" s="52" t="n">
        <v>1088</v>
      </c>
      <c r="B1089" s="52" t="s">
        <v>398</v>
      </c>
      <c r="C1089" s="52" t="s">
        <v>624</v>
      </c>
      <c r="D1089" s="52" t="s">
        <v>624</v>
      </c>
      <c r="E1089" s="52" t="s">
        <v>1442</v>
      </c>
      <c r="F1089" s="52" t="s">
        <v>259</v>
      </c>
      <c r="G1089" s="52" t="s">
        <v>1450</v>
      </c>
      <c r="H1089" s="52" t="n">
        <v>1</v>
      </c>
    </row>
    <row r="1090" customFormat="false" ht="15" hidden="false" customHeight="true" outlineLevel="0" collapsed="false">
      <c r="A1090" s="52" t="n">
        <v>1089</v>
      </c>
      <c r="B1090" s="52" t="s">
        <v>398</v>
      </c>
      <c r="C1090" s="52" t="s">
        <v>624</v>
      </c>
      <c r="D1090" s="52" t="s">
        <v>624</v>
      </c>
      <c r="E1090" s="52" t="s">
        <v>1442</v>
      </c>
      <c r="F1090" s="52" t="s">
        <v>259</v>
      </c>
      <c r="G1090" s="52" t="s">
        <v>1451</v>
      </c>
      <c r="H1090" s="52" t="n">
        <v>1</v>
      </c>
    </row>
    <row r="1091" customFormat="false" ht="15" hidden="false" customHeight="true" outlineLevel="0" collapsed="false">
      <c r="A1091" s="52" t="n">
        <v>1090</v>
      </c>
      <c r="B1091" s="52" t="s">
        <v>398</v>
      </c>
      <c r="C1091" s="52" t="s">
        <v>624</v>
      </c>
      <c r="D1091" s="52" t="s">
        <v>624</v>
      </c>
      <c r="E1091" s="52" t="s">
        <v>1442</v>
      </c>
      <c r="F1091" s="52" t="s">
        <v>259</v>
      </c>
      <c r="G1091" s="52" t="s">
        <v>1452</v>
      </c>
      <c r="H1091" s="52" t="n">
        <v>1</v>
      </c>
    </row>
    <row r="1092" customFormat="false" ht="15" hidden="false" customHeight="true" outlineLevel="0" collapsed="false">
      <c r="A1092" s="52" t="n">
        <v>1091</v>
      </c>
      <c r="B1092" s="52" t="s">
        <v>398</v>
      </c>
      <c r="C1092" s="52" t="s">
        <v>624</v>
      </c>
      <c r="D1092" s="52" t="s">
        <v>624</v>
      </c>
      <c r="E1092" s="52" t="s">
        <v>1442</v>
      </c>
      <c r="F1092" s="52" t="s">
        <v>259</v>
      </c>
      <c r="G1092" s="52" t="s">
        <v>1453</v>
      </c>
      <c r="H1092" s="52" t="n">
        <v>1</v>
      </c>
    </row>
    <row r="1093" customFormat="false" ht="15" hidden="false" customHeight="true" outlineLevel="0" collapsed="false">
      <c r="A1093" s="52" t="n">
        <v>1092</v>
      </c>
      <c r="B1093" s="52" t="s">
        <v>398</v>
      </c>
      <c r="C1093" s="52" t="s">
        <v>624</v>
      </c>
      <c r="D1093" s="52" t="s">
        <v>624</v>
      </c>
      <c r="E1093" s="52" t="s">
        <v>1442</v>
      </c>
      <c r="F1093" s="52" t="s">
        <v>259</v>
      </c>
      <c r="G1093" s="52" t="s">
        <v>1454</v>
      </c>
      <c r="H1093" s="52" t="n">
        <v>1</v>
      </c>
    </row>
    <row r="1094" customFormat="false" ht="15" hidden="false" customHeight="true" outlineLevel="0" collapsed="false">
      <c r="A1094" s="52" t="n">
        <v>1093</v>
      </c>
      <c r="B1094" s="52" t="s">
        <v>398</v>
      </c>
      <c r="C1094" s="52" t="s">
        <v>624</v>
      </c>
      <c r="D1094" s="52" t="s">
        <v>624</v>
      </c>
      <c r="E1094" s="52" t="s">
        <v>1442</v>
      </c>
      <c r="F1094" s="52" t="s">
        <v>21</v>
      </c>
      <c r="G1094" s="52" t="s">
        <v>1455</v>
      </c>
      <c r="H1094" s="52" t="n">
        <v>1</v>
      </c>
    </row>
    <row r="1095" customFormat="false" ht="15" hidden="false" customHeight="true" outlineLevel="0" collapsed="false">
      <c r="A1095" s="52" t="n">
        <v>1094</v>
      </c>
      <c r="B1095" s="52" t="s">
        <v>398</v>
      </c>
      <c r="C1095" s="52" t="s">
        <v>624</v>
      </c>
      <c r="D1095" s="52" t="s">
        <v>624</v>
      </c>
      <c r="E1095" s="52" t="s">
        <v>1442</v>
      </c>
      <c r="F1095" s="52" t="s">
        <v>21</v>
      </c>
      <c r="G1095" s="52" t="s">
        <v>1456</v>
      </c>
      <c r="H1095" s="52" t="n">
        <v>1</v>
      </c>
    </row>
    <row r="1096" customFormat="false" ht="15" hidden="false" customHeight="true" outlineLevel="0" collapsed="false">
      <c r="A1096" s="52" t="n">
        <v>1095</v>
      </c>
      <c r="B1096" s="52" t="s">
        <v>398</v>
      </c>
      <c r="C1096" s="52" t="s">
        <v>624</v>
      </c>
      <c r="D1096" s="52" t="s">
        <v>624</v>
      </c>
      <c r="E1096" s="52" t="s">
        <v>1442</v>
      </c>
      <c r="F1096" s="52" t="s">
        <v>21</v>
      </c>
      <c r="G1096" s="52" t="s">
        <v>1457</v>
      </c>
      <c r="H1096" s="52" t="n">
        <v>1</v>
      </c>
    </row>
    <row r="1097" customFormat="false" ht="15" hidden="false" customHeight="true" outlineLevel="0" collapsed="false">
      <c r="A1097" s="52" t="n">
        <v>1096</v>
      </c>
      <c r="B1097" s="52" t="s">
        <v>398</v>
      </c>
      <c r="C1097" s="52" t="s">
        <v>624</v>
      </c>
      <c r="D1097" s="52" t="s">
        <v>624</v>
      </c>
      <c r="E1097" s="52" t="s">
        <v>1442</v>
      </c>
      <c r="F1097" s="52" t="s">
        <v>21</v>
      </c>
      <c r="G1097" s="52" t="s">
        <v>1458</v>
      </c>
      <c r="H1097" s="52" t="n">
        <v>1</v>
      </c>
    </row>
    <row r="1098" customFormat="false" ht="15" hidden="false" customHeight="true" outlineLevel="0" collapsed="false">
      <c r="A1098" s="52" t="n">
        <v>1097</v>
      </c>
      <c r="B1098" s="52" t="s">
        <v>398</v>
      </c>
      <c r="C1098" s="52" t="s">
        <v>624</v>
      </c>
      <c r="D1098" s="52" t="s">
        <v>624</v>
      </c>
      <c r="E1098" s="52" t="s">
        <v>1442</v>
      </c>
      <c r="F1098" s="52" t="s">
        <v>21</v>
      </c>
      <c r="G1098" s="52" t="s">
        <v>1459</v>
      </c>
      <c r="H1098" s="52" t="n">
        <v>1</v>
      </c>
    </row>
    <row r="1099" customFormat="false" ht="15" hidden="false" customHeight="true" outlineLevel="0" collapsed="false">
      <c r="A1099" s="52" t="n">
        <v>1098</v>
      </c>
      <c r="B1099" s="52" t="s">
        <v>398</v>
      </c>
      <c r="C1099" s="52" t="s">
        <v>624</v>
      </c>
      <c r="D1099" s="52" t="s">
        <v>624</v>
      </c>
      <c r="E1099" s="52" t="s">
        <v>1442</v>
      </c>
      <c r="F1099" s="52" t="s">
        <v>21</v>
      </c>
      <c r="G1099" s="52" t="s">
        <v>1460</v>
      </c>
      <c r="H1099" s="52" t="n">
        <v>1</v>
      </c>
    </row>
    <row r="1100" customFormat="false" ht="15" hidden="false" customHeight="true" outlineLevel="0" collapsed="false">
      <c r="A1100" s="52" t="n">
        <v>1099</v>
      </c>
      <c r="B1100" s="52" t="s">
        <v>398</v>
      </c>
      <c r="C1100" s="52" t="s">
        <v>624</v>
      </c>
      <c r="D1100" s="52" t="s">
        <v>624</v>
      </c>
      <c r="E1100" s="52" t="s">
        <v>1442</v>
      </c>
      <c r="F1100" s="52" t="s">
        <v>13</v>
      </c>
      <c r="G1100" s="52" t="s">
        <v>1461</v>
      </c>
      <c r="H1100" s="52" t="n">
        <v>1</v>
      </c>
    </row>
    <row r="1101" customFormat="false" ht="15" hidden="false" customHeight="true" outlineLevel="0" collapsed="false">
      <c r="A1101" s="52" t="n">
        <v>1100</v>
      </c>
      <c r="B1101" s="52" t="s">
        <v>398</v>
      </c>
      <c r="C1101" s="52" t="s">
        <v>624</v>
      </c>
      <c r="D1101" s="52" t="s">
        <v>624</v>
      </c>
      <c r="E1101" s="52" t="s">
        <v>1442</v>
      </c>
      <c r="F1101" s="52" t="s">
        <v>13</v>
      </c>
      <c r="G1101" s="52" t="s">
        <v>1462</v>
      </c>
      <c r="H1101" s="52" t="n">
        <v>1</v>
      </c>
    </row>
    <row r="1102" customFormat="false" ht="15" hidden="false" customHeight="true" outlineLevel="0" collapsed="false">
      <c r="A1102" s="52" t="n">
        <v>1101</v>
      </c>
      <c r="B1102" s="52" t="s">
        <v>398</v>
      </c>
      <c r="C1102" s="52" t="s">
        <v>624</v>
      </c>
      <c r="D1102" s="52" t="s">
        <v>624</v>
      </c>
      <c r="E1102" s="52" t="s">
        <v>1442</v>
      </c>
      <c r="F1102" s="52" t="s">
        <v>13</v>
      </c>
      <c r="G1102" s="52" t="s">
        <v>1463</v>
      </c>
      <c r="H1102" s="52" t="n">
        <v>1</v>
      </c>
    </row>
    <row r="1103" customFormat="false" ht="15" hidden="false" customHeight="true" outlineLevel="0" collapsed="false">
      <c r="A1103" s="52" t="n">
        <v>1102</v>
      </c>
      <c r="B1103" s="52" t="s">
        <v>398</v>
      </c>
      <c r="C1103" s="52" t="s">
        <v>624</v>
      </c>
      <c r="D1103" s="52" t="s">
        <v>624</v>
      </c>
      <c r="E1103" s="52" t="s">
        <v>1442</v>
      </c>
      <c r="F1103" s="52" t="s">
        <v>13</v>
      </c>
      <c r="G1103" s="52" t="s">
        <v>1464</v>
      </c>
      <c r="H1103" s="52" t="n">
        <v>1</v>
      </c>
    </row>
    <row r="1104" customFormat="false" ht="15" hidden="false" customHeight="true" outlineLevel="0" collapsed="false">
      <c r="A1104" s="52" t="n">
        <v>1103</v>
      </c>
      <c r="B1104" s="52" t="s">
        <v>398</v>
      </c>
      <c r="C1104" s="52" t="s">
        <v>624</v>
      </c>
      <c r="D1104" s="52" t="s">
        <v>624</v>
      </c>
      <c r="E1104" s="52" t="s">
        <v>1442</v>
      </c>
      <c r="F1104" s="52" t="s">
        <v>101</v>
      </c>
      <c r="G1104" s="52" t="s">
        <v>1465</v>
      </c>
      <c r="H1104" s="52" t="n">
        <v>1</v>
      </c>
    </row>
    <row r="1105" customFormat="false" ht="15" hidden="false" customHeight="true" outlineLevel="0" collapsed="false">
      <c r="A1105" s="52" t="n">
        <v>1104</v>
      </c>
      <c r="B1105" s="52" t="s">
        <v>398</v>
      </c>
      <c r="C1105" s="52" t="s">
        <v>624</v>
      </c>
      <c r="D1105" s="52" t="s">
        <v>624</v>
      </c>
      <c r="E1105" s="52" t="s">
        <v>1442</v>
      </c>
      <c r="F1105" s="52" t="s">
        <v>86</v>
      </c>
      <c r="G1105" s="52" t="s">
        <v>442</v>
      </c>
      <c r="H1105" s="52" t="n">
        <v>0</v>
      </c>
    </row>
    <row r="1106" customFormat="false" ht="15" hidden="false" customHeight="true" outlineLevel="0" collapsed="false">
      <c r="A1106" s="52" t="n">
        <v>1105</v>
      </c>
      <c r="B1106" s="52" t="s">
        <v>398</v>
      </c>
      <c r="C1106" s="52" t="s">
        <v>624</v>
      </c>
      <c r="D1106" s="52" t="s">
        <v>624</v>
      </c>
      <c r="E1106" s="52" t="s">
        <v>1466</v>
      </c>
      <c r="F1106" s="52" t="s">
        <v>331</v>
      </c>
      <c r="G1106" s="52" t="s">
        <v>542</v>
      </c>
      <c r="H1106" s="52" t="n">
        <v>0</v>
      </c>
    </row>
    <row r="1107" customFormat="false" ht="15" hidden="false" customHeight="true" outlineLevel="0" collapsed="false">
      <c r="A1107" s="52" t="n">
        <v>1106</v>
      </c>
      <c r="B1107" s="52" t="s">
        <v>398</v>
      </c>
      <c r="C1107" s="52" t="s">
        <v>624</v>
      </c>
      <c r="D1107" s="52" t="s">
        <v>624</v>
      </c>
      <c r="E1107" s="52" t="s">
        <v>1466</v>
      </c>
      <c r="F1107" s="52" t="s">
        <v>74</v>
      </c>
      <c r="G1107" s="52" t="s">
        <v>542</v>
      </c>
      <c r="H1107" s="52" t="n">
        <v>0</v>
      </c>
    </row>
    <row r="1108" customFormat="false" ht="15" hidden="false" customHeight="true" outlineLevel="0" collapsed="false">
      <c r="A1108" s="52" t="n">
        <v>1107</v>
      </c>
      <c r="B1108" s="52" t="s">
        <v>398</v>
      </c>
      <c r="C1108" s="52" t="s">
        <v>624</v>
      </c>
      <c r="D1108" s="52" t="s">
        <v>624</v>
      </c>
      <c r="E1108" s="52" t="s">
        <v>1466</v>
      </c>
      <c r="F1108" s="52" t="s">
        <v>259</v>
      </c>
      <c r="G1108" s="52" t="s">
        <v>1467</v>
      </c>
      <c r="H1108" s="52" t="n">
        <v>1</v>
      </c>
    </row>
    <row r="1109" customFormat="false" ht="15" hidden="false" customHeight="true" outlineLevel="0" collapsed="false">
      <c r="A1109" s="52" t="n">
        <v>1108</v>
      </c>
      <c r="B1109" s="52" t="s">
        <v>398</v>
      </c>
      <c r="C1109" s="52" t="s">
        <v>624</v>
      </c>
      <c r="D1109" s="52" t="s">
        <v>624</v>
      </c>
      <c r="E1109" s="52" t="s">
        <v>1466</v>
      </c>
      <c r="F1109" s="52" t="s">
        <v>21</v>
      </c>
      <c r="G1109" s="52" t="s">
        <v>1468</v>
      </c>
      <c r="H1109" s="52" t="n">
        <v>1</v>
      </c>
    </row>
    <row r="1110" customFormat="false" ht="15" hidden="false" customHeight="true" outlineLevel="0" collapsed="false">
      <c r="A1110" s="52" t="n">
        <v>1109</v>
      </c>
      <c r="B1110" s="52" t="s">
        <v>398</v>
      </c>
      <c r="C1110" s="52" t="s">
        <v>624</v>
      </c>
      <c r="D1110" s="52" t="s">
        <v>624</v>
      </c>
      <c r="E1110" s="52" t="s">
        <v>1466</v>
      </c>
      <c r="F1110" s="52" t="s">
        <v>21</v>
      </c>
      <c r="G1110" s="52" t="s">
        <v>1469</v>
      </c>
      <c r="H1110" s="52" t="n">
        <v>1</v>
      </c>
    </row>
    <row r="1111" customFormat="false" ht="15" hidden="false" customHeight="true" outlineLevel="0" collapsed="false">
      <c r="A1111" s="52" t="n">
        <v>1110</v>
      </c>
      <c r="B1111" s="52" t="s">
        <v>398</v>
      </c>
      <c r="C1111" s="52" t="s">
        <v>624</v>
      </c>
      <c r="D1111" s="52" t="s">
        <v>624</v>
      </c>
      <c r="E1111" s="52" t="s">
        <v>1466</v>
      </c>
      <c r="F1111" s="52" t="s">
        <v>21</v>
      </c>
      <c r="G1111" s="52" t="s">
        <v>1470</v>
      </c>
      <c r="H1111" s="52" t="n">
        <v>1</v>
      </c>
    </row>
    <row r="1112" customFormat="false" ht="15" hidden="false" customHeight="true" outlineLevel="0" collapsed="false">
      <c r="A1112" s="52" t="n">
        <v>1111</v>
      </c>
      <c r="B1112" s="52" t="s">
        <v>398</v>
      </c>
      <c r="C1112" s="52" t="s">
        <v>624</v>
      </c>
      <c r="D1112" s="52" t="s">
        <v>624</v>
      </c>
      <c r="E1112" s="52" t="s">
        <v>1466</v>
      </c>
      <c r="F1112" s="52" t="s">
        <v>21</v>
      </c>
      <c r="G1112" s="52" t="s">
        <v>1471</v>
      </c>
      <c r="H1112" s="52" t="n">
        <v>1</v>
      </c>
    </row>
    <row r="1113" customFormat="false" ht="15" hidden="false" customHeight="true" outlineLevel="0" collapsed="false">
      <c r="A1113" s="52" t="n">
        <v>1112</v>
      </c>
      <c r="B1113" s="52" t="s">
        <v>398</v>
      </c>
      <c r="C1113" s="52" t="s">
        <v>624</v>
      </c>
      <c r="D1113" s="52" t="s">
        <v>624</v>
      </c>
      <c r="E1113" s="52" t="s">
        <v>1466</v>
      </c>
      <c r="F1113" s="52" t="s">
        <v>21</v>
      </c>
      <c r="G1113" s="52" t="s">
        <v>1472</v>
      </c>
      <c r="H1113" s="52" t="n">
        <v>1</v>
      </c>
    </row>
    <row r="1114" customFormat="false" ht="15" hidden="false" customHeight="true" outlineLevel="0" collapsed="false">
      <c r="A1114" s="52" t="n">
        <v>1113</v>
      </c>
      <c r="B1114" s="52" t="s">
        <v>398</v>
      </c>
      <c r="C1114" s="52" t="s">
        <v>624</v>
      </c>
      <c r="D1114" s="52" t="s">
        <v>624</v>
      </c>
      <c r="E1114" s="52" t="s">
        <v>1466</v>
      </c>
      <c r="F1114" s="52" t="s">
        <v>21</v>
      </c>
      <c r="G1114" s="52" t="s">
        <v>1473</v>
      </c>
      <c r="H1114" s="52" t="n">
        <v>1</v>
      </c>
    </row>
    <row r="1115" customFormat="false" ht="15" hidden="false" customHeight="true" outlineLevel="0" collapsed="false">
      <c r="A1115" s="52" t="n">
        <v>1114</v>
      </c>
      <c r="B1115" s="52" t="s">
        <v>398</v>
      </c>
      <c r="C1115" s="52" t="s">
        <v>624</v>
      </c>
      <c r="D1115" s="52" t="s">
        <v>624</v>
      </c>
      <c r="E1115" s="52" t="s">
        <v>1466</v>
      </c>
      <c r="F1115" s="52" t="s">
        <v>13</v>
      </c>
      <c r="G1115" s="52" t="s">
        <v>1474</v>
      </c>
      <c r="H1115" s="52" t="n">
        <v>1</v>
      </c>
    </row>
    <row r="1116" customFormat="false" ht="15" hidden="false" customHeight="true" outlineLevel="0" collapsed="false">
      <c r="A1116" s="52" t="n">
        <v>1115</v>
      </c>
      <c r="B1116" s="52" t="s">
        <v>398</v>
      </c>
      <c r="C1116" s="52" t="s">
        <v>624</v>
      </c>
      <c r="D1116" s="52" t="s">
        <v>624</v>
      </c>
      <c r="E1116" s="52" t="s">
        <v>1466</v>
      </c>
      <c r="F1116" s="52" t="s">
        <v>13</v>
      </c>
      <c r="G1116" s="52" t="s">
        <v>1475</v>
      </c>
      <c r="H1116" s="52" t="n">
        <v>1</v>
      </c>
    </row>
    <row r="1117" customFormat="false" ht="15" hidden="false" customHeight="true" outlineLevel="0" collapsed="false">
      <c r="A1117" s="52" t="n">
        <v>1116</v>
      </c>
      <c r="B1117" s="52" t="s">
        <v>398</v>
      </c>
      <c r="C1117" s="52" t="s">
        <v>624</v>
      </c>
      <c r="D1117" s="52" t="s">
        <v>624</v>
      </c>
      <c r="E1117" s="52" t="s">
        <v>1466</v>
      </c>
      <c r="F1117" s="52" t="s">
        <v>13</v>
      </c>
      <c r="G1117" s="52" t="s">
        <v>1476</v>
      </c>
      <c r="H1117" s="52" t="n">
        <v>1</v>
      </c>
    </row>
    <row r="1118" customFormat="false" ht="15" hidden="false" customHeight="true" outlineLevel="0" collapsed="false">
      <c r="A1118" s="52" t="n">
        <v>1117</v>
      </c>
      <c r="B1118" s="52" t="s">
        <v>398</v>
      </c>
      <c r="C1118" s="52" t="s">
        <v>624</v>
      </c>
      <c r="D1118" s="52" t="s">
        <v>624</v>
      </c>
      <c r="E1118" s="52" t="s">
        <v>1466</v>
      </c>
      <c r="F1118" s="52" t="s">
        <v>101</v>
      </c>
      <c r="G1118" s="52" t="s">
        <v>1477</v>
      </c>
      <c r="H1118" s="52" t="n">
        <v>1</v>
      </c>
    </row>
    <row r="1119" customFormat="false" ht="15" hidden="false" customHeight="true" outlineLevel="0" collapsed="false">
      <c r="A1119" s="52" t="n">
        <v>1118</v>
      </c>
      <c r="B1119" s="52" t="s">
        <v>398</v>
      </c>
      <c r="C1119" s="52" t="s">
        <v>624</v>
      </c>
      <c r="D1119" s="52" t="s">
        <v>624</v>
      </c>
      <c r="E1119" s="52" t="s">
        <v>1466</v>
      </c>
      <c r="F1119" s="52" t="s">
        <v>86</v>
      </c>
      <c r="G1119" s="52" t="s">
        <v>442</v>
      </c>
      <c r="H1119" s="52" t="n">
        <v>0</v>
      </c>
    </row>
    <row r="1120" customFormat="false" ht="15" hidden="false" customHeight="true" outlineLevel="0" collapsed="false">
      <c r="A1120" s="52" t="n">
        <v>1119</v>
      </c>
      <c r="B1120" s="52" t="s">
        <v>398</v>
      </c>
      <c r="C1120" s="52" t="s">
        <v>624</v>
      </c>
      <c r="D1120" s="52" t="s">
        <v>624</v>
      </c>
      <c r="E1120" s="52" t="s">
        <v>1478</v>
      </c>
      <c r="F1120" s="52" t="s">
        <v>331</v>
      </c>
      <c r="G1120" s="52" t="s">
        <v>1479</v>
      </c>
      <c r="H1120" s="52" t="n">
        <v>1</v>
      </c>
    </row>
    <row r="1121" customFormat="false" ht="15" hidden="false" customHeight="true" outlineLevel="0" collapsed="false">
      <c r="A1121" s="52" t="n">
        <v>1120</v>
      </c>
      <c r="B1121" s="52" t="s">
        <v>398</v>
      </c>
      <c r="C1121" s="52" t="s">
        <v>624</v>
      </c>
      <c r="D1121" s="52" t="s">
        <v>624</v>
      </c>
      <c r="E1121" s="52" t="s">
        <v>1478</v>
      </c>
      <c r="F1121" s="52" t="s">
        <v>331</v>
      </c>
      <c r="G1121" s="52" t="s">
        <v>1480</v>
      </c>
      <c r="H1121" s="52" t="n">
        <v>1</v>
      </c>
    </row>
    <row r="1122" customFormat="false" ht="15" hidden="false" customHeight="true" outlineLevel="0" collapsed="false">
      <c r="A1122" s="52" t="n">
        <v>1121</v>
      </c>
      <c r="B1122" s="52" t="s">
        <v>398</v>
      </c>
      <c r="C1122" s="52" t="s">
        <v>624</v>
      </c>
      <c r="D1122" s="52" t="s">
        <v>624</v>
      </c>
      <c r="E1122" s="52" t="s">
        <v>1478</v>
      </c>
      <c r="F1122" s="52" t="s">
        <v>74</v>
      </c>
      <c r="G1122" s="52" t="s">
        <v>1481</v>
      </c>
      <c r="H1122" s="52" t="n">
        <v>1</v>
      </c>
    </row>
    <row r="1123" customFormat="false" ht="15" hidden="false" customHeight="true" outlineLevel="0" collapsed="false">
      <c r="A1123" s="52" t="n">
        <v>1122</v>
      </c>
      <c r="B1123" s="52" t="s">
        <v>398</v>
      </c>
      <c r="C1123" s="52" t="s">
        <v>624</v>
      </c>
      <c r="D1123" s="52" t="s">
        <v>624</v>
      </c>
      <c r="E1123" s="52" t="s">
        <v>1478</v>
      </c>
      <c r="F1123" s="52" t="s">
        <v>74</v>
      </c>
      <c r="G1123" s="52" t="s">
        <v>1482</v>
      </c>
      <c r="H1123" s="52" t="n">
        <v>1</v>
      </c>
    </row>
    <row r="1124" customFormat="false" ht="15" hidden="false" customHeight="true" outlineLevel="0" collapsed="false">
      <c r="A1124" s="52" t="n">
        <v>1123</v>
      </c>
      <c r="B1124" s="52" t="s">
        <v>398</v>
      </c>
      <c r="C1124" s="52" t="s">
        <v>624</v>
      </c>
      <c r="D1124" s="52" t="s">
        <v>624</v>
      </c>
      <c r="E1124" s="52" t="s">
        <v>1478</v>
      </c>
      <c r="F1124" s="52" t="s">
        <v>74</v>
      </c>
      <c r="G1124" s="52" t="s">
        <v>1483</v>
      </c>
      <c r="H1124" s="52" t="n">
        <v>1</v>
      </c>
    </row>
    <row r="1125" customFormat="false" ht="15" hidden="false" customHeight="true" outlineLevel="0" collapsed="false">
      <c r="A1125" s="52" t="n">
        <v>1124</v>
      </c>
      <c r="B1125" s="52" t="s">
        <v>398</v>
      </c>
      <c r="C1125" s="52" t="s">
        <v>624</v>
      </c>
      <c r="D1125" s="52" t="s">
        <v>624</v>
      </c>
      <c r="E1125" s="52" t="s">
        <v>1478</v>
      </c>
      <c r="F1125" s="52" t="s">
        <v>74</v>
      </c>
      <c r="G1125" s="52" t="s">
        <v>1484</v>
      </c>
      <c r="H1125" s="52" t="n">
        <v>1</v>
      </c>
    </row>
    <row r="1126" customFormat="false" ht="15" hidden="false" customHeight="true" outlineLevel="0" collapsed="false">
      <c r="A1126" s="52" t="n">
        <v>1125</v>
      </c>
      <c r="B1126" s="52" t="s">
        <v>398</v>
      </c>
      <c r="C1126" s="52" t="s">
        <v>624</v>
      </c>
      <c r="D1126" s="52" t="s">
        <v>624</v>
      </c>
      <c r="E1126" s="52" t="s">
        <v>1478</v>
      </c>
      <c r="F1126" s="52" t="s">
        <v>74</v>
      </c>
      <c r="G1126" s="52" t="s">
        <v>1485</v>
      </c>
      <c r="H1126" s="52" t="n">
        <v>1</v>
      </c>
    </row>
    <row r="1127" customFormat="false" ht="15" hidden="false" customHeight="true" outlineLevel="0" collapsed="false">
      <c r="A1127" s="52" t="n">
        <v>1126</v>
      </c>
      <c r="B1127" s="52" t="s">
        <v>398</v>
      </c>
      <c r="C1127" s="52" t="s">
        <v>624</v>
      </c>
      <c r="D1127" s="52" t="s">
        <v>624</v>
      </c>
      <c r="E1127" s="52" t="s">
        <v>1478</v>
      </c>
      <c r="F1127" s="52" t="s">
        <v>259</v>
      </c>
      <c r="G1127" s="52" t="s">
        <v>1486</v>
      </c>
      <c r="H1127" s="52" t="n">
        <v>1</v>
      </c>
    </row>
    <row r="1128" customFormat="false" ht="15" hidden="false" customHeight="true" outlineLevel="0" collapsed="false">
      <c r="A1128" s="52" t="n">
        <v>1127</v>
      </c>
      <c r="B1128" s="52" t="s">
        <v>398</v>
      </c>
      <c r="C1128" s="52" t="s">
        <v>624</v>
      </c>
      <c r="D1128" s="52" t="s">
        <v>624</v>
      </c>
      <c r="E1128" s="52" t="s">
        <v>1478</v>
      </c>
      <c r="F1128" s="52" t="s">
        <v>259</v>
      </c>
      <c r="G1128" s="52" t="s">
        <v>1487</v>
      </c>
      <c r="H1128" s="52" t="n">
        <v>1</v>
      </c>
    </row>
    <row r="1129" customFormat="false" ht="15" hidden="false" customHeight="true" outlineLevel="0" collapsed="false">
      <c r="A1129" s="52" t="n">
        <v>1128</v>
      </c>
      <c r="B1129" s="52" t="s">
        <v>398</v>
      </c>
      <c r="C1129" s="52" t="s">
        <v>624</v>
      </c>
      <c r="D1129" s="52" t="s">
        <v>624</v>
      </c>
      <c r="E1129" s="52" t="s">
        <v>1478</v>
      </c>
      <c r="F1129" s="52" t="s">
        <v>259</v>
      </c>
      <c r="G1129" s="52" t="s">
        <v>1488</v>
      </c>
      <c r="H1129" s="52" t="n">
        <v>1</v>
      </c>
    </row>
    <row r="1130" customFormat="false" ht="15" hidden="false" customHeight="true" outlineLevel="0" collapsed="false">
      <c r="A1130" s="52" t="n">
        <v>1129</v>
      </c>
      <c r="B1130" s="52" t="s">
        <v>398</v>
      </c>
      <c r="C1130" s="52" t="s">
        <v>624</v>
      </c>
      <c r="D1130" s="52" t="s">
        <v>624</v>
      </c>
      <c r="E1130" s="52" t="s">
        <v>1478</v>
      </c>
      <c r="F1130" s="52" t="s">
        <v>259</v>
      </c>
      <c r="G1130" s="52" t="s">
        <v>1489</v>
      </c>
      <c r="H1130" s="52" t="n">
        <v>1</v>
      </c>
    </row>
    <row r="1131" customFormat="false" ht="15" hidden="false" customHeight="true" outlineLevel="0" collapsed="false">
      <c r="A1131" s="52" t="n">
        <v>1130</v>
      </c>
      <c r="B1131" s="52" t="s">
        <v>398</v>
      </c>
      <c r="C1131" s="52" t="s">
        <v>624</v>
      </c>
      <c r="D1131" s="52" t="s">
        <v>624</v>
      </c>
      <c r="E1131" s="52" t="s">
        <v>1478</v>
      </c>
      <c r="F1131" s="52" t="s">
        <v>259</v>
      </c>
      <c r="G1131" s="52" t="s">
        <v>1490</v>
      </c>
      <c r="H1131" s="52" t="n">
        <v>1</v>
      </c>
    </row>
    <row r="1132" customFormat="false" ht="15" hidden="false" customHeight="true" outlineLevel="0" collapsed="false">
      <c r="A1132" s="52" t="n">
        <v>1131</v>
      </c>
      <c r="B1132" s="52" t="s">
        <v>398</v>
      </c>
      <c r="C1132" s="52" t="s">
        <v>624</v>
      </c>
      <c r="D1132" s="52" t="s">
        <v>624</v>
      </c>
      <c r="E1132" s="52" t="s">
        <v>1478</v>
      </c>
      <c r="F1132" s="52" t="s">
        <v>259</v>
      </c>
      <c r="G1132" s="52" t="s">
        <v>1491</v>
      </c>
      <c r="H1132" s="52" t="n">
        <v>1</v>
      </c>
    </row>
    <row r="1133" customFormat="false" ht="15" hidden="false" customHeight="true" outlineLevel="0" collapsed="false">
      <c r="A1133" s="52" t="n">
        <v>1132</v>
      </c>
      <c r="B1133" s="52" t="s">
        <v>398</v>
      </c>
      <c r="C1133" s="52" t="s">
        <v>624</v>
      </c>
      <c r="D1133" s="52" t="s">
        <v>624</v>
      </c>
      <c r="E1133" s="52" t="s">
        <v>1478</v>
      </c>
      <c r="F1133" s="52" t="s">
        <v>21</v>
      </c>
      <c r="G1133" s="52" t="s">
        <v>1492</v>
      </c>
      <c r="H1133" s="52" t="n">
        <v>1</v>
      </c>
    </row>
    <row r="1134" customFormat="false" ht="15" hidden="false" customHeight="true" outlineLevel="0" collapsed="false">
      <c r="A1134" s="52" t="n">
        <v>1133</v>
      </c>
      <c r="B1134" s="52" t="s">
        <v>398</v>
      </c>
      <c r="C1134" s="52" t="s">
        <v>624</v>
      </c>
      <c r="D1134" s="52" t="s">
        <v>624</v>
      </c>
      <c r="E1134" s="52" t="s">
        <v>1478</v>
      </c>
      <c r="F1134" s="52" t="s">
        <v>13</v>
      </c>
      <c r="G1134" s="52" t="s">
        <v>1493</v>
      </c>
      <c r="H1134" s="52" t="n">
        <v>1</v>
      </c>
    </row>
    <row r="1135" customFormat="false" ht="15" hidden="false" customHeight="true" outlineLevel="0" collapsed="false">
      <c r="A1135" s="52" t="n">
        <v>1134</v>
      </c>
      <c r="B1135" s="52" t="s">
        <v>398</v>
      </c>
      <c r="C1135" s="52" t="s">
        <v>624</v>
      </c>
      <c r="D1135" s="52" t="s">
        <v>624</v>
      </c>
      <c r="E1135" s="52" t="s">
        <v>1478</v>
      </c>
      <c r="F1135" s="52" t="s">
        <v>13</v>
      </c>
      <c r="G1135" s="52" t="s">
        <v>1494</v>
      </c>
      <c r="H1135" s="52" t="n">
        <v>1</v>
      </c>
    </row>
    <row r="1136" customFormat="false" ht="15" hidden="false" customHeight="true" outlineLevel="0" collapsed="false">
      <c r="A1136" s="52" t="n">
        <v>1135</v>
      </c>
      <c r="B1136" s="52" t="s">
        <v>398</v>
      </c>
      <c r="C1136" s="52" t="s">
        <v>624</v>
      </c>
      <c r="D1136" s="52" t="s">
        <v>624</v>
      </c>
      <c r="E1136" s="52" t="s">
        <v>1478</v>
      </c>
      <c r="F1136" s="52" t="s">
        <v>13</v>
      </c>
      <c r="G1136" s="52" t="s">
        <v>1495</v>
      </c>
      <c r="H1136" s="52" t="n">
        <v>1</v>
      </c>
    </row>
    <row r="1137" customFormat="false" ht="15" hidden="false" customHeight="true" outlineLevel="0" collapsed="false">
      <c r="A1137" s="52" t="n">
        <v>1136</v>
      </c>
      <c r="B1137" s="52" t="s">
        <v>398</v>
      </c>
      <c r="C1137" s="52" t="s">
        <v>624</v>
      </c>
      <c r="D1137" s="52" t="s">
        <v>624</v>
      </c>
      <c r="E1137" s="52" t="s">
        <v>1478</v>
      </c>
      <c r="F1137" s="52" t="s">
        <v>101</v>
      </c>
      <c r="G1137" s="52" t="s">
        <v>1496</v>
      </c>
      <c r="H1137" s="52" t="n">
        <v>1</v>
      </c>
    </row>
    <row r="1138" customFormat="false" ht="15" hidden="false" customHeight="true" outlineLevel="0" collapsed="false">
      <c r="A1138" s="52" t="n">
        <v>1137</v>
      </c>
      <c r="B1138" s="52" t="s">
        <v>398</v>
      </c>
      <c r="C1138" s="52" t="s">
        <v>624</v>
      </c>
      <c r="D1138" s="52" t="s">
        <v>624</v>
      </c>
      <c r="E1138" s="52" t="s">
        <v>1478</v>
      </c>
      <c r="F1138" s="52" t="s">
        <v>86</v>
      </c>
      <c r="G1138" s="52" t="s">
        <v>442</v>
      </c>
      <c r="H1138" s="52" t="n">
        <v>0</v>
      </c>
    </row>
    <row r="1139" customFormat="false" ht="15" hidden="false" customHeight="true" outlineLevel="0" collapsed="false">
      <c r="A1139" s="52" t="n">
        <v>1138</v>
      </c>
      <c r="B1139" s="52" t="s">
        <v>397</v>
      </c>
      <c r="C1139" s="52" t="s">
        <v>624</v>
      </c>
      <c r="D1139" s="52" t="s">
        <v>1497</v>
      </c>
      <c r="E1139" s="52" t="s">
        <v>1498</v>
      </c>
      <c r="F1139" s="52" t="s">
        <v>331</v>
      </c>
      <c r="G1139" s="52" t="s">
        <v>1499</v>
      </c>
      <c r="H1139" s="52" t="n">
        <v>1</v>
      </c>
    </row>
    <row r="1140" customFormat="false" ht="15" hidden="false" customHeight="true" outlineLevel="0" collapsed="false">
      <c r="A1140" s="52" t="n">
        <v>1139</v>
      </c>
      <c r="B1140" s="52" t="s">
        <v>397</v>
      </c>
      <c r="C1140" s="52" t="s">
        <v>624</v>
      </c>
      <c r="D1140" s="52" t="s">
        <v>1497</v>
      </c>
      <c r="E1140" s="52" t="s">
        <v>1498</v>
      </c>
      <c r="F1140" s="52" t="s">
        <v>74</v>
      </c>
      <c r="G1140" s="52" t="s">
        <v>1500</v>
      </c>
      <c r="H1140" s="52" t="n">
        <v>1</v>
      </c>
    </row>
    <row r="1141" customFormat="false" ht="15" hidden="false" customHeight="true" outlineLevel="0" collapsed="false">
      <c r="A1141" s="52" t="n">
        <v>1140</v>
      </c>
      <c r="B1141" s="52" t="s">
        <v>397</v>
      </c>
      <c r="C1141" s="52" t="s">
        <v>624</v>
      </c>
      <c r="D1141" s="52" t="s">
        <v>1497</v>
      </c>
      <c r="E1141" s="52" t="s">
        <v>1498</v>
      </c>
      <c r="F1141" s="52" t="s">
        <v>74</v>
      </c>
      <c r="G1141" s="52" t="s">
        <v>1501</v>
      </c>
      <c r="H1141" s="52" t="n">
        <v>1</v>
      </c>
    </row>
    <row r="1142" customFormat="false" ht="15" hidden="false" customHeight="true" outlineLevel="0" collapsed="false">
      <c r="A1142" s="52" t="n">
        <v>1141</v>
      </c>
      <c r="B1142" s="52" t="s">
        <v>397</v>
      </c>
      <c r="C1142" s="52" t="s">
        <v>624</v>
      </c>
      <c r="D1142" s="52" t="s">
        <v>1497</v>
      </c>
      <c r="E1142" s="52" t="s">
        <v>1498</v>
      </c>
      <c r="F1142" s="52" t="s">
        <v>36</v>
      </c>
      <c r="G1142" s="52" t="s">
        <v>1502</v>
      </c>
      <c r="H1142" s="52" t="n">
        <v>1</v>
      </c>
    </row>
    <row r="1143" customFormat="false" ht="15" hidden="false" customHeight="true" outlineLevel="0" collapsed="false">
      <c r="A1143" s="52" t="n">
        <v>1142</v>
      </c>
      <c r="B1143" s="52" t="s">
        <v>397</v>
      </c>
      <c r="C1143" s="52" t="s">
        <v>624</v>
      </c>
      <c r="D1143" s="52" t="s">
        <v>1497</v>
      </c>
      <c r="E1143" s="52" t="s">
        <v>1498</v>
      </c>
      <c r="F1143" s="52" t="s">
        <v>259</v>
      </c>
      <c r="G1143" s="52" t="s">
        <v>1503</v>
      </c>
      <c r="H1143" s="52" t="n">
        <v>1</v>
      </c>
    </row>
    <row r="1144" customFormat="false" ht="15" hidden="false" customHeight="true" outlineLevel="0" collapsed="false">
      <c r="A1144" s="52" t="n">
        <v>1143</v>
      </c>
      <c r="B1144" s="52" t="s">
        <v>397</v>
      </c>
      <c r="C1144" s="52" t="s">
        <v>624</v>
      </c>
      <c r="D1144" s="52" t="s">
        <v>1497</v>
      </c>
      <c r="E1144" s="52" t="s">
        <v>1498</v>
      </c>
      <c r="F1144" s="52" t="s">
        <v>52</v>
      </c>
      <c r="G1144" s="52" t="s">
        <v>1504</v>
      </c>
      <c r="H1144" s="52" t="n">
        <v>1</v>
      </c>
    </row>
    <row r="1145" customFormat="false" ht="15" hidden="false" customHeight="true" outlineLevel="0" collapsed="false">
      <c r="A1145" s="52" t="n">
        <v>1144</v>
      </c>
      <c r="B1145" s="52" t="s">
        <v>397</v>
      </c>
      <c r="C1145" s="52" t="s">
        <v>624</v>
      </c>
      <c r="D1145" s="52" t="s">
        <v>1497</v>
      </c>
      <c r="E1145" s="52" t="s">
        <v>1498</v>
      </c>
      <c r="F1145" s="52" t="s">
        <v>21</v>
      </c>
      <c r="G1145" s="52" t="s">
        <v>1505</v>
      </c>
      <c r="H1145" s="52" t="n">
        <v>1</v>
      </c>
    </row>
    <row r="1146" customFormat="false" ht="15" hidden="false" customHeight="true" outlineLevel="0" collapsed="false">
      <c r="A1146" s="52" t="n">
        <v>1145</v>
      </c>
      <c r="B1146" s="52" t="s">
        <v>397</v>
      </c>
      <c r="C1146" s="52" t="s">
        <v>624</v>
      </c>
      <c r="D1146" s="52" t="s">
        <v>1497</v>
      </c>
      <c r="E1146" s="52" t="s">
        <v>1498</v>
      </c>
      <c r="F1146" s="52" t="s">
        <v>123</v>
      </c>
      <c r="G1146" s="52" t="s">
        <v>1506</v>
      </c>
      <c r="H1146" s="52" t="n">
        <v>1</v>
      </c>
    </row>
    <row r="1147" customFormat="false" ht="15" hidden="false" customHeight="true" outlineLevel="0" collapsed="false">
      <c r="A1147" s="52" t="n">
        <v>1146</v>
      </c>
      <c r="B1147" s="52" t="s">
        <v>397</v>
      </c>
      <c r="C1147" s="52" t="s">
        <v>624</v>
      </c>
      <c r="D1147" s="52" t="s">
        <v>1497</v>
      </c>
      <c r="E1147" s="52" t="s">
        <v>1498</v>
      </c>
      <c r="F1147" s="52" t="s">
        <v>13</v>
      </c>
      <c r="G1147" s="52" t="s">
        <v>1507</v>
      </c>
      <c r="H1147" s="52" t="n">
        <v>1</v>
      </c>
    </row>
    <row r="1148" customFormat="false" ht="15" hidden="false" customHeight="true" outlineLevel="0" collapsed="false">
      <c r="A1148" s="52" t="n">
        <v>1147</v>
      </c>
      <c r="B1148" s="52" t="s">
        <v>397</v>
      </c>
      <c r="C1148" s="52" t="s">
        <v>624</v>
      </c>
      <c r="D1148" s="52" t="s">
        <v>1497</v>
      </c>
      <c r="E1148" s="52" t="s">
        <v>1498</v>
      </c>
      <c r="F1148" s="52" t="s">
        <v>13</v>
      </c>
      <c r="G1148" s="52" t="s">
        <v>1508</v>
      </c>
      <c r="H1148" s="52" t="n">
        <v>1</v>
      </c>
    </row>
    <row r="1149" customFormat="false" ht="15" hidden="false" customHeight="true" outlineLevel="0" collapsed="false">
      <c r="A1149" s="52" t="n">
        <v>1148</v>
      </c>
      <c r="B1149" s="52" t="s">
        <v>397</v>
      </c>
      <c r="C1149" s="52" t="s">
        <v>624</v>
      </c>
      <c r="D1149" s="52" t="s">
        <v>1497</v>
      </c>
      <c r="E1149" s="52" t="s">
        <v>1498</v>
      </c>
      <c r="F1149" s="52" t="s">
        <v>13</v>
      </c>
      <c r="G1149" s="52" t="s">
        <v>1509</v>
      </c>
      <c r="H1149" s="52" t="n">
        <v>1</v>
      </c>
    </row>
    <row r="1150" customFormat="false" ht="15" hidden="false" customHeight="true" outlineLevel="0" collapsed="false">
      <c r="A1150" s="52" t="n">
        <v>1149</v>
      </c>
      <c r="B1150" s="52" t="s">
        <v>397</v>
      </c>
      <c r="C1150" s="52" t="s">
        <v>624</v>
      </c>
      <c r="D1150" s="52" t="s">
        <v>1497</v>
      </c>
      <c r="E1150" s="52" t="s">
        <v>1498</v>
      </c>
      <c r="F1150" s="52" t="s">
        <v>101</v>
      </c>
      <c r="G1150" s="52" t="s">
        <v>1510</v>
      </c>
      <c r="H1150" s="52" t="n">
        <v>1</v>
      </c>
    </row>
    <row r="1151" customFormat="false" ht="15" hidden="false" customHeight="true" outlineLevel="0" collapsed="false">
      <c r="A1151" s="52" t="n">
        <v>1150</v>
      </c>
      <c r="B1151" s="52" t="s">
        <v>397</v>
      </c>
      <c r="C1151" s="52" t="s">
        <v>624</v>
      </c>
      <c r="D1151" s="52" t="s">
        <v>1497</v>
      </c>
      <c r="E1151" s="52" t="s">
        <v>1498</v>
      </c>
      <c r="F1151" s="52" t="s">
        <v>101</v>
      </c>
      <c r="G1151" s="52" t="s">
        <v>1511</v>
      </c>
      <c r="H1151" s="52" t="n">
        <v>1</v>
      </c>
    </row>
    <row r="1152" customFormat="false" ht="15" hidden="false" customHeight="true" outlineLevel="0" collapsed="false">
      <c r="A1152" s="52" t="n">
        <v>1151</v>
      </c>
      <c r="B1152" s="52" t="s">
        <v>397</v>
      </c>
      <c r="C1152" s="52" t="s">
        <v>624</v>
      </c>
      <c r="D1152" s="52" t="s">
        <v>1497</v>
      </c>
      <c r="E1152" s="52" t="s">
        <v>1498</v>
      </c>
      <c r="F1152" s="52" t="s">
        <v>86</v>
      </c>
      <c r="G1152" s="52" t="s">
        <v>1512</v>
      </c>
      <c r="H1152" s="52" t="n">
        <v>1</v>
      </c>
    </row>
    <row r="1153" customFormat="false" ht="15" hidden="false" customHeight="true" outlineLevel="0" collapsed="false">
      <c r="A1153" s="52" t="n">
        <v>1152</v>
      </c>
      <c r="B1153" s="52" t="s">
        <v>397</v>
      </c>
      <c r="C1153" s="52" t="s">
        <v>624</v>
      </c>
      <c r="D1153" s="52" t="s">
        <v>1497</v>
      </c>
      <c r="E1153" s="52" t="s">
        <v>1513</v>
      </c>
      <c r="F1153" s="52" t="s">
        <v>331</v>
      </c>
      <c r="G1153" s="52" t="s">
        <v>1514</v>
      </c>
      <c r="H1153" s="52" t="n">
        <v>1</v>
      </c>
    </row>
    <row r="1154" customFormat="false" ht="15" hidden="false" customHeight="true" outlineLevel="0" collapsed="false">
      <c r="A1154" s="52" t="n">
        <v>1153</v>
      </c>
      <c r="B1154" s="52" t="s">
        <v>397</v>
      </c>
      <c r="C1154" s="52" t="s">
        <v>624</v>
      </c>
      <c r="D1154" s="52" t="s">
        <v>1497</v>
      </c>
      <c r="E1154" s="52" t="s">
        <v>1513</v>
      </c>
      <c r="F1154" s="52" t="s">
        <v>74</v>
      </c>
      <c r="G1154" s="52" t="s">
        <v>1515</v>
      </c>
      <c r="H1154" s="52" t="n">
        <v>1</v>
      </c>
    </row>
    <row r="1155" customFormat="false" ht="15" hidden="false" customHeight="true" outlineLevel="0" collapsed="false">
      <c r="A1155" s="52" t="n">
        <v>1154</v>
      </c>
      <c r="B1155" s="52" t="s">
        <v>397</v>
      </c>
      <c r="C1155" s="52" t="s">
        <v>624</v>
      </c>
      <c r="D1155" s="52" t="s">
        <v>1497</v>
      </c>
      <c r="E1155" s="52" t="s">
        <v>1513</v>
      </c>
      <c r="F1155" s="52" t="s">
        <v>74</v>
      </c>
      <c r="G1155" s="52" t="s">
        <v>1516</v>
      </c>
      <c r="H1155" s="52" t="n">
        <v>1</v>
      </c>
    </row>
    <row r="1156" customFormat="false" ht="15" hidden="false" customHeight="true" outlineLevel="0" collapsed="false">
      <c r="A1156" s="52" t="n">
        <v>1155</v>
      </c>
      <c r="B1156" s="52" t="s">
        <v>397</v>
      </c>
      <c r="C1156" s="52" t="s">
        <v>624</v>
      </c>
      <c r="D1156" s="52" t="s">
        <v>1497</v>
      </c>
      <c r="E1156" s="52" t="s">
        <v>1513</v>
      </c>
      <c r="F1156" s="52" t="s">
        <v>74</v>
      </c>
      <c r="G1156" s="52" t="s">
        <v>1517</v>
      </c>
      <c r="H1156" s="52" t="n">
        <v>1</v>
      </c>
    </row>
    <row r="1157" customFormat="false" ht="15" hidden="false" customHeight="true" outlineLevel="0" collapsed="false">
      <c r="A1157" s="52" t="n">
        <v>1156</v>
      </c>
      <c r="B1157" s="52" t="s">
        <v>397</v>
      </c>
      <c r="C1157" s="52" t="s">
        <v>624</v>
      </c>
      <c r="D1157" s="52" t="s">
        <v>1497</v>
      </c>
      <c r="E1157" s="52" t="s">
        <v>1513</v>
      </c>
      <c r="F1157" s="52" t="s">
        <v>74</v>
      </c>
      <c r="G1157" s="52" t="s">
        <v>1518</v>
      </c>
      <c r="H1157" s="52" t="n">
        <v>1</v>
      </c>
    </row>
    <row r="1158" customFormat="false" ht="15" hidden="false" customHeight="true" outlineLevel="0" collapsed="false">
      <c r="A1158" s="52" t="n">
        <v>1157</v>
      </c>
      <c r="B1158" s="52" t="s">
        <v>397</v>
      </c>
      <c r="C1158" s="52" t="s">
        <v>624</v>
      </c>
      <c r="D1158" s="52" t="s">
        <v>1497</v>
      </c>
      <c r="E1158" s="52" t="s">
        <v>1513</v>
      </c>
      <c r="F1158" s="52" t="s">
        <v>36</v>
      </c>
      <c r="G1158" s="52" t="s">
        <v>1519</v>
      </c>
      <c r="H1158" s="52" t="n">
        <v>1</v>
      </c>
    </row>
    <row r="1159" customFormat="false" ht="15" hidden="false" customHeight="true" outlineLevel="0" collapsed="false">
      <c r="A1159" s="52" t="n">
        <v>1158</v>
      </c>
      <c r="B1159" s="52" t="s">
        <v>397</v>
      </c>
      <c r="C1159" s="52" t="s">
        <v>624</v>
      </c>
      <c r="D1159" s="52" t="s">
        <v>1497</v>
      </c>
      <c r="E1159" s="52" t="s">
        <v>1513</v>
      </c>
      <c r="F1159" s="52" t="s">
        <v>259</v>
      </c>
      <c r="G1159" s="52" t="s">
        <v>1520</v>
      </c>
      <c r="H1159" s="52" t="n">
        <v>1</v>
      </c>
    </row>
    <row r="1160" customFormat="false" ht="15" hidden="false" customHeight="true" outlineLevel="0" collapsed="false">
      <c r="A1160" s="52" t="n">
        <v>1159</v>
      </c>
      <c r="B1160" s="52" t="s">
        <v>397</v>
      </c>
      <c r="C1160" s="52" t="s">
        <v>624</v>
      </c>
      <c r="D1160" s="52" t="s">
        <v>1497</v>
      </c>
      <c r="E1160" s="52" t="s">
        <v>1513</v>
      </c>
      <c r="F1160" s="52" t="s">
        <v>259</v>
      </c>
      <c r="G1160" s="52" t="s">
        <v>1521</v>
      </c>
      <c r="H1160" s="52" t="n">
        <v>1</v>
      </c>
    </row>
    <row r="1161" customFormat="false" ht="15" hidden="false" customHeight="true" outlineLevel="0" collapsed="false">
      <c r="A1161" s="52" t="n">
        <v>1160</v>
      </c>
      <c r="B1161" s="52" t="s">
        <v>397</v>
      </c>
      <c r="C1161" s="52" t="s">
        <v>624</v>
      </c>
      <c r="D1161" s="52" t="s">
        <v>1497</v>
      </c>
      <c r="E1161" s="52" t="s">
        <v>1513</v>
      </c>
      <c r="F1161" s="52" t="s">
        <v>259</v>
      </c>
      <c r="G1161" s="52" t="s">
        <v>1522</v>
      </c>
      <c r="H1161" s="52" t="n">
        <v>1</v>
      </c>
    </row>
    <row r="1162" customFormat="false" ht="15" hidden="false" customHeight="true" outlineLevel="0" collapsed="false">
      <c r="A1162" s="52" t="n">
        <v>1161</v>
      </c>
      <c r="B1162" s="52" t="s">
        <v>397</v>
      </c>
      <c r="C1162" s="52" t="s">
        <v>624</v>
      </c>
      <c r="D1162" s="52" t="s">
        <v>1497</v>
      </c>
      <c r="E1162" s="52" t="s">
        <v>1513</v>
      </c>
      <c r="F1162" s="52" t="s">
        <v>259</v>
      </c>
      <c r="G1162" s="52" t="s">
        <v>1523</v>
      </c>
      <c r="H1162" s="52" t="n">
        <v>1</v>
      </c>
    </row>
    <row r="1163" customFormat="false" ht="15" hidden="false" customHeight="true" outlineLevel="0" collapsed="false">
      <c r="A1163" s="52" t="n">
        <v>1162</v>
      </c>
      <c r="B1163" s="52" t="s">
        <v>397</v>
      </c>
      <c r="C1163" s="52" t="s">
        <v>624</v>
      </c>
      <c r="D1163" s="52" t="s">
        <v>1497</v>
      </c>
      <c r="E1163" s="52" t="s">
        <v>1513</v>
      </c>
      <c r="F1163" s="52" t="s">
        <v>21</v>
      </c>
      <c r="G1163" s="52" t="s">
        <v>1524</v>
      </c>
      <c r="H1163" s="52" t="n">
        <v>1</v>
      </c>
    </row>
    <row r="1164" customFormat="false" ht="15" hidden="false" customHeight="true" outlineLevel="0" collapsed="false">
      <c r="A1164" s="52" t="n">
        <v>1163</v>
      </c>
      <c r="B1164" s="52" t="s">
        <v>397</v>
      </c>
      <c r="C1164" s="52" t="s">
        <v>624</v>
      </c>
      <c r="D1164" s="52" t="s">
        <v>1497</v>
      </c>
      <c r="E1164" s="52" t="s">
        <v>1513</v>
      </c>
      <c r="F1164" s="52" t="s">
        <v>21</v>
      </c>
      <c r="G1164" s="52" t="s">
        <v>1525</v>
      </c>
      <c r="H1164" s="52" t="n">
        <v>1</v>
      </c>
    </row>
    <row r="1165" customFormat="false" ht="15" hidden="false" customHeight="true" outlineLevel="0" collapsed="false">
      <c r="A1165" s="52" t="n">
        <v>1164</v>
      </c>
      <c r="B1165" s="52" t="s">
        <v>397</v>
      </c>
      <c r="C1165" s="52" t="s">
        <v>624</v>
      </c>
      <c r="D1165" s="52" t="s">
        <v>1497</v>
      </c>
      <c r="E1165" s="52" t="s">
        <v>1513</v>
      </c>
      <c r="F1165" s="52" t="s">
        <v>123</v>
      </c>
      <c r="G1165" s="52" t="s">
        <v>1526</v>
      </c>
      <c r="H1165" s="52" t="n">
        <v>1</v>
      </c>
    </row>
    <row r="1166" customFormat="false" ht="15" hidden="false" customHeight="true" outlineLevel="0" collapsed="false">
      <c r="A1166" s="52" t="n">
        <v>1165</v>
      </c>
      <c r="B1166" s="52" t="s">
        <v>397</v>
      </c>
      <c r="C1166" s="52" t="s">
        <v>624</v>
      </c>
      <c r="D1166" s="52" t="s">
        <v>1497</v>
      </c>
      <c r="E1166" s="52" t="s">
        <v>1513</v>
      </c>
      <c r="F1166" s="52" t="s">
        <v>13</v>
      </c>
      <c r="G1166" s="52" t="s">
        <v>1527</v>
      </c>
      <c r="H1166" s="52" t="n">
        <v>1</v>
      </c>
    </row>
    <row r="1167" customFormat="false" ht="15" hidden="false" customHeight="true" outlineLevel="0" collapsed="false">
      <c r="A1167" s="52" t="n">
        <v>1166</v>
      </c>
      <c r="B1167" s="52" t="s">
        <v>397</v>
      </c>
      <c r="C1167" s="52" t="s">
        <v>624</v>
      </c>
      <c r="D1167" s="52" t="s">
        <v>1497</v>
      </c>
      <c r="E1167" s="52" t="s">
        <v>1513</v>
      </c>
      <c r="F1167" s="52" t="s">
        <v>13</v>
      </c>
      <c r="G1167" s="52" t="s">
        <v>1528</v>
      </c>
      <c r="H1167" s="52" t="n">
        <v>1</v>
      </c>
    </row>
    <row r="1168" customFormat="false" ht="15" hidden="false" customHeight="true" outlineLevel="0" collapsed="false">
      <c r="A1168" s="52" t="n">
        <v>1167</v>
      </c>
      <c r="B1168" s="52" t="s">
        <v>397</v>
      </c>
      <c r="C1168" s="52" t="s">
        <v>624</v>
      </c>
      <c r="D1168" s="52" t="s">
        <v>1497</v>
      </c>
      <c r="E1168" s="52" t="s">
        <v>1513</v>
      </c>
      <c r="F1168" s="52" t="s">
        <v>101</v>
      </c>
      <c r="G1168" s="52" t="s">
        <v>1529</v>
      </c>
      <c r="H1168" s="52" t="n">
        <v>1</v>
      </c>
    </row>
    <row r="1169" customFormat="false" ht="15" hidden="false" customHeight="true" outlineLevel="0" collapsed="false">
      <c r="A1169" s="52" t="n">
        <v>1168</v>
      </c>
      <c r="B1169" s="52" t="s">
        <v>397</v>
      </c>
      <c r="C1169" s="52" t="s">
        <v>624</v>
      </c>
      <c r="D1169" s="52" t="s">
        <v>1497</v>
      </c>
      <c r="E1169" s="52" t="s">
        <v>1513</v>
      </c>
      <c r="F1169" s="52" t="s">
        <v>86</v>
      </c>
      <c r="G1169" s="52" t="s">
        <v>442</v>
      </c>
      <c r="H1169" s="52" t="n">
        <v>0</v>
      </c>
    </row>
    <row r="1170" customFormat="false" ht="15" hidden="false" customHeight="true" outlineLevel="0" collapsed="false">
      <c r="A1170" s="52" t="n">
        <v>1169</v>
      </c>
      <c r="B1170" s="52" t="s">
        <v>397</v>
      </c>
      <c r="C1170" s="52" t="s">
        <v>624</v>
      </c>
      <c r="D1170" s="52" t="s">
        <v>1497</v>
      </c>
      <c r="E1170" s="52" t="s">
        <v>1530</v>
      </c>
      <c r="F1170" s="52" t="s">
        <v>331</v>
      </c>
      <c r="G1170" s="52" t="s">
        <v>1531</v>
      </c>
      <c r="H1170" s="52" t="n">
        <v>1</v>
      </c>
    </row>
    <row r="1171" customFormat="false" ht="15" hidden="false" customHeight="true" outlineLevel="0" collapsed="false">
      <c r="A1171" s="52" t="n">
        <v>1170</v>
      </c>
      <c r="B1171" s="52" t="s">
        <v>397</v>
      </c>
      <c r="C1171" s="52" t="s">
        <v>624</v>
      </c>
      <c r="D1171" s="52" t="s">
        <v>1497</v>
      </c>
      <c r="E1171" s="52" t="s">
        <v>1530</v>
      </c>
      <c r="F1171" s="52" t="s">
        <v>74</v>
      </c>
      <c r="G1171" s="52" t="s">
        <v>1532</v>
      </c>
      <c r="H1171" s="52" t="n">
        <v>1</v>
      </c>
    </row>
    <row r="1172" customFormat="false" ht="15" hidden="false" customHeight="true" outlineLevel="0" collapsed="false">
      <c r="A1172" s="52" t="n">
        <v>1171</v>
      </c>
      <c r="B1172" s="52" t="s">
        <v>397</v>
      </c>
      <c r="C1172" s="52" t="s">
        <v>624</v>
      </c>
      <c r="D1172" s="52" t="s">
        <v>1497</v>
      </c>
      <c r="E1172" s="52" t="s">
        <v>1530</v>
      </c>
      <c r="F1172" s="52" t="s">
        <v>36</v>
      </c>
      <c r="G1172" s="52" t="s">
        <v>1533</v>
      </c>
      <c r="H1172" s="52" t="n">
        <v>1</v>
      </c>
    </row>
    <row r="1173" customFormat="false" ht="15" hidden="false" customHeight="true" outlineLevel="0" collapsed="false">
      <c r="A1173" s="52" t="n">
        <v>1172</v>
      </c>
      <c r="B1173" s="52" t="s">
        <v>397</v>
      </c>
      <c r="C1173" s="52" t="s">
        <v>624</v>
      </c>
      <c r="D1173" s="52" t="s">
        <v>1497</v>
      </c>
      <c r="E1173" s="52" t="s">
        <v>1530</v>
      </c>
      <c r="F1173" s="52" t="s">
        <v>259</v>
      </c>
      <c r="G1173" s="52" t="s">
        <v>1534</v>
      </c>
      <c r="H1173" s="52" t="n">
        <v>1</v>
      </c>
    </row>
    <row r="1174" customFormat="false" ht="15" hidden="false" customHeight="true" outlineLevel="0" collapsed="false">
      <c r="A1174" s="52" t="n">
        <v>1173</v>
      </c>
      <c r="B1174" s="52" t="s">
        <v>397</v>
      </c>
      <c r="C1174" s="52" t="s">
        <v>624</v>
      </c>
      <c r="D1174" s="52" t="s">
        <v>1497</v>
      </c>
      <c r="E1174" s="52" t="s">
        <v>1530</v>
      </c>
      <c r="F1174" s="52" t="s">
        <v>259</v>
      </c>
      <c r="G1174" s="52" t="s">
        <v>1535</v>
      </c>
      <c r="H1174" s="52" t="n">
        <v>1</v>
      </c>
    </row>
    <row r="1175" customFormat="false" ht="15" hidden="false" customHeight="true" outlineLevel="0" collapsed="false">
      <c r="A1175" s="52" t="n">
        <v>1174</v>
      </c>
      <c r="B1175" s="52" t="s">
        <v>397</v>
      </c>
      <c r="C1175" s="52" t="s">
        <v>624</v>
      </c>
      <c r="D1175" s="52" t="s">
        <v>1497</v>
      </c>
      <c r="E1175" s="52" t="s">
        <v>1530</v>
      </c>
      <c r="F1175" s="52" t="s">
        <v>52</v>
      </c>
      <c r="G1175" s="52" t="s">
        <v>1536</v>
      </c>
      <c r="H1175" s="52" t="n">
        <v>1</v>
      </c>
    </row>
    <row r="1176" customFormat="false" ht="15" hidden="false" customHeight="true" outlineLevel="0" collapsed="false">
      <c r="A1176" s="52" t="n">
        <v>1175</v>
      </c>
      <c r="B1176" s="52" t="s">
        <v>397</v>
      </c>
      <c r="C1176" s="52" t="s">
        <v>624</v>
      </c>
      <c r="D1176" s="52" t="s">
        <v>1497</v>
      </c>
      <c r="E1176" s="52" t="s">
        <v>1530</v>
      </c>
      <c r="F1176" s="52" t="s">
        <v>21</v>
      </c>
      <c r="G1176" s="52" t="s">
        <v>1537</v>
      </c>
      <c r="H1176" s="52" t="n">
        <v>1</v>
      </c>
    </row>
    <row r="1177" customFormat="false" ht="15" hidden="false" customHeight="true" outlineLevel="0" collapsed="false">
      <c r="A1177" s="52" t="n">
        <v>1176</v>
      </c>
      <c r="B1177" s="52" t="s">
        <v>397</v>
      </c>
      <c r="C1177" s="52" t="s">
        <v>624</v>
      </c>
      <c r="D1177" s="52" t="s">
        <v>1497</v>
      </c>
      <c r="E1177" s="52" t="s">
        <v>1530</v>
      </c>
      <c r="F1177" s="52" t="s">
        <v>13</v>
      </c>
      <c r="G1177" s="52" t="s">
        <v>1538</v>
      </c>
      <c r="H1177" s="52" t="n">
        <v>1</v>
      </c>
    </row>
    <row r="1178" customFormat="false" ht="15" hidden="false" customHeight="true" outlineLevel="0" collapsed="false">
      <c r="A1178" s="52" t="n">
        <v>1177</v>
      </c>
      <c r="B1178" s="52" t="s">
        <v>397</v>
      </c>
      <c r="C1178" s="52" t="s">
        <v>624</v>
      </c>
      <c r="D1178" s="52" t="s">
        <v>1497</v>
      </c>
      <c r="E1178" s="52" t="s">
        <v>1530</v>
      </c>
      <c r="F1178" s="52" t="s">
        <v>101</v>
      </c>
      <c r="G1178" s="52" t="s">
        <v>1539</v>
      </c>
      <c r="H1178" s="52" t="n">
        <v>1</v>
      </c>
    </row>
    <row r="1179" customFormat="false" ht="15" hidden="false" customHeight="true" outlineLevel="0" collapsed="false">
      <c r="A1179" s="52" t="n">
        <v>1178</v>
      </c>
      <c r="B1179" s="52" t="s">
        <v>397</v>
      </c>
      <c r="C1179" s="52" t="s">
        <v>624</v>
      </c>
      <c r="D1179" s="52" t="s">
        <v>1497</v>
      </c>
      <c r="E1179" s="52" t="s">
        <v>1530</v>
      </c>
      <c r="F1179" s="52" t="s">
        <v>86</v>
      </c>
      <c r="G1179" s="52" t="s">
        <v>1540</v>
      </c>
      <c r="H1179" s="52" t="n">
        <v>1</v>
      </c>
    </row>
    <row r="1180" customFormat="false" ht="15" hidden="false" customHeight="true" outlineLevel="0" collapsed="false">
      <c r="A1180" s="52" t="n">
        <v>1179</v>
      </c>
      <c r="B1180" s="52" t="s">
        <v>397</v>
      </c>
      <c r="C1180" s="52" t="s">
        <v>624</v>
      </c>
      <c r="D1180" s="52" t="s">
        <v>1497</v>
      </c>
      <c r="E1180" s="52" t="s">
        <v>1541</v>
      </c>
      <c r="F1180" s="52" t="s">
        <v>331</v>
      </c>
      <c r="G1180" s="52" t="s">
        <v>1542</v>
      </c>
      <c r="H1180" s="52" t="n">
        <v>1</v>
      </c>
    </row>
    <row r="1181" customFormat="false" ht="15" hidden="false" customHeight="true" outlineLevel="0" collapsed="false">
      <c r="A1181" s="52" t="n">
        <v>1180</v>
      </c>
      <c r="B1181" s="52" t="s">
        <v>397</v>
      </c>
      <c r="C1181" s="52" t="s">
        <v>624</v>
      </c>
      <c r="D1181" s="52" t="s">
        <v>1497</v>
      </c>
      <c r="E1181" s="52" t="s">
        <v>1541</v>
      </c>
      <c r="F1181" s="52" t="s">
        <v>74</v>
      </c>
      <c r="G1181" s="52" t="s">
        <v>1543</v>
      </c>
      <c r="H1181" s="52" t="n">
        <v>1</v>
      </c>
    </row>
    <row r="1182" customFormat="false" ht="15" hidden="false" customHeight="true" outlineLevel="0" collapsed="false">
      <c r="A1182" s="52" t="n">
        <v>1181</v>
      </c>
      <c r="B1182" s="52" t="s">
        <v>397</v>
      </c>
      <c r="C1182" s="52" t="s">
        <v>624</v>
      </c>
      <c r="D1182" s="52" t="s">
        <v>1497</v>
      </c>
      <c r="E1182" s="52" t="s">
        <v>1541</v>
      </c>
      <c r="F1182" s="52" t="s">
        <v>74</v>
      </c>
      <c r="G1182" s="52" t="s">
        <v>1544</v>
      </c>
      <c r="H1182" s="52" t="n">
        <v>1</v>
      </c>
    </row>
    <row r="1183" customFormat="false" ht="15" hidden="false" customHeight="true" outlineLevel="0" collapsed="false">
      <c r="A1183" s="52" t="n">
        <v>1182</v>
      </c>
      <c r="B1183" s="52" t="s">
        <v>397</v>
      </c>
      <c r="C1183" s="52" t="s">
        <v>624</v>
      </c>
      <c r="D1183" s="52" t="s">
        <v>1497</v>
      </c>
      <c r="E1183" s="52" t="s">
        <v>1541</v>
      </c>
      <c r="F1183" s="52" t="s">
        <v>259</v>
      </c>
      <c r="G1183" s="52" t="s">
        <v>1545</v>
      </c>
      <c r="H1183" s="52" t="n">
        <v>1</v>
      </c>
    </row>
    <row r="1184" customFormat="false" ht="15" hidden="false" customHeight="true" outlineLevel="0" collapsed="false">
      <c r="A1184" s="52" t="n">
        <v>1183</v>
      </c>
      <c r="B1184" s="52" t="s">
        <v>397</v>
      </c>
      <c r="C1184" s="52" t="s">
        <v>624</v>
      </c>
      <c r="D1184" s="52" t="s">
        <v>1497</v>
      </c>
      <c r="E1184" s="52" t="s">
        <v>1541</v>
      </c>
      <c r="F1184" s="52" t="s">
        <v>21</v>
      </c>
      <c r="G1184" s="52" t="s">
        <v>1546</v>
      </c>
      <c r="H1184" s="52" t="n">
        <v>1</v>
      </c>
    </row>
    <row r="1185" customFormat="false" ht="15" hidden="false" customHeight="true" outlineLevel="0" collapsed="false">
      <c r="A1185" s="52" t="n">
        <v>1184</v>
      </c>
      <c r="B1185" s="52" t="s">
        <v>397</v>
      </c>
      <c r="C1185" s="52" t="s">
        <v>624</v>
      </c>
      <c r="D1185" s="52" t="s">
        <v>1497</v>
      </c>
      <c r="E1185" s="52" t="s">
        <v>1541</v>
      </c>
      <c r="F1185" s="52" t="s">
        <v>21</v>
      </c>
      <c r="G1185" s="52" t="s">
        <v>1547</v>
      </c>
      <c r="H1185" s="52" t="n">
        <v>1</v>
      </c>
    </row>
    <row r="1186" customFormat="false" ht="15" hidden="false" customHeight="true" outlineLevel="0" collapsed="false">
      <c r="A1186" s="52" t="n">
        <v>1185</v>
      </c>
      <c r="B1186" s="52" t="s">
        <v>397</v>
      </c>
      <c r="C1186" s="52" t="s">
        <v>624</v>
      </c>
      <c r="D1186" s="52" t="s">
        <v>1497</v>
      </c>
      <c r="E1186" s="52" t="s">
        <v>1541</v>
      </c>
      <c r="F1186" s="52" t="s">
        <v>13</v>
      </c>
      <c r="G1186" s="52" t="s">
        <v>1548</v>
      </c>
      <c r="H1186" s="52" t="n">
        <v>1</v>
      </c>
    </row>
    <row r="1187" customFormat="false" ht="15" hidden="false" customHeight="true" outlineLevel="0" collapsed="false">
      <c r="A1187" s="52" t="n">
        <v>1186</v>
      </c>
      <c r="B1187" s="52" t="s">
        <v>397</v>
      </c>
      <c r="C1187" s="52" t="s">
        <v>624</v>
      </c>
      <c r="D1187" s="52" t="s">
        <v>1497</v>
      </c>
      <c r="E1187" s="52" t="s">
        <v>1541</v>
      </c>
      <c r="F1187" s="52" t="s">
        <v>101</v>
      </c>
      <c r="G1187" s="52" t="s">
        <v>442</v>
      </c>
      <c r="H1187" s="52" t="n">
        <v>0</v>
      </c>
    </row>
    <row r="1188" customFormat="false" ht="15" hidden="false" customHeight="true" outlineLevel="0" collapsed="false">
      <c r="A1188" s="52" t="n">
        <v>1187</v>
      </c>
      <c r="B1188" s="52" t="s">
        <v>397</v>
      </c>
      <c r="C1188" s="52" t="s">
        <v>624</v>
      </c>
      <c r="D1188" s="52" t="s">
        <v>1497</v>
      </c>
      <c r="E1188" s="52" t="s">
        <v>1541</v>
      </c>
      <c r="F1188" s="52" t="s">
        <v>86</v>
      </c>
      <c r="G1188" s="52" t="s">
        <v>442</v>
      </c>
      <c r="H1188" s="52" t="n">
        <v>0</v>
      </c>
    </row>
    <row r="1189" customFormat="false" ht="15" hidden="false" customHeight="true" outlineLevel="0" collapsed="false">
      <c r="A1189" s="52" t="n">
        <v>1188</v>
      </c>
      <c r="B1189" s="52" t="s">
        <v>397</v>
      </c>
      <c r="C1189" s="52" t="s">
        <v>624</v>
      </c>
      <c r="D1189" s="52" t="s">
        <v>1497</v>
      </c>
      <c r="E1189" s="52" t="s">
        <v>1549</v>
      </c>
      <c r="F1189" s="52" t="s">
        <v>331</v>
      </c>
      <c r="G1189" s="52" t="s">
        <v>1550</v>
      </c>
      <c r="H1189" s="52" t="n">
        <v>1</v>
      </c>
    </row>
    <row r="1190" customFormat="false" ht="15" hidden="false" customHeight="true" outlineLevel="0" collapsed="false">
      <c r="A1190" s="52" t="n">
        <v>1189</v>
      </c>
      <c r="B1190" s="52" t="s">
        <v>397</v>
      </c>
      <c r="C1190" s="52" t="s">
        <v>624</v>
      </c>
      <c r="D1190" s="52" t="s">
        <v>1497</v>
      </c>
      <c r="E1190" s="52" t="s">
        <v>1549</v>
      </c>
      <c r="F1190" s="52" t="s">
        <v>74</v>
      </c>
      <c r="G1190" s="52" t="s">
        <v>1551</v>
      </c>
      <c r="H1190" s="52" t="n">
        <v>1</v>
      </c>
    </row>
    <row r="1191" customFormat="false" ht="15" hidden="false" customHeight="true" outlineLevel="0" collapsed="false">
      <c r="A1191" s="52" t="n">
        <v>1190</v>
      </c>
      <c r="B1191" s="52" t="s">
        <v>397</v>
      </c>
      <c r="C1191" s="52" t="s">
        <v>624</v>
      </c>
      <c r="D1191" s="52" t="s">
        <v>1497</v>
      </c>
      <c r="E1191" s="52" t="s">
        <v>1549</v>
      </c>
      <c r="F1191" s="52" t="s">
        <v>259</v>
      </c>
      <c r="G1191" s="52" t="s">
        <v>1552</v>
      </c>
      <c r="H1191" s="52" t="n">
        <v>1</v>
      </c>
    </row>
    <row r="1192" customFormat="false" ht="15" hidden="false" customHeight="true" outlineLevel="0" collapsed="false">
      <c r="A1192" s="52" t="n">
        <v>1191</v>
      </c>
      <c r="B1192" s="52" t="s">
        <v>397</v>
      </c>
      <c r="C1192" s="52" t="s">
        <v>624</v>
      </c>
      <c r="D1192" s="52" t="s">
        <v>1497</v>
      </c>
      <c r="E1192" s="52" t="s">
        <v>1549</v>
      </c>
      <c r="F1192" s="52" t="s">
        <v>21</v>
      </c>
      <c r="G1192" s="52" t="s">
        <v>1553</v>
      </c>
      <c r="H1192" s="52" t="n">
        <v>1</v>
      </c>
    </row>
    <row r="1193" customFormat="false" ht="15" hidden="false" customHeight="true" outlineLevel="0" collapsed="false">
      <c r="A1193" s="52" t="n">
        <v>1192</v>
      </c>
      <c r="B1193" s="52" t="s">
        <v>397</v>
      </c>
      <c r="C1193" s="52" t="s">
        <v>624</v>
      </c>
      <c r="D1193" s="52" t="s">
        <v>1497</v>
      </c>
      <c r="E1193" s="52" t="s">
        <v>1549</v>
      </c>
      <c r="F1193" s="52" t="s">
        <v>13</v>
      </c>
      <c r="G1193" s="52" t="s">
        <v>1554</v>
      </c>
      <c r="H1193" s="52" t="n">
        <v>1</v>
      </c>
    </row>
    <row r="1194" customFormat="false" ht="15" hidden="false" customHeight="true" outlineLevel="0" collapsed="false">
      <c r="A1194" s="52" t="n">
        <v>1193</v>
      </c>
      <c r="B1194" s="52" t="s">
        <v>397</v>
      </c>
      <c r="C1194" s="52" t="s">
        <v>624</v>
      </c>
      <c r="D1194" s="52" t="s">
        <v>1497</v>
      </c>
      <c r="E1194" s="52" t="s">
        <v>1549</v>
      </c>
      <c r="F1194" s="52" t="s">
        <v>101</v>
      </c>
      <c r="G1194" s="52" t="s">
        <v>1555</v>
      </c>
      <c r="H1194" s="52" t="n">
        <v>1</v>
      </c>
    </row>
    <row r="1195" customFormat="false" ht="15" hidden="false" customHeight="true" outlineLevel="0" collapsed="false">
      <c r="A1195" s="52" t="n">
        <v>1194</v>
      </c>
      <c r="B1195" s="52" t="s">
        <v>397</v>
      </c>
      <c r="C1195" s="52" t="s">
        <v>624</v>
      </c>
      <c r="D1195" s="52" t="s">
        <v>1497</v>
      </c>
      <c r="E1195" s="52" t="s">
        <v>1556</v>
      </c>
      <c r="F1195" s="52" t="s">
        <v>331</v>
      </c>
      <c r="G1195" s="52" t="s">
        <v>1557</v>
      </c>
      <c r="H1195" s="52" t="n">
        <v>1</v>
      </c>
    </row>
    <row r="1196" customFormat="false" ht="15" hidden="false" customHeight="true" outlineLevel="0" collapsed="false">
      <c r="A1196" s="52" t="n">
        <v>1195</v>
      </c>
      <c r="B1196" s="52" t="s">
        <v>397</v>
      </c>
      <c r="C1196" s="52" t="s">
        <v>624</v>
      </c>
      <c r="D1196" s="52" t="s">
        <v>1497</v>
      </c>
      <c r="E1196" s="52" t="s">
        <v>1556</v>
      </c>
      <c r="F1196" s="52" t="s">
        <v>74</v>
      </c>
      <c r="G1196" s="52" t="s">
        <v>1558</v>
      </c>
      <c r="H1196" s="52" t="n">
        <v>1</v>
      </c>
    </row>
    <row r="1197" customFormat="false" ht="15" hidden="false" customHeight="true" outlineLevel="0" collapsed="false">
      <c r="A1197" s="52" t="n">
        <v>1196</v>
      </c>
      <c r="B1197" s="52" t="s">
        <v>397</v>
      </c>
      <c r="C1197" s="52" t="s">
        <v>624</v>
      </c>
      <c r="D1197" s="52" t="s">
        <v>1497</v>
      </c>
      <c r="E1197" s="52" t="s">
        <v>1556</v>
      </c>
      <c r="F1197" s="52" t="s">
        <v>259</v>
      </c>
      <c r="G1197" s="52" t="s">
        <v>1559</v>
      </c>
      <c r="H1197" s="52" t="n">
        <v>1</v>
      </c>
    </row>
    <row r="1198" customFormat="false" ht="15" hidden="false" customHeight="true" outlineLevel="0" collapsed="false">
      <c r="A1198" s="52" t="n">
        <v>1197</v>
      </c>
      <c r="B1198" s="52" t="s">
        <v>397</v>
      </c>
      <c r="C1198" s="52" t="s">
        <v>624</v>
      </c>
      <c r="D1198" s="52" t="s">
        <v>1497</v>
      </c>
      <c r="E1198" s="52" t="s">
        <v>1556</v>
      </c>
      <c r="F1198" s="52" t="s">
        <v>259</v>
      </c>
      <c r="G1198" s="52" t="s">
        <v>1560</v>
      </c>
      <c r="H1198" s="52" t="n">
        <v>1</v>
      </c>
    </row>
    <row r="1199" customFormat="false" ht="15" hidden="false" customHeight="true" outlineLevel="0" collapsed="false">
      <c r="A1199" s="52" t="n">
        <v>1198</v>
      </c>
      <c r="B1199" s="52" t="s">
        <v>397</v>
      </c>
      <c r="C1199" s="52" t="s">
        <v>624</v>
      </c>
      <c r="D1199" s="52" t="s">
        <v>1497</v>
      </c>
      <c r="E1199" s="52" t="s">
        <v>1556</v>
      </c>
      <c r="F1199" s="52" t="s">
        <v>21</v>
      </c>
      <c r="G1199" s="52" t="s">
        <v>1561</v>
      </c>
      <c r="H1199" s="52" t="n">
        <v>1</v>
      </c>
    </row>
    <row r="1200" customFormat="false" ht="15" hidden="false" customHeight="true" outlineLevel="0" collapsed="false">
      <c r="A1200" s="52" t="n">
        <v>1199</v>
      </c>
      <c r="B1200" s="52" t="s">
        <v>397</v>
      </c>
      <c r="C1200" s="52" t="s">
        <v>624</v>
      </c>
      <c r="D1200" s="52" t="s">
        <v>1497</v>
      </c>
      <c r="E1200" s="52" t="s">
        <v>1556</v>
      </c>
      <c r="F1200" s="52" t="s">
        <v>13</v>
      </c>
      <c r="G1200" s="52" t="s">
        <v>1562</v>
      </c>
      <c r="H1200" s="52" t="n">
        <v>1</v>
      </c>
    </row>
    <row r="1201" customFormat="false" ht="15" hidden="false" customHeight="true" outlineLevel="0" collapsed="false">
      <c r="A1201" s="52" t="n">
        <v>1200</v>
      </c>
      <c r="B1201" s="52" t="s">
        <v>397</v>
      </c>
      <c r="C1201" s="52" t="s">
        <v>624</v>
      </c>
      <c r="D1201" s="52" t="s">
        <v>1497</v>
      </c>
      <c r="E1201" s="52" t="s">
        <v>1556</v>
      </c>
      <c r="F1201" s="52" t="s">
        <v>13</v>
      </c>
      <c r="G1201" s="52" t="s">
        <v>1563</v>
      </c>
      <c r="H1201" s="52" t="n">
        <v>1</v>
      </c>
    </row>
    <row r="1202" customFormat="false" ht="15" hidden="false" customHeight="true" outlineLevel="0" collapsed="false">
      <c r="A1202" s="52" t="n">
        <v>1201</v>
      </c>
      <c r="B1202" s="52" t="s">
        <v>397</v>
      </c>
      <c r="C1202" s="52" t="s">
        <v>624</v>
      </c>
      <c r="D1202" s="52" t="s">
        <v>1497</v>
      </c>
      <c r="E1202" s="52" t="s">
        <v>1556</v>
      </c>
      <c r="F1202" s="52" t="s">
        <v>101</v>
      </c>
      <c r="G1202" s="52" t="s">
        <v>1564</v>
      </c>
      <c r="H1202" s="52" t="n">
        <v>1</v>
      </c>
    </row>
    <row r="1203" customFormat="false" ht="15" hidden="false" customHeight="true" outlineLevel="0" collapsed="false">
      <c r="A1203" s="52" t="n">
        <v>1202</v>
      </c>
      <c r="B1203" s="52" t="s">
        <v>397</v>
      </c>
      <c r="C1203" s="52" t="s">
        <v>624</v>
      </c>
      <c r="D1203" s="52" t="s">
        <v>1497</v>
      </c>
      <c r="E1203" s="52" t="s">
        <v>1556</v>
      </c>
      <c r="F1203" s="52" t="s">
        <v>101</v>
      </c>
      <c r="G1203" s="52" t="s">
        <v>1565</v>
      </c>
      <c r="H1203" s="52" t="n">
        <v>1</v>
      </c>
    </row>
    <row r="1204" customFormat="false" ht="15" hidden="false" customHeight="true" outlineLevel="0" collapsed="false">
      <c r="A1204" s="52" t="n">
        <v>1203</v>
      </c>
      <c r="B1204" s="52" t="s">
        <v>397</v>
      </c>
      <c r="C1204" s="52" t="s">
        <v>624</v>
      </c>
      <c r="D1204" s="52" t="s">
        <v>1497</v>
      </c>
      <c r="E1204" s="52" t="s">
        <v>1566</v>
      </c>
      <c r="F1204" s="52" t="s">
        <v>331</v>
      </c>
      <c r="G1204" s="52" t="s">
        <v>1567</v>
      </c>
      <c r="H1204" s="52" t="n">
        <v>1</v>
      </c>
    </row>
    <row r="1205" customFormat="false" ht="15" hidden="false" customHeight="true" outlineLevel="0" collapsed="false">
      <c r="A1205" s="52" t="n">
        <v>1204</v>
      </c>
      <c r="B1205" s="52" t="s">
        <v>397</v>
      </c>
      <c r="C1205" s="52" t="s">
        <v>624</v>
      </c>
      <c r="D1205" s="52" t="s">
        <v>1497</v>
      </c>
      <c r="E1205" s="52" t="s">
        <v>1566</v>
      </c>
      <c r="F1205" s="52" t="s">
        <v>74</v>
      </c>
      <c r="G1205" s="52" t="s">
        <v>1568</v>
      </c>
      <c r="H1205" s="52" t="n">
        <v>1</v>
      </c>
    </row>
    <row r="1206" customFormat="false" ht="15" hidden="false" customHeight="true" outlineLevel="0" collapsed="false">
      <c r="A1206" s="52" t="n">
        <v>1205</v>
      </c>
      <c r="B1206" s="52" t="s">
        <v>397</v>
      </c>
      <c r="C1206" s="52" t="s">
        <v>624</v>
      </c>
      <c r="D1206" s="52" t="s">
        <v>1497</v>
      </c>
      <c r="E1206" s="52" t="s">
        <v>1566</v>
      </c>
      <c r="F1206" s="52" t="s">
        <v>74</v>
      </c>
      <c r="G1206" s="52" t="s">
        <v>1569</v>
      </c>
      <c r="H1206" s="52" t="n">
        <v>1</v>
      </c>
    </row>
    <row r="1207" customFormat="false" ht="15" hidden="false" customHeight="true" outlineLevel="0" collapsed="false">
      <c r="A1207" s="52" t="n">
        <v>1206</v>
      </c>
      <c r="B1207" s="52" t="s">
        <v>397</v>
      </c>
      <c r="C1207" s="52" t="s">
        <v>624</v>
      </c>
      <c r="D1207" s="52" t="s">
        <v>1497</v>
      </c>
      <c r="E1207" s="52" t="s">
        <v>1566</v>
      </c>
      <c r="F1207" s="52" t="s">
        <v>259</v>
      </c>
      <c r="G1207" s="52" t="s">
        <v>1570</v>
      </c>
      <c r="H1207" s="52" t="n">
        <v>1</v>
      </c>
    </row>
    <row r="1208" customFormat="false" ht="15" hidden="false" customHeight="true" outlineLevel="0" collapsed="false">
      <c r="A1208" s="52" t="n">
        <v>1207</v>
      </c>
      <c r="B1208" s="52" t="s">
        <v>397</v>
      </c>
      <c r="C1208" s="52" t="s">
        <v>624</v>
      </c>
      <c r="D1208" s="52" t="s">
        <v>1497</v>
      </c>
      <c r="E1208" s="52" t="s">
        <v>1566</v>
      </c>
      <c r="F1208" s="52" t="s">
        <v>21</v>
      </c>
      <c r="G1208" s="52" t="s">
        <v>1571</v>
      </c>
      <c r="H1208" s="52" t="n">
        <v>1</v>
      </c>
    </row>
    <row r="1209" customFormat="false" ht="15" hidden="false" customHeight="true" outlineLevel="0" collapsed="false">
      <c r="A1209" s="52" t="n">
        <v>1208</v>
      </c>
      <c r="B1209" s="52" t="s">
        <v>397</v>
      </c>
      <c r="C1209" s="52" t="s">
        <v>624</v>
      </c>
      <c r="D1209" s="52" t="s">
        <v>1497</v>
      </c>
      <c r="E1209" s="52" t="s">
        <v>1566</v>
      </c>
      <c r="F1209" s="52" t="s">
        <v>13</v>
      </c>
      <c r="G1209" s="52" t="s">
        <v>1572</v>
      </c>
      <c r="H1209" s="52" t="n">
        <v>1</v>
      </c>
    </row>
    <row r="1210" customFormat="false" ht="15" hidden="false" customHeight="true" outlineLevel="0" collapsed="false">
      <c r="A1210" s="52" t="n">
        <v>1209</v>
      </c>
      <c r="B1210" s="52" t="s">
        <v>397</v>
      </c>
      <c r="C1210" s="52" t="s">
        <v>624</v>
      </c>
      <c r="D1210" s="52" t="s">
        <v>1497</v>
      </c>
      <c r="E1210" s="52" t="s">
        <v>1566</v>
      </c>
      <c r="F1210" s="52" t="s">
        <v>13</v>
      </c>
      <c r="G1210" s="52" t="s">
        <v>1573</v>
      </c>
      <c r="H1210" s="52" t="n">
        <v>1</v>
      </c>
    </row>
    <row r="1211" customFormat="false" ht="15" hidden="false" customHeight="true" outlineLevel="0" collapsed="false">
      <c r="A1211" s="52" t="n">
        <v>1210</v>
      </c>
      <c r="B1211" s="52" t="s">
        <v>397</v>
      </c>
      <c r="C1211" s="52" t="s">
        <v>624</v>
      </c>
      <c r="D1211" s="52" t="s">
        <v>1497</v>
      </c>
      <c r="E1211" s="52" t="s">
        <v>1566</v>
      </c>
      <c r="F1211" s="52" t="s">
        <v>101</v>
      </c>
      <c r="G1211" s="52" t="s">
        <v>1574</v>
      </c>
      <c r="H1211" s="52" t="n">
        <v>1</v>
      </c>
    </row>
    <row r="1212" customFormat="false" ht="15" hidden="false" customHeight="true" outlineLevel="0" collapsed="false">
      <c r="A1212" s="52" t="n">
        <v>1211</v>
      </c>
      <c r="B1212" s="52" t="s">
        <v>397</v>
      </c>
      <c r="C1212" s="52" t="s">
        <v>624</v>
      </c>
      <c r="D1212" s="52" t="s">
        <v>1497</v>
      </c>
      <c r="E1212" s="52" t="s">
        <v>1575</v>
      </c>
      <c r="F1212" s="52" t="s">
        <v>331</v>
      </c>
      <c r="G1212" s="52" t="s">
        <v>1576</v>
      </c>
      <c r="H1212" s="52" t="n">
        <v>1</v>
      </c>
    </row>
    <row r="1213" customFormat="false" ht="15" hidden="false" customHeight="true" outlineLevel="0" collapsed="false">
      <c r="A1213" s="52" t="n">
        <v>1212</v>
      </c>
      <c r="B1213" s="52" t="s">
        <v>397</v>
      </c>
      <c r="C1213" s="52" t="s">
        <v>624</v>
      </c>
      <c r="D1213" s="52" t="s">
        <v>1497</v>
      </c>
      <c r="E1213" s="52" t="s">
        <v>1575</v>
      </c>
      <c r="F1213" s="52" t="s">
        <v>74</v>
      </c>
      <c r="G1213" s="52" t="s">
        <v>1577</v>
      </c>
      <c r="H1213" s="52" t="n">
        <v>1</v>
      </c>
    </row>
    <row r="1214" customFormat="false" ht="15" hidden="false" customHeight="true" outlineLevel="0" collapsed="false">
      <c r="A1214" s="52" t="n">
        <v>1213</v>
      </c>
      <c r="B1214" s="52" t="s">
        <v>397</v>
      </c>
      <c r="C1214" s="52" t="s">
        <v>624</v>
      </c>
      <c r="D1214" s="52" t="s">
        <v>1497</v>
      </c>
      <c r="E1214" s="52" t="s">
        <v>1575</v>
      </c>
      <c r="F1214" s="52" t="s">
        <v>74</v>
      </c>
      <c r="G1214" s="52" t="s">
        <v>1578</v>
      </c>
      <c r="H1214" s="52" t="n">
        <v>1</v>
      </c>
    </row>
    <row r="1215" customFormat="false" ht="15" hidden="false" customHeight="true" outlineLevel="0" collapsed="false">
      <c r="A1215" s="52" t="n">
        <v>1214</v>
      </c>
      <c r="B1215" s="52" t="s">
        <v>397</v>
      </c>
      <c r="C1215" s="52" t="s">
        <v>624</v>
      </c>
      <c r="D1215" s="52" t="s">
        <v>1497</v>
      </c>
      <c r="E1215" s="52" t="s">
        <v>1575</v>
      </c>
      <c r="F1215" s="52" t="s">
        <v>259</v>
      </c>
      <c r="G1215" s="52" t="s">
        <v>1579</v>
      </c>
      <c r="H1215" s="52" t="n">
        <v>1</v>
      </c>
    </row>
    <row r="1216" customFormat="false" ht="15" hidden="false" customHeight="true" outlineLevel="0" collapsed="false">
      <c r="A1216" s="52" t="n">
        <v>1215</v>
      </c>
      <c r="B1216" s="52" t="s">
        <v>397</v>
      </c>
      <c r="C1216" s="52" t="s">
        <v>624</v>
      </c>
      <c r="D1216" s="52" t="s">
        <v>1497</v>
      </c>
      <c r="E1216" s="52" t="s">
        <v>1575</v>
      </c>
      <c r="F1216" s="52" t="s">
        <v>259</v>
      </c>
      <c r="G1216" s="52" t="s">
        <v>1580</v>
      </c>
      <c r="H1216" s="52" t="n">
        <v>1</v>
      </c>
    </row>
    <row r="1217" customFormat="false" ht="15" hidden="false" customHeight="true" outlineLevel="0" collapsed="false">
      <c r="A1217" s="52" t="n">
        <v>1216</v>
      </c>
      <c r="B1217" s="52" t="s">
        <v>397</v>
      </c>
      <c r="C1217" s="52" t="s">
        <v>624</v>
      </c>
      <c r="D1217" s="52" t="s">
        <v>1497</v>
      </c>
      <c r="E1217" s="52" t="s">
        <v>1575</v>
      </c>
      <c r="F1217" s="52" t="s">
        <v>21</v>
      </c>
      <c r="G1217" s="52" t="s">
        <v>1581</v>
      </c>
      <c r="H1217" s="52" t="n">
        <v>1</v>
      </c>
    </row>
    <row r="1218" customFormat="false" ht="15" hidden="false" customHeight="true" outlineLevel="0" collapsed="false">
      <c r="A1218" s="52" t="n">
        <v>1217</v>
      </c>
      <c r="B1218" s="52" t="s">
        <v>397</v>
      </c>
      <c r="C1218" s="52" t="s">
        <v>624</v>
      </c>
      <c r="D1218" s="52" t="s">
        <v>1497</v>
      </c>
      <c r="E1218" s="52" t="s">
        <v>1575</v>
      </c>
      <c r="F1218" s="52" t="s">
        <v>21</v>
      </c>
      <c r="G1218" s="52" t="s">
        <v>1582</v>
      </c>
      <c r="H1218" s="52" t="n">
        <v>1</v>
      </c>
    </row>
    <row r="1219" customFormat="false" ht="15" hidden="false" customHeight="true" outlineLevel="0" collapsed="false">
      <c r="A1219" s="52" t="n">
        <v>1218</v>
      </c>
      <c r="B1219" s="52" t="s">
        <v>397</v>
      </c>
      <c r="C1219" s="52" t="s">
        <v>624</v>
      </c>
      <c r="D1219" s="52" t="s">
        <v>1497</v>
      </c>
      <c r="E1219" s="52" t="s">
        <v>1575</v>
      </c>
      <c r="F1219" s="52" t="s">
        <v>13</v>
      </c>
      <c r="G1219" s="52" t="s">
        <v>1583</v>
      </c>
      <c r="H1219" s="52" t="n">
        <v>1</v>
      </c>
    </row>
    <row r="1220" customFormat="false" ht="15" hidden="false" customHeight="true" outlineLevel="0" collapsed="false">
      <c r="A1220" s="52" t="n">
        <v>1219</v>
      </c>
      <c r="B1220" s="52" t="s">
        <v>397</v>
      </c>
      <c r="C1220" s="52" t="s">
        <v>624</v>
      </c>
      <c r="D1220" s="52" t="s">
        <v>1497</v>
      </c>
      <c r="E1220" s="52" t="s">
        <v>1575</v>
      </c>
      <c r="F1220" s="52" t="s">
        <v>13</v>
      </c>
      <c r="G1220" s="52" t="s">
        <v>1584</v>
      </c>
      <c r="H1220" s="52" t="n">
        <v>1</v>
      </c>
    </row>
    <row r="1221" customFormat="false" ht="15" hidden="false" customHeight="true" outlineLevel="0" collapsed="false">
      <c r="A1221" s="52" t="n">
        <v>1220</v>
      </c>
      <c r="B1221" s="52" t="s">
        <v>397</v>
      </c>
      <c r="C1221" s="52" t="s">
        <v>624</v>
      </c>
      <c r="D1221" s="52" t="s">
        <v>1497</v>
      </c>
      <c r="E1221" s="52" t="s">
        <v>1575</v>
      </c>
      <c r="F1221" s="52" t="s">
        <v>101</v>
      </c>
      <c r="G1221" s="52" t="s">
        <v>1585</v>
      </c>
      <c r="H1221" s="52" t="n">
        <v>1</v>
      </c>
    </row>
    <row r="1222" customFormat="false" ht="15" hidden="false" customHeight="true" outlineLevel="0" collapsed="false">
      <c r="A1222" s="52" t="n">
        <v>1221</v>
      </c>
      <c r="B1222" s="52" t="s">
        <v>397</v>
      </c>
      <c r="C1222" s="52" t="s">
        <v>624</v>
      </c>
      <c r="D1222" s="52" t="s">
        <v>1497</v>
      </c>
      <c r="E1222" s="52" t="s">
        <v>1575</v>
      </c>
      <c r="F1222" s="52" t="s">
        <v>101</v>
      </c>
      <c r="G1222" s="52" t="s">
        <v>1586</v>
      </c>
      <c r="H1222" s="52" t="n">
        <v>1</v>
      </c>
    </row>
    <row r="1223" customFormat="false" ht="15" hidden="false" customHeight="true" outlineLevel="0" collapsed="false">
      <c r="A1223" s="52" t="n">
        <v>1222</v>
      </c>
      <c r="B1223" s="52" t="s">
        <v>397</v>
      </c>
      <c r="C1223" s="52" t="s">
        <v>624</v>
      </c>
      <c r="D1223" s="52" t="s">
        <v>1497</v>
      </c>
      <c r="E1223" s="52" t="s">
        <v>1575</v>
      </c>
      <c r="F1223" s="52" t="s">
        <v>101</v>
      </c>
      <c r="G1223" s="52" t="s">
        <v>1587</v>
      </c>
      <c r="H1223" s="52" t="n">
        <v>1</v>
      </c>
    </row>
    <row r="1224" customFormat="false" ht="15" hidden="false" customHeight="true" outlineLevel="0" collapsed="false">
      <c r="A1224" s="52" t="n">
        <v>1223</v>
      </c>
      <c r="B1224" s="52" t="s">
        <v>397</v>
      </c>
      <c r="C1224" s="52" t="s">
        <v>624</v>
      </c>
      <c r="D1224" s="52" t="s">
        <v>1497</v>
      </c>
      <c r="E1224" s="52" t="s">
        <v>1575</v>
      </c>
      <c r="F1224" s="52" t="s">
        <v>86</v>
      </c>
      <c r="G1224" s="52" t="s">
        <v>442</v>
      </c>
      <c r="H1224" s="52" t="n">
        <v>0</v>
      </c>
    </row>
    <row r="1225" customFormat="false" ht="15" hidden="false" customHeight="true" outlineLevel="0" collapsed="false">
      <c r="A1225" s="52" t="n">
        <v>1224</v>
      </c>
      <c r="B1225" s="52" t="s">
        <v>397</v>
      </c>
      <c r="C1225" s="52" t="s">
        <v>624</v>
      </c>
      <c r="D1225" s="52" t="s">
        <v>1588</v>
      </c>
      <c r="E1225" s="52" t="s">
        <v>1589</v>
      </c>
      <c r="F1225" s="52" t="s">
        <v>331</v>
      </c>
      <c r="G1225" s="52" t="s">
        <v>1590</v>
      </c>
      <c r="H1225" s="52" t="n">
        <v>1</v>
      </c>
    </row>
    <row r="1226" customFormat="false" ht="15" hidden="false" customHeight="true" outlineLevel="0" collapsed="false">
      <c r="A1226" s="52" t="n">
        <v>1225</v>
      </c>
      <c r="B1226" s="52" t="s">
        <v>397</v>
      </c>
      <c r="C1226" s="52" t="s">
        <v>624</v>
      </c>
      <c r="D1226" s="52" t="s">
        <v>1588</v>
      </c>
      <c r="E1226" s="52" t="s">
        <v>1589</v>
      </c>
      <c r="F1226" s="52" t="s">
        <v>331</v>
      </c>
      <c r="G1226" s="52" t="s">
        <v>1591</v>
      </c>
      <c r="H1226" s="52" t="n">
        <v>1</v>
      </c>
    </row>
    <row r="1227" customFormat="false" ht="15" hidden="false" customHeight="true" outlineLevel="0" collapsed="false">
      <c r="A1227" s="52" t="n">
        <v>1226</v>
      </c>
      <c r="B1227" s="52" t="s">
        <v>397</v>
      </c>
      <c r="C1227" s="52" t="s">
        <v>624</v>
      </c>
      <c r="D1227" s="52" t="s">
        <v>1588</v>
      </c>
      <c r="E1227" s="52" t="s">
        <v>1589</v>
      </c>
      <c r="F1227" s="52" t="s">
        <v>331</v>
      </c>
      <c r="G1227" s="52" t="s">
        <v>1592</v>
      </c>
      <c r="H1227" s="52" t="n">
        <v>1</v>
      </c>
    </row>
    <row r="1228" customFormat="false" ht="15" hidden="false" customHeight="true" outlineLevel="0" collapsed="false">
      <c r="A1228" s="52" t="n">
        <v>1227</v>
      </c>
      <c r="B1228" s="52" t="s">
        <v>397</v>
      </c>
      <c r="C1228" s="52" t="s">
        <v>624</v>
      </c>
      <c r="D1228" s="52" t="s">
        <v>1588</v>
      </c>
      <c r="E1228" s="52" t="s">
        <v>1589</v>
      </c>
      <c r="F1228" s="52" t="s">
        <v>331</v>
      </c>
      <c r="G1228" s="52" t="s">
        <v>1593</v>
      </c>
      <c r="H1228" s="52" t="n">
        <v>1</v>
      </c>
    </row>
    <row r="1229" customFormat="false" ht="15" hidden="false" customHeight="true" outlineLevel="0" collapsed="false">
      <c r="A1229" s="52" t="n">
        <v>1228</v>
      </c>
      <c r="B1229" s="52" t="s">
        <v>397</v>
      </c>
      <c r="C1229" s="52" t="s">
        <v>624</v>
      </c>
      <c r="D1229" s="52" t="s">
        <v>1588</v>
      </c>
      <c r="E1229" s="52" t="s">
        <v>1589</v>
      </c>
      <c r="F1229" s="52" t="s">
        <v>74</v>
      </c>
      <c r="G1229" s="52" t="s">
        <v>1594</v>
      </c>
      <c r="H1229" s="52" t="n">
        <v>1</v>
      </c>
    </row>
    <row r="1230" customFormat="false" ht="15" hidden="false" customHeight="true" outlineLevel="0" collapsed="false">
      <c r="A1230" s="52" t="n">
        <v>1229</v>
      </c>
      <c r="B1230" s="52" t="s">
        <v>397</v>
      </c>
      <c r="C1230" s="52" t="s">
        <v>624</v>
      </c>
      <c r="D1230" s="52" t="s">
        <v>1588</v>
      </c>
      <c r="E1230" s="52" t="s">
        <v>1589</v>
      </c>
      <c r="F1230" s="52" t="s">
        <v>74</v>
      </c>
      <c r="G1230" s="52" t="s">
        <v>1595</v>
      </c>
      <c r="H1230" s="52" t="n">
        <v>1</v>
      </c>
    </row>
    <row r="1231" customFormat="false" ht="15" hidden="false" customHeight="true" outlineLevel="0" collapsed="false">
      <c r="A1231" s="52" t="n">
        <v>1230</v>
      </c>
      <c r="B1231" s="52" t="s">
        <v>397</v>
      </c>
      <c r="C1231" s="52" t="s">
        <v>624</v>
      </c>
      <c r="D1231" s="52" t="s">
        <v>1588</v>
      </c>
      <c r="E1231" s="52" t="s">
        <v>1589</v>
      </c>
      <c r="F1231" s="52" t="s">
        <v>74</v>
      </c>
      <c r="G1231" s="52" t="s">
        <v>496</v>
      </c>
      <c r="H1231" s="52" t="n">
        <v>1</v>
      </c>
    </row>
    <row r="1232" customFormat="false" ht="15" hidden="false" customHeight="true" outlineLevel="0" collapsed="false">
      <c r="A1232" s="52" t="n">
        <v>1231</v>
      </c>
      <c r="B1232" s="52" t="s">
        <v>397</v>
      </c>
      <c r="C1232" s="52" t="s">
        <v>624</v>
      </c>
      <c r="D1232" s="52" t="s">
        <v>1588</v>
      </c>
      <c r="E1232" s="52" t="s">
        <v>1589</v>
      </c>
      <c r="F1232" s="52" t="s">
        <v>74</v>
      </c>
      <c r="G1232" s="52" t="s">
        <v>845</v>
      </c>
      <c r="H1232" s="52" t="n">
        <v>1</v>
      </c>
    </row>
    <row r="1233" customFormat="false" ht="15" hidden="false" customHeight="true" outlineLevel="0" collapsed="false">
      <c r="A1233" s="52" t="n">
        <v>1232</v>
      </c>
      <c r="B1233" s="52" t="s">
        <v>397</v>
      </c>
      <c r="C1233" s="52" t="s">
        <v>624</v>
      </c>
      <c r="D1233" s="52" t="s">
        <v>1588</v>
      </c>
      <c r="E1233" s="52" t="s">
        <v>1589</v>
      </c>
      <c r="F1233" s="52" t="s">
        <v>74</v>
      </c>
      <c r="G1233" s="52" t="s">
        <v>1596</v>
      </c>
      <c r="H1233" s="52" t="n">
        <v>1</v>
      </c>
    </row>
    <row r="1234" customFormat="false" ht="15" hidden="false" customHeight="true" outlineLevel="0" collapsed="false">
      <c r="A1234" s="52" t="n">
        <v>1233</v>
      </c>
      <c r="B1234" s="52" t="s">
        <v>397</v>
      </c>
      <c r="C1234" s="52" t="s">
        <v>624</v>
      </c>
      <c r="D1234" s="52" t="s">
        <v>1588</v>
      </c>
      <c r="E1234" s="52" t="s">
        <v>1589</v>
      </c>
      <c r="F1234" s="52" t="s">
        <v>74</v>
      </c>
      <c r="G1234" s="52" t="s">
        <v>1597</v>
      </c>
      <c r="H1234" s="52" t="n">
        <v>1</v>
      </c>
    </row>
    <row r="1235" customFormat="false" ht="15" hidden="false" customHeight="true" outlineLevel="0" collapsed="false">
      <c r="A1235" s="52" t="n">
        <v>1234</v>
      </c>
      <c r="B1235" s="52" t="s">
        <v>397</v>
      </c>
      <c r="C1235" s="52" t="s">
        <v>624</v>
      </c>
      <c r="D1235" s="52" t="s">
        <v>1588</v>
      </c>
      <c r="E1235" s="52" t="s">
        <v>1589</v>
      </c>
      <c r="F1235" s="52" t="s">
        <v>36</v>
      </c>
      <c r="G1235" s="52" t="s">
        <v>1598</v>
      </c>
      <c r="H1235" s="52" t="n">
        <v>1</v>
      </c>
    </row>
    <row r="1236" customFormat="false" ht="15" hidden="false" customHeight="true" outlineLevel="0" collapsed="false">
      <c r="A1236" s="52" t="n">
        <v>1235</v>
      </c>
      <c r="B1236" s="52" t="s">
        <v>397</v>
      </c>
      <c r="C1236" s="52" t="s">
        <v>624</v>
      </c>
      <c r="D1236" s="52" t="s">
        <v>1588</v>
      </c>
      <c r="E1236" s="52" t="s">
        <v>1589</v>
      </c>
      <c r="F1236" s="52" t="s">
        <v>36</v>
      </c>
      <c r="G1236" s="52" t="s">
        <v>1599</v>
      </c>
      <c r="H1236" s="52" t="n">
        <v>1</v>
      </c>
    </row>
    <row r="1237" customFormat="false" ht="15" hidden="false" customHeight="true" outlineLevel="0" collapsed="false">
      <c r="A1237" s="52" t="n">
        <v>1236</v>
      </c>
      <c r="B1237" s="52" t="s">
        <v>397</v>
      </c>
      <c r="C1237" s="52" t="s">
        <v>624</v>
      </c>
      <c r="D1237" s="52" t="s">
        <v>1588</v>
      </c>
      <c r="E1237" s="52" t="s">
        <v>1589</v>
      </c>
      <c r="F1237" s="52" t="s">
        <v>36</v>
      </c>
      <c r="G1237" s="52" t="s">
        <v>1600</v>
      </c>
      <c r="H1237" s="52" t="n">
        <v>1</v>
      </c>
    </row>
    <row r="1238" customFormat="false" ht="15" hidden="false" customHeight="true" outlineLevel="0" collapsed="false">
      <c r="A1238" s="52" t="n">
        <v>1237</v>
      </c>
      <c r="B1238" s="52" t="s">
        <v>397</v>
      </c>
      <c r="C1238" s="52" t="s">
        <v>624</v>
      </c>
      <c r="D1238" s="52" t="s">
        <v>1588</v>
      </c>
      <c r="E1238" s="52" t="s">
        <v>1589</v>
      </c>
      <c r="F1238" s="52" t="s">
        <v>259</v>
      </c>
      <c r="G1238" s="52" t="s">
        <v>1601</v>
      </c>
      <c r="H1238" s="52" t="n">
        <v>1</v>
      </c>
    </row>
    <row r="1239" customFormat="false" ht="15" hidden="false" customHeight="true" outlineLevel="0" collapsed="false">
      <c r="A1239" s="52" t="n">
        <v>1238</v>
      </c>
      <c r="B1239" s="52" t="s">
        <v>397</v>
      </c>
      <c r="C1239" s="52" t="s">
        <v>624</v>
      </c>
      <c r="D1239" s="52" t="s">
        <v>1588</v>
      </c>
      <c r="E1239" s="52" t="s">
        <v>1589</v>
      </c>
      <c r="F1239" s="52" t="s">
        <v>259</v>
      </c>
      <c r="G1239" s="52" t="s">
        <v>1602</v>
      </c>
      <c r="H1239" s="52" t="n">
        <v>1</v>
      </c>
    </row>
    <row r="1240" customFormat="false" ht="15" hidden="false" customHeight="true" outlineLevel="0" collapsed="false">
      <c r="A1240" s="52" t="n">
        <v>1239</v>
      </c>
      <c r="B1240" s="52" t="s">
        <v>397</v>
      </c>
      <c r="C1240" s="52" t="s">
        <v>624</v>
      </c>
      <c r="D1240" s="52" t="s">
        <v>1588</v>
      </c>
      <c r="E1240" s="52" t="s">
        <v>1589</v>
      </c>
      <c r="F1240" s="52" t="s">
        <v>259</v>
      </c>
      <c r="G1240" s="52" t="s">
        <v>1603</v>
      </c>
      <c r="H1240" s="52" t="n">
        <v>1</v>
      </c>
    </row>
    <row r="1241" customFormat="false" ht="15" hidden="false" customHeight="true" outlineLevel="0" collapsed="false">
      <c r="A1241" s="52" t="n">
        <v>1240</v>
      </c>
      <c r="B1241" s="52" t="s">
        <v>397</v>
      </c>
      <c r="C1241" s="52" t="s">
        <v>624</v>
      </c>
      <c r="D1241" s="52" t="s">
        <v>1588</v>
      </c>
      <c r="E1241" s="52" t="s">
        <v>1589</v>
      </c>
      <c r="F1241" s="52" t="s">
        <v>21</v>
      </c>
      <c r="G1241" s="52" t="s">
        <v>1604</v>
      </c>
      <c r="H1241" s="52" t="n">
        <v>1</v>
      </c>
    </row>
    <row r="1242" customFormat="false" ht="15" hidden="false" customHeight="true" outlineLevel="0" collapsed="false">
      <c r="A1242" s="52" t="n">
        <v>1241</v>
      </c>
      <c r="B1242" s="52" t="s">
        <v>397</v>
      </c>
      <c r="C1242" s="52" t="s">
        <v>624</v>
      </c>
      <c r="D1242" s="52" t="s">
        <v>1588</v>
      </c>
      <c r="E1242" s="52" t="s">
        <v>1589</v>
      </c>
      <c r="F1242" s="52" t="s">
        <v>21</v>
      </c>
      <c r="G1242" s="52" t="s">
        <v>1605</v>
      </c>
      <c r="H1242" s="52" t="n">
        <v>1</v>
      </c>
    </row>
    <row r="1243" customFormat="false" ht="15" hidden="false" customHeight="true" outlineLevel="0" collapsed="false">
      <c r="A1243" s="52" t="n">
        <v>1242</v>
      </c>
      <c r="B1243" s="52" t="s">
        <v>397</v>
      </c>
      <c r="C1243" s="52" t="s">
        <v>624</v>
      </c>
      <c r="D1243" s="52" t="s">
        <v>1588</v>
      </c>
      <c r="E1243" s="52" t="s">
        <v>1589</v>
      </c>
      <c r="F1243" s="52" t="s">
        <v>21</v>
      </c>
      <c r="G1243" s="52" t="s">
        <v>1606</v>
      </c>
      <c r="H1243" s="52" t="n">
        <v>1</v>
      </c>
    </row>
    <row r="1244" customFormat="false" ht="15" hidden="false" customHeight="true" outlineLevel="0" collapsed="false">
      <c r="A1244" s="52" t="n">
        <v>1243</v>
      </c>
      <c r="B1244" s="52" t="s">
        <v>397</v>
      </c>
      <c r="C1244" s="52" t="s">
        <v>624</v>
      </c>
      <c r="D1244" s="52" t="s">
        <v>1588</v>
      </c>
      <c r="E1244" s="52" t="s">
        <v>1589</v>
      </c>
      <c r="F1244" s="52" t="s">
        <v>123</v>
      </c>
      <c r="G1244" s="52" t="s">
        <v>1607</v>
      </c>
      <c r="H1244" s="52" t="n">
        <v>1</v>
      </c>
    </row>
    <row r="1245" customFormat="false" ht="15" hidden="false" customHeight="true" outlineLevel="0" collapsed="false">
      <c r="A1245" s="52" t="n">
        <v>1244</v>
      </c>
      <c r="B1245" s="52" t="s">
        <v>397</v>
      </c>
      <c r="C1245" s="52" t="s">
        <v>624</v>
      </c>
      <c r="D1245" s="52" t="s">
        <v>1588</v>
      </c>
      <c r="E1245" s="52" t="s">
        <v>1589</v>
      </c>
      <c r="F1245" s="52" t="s">
        <v>123</v>
      </c>
      <c r="G1245" s="52" t="s">
        <v>1608</v>
      </c>
      <c r="H1245" s="52" t="n">
        <v>1</v>
      </c>
    </row>
    <row r="1246" customFormat="false" ht="15" hidden="false" customHeight="true" outlineLevel="0" collapsed="false">
      <c r="A1246" s="52" t="n">
        <v>1245</v>
      </c>
      <c r="B1246" s="52" t="s">
        <v>397</v>
      </c>
      <c r="C1246" s="52" t="s">
        <v>624</v>
      </c>
      <c r="D1246" s="52" t="s">
        <v>1588</v>
      </c>
      <c r="E1246" s="52" t="s">
        <v>1589</v>
      </c>
      <c r="F1246" s="52" t="s">
        <v>13</v>
      </c>
      <c r="G1246" s="52" t="s">
        <v>1609</v>
      </c>
      <c r="H1246" s="52" t="n">
        <v>1</v>
      </c>
    </row>
    <row r="1247" customFormat="false" ht="15" hidden="false" customHeight="true" outlineLevel="0" collapsed="false">
      <c r="A1247" s="52" t="n">
        <v>1246</v>
      </c>
      <c r="B1247" s="52" t="s">
        <v>397</v>
      </c>
      <c r="C1247" s="52" t="s">
        <v>624</v>
      </c>
      <c r="D1247" s="52" t="s">
        <v>1588</v>
      </c>
      <c r="E1247" s="52" t="s">
        <v>1589</v>
      </c>
      <c r="F1247" s="52" t="s">
        <v>13</v>
      </c>
      <c r="G1247" s="52" t="s">
        <v>1610</v>
      </c>
      <c r="H1247" s="52" t="n">
        <v>1</v>
      </c>
    </row>
    <row r="1248" customFormat="false" ht="15" hidden="false" customHeight="true" outlineLevel="0" collapsed="false">
      <c r="A1248" s="52" t="n">
        <v>1247</v>
      </c>
      <c r="B1248" s="52" t="s">
        <v>397</v>
      </c>
      <c r="C1248" s="52" t="s">
        <v>624</v>
      </c>
      <c r="D1248" s="52" t="s">
        <v>1588</v>
      </c>
      <c r="E1248" s="52" t="s">
        <v>1589</v>
      </c>
      <c r="F1248" s="52" t="s">
        <v>101</v>
      </c>
      <c r="G1248" s="52" t="s">
        <v>1611</v>
      </c>
      <c r="H1248" s="52" t="n">
        <v>1</v>
      </c>
    </row>
    <row r="1249" customFormat="false" ht="15" hidden="false" customHeight="true" outlineLevel="0" collapsed="false">
      <c r="A1249" s="52" t="n">
        <v>1248</v>
      </c>
      <c r="B1249" s="52" t="s">
        <v>397</v>
      </c>
      <c r="C1249" s="52" t="s">
        <v>624</v>
      </c>
      <c r="D1249" s="52" t="s">
        <v>1588</v>
      </c>
      <c r="E1249" s="52" t="s">
        <v>1589</v>
      </c>
      <c r="F1249" s="52" t="s">
        <v>86</v>
      </c>
      <c r="G1249" s="52" t="s">
        <v>442</v>
      </c>
      <c r="H1249" s="52" t="n">
        <v>0</v>
      </c>
    </row>
    <row r="1250" customFormat="false" ht="15" hidden="false" customHeight="true" outlineLevel="0" collapsed="false">
      <c r="A1250" s="52" t="n">
        <v>1249</v>
      </c>
      <c r="B1250" s="52" t="s">
        <v>397</v>
      </c>
      <c r="C1250" s="52" t="s">
        <v>624</v>
      </c>
      <c r="D1250" s="52" t="s">
        <v>1612</v>
      </c>
      <c r="E1250" s="52" t="s">
        <v>1613</v>
      </c>
      <c r="F1250" s="52" t="s">
        <v>331</v>
      </c>
      <c r="G1250" s="52" t="s">
        <v>1614</v>
      </c>
      <c r="H1250" s="52" t="n">
        <v>1</v>
      </c>
    </row>
    <row r="1251" customFormat="false" ht="15" hidden="false" customHeight="true" outlineLevel="0" collapsed="false">
      <c r="A1251" s="52" t="n">
        <v>1250</v>
      </c>
      <c r="B1251" s="52" t="s">
        <v>397</v>
      </c>
      <c r="C1251" s="52" t="s">
        <v>624</v>
      </c>
      <c r="D1251" s="52" t="s">
        <v>1612</v>
      </c>
      <c r="E1251" s="52" t="s">
        <v>1613</v>
      </c>
      <c r="F1251" s="52" t="s">
        <v>74</v>
      </c>
      <c r="G1251" s="52" t="s">
        <v>1615</v>
      </c>
      <c r="H1251" s="52" t="n">
        <v>1</v>
      </c>
    </row>
    <row r="1252" customFormat="false" ht="15" hidden="false" customHeight="true" outlineLevel="0" collapsed="false">
      <c r="A1252" s="52" t="n">
        <v>1251</v>
      </c>
      <c r="B1252" s="52" t="s">
        <v>397</v>
      </c>
      <c r="C1252" s="52" t="s">
        <v>624</v>
      </c>
      <c r="D1252" s="52" t="s">
        <v>1612</v>
      </c>
      <c r="E1252" s="52" t="s">
        <v>1613</v>
      </c>
      <c r="F1252" s="52" t="s">
        <v>74</v>
      </c>
      <c r="G1252" s="52" t="s">
        <v>1616</v>
      </c>
      <c r="H1252" s="52" t="n">
        <v>1</v>
      </c>
    </row>
    <row r="1253" customFormat="false" ht="15" hidden="false" customHeight="true" outlineLevel="0" collapsed="false">
      <c r="A1253" s="52" t="n">
        <v>1252</v>
      </c>
      <c r="B1253" s="52" t="s">
        <v>397</v>
      </c>
      <c r="C1253" s="52" t="s">
        <v>624</v>
      </c>
      <c r="D1253" s="52" t="s">
        <v>1612</v>
      </c>
      <c r="E1253" s="52" t="s">
        <v>1613</v>
      </c>
      <c r="F1253" s="52" t="s">
        <v>36</v>
      </c>
      <c r="G1253" s="52" t="s">
        <v>1617</v>
      </c>
      <c r="H1253" s="52" t="n">
        <v>1</v>
      </c>
    </row>
    <row r="1254" customFormat="false" ht="15" hidden="false" customHeight="true" outlineLevel="0" collapsed="false">
      <c r="A1254" s="52" t="n">
        <v>1253</v>
      </c>
      <c r="B1254" s="52" t="s">
        <v>397</v>
      </c>
      <c r="C1254" s="52" t="s">
        <v>624</v>
      </c>
      <c r="D1254" s="52" t="s">
        <v>1612</v>
      </c>
      <c r="E1254" s="52" t="s">
        <v>1613</v>
      </c>
      <c r="F1254" s="52" t="s">
        <v>259</v>
      </c>
      <c r="G1254" s="52" t="s">
        <v>1618</v>
      </c>
      <c r="H1254" s="52" t="n">
        <v>1</v>
      </c>
    </row>
    <row r="1255" customFormat="false" ht="15" hidden="false" customHeight="true" outlineLevel="0" collapsed="false">
      <c r="A1255" s="52" t="n">
        <v>1254</v>
      </c>
      <c r="B1255" s="52" t="s">
        <v>397</v>
      </c>
      <c r="C1255" s="52" t="s">
        <v>624</v>
      </c>
      <c r="D1255" s="52" t="s">
        <v>1612</v>
      </c>
      <c r="E1255" s="52" t="s">
        <v>1613</v>
      </c>
      <c r="F1255" s="52" t="s">
        <v>259</v>
      </c>
      <c r="G1255" s="52" t="s">
        <v>1619</v>
      </c>
      <c r="H1255" s="52" t="n">
        <v>1</v>
      </c>
    </row>
    <row r="1256" customFormat="false" ht="15" hidden="false" customHeight="true" outlineLevel="0" collapsed="false">
      <c r="A1256" s="52" t="n">
        <v>1255</v>
      </c>
      <c r="B1256" s="52" t="s">
        <v>397</v>
      </c>
      <c r="C1256" s="52" t="s">
        <v>624</v>
      </c>
      <c r="D1256" s="52" t="s">
        <v>1612</v>
      </c>
      <c r="E1256" s="52" t="s">
        <v>1613</v>
      </c>
      <c r="F1256" s="52" t="s">
        <v>259</v>
      </c>
      <c r="G1256" s="52" t="s">
        <v>1620</v>
      </c>
      <c r="H1256" s="52" t="n">
        <v>1</v>
      </c>
    </row>
    <row r="1257" customFormat="false" ht="15" hidden="false" customHeight="true" outlineLevel="0" collapsed="false">
      <c r="A1257" s="52" t="n">
        <v>1256</v>
      </c>
      <c r="B1257" s="52" t="s">
        <v>397</v>
      </c>
      <c r="C1257" s="52" t="s">
        <v>624</v>
      </c>
      <c r="D1257" s="52" t="s">
        <v>1612</v>
      </c>
      <c r="E1257" s="52" t="s">
        <v>1613</v>
      </c>
      <c r="F1257" s="52" t="s">
        <v>21</v>
      </c>
      <c r="G1257" s="52" t="s">
        <v>1621</v>
      </c>
      <c r="H1257" s="52" t="n">
        <v>1</v>
      </c>
    </row>
    <row r="1258" customFormat="false" ht="15" hidden="false" customHeight="true" outlineLevel="0" collapsed="false">
      <c r="A1258" s="52" t="n">
        <v>1257</v>
      </c>
      <c r="B1258" s="52" t="s">
        <v>397</v>
      </c>
      <c r="C1258" s="52" t="s">
        <v>624</v>
      </c>
      <c r="D1258" s="52" t="s">
        <v>1612</v>
      </c>
      <c r="E1258" s="52" t="s">
        <v>1613</v>
      </c>
      <c r="F1258" s="52" t="s">
        <v>21</v>
      </c>
      <c r="G1258" s="52" t="s">
        <v>1622</v>
      </c>
      <c r="H1258" s="52" t="n">
        <v>1</v>
      </c>
    </row>
    <row r="1259" customFormat="false" ht="15" hidden="false" customHeight="true" outlineLevel="0" collapsed="false">
      <c r="A1259" s="52" t="n">
        <v>1258</v>
      </c>
      <c r="B1259" s="52" t="s">
        <v>397</v>
      </c>
      <c r="C1259" s="52" t="s">
        <v>624</v>
      </c>
      <c r="D1259" s="52" t="s">
        <v>1612</v>
      </c>
      <c r="E1259" s="52" t="s">
        <v>1613</v>
      </c>
      <c r="F1259" s="52" t="s">
        <v>13</v>
      </c>
      <c r="G1259" s="52" t="s">
        <v>1623</v>
      </c>
      <c r="H1259" s="52" t="n">
        <v>1</v>
      </c>
    </row>
    <row r="1260" customFormat="false" ht="15" hidden="false" customHeight="true" outlineLevel="0" collapsed="false">
      <c r="A1260" s="52" t="n">
        <v>1259</v>
      </c>
      <c r="B1260" s="52" t="s">
        <v>397</v>
      </c>
      <c r="C1260" s="52" t="s">
        <v>624</v>
      </c>
      <c r="D1260" s="52" t="s">
        <v>1612</v>
      </c>
      <c r="E1260" s="52" t="s">
        <v>1613</v>
      </c>
      <c r="F1260" s="52" t="s">
        <v>13</v>
      </c>
      <c r="G1260" s="52" t="s">
        <v>1624</v>
      </c>
      <c r="H1260" s="52" t="n">
        <v>1</v>
      </c>
    </row>
    <row r="1261" customFormat="false" ht="15" hidden="false" customHeight="true" outlineLevel="0" collapsed="false">
      <c r="A1261" s="52" t="n">
        <v>1260</v>
      </c>
      <c r="B1261" s="52" t="s">
        <v>397</v>
      </c>
      <c r="C1261" s="52" t="s">
        <v>624</v>
      </c>
      <c r="D1261" s="52" t="s">
        <v>1612</v>
      </c>
      <c r="E1261" s="52" t="s">
        <v>1613</v>
      </c>
      <c r="F1261" s="52" t="s">
        <v>101</v>
      </c>
      <c r="G1261" s="52" t="s">
        <v>442</v>
      </c>
      <c r="H1261" s="52" t="n">
        <v>0</v>
      </c>
    </row>
    <row r="1262" customFormat="false" ht="15" hidden="false" customHeight="true" outlineLevel="0" collapsed="false">
      <c r="A1262" s="52" t="n">
        <v>1261</v>
      </c>
      <c r="B1262" s="52" t="s">
        <v>397</v>
      </c>
      <c r="C1262" s="52" t="s">
        <v>624</v>
      </c>
      <c r="D1262" s="52" t="s">
        <v>1612</v>
      </c>
      <c r="E1262" s="52" t="s">
        <v>1613</v>
      </c>
      <c r="F1262" s="52" t="s">
        <v>86</v>
      </c>
      <c r="G1262" s="52" t="s">
        <v>442</v>
      </c>
      <c r="H1262" s="52" t="n">
        <v>0</v>
      </c>
    </row>
    <row r="1263" customFormat="false" ht="15" hidden="false" customHeight="true" outlineLevel="0" collapsed="false">
      <c r="A1263" s="52" t="n">
        <v>1262</v>
      </c>
      <c r="B1263" s="52" t="s">
        <v>397</v>
      </c>
      <c r="C1263" s="52" t="s">
        <v>624</v>
      </c>
      <c r="D1263" s="52" t="s">
        <v>1612</v>
      </c>
      <c r="E1263" s="52" t="s">
        <v>1087</v>
      </c>
      <c r="F1263" s="52" t="s">
        <v>331</v>
      </c>
      <c r="G1263" s="52" t="s">
        <v>463</v>
      </c>
      <c r="H1263" s="52" t="n">
        <v>0</v>
      </c>
    </row>
    <row r="1264" customFormat="false" ht="15" hidden="false" customHeight="true" outlineLevel="0" collapsed="false">
      <c r="A1264" s="52" t="n">
        <v>1263</v>
      </c>
      <c r="B1264" s="52" t="s">
        <v>397</v>
      </c>
      <c r="C1264" s="52" t="s">
        <v>624</v>
      </c>
      <c r="D1264" s="52" t="s">
        <v>1612</v>
      </c>
      <c r="E1264" s="52" t="s">
        <v>1087</v>
      </c>
      <c r="F1264" s="52" t="s">
        <v>74</v>
      </c>
      <c r="G1264" s="52" t="s">
        <v>1088</v>
      </c>
      <c r="H1264" s="52" t="n">
        <v>1</v>
      </c>
    </row>
    <row r="1265" customFormat="false" ht="15" hidden="false" customHeight="true" outlineLevel="0" collapsed="false">
      <c r="A1265" s="52" t="n">
        <v>1264</v>
      </c>
      <c r="B1265" s="52" t="s">
        <v>397</v>
      </c>
      <c r="C1265" s="52" t="s">
        <v>624</v>
      </c>
      <c r="D1265" s="52" t="s">
        <v>1612</v>
      </c>
      <c r="E1265" s="52" t="s">
        <v>1087</v>
      </c>
      <c r="F1265" s="52" t="s">
        <v>259</v>
      </c>
      <c r="G1265" s="52" t="s">
        <v>1089</v>
      </c>
      <c r="H1265" s="52" t="n">
        <v>1</v>
      </c>
    </row>
    <row r="1266" customFormat="false" ht="15" hidden="false" customHeight="true" outlineLevel="0" collapsed="false">
      <c r="A1266" s="52" t="n">
        <v>1265</v>
      </c>
      <c r="B1266" s="52" t="s">
        <v>397</v>
      </c>
      <c r="C1266" s="52" t="s">
        <v>624</v>
      </c>
      <c r="D1266" s="52" t="s">
        <v>1612</v>
      </c>
      <c r="E1266" s="52" t="s">
        <v>1087</v>
      </c>
      <c r="F1266" s="52" t="s">
        <v>259</v>
      </c>
      <c r="G1266" s="52" t="s">
        <v>1090</v>
      </c>
      <c r="H1266" s="52" t="n">
        <v>1</v>
      </c>
    </row>
    <row r="1267" customFormat="false" ht="15" hidden="false" customHeight="true" outlineLevel="0" collapsed="false">
      <c r="A1267" s="52" t="n">
        <v>1266</v>
      </c>
      <c r="B1267" s="52" t="s">
        <v>397</v>
      </c>
      <c r="C1267" s="52" t="s">
        <v>624</v>
      </c>
      <c r="D1267" s="52" t="s">
        <v>1612</v>
      </c>
      <c r="E1267" s="52" t="s">
        <v>1087</v>
      </c>
      <c r="F1267" s="52" t="s">
        <v>259</v>
      </c>
      <c r="G1267" s="52" t="s">
        <v>1091</v>
      </c>
      <c r="H1267" s="52" t="n">
        <v>1</v>
      </c>
    </row>
    <row r="1268" customFormat="false" ht="15" hidden="false" customHeight="true" outlineLevel="0" collapsed="false">
      <c r="A1268" s="52" t="n">
        <v>1267</v>
      </c>
      <c r="B1268" s="52" t="s">
        <v>397</v>
      </c>
      <c r="C1268" s="52" t="s">
        <v>624</v>
      </c>
      <c r="D1268" s="52" t="s">
        <v>1612</v>
      </c>
      <c r="E1268" s="52" t="s">
        <v>1087</v>
      </c>
      <c r="F1268" s="52" t="s">
        <v>259</v>
      </c>
      <c r="G1268" s="52" t="s">
        <v>1092</v>
      </c>
      <c r="H1268" s="52" t="n">
        <v>1</v>
      </c>
    </row>
    <row r="1269" customFormat="false" ht="15" hidden="false" customHeight="true" outlineLevel="0" collapsed="false">
      <c r="A1269" s="52" t="n">
        <v>1268</v>
      </c>
      <c r="B1269" s="52" t="s">
        <v>397</v>
      </c>
      <c r="C1269" s="52" t="s">
        <v>624</v>
      </c>
      <c r="D1269" s="52" t="s">
        <v>1612</v>
      </c>
      <c r="E1269" s="52" t="s">
        <v>1087</v>
      </c>
      <c r="F1269" s="52" t="s">
        <v>52</v>
      </c>
      <c r="G1269" s="52" t="s">
        <v>1093</v>
      </c>
      <c r="H1269" s="52" t="n">
        <v>1</v>
      </c>
    </row>
    <row r="1270" customFormat="false" ht="15" hidden="false" customHeight="true" outlineLevel="0" collapsed="false">
      <c r="A1270" s="52" t="n">
        <v>1269</v>
      </c>
      <c r="B1270" s="52" t="s">
        <v>397</v>
      </c>
      <c r="C1270" s="52" t="s">
        <v>624</v>
      </c>
      <c r="D1270" s="52" t="s">
        <v>1612</v>
      </c>
      <c r="E1270" s="52" t="s">
        <v>1087</v>
      </c>
      <c r="F1270" s="52" t="s">
        <v>21</v>
      </c>
      <c r="G1270" s="52" t="s">
        <v>1625</v>
      </c>
      <c r="H1270" s="52" t="n">
        <v>1</v>
      </c>
    </row>
    <row r="1271" customFormat="false" ht="15" hidden="false" customHeight="true" outlineLevel="0" collapsed="false">
      <c r="A1271" s="52" t="n">
        <v>1270</v>
      </c>
      <c r="B1271" s="52" t="s">
        <v>397</v>
      </c>
      <c r="C1271" s="52" t="s">
        <v>624</v>
      </c>
      <c r="D1271" s="52" t="s">
        <v>1612</v>
      </c>
      <c r="E1271" s="52" t="s">
        <v>1087</v>
      </c>
      <c r="F1271" s="52" t="s">
        <v>123</v>
      </c>
      <c r="G1271" s="52" t="s">
        <v>1626</v>
      </c>
      <c r="H1271" s="52" t="n">
        <v>1</v>
      </c>
    </row>
    <row r="1272" customFormat="false" ht="15" hidden="false" customHeight="true" outlineLevel="0" collapsed="false">
      <c r="A1272" s="52" t="n">
        <v>1271</v>
      </c>
      <c r="B1272" s="52" t="s">
        <v>397</v>
      </c>
      <c r="C1272" s="52" t="s">
        <v>624</v>
      </c>
      <c r="D1272" s="52" t="s">
        <v>1612</v>
      </c>
      <c r="E1272" s="52" t="s">
        <v>1087</v>
      </c>
      <c r="F1272" s="52" t="s">
        <v>123</v>
      </c>
      <c r="G1272" s="52" t="s">
        <v>1096</v>
      </c>
      <c r="H1272" s="52" t="n">
        <v>1</v>
      </c>
    </row>
    <row r="1273" customFormat="false" ht="15" hidden="false" customHeight="true" outlineLevel="0" collapsed="false">
      <c r="A1273" s="52" t="n">
        <v>1272</v>
      </c>
      <c r="B1273" s="52" t="s">
        <v>397</v>
      </c>
      <c r="C1273" s="52" t="s">
        <v>624</v>
      </c>
      <c r="D1273" s="52" t="s">
        <v>1612</v>
      </c>
      <c r="E1273" s="52" t="s">
        <v>1087</v>
      </c>
      <c r="F1273" s="52" t="s">
        <v>13</v>
      </c>
      <c r="G1273" s="52" t="s">
        <v>1097</v>
      </c>
      <c r="H1273" s="52" t="n">
        <v>1</v>
      </c>
    </row>
    <row r="1274" customFormat="false" ht="15" hidden="false" customHeight="true" outlineLevel="0" collapsed="false">
      <c r="A1274" s="52" t="n">
        <v>1273</v>
      </c>
      <c r="B1274" s="52" t="s">
        <v>397</v>
      </c>
      <c r="C1274" s="52" t="s">
        <v>624</v>
      </c>
      <c r="D1274" s="52" t="s">
        <v>1612</v>
      </c>
      <c r="E1274" s="52" t="s">
        <v>1087</v>
      </c>
      <c r="F1274" s="52" t="s">
        <v>101</v>
      </c>
      <c r="G1274" s="52" t="s">
        <v>442</v>
      </c>
      <c r="H1274" s="52" t="n">
        <v>0</v>
      </c>
    </row>
    <row r="1275" customFormat="false" ht="15" hidden="false" customHeight="true" outlineLevel="0" collapsed="false">
      <c r="A1275" s="52" t="n">
        <v>1274</v>
      </c>
      <c r="B1275" s="52" t="s">
        <v>397</v>
      </c>
      <c r="C1275" s="52" t="s">
        <v>624</v>
      </c>
      <c r="D1275" s="52" t="s">
        <v>1612</v>
      </c>
      <c r="E1275" s="52" t="s">
        <v>1087</v>
      </c>
      <c r="F1275" s="52" t="s">
        <v>86</v>
      </c>
      <c r="G1275" s="52" t="s">
        <v>442</v>
      </c>
      <c r="H1275" s="52" t="n">
        <v>0</v>
      </c>
    </row>
    <row r="1276" customFormat="false" ht="15" hidden="false" customHeight="true" outlineLevel="0" collapsed="false">
      <c r="A1276" s="52" t="n">
        <v>1275</v>
      </c>
      <c r="B1276" s="52" t="s">
        <v>397</v>
      </c>
      <c r="C1276" s="52" t="s">
        <v>624</v>
      </c>
      <c r="D1276" s="52" t="s">
        <v>1612</v>
      </c>
      <c r="E1276" s="52" t="s">
        <v>1627</v>
      </c>
      <c r="F1276" s="52" t="s">
        <v>331</v>
      </c>
      <c r="G1276" s="52" t="s">
        <v>1628</v>
      </c>
      <c r="H1276" s="52" t="n">
        <v>1</v>
      </c>
    </row>
    <row r="1277" customFormat="false" ht="15" hidden="false" customHeight="true" outlineLevel="0" collapsed="false">
      <c r="A1277" s="52" t="n">
        <v>1276</v>
      </c>
      <c r="B1277" s="52" t="s">
        <v>397</v>
      </c>
      <c r="C1277" s="52" t="s">
        <v>624</v>
      </c>
      <c r="D1277" s="52" t="s">
        <v>1612</v>
      </c>
      <c r="E1277" s="52" t="s">
        <v>1627</v>
      </c>
      <c r="F1277" s="52" t="s">
        <v>74</v>
      </c>
      <c r="G1277" s="52" t="s">
        <v>1629</v>
      </c>
      <c r="H1277" s="52" t="n">
        <v>1</v>
      </c>
    </row>
    <row r="1278" customFormat="false" ht="15" hidden="false" customHeight="true" outlineLevel="0" collapsed="false">
      <c r="A1278" s="52" t="n">
        <v>1277</v>
      </c>
      <c r="B1278" s="52" t="s">
        <v>397</v>
      </c>
      <c r="C1278" s="52" t="s">
        <v>624</v>
      </c>
      <c r="D1278" s="52" t="s">
        <v>1612</v>
      </c>
      <c r="E1278" s="52" t="s">
        <v>1627</v>
      </c>
      <c r="F1278" s="52" t="s">
        <v>74</v>
      </c>
      <c r="G1278" s="52" t="s">
        <v>1630</v>
      </c>
      <c r="H1278" s="52" t="n">
        <v>1</v>
      </c>
    </row>
    <row r="1279" customFormat="false" ht="15" hidden="false" customHeight="true" outlineLevel="0" collapsed="false">
      <c r="A1279" s="52" t="n">
        <v>1278</v>
      </c>
      <c r="B1279" s="52" t="s">
        <v>397</v>
      </c>
      <c r="C1279" s="52" t="s">
        <v>624</v>
      </c>
      <c r="D1279" s="52" t="s">
        <v>1612</v>
      </c>
      <c r="E1279" s="52" t="s">
        <v>1627</v>
      </c>
      <c r="F1279" s="52" t="s">
        <v>74</v>
      </c>
      <c r="G1279" s="52" t="s">
        <v>1631</v>
      </c>
      <c r="H1279" s="52" t="n">
        <v>1</v>
      </c>
    </row>
    <row r="1280" customFormat="false" ht="15" hidden="false" customHeight="true" outlineLevel="0" collapsed="false">
      <c r="A1280" s="52" t="n">
        <v>1279</v>
      </c>
      <c r="B1280" s="52" t="s">
        <v>397</v>
      </c>
      <c r="C1280" s="52" t="s">
        <v>624</v>
      </c>
      <c r="D1280" s="52" t="s">
        <v>1612</v>
      </c>
      <c r="E1280" s="52" t="s">
        <v>1627</v>
      </c>
      <c r="F1280" s="52" t="s">
        <v>74</v>
      </c>
      <c r="G1280" s="52" t="s">
        <v>1632</v>
      </c>
      <c r="H1280" s="52" t="n">
        <v>1</v>
      </c>
    </row>
    <row r="1281" customFormat="false" ht="15" hidden="false" customHeight="true" outlineLevel="0" collapsed="false">
      <c r="A1281" s="52" t="n">
        <v>1280</v>
      </c>
      <c r="B1281" s="52" t="s">
        <v>397</v>
      </c>
      <c r="C1281" s="52" t="s">
        <v>624</v>
      </c>
      <c r="D1281" s="52" t="s">
        <v>1612</v>
      </c>
      <c r="E1281" s="52" t="s">
        <v>1627</v>
      </c>
      <c r="F1281" s="52" t="s">
        <v>36</v>
      </c>
      <c r="G1281" s="52" t="s">
        <v>698</v>
      </c>
      <c r="H1281" s="52" t="n">
        <v>1</v>
      </c>
    </row>
    <row r="1282" customFormat="false" ht="15" hidden="false" customHeight="true" outlineLevel="0" collapsed="false">
      <c r="A1282" s="52" t="n">
        <v>1281</v>
      </c>
      <c r="B1282" s="52" t="s">
        <v>397</v>
      </c>
      <c r="C1282" s="52" t="s">
        <v>624</v>
      </c>
      <c r="D1282" s="52" t="s">
        <v>1612</v>
      </c>
      <c r="E1282" s="52" t="s">
        <v>1627</v>
      </c>
      <c r="F1282" s="52" t="s">
        <v>36</v>
      </c>
      <c r="G1282" s="52" t="s">
        <v>1633</v>
      </c>
      <c r="H1282" s="52" t="n">
        <v>1</v>
      </c>
    </row>
    <row r="1283" customFormat="false" ht="15" hidden="false" customHeight="true" outlineLevel="0" collapsed="false">
      <c r="A1283" s="52" t="n">
        <v>1282</v>
      </c>
      <c r="B1283" s="52" t="s">
        <v>397</v>
      </c>
      <c r="C1283" s="52" t="s">
        <v>624</v>
      </c>
      <c r="D1283" s="52" t="s">
        <v>1612</v>
      </c>
      <c r="E1283" s="52" t="s">
        <v>1627</v>
      </c>
      <c r="F1283" s="52" t="s">
        <v>259</v>
      </c>
      <c r="G1283" s="52" t="s">
        <v>1634</v>
      </c>
      <c r="H1283" s="52" t="n">
        <v>1</v>
      </c>
    </row>
    <row r="1284" customFormat="false" ht="15" hidden="false" customHeight="true" outlineLevel="0" collapsed="false">
      <c r="A1284" s="52" t="n">
        <v>1283</v>
      </c>
      <c r="B1284" s="52" t="s">
        <v>397</v>
      </c>
      <c r="C1284" s="52" t="s">
        <v>624</v>
      </c>
      <c r="D1284" s="52" t="s">
        <v>1612</v>
      </c>
      <c r="E1284" s="52" t="s">
        <v>1627</v>
      </c>
      <c r="F1284" s="52" t="s">
        <v>259</v>
      </c>
      <c r="G1284" s="52" t="s">
        <v>1635</v>
      </c>
      <c r="H1284" s="52" t="n">
        <v>1</v>
      </c>
    </row>
    <row r="1285" customFormat="false" ht="15" hidden="false" customHeight="true" outlineLevel="0" collapsed="false">
      <c r="A1285" s="52" t="n">
        <v>1284</v>
      </c>
      <c r="B1285" s="52" t="s">
        <v>397</v>
      </c>
      <c r="C1285" s="52" t="s">
        <v>624</v>
      </c>
      <c r="D1285" s="52" t="s">
        <v>1612</v>
      </c>
      <c r="E1285" s="52" t="s">
        <v>1627</v>
      </c>
      <c r="F1285" s="52" t="s">
        <v>259</v>
      </c>
      <c r="G1285" s="52" t="s">
        <v>699</v>
      </c>
      <c r="H1285" s="52" t="n">
        <v>1</v>
      </c>
    </row>
    <row r="1286" customFormat="false" ht="15" hidden="false" customHeight="true" outlineLevel="0" collapsed="false">
      <c r="A1286" s="52" t="n">
        <v>1285</v>
      </c>
      <c r="B1286" s="52" t="s">
        <v>397</v>
      </c>
      <c r="C1286" s="52" t="s">
        <v>624</v>
      </c>
      <c r="D1286" s="52" t="s">
        <v>1612</v>
      </c>
      <c r="E1286" s="52" t="s">
        <v>1627</v>
      </c>
      <c r="F1286" s="52" t="s">
        <v>259</v>
      </c>
      <c r="G1286" s="52" t="s">
        <v>1636</v>
      </c>
      <c r="H1286" s="52" t="n">
        <v>1</v>
      </c>
    </row>
    <row r="1287" customFormat="false" ht="15" hidden="false" customHeight="true" outlineLevel="0" collapsed="false">
      <c r="A1287" s="52" t="n">
        <v>1286</v>
      </c>
      <c r="B1287" s="52" t="s">
        <v>397</v>
      </c>
      <c r="C1287" s="52" t="s">
        <v>624</v>
      </c>
      <c r="D1287" s="52" t="s">
        <v>1612</v>
      </c>
      <c r="E1287" s="52" t="s">
        <v>1627</v>
      </c>
      <c r="F1287" s="52" t="s">
        <v>259</v>
      </c>
      <c r="G1287" s="52" t="s">
        <v>1637</v>
      </c>
      <c r="H1287" s="52" t="n">
        <v>1</v>
      </c>
    </row>
    <row r="1288" customFormat="false" ht="15" hidden="false" customHeight="true" outlineLevel="0" collapsed="false">
      <c r="A1288" s="52" t="n">
        <v>1287</v>
      </c>
      <c r="B1288" s="52" t="s">
        <v>397</v>
      </c>
      <c r="C1288" s="52" t="s">
        <v>624</v>
      </c>
      <c r="D1288" s="52" t="s">
        <v>1612</v>
      </c>
      <c r="E1288" s="52" t="s">
        <v>1627</v>
      </c>
      <c r="F1288" s="52" t="s">
        <v>52</v>
      </c>
      <c r="G1288" s="52" t="s">
        <v>753</v>
      </c>
      <c r="H1288" s="52" t="n">
        <v>1</v>
      </c>
    </row>
    <row r="1289" customFormat="false" ht="15" hidden="false" customHeight="true" outlineLevel="0" collapsed="false">
      <c r="A1289" s="52" t="n">
        <v>1288</v>
      </c>
      <c r="B1289" s="52" t="s">
        <v>397</v>
      </c>
      <c r="C1289" s="52" t="s">
        <v>624</v>
      </c>
      <c r="D1289" s="52" t="s">
        <v>1612</v>
      </c>
      <c r="E1289" s="52" t="s">
        <v>1627</v>
      </c>
      <c r="F1289" s="52" t="s">
        <v>52</v>
      </c>
      <c r="G1289" s="52" t="s">
        <v>702</v>
      </c>
      <c r="H1289" s="52" t="n">
        <v>1</v>
      </c>
    </row>
    <row r="1290" customFormat="false" ht="15" hidden="false" customHeight="true" outlineLevel="0" collapsed="false">
      <c r="A1290" s="52" t="n">
        <v>1289</v>
      </c>
      <c r="B1290" s="52" t="s">
        <v>397</v>
      </c>
      <c r="C1290" s="52" t="s">
        <v>624</v>
      </c>
      <c r="D1290" s="52" t="s">
        <v>1612</v>
      </c>
      <c r="E1290" s="52" t="s">
        <v>1627</v>
      </c>
      <c r="F1290" s="52" t="s">
        <v>21</v>
      </c>
      <c r="G1290" s="52" t="s">
        <v>1638</v>
      </c>
      <c r="H1290" s="52" t="n">
        <v>1</v>
      </c>
    </row>
    <row r="1291" customFormat="false" ht="15" hidden="false" customHeight="true" outlineLevel="0" collapsed="false">
      <c r="A1291" s="52" t="n">
        <v>1290</v>
      </c>
      <c r="B1291" s="52" t="s">
        <v>397</v>
      </c>
      <c r="C1291" s="52" t="s">
        <v>624</v>
      </c>
      <c r="D1291" s="52" t="s">
        <v>1612</v>
      </c>
      <c r="E1291" s="52" t="s">
        <v>1627</v>
      </c>
      <c r="F1291" s="52" t="s">
        <v>21</v>
      </c>
      <c r="G1291" s="52" t="s">
        <v>663</v>
      </c>
      <c r="H1291" s="52" t="n">
        <v>1</v>
      </c>
    </row>
    <row r="1292" customFormat="false" ht="15" hidden="false" customHeight="true" outlineLevel="0" collapsed="false">
      <c r="A1292" s="52" t="n">
        <v>1291</v>
      </c>
      <c r="B1292" s="52" t="s">
        <v>397</v>
      </c>
      <c r="C1292" s="52" t="s">
        <v>624</v>
      </c>
      <c r="D1292" s="52" t="s">
        <v>1612</v>
      </c>
      <c r="E1292" s="52" t="s">
        <v>1627</v>
      </c>
      <c r="F1292" s="52" t="s">
        <v>123</v>
      </c>
      <c r="G1292" s="52" t="s">
        <v>670</v>
      </c>
      <c r="H1292" s="52" t="n">
        <v>1</v>
      </c>
    </row>
    <row r="1293" customFormat="false" ht="15" hidden="false" customHeight="true" outlineLevel="0" collapsed="false">
      <c r="A1293" s="52" t="n">
        <v>1292</v>
      </c>
      <c r="B1293" s="52" t="s">
        <v>397</v>
      </c>
      <c r="C1293" s="52" t="s">
        <v>624</v>
      </c>
      <c r="D1293" s="52" t="s">
        <v>1612</v>
      </c>
      <c r="E1293" s="52" t="s">
        <v>1627</v>
      </c>
      <c r="F1293" s="52" t="s">
        <v>123</v>
      </c>
      <c r="G1293" s="52" t="s">
        <v>1639</v>
      </c>
      <c r="H1293" s="52" t="n">
        <v>1</v>
      </c>
    </row>
    <row r="1294" customFormat="false" ht="15" hidden="false" customHeight="true" outlineLevel="0" collapsed="false">
      <c r="A1294" s="52" t="n">
        <v>1293</v>
      </c>
      <c r="B1294" s="52" t="s">
        <v>397</v>
      </c>
      <c r="C1294" s="52" t="s">
        <v>624</v>
      </c>
      <c r="D1294" s="52" t="s">
        <v>1612</v>
      </c>
      <c r="E1294" s="52" t="s">
        <v>1627</v>
      </c>
      <c r="F1294" s="52" t="s">
        <v>13</v>
      </c>
      <c r="G1294" s="52" t="s">
        <v>442</v>
      </c>
      <c r="H1294" s="52" t="n">
        <v>0</v>
      </c>
    </row>
    <row r="1295" customFormat="false" ht="15" hidden="false" customHeight="true" outlineLevel="0" collapsed="false">
      <c r="A1295" s="52" t="n">
        <v>1294</v>
      </c>
      <c r="B1295" s="52" t="s">
        <v>397</v>
      </c>
      <c r="C1295" s="52" t="s">
        <v>624</v>
      </c>
      <c r="D1295" s="52" t="s">
        <v>1612</v>
      </c>
      <c r="E1295" s="52" t="s">
        <v>1627</v>
      </c>
      <c r="F1295" s="52" t="s">
        <v>101</v>
      </c>
      <c r="G1295" s="52" t="s">
        <v>442</v>
      </c>
      <c r="H1295" s="52" t="n">
        <v>0</v>
      </c>
    </row>
    <row r="1296" customFormat="false" ht="15" hidden="false" customHeight="true" outlineLevel="0" collapsed="false">
      <c r="A1296" s="52" t="n">
        <v>1295</v>
      </c>
      <c r="B1296" s="52" t="s">
        <v>397</v>
      </c>
      <c r="C1296" s="52" t="s">
        <v>624</v>
      </c>
      <c r="D1296" s="52" t="s">
        <v>1612</v>
      </c>
      <c r="E1296" s="52" t="s">
        <v>1627</v>
      </c>
      <c r="F1296" s="52" t="s">
        <v>86</v>
      </c>
      <c r="G1296" s="52" t="s">
        <v>442</v>
      </c>
      <c r="H1296" s="52" t="n">
        <v>0</v>
      </c>
    </row>
    <row r="1297" customFormat="false" ht="15" hidden="false" customHeight="true" outlineLevel="0" collapsed="false">
      <c r="A1297" s="52" t="n">
        <v>1296</v>
      </c>
      <c r="B1297" s="52" t="s">
        <v>397</v>
      </c>
      <c r="C1297" s="52" t="s">
        <v>624</v>
      </c>
      <c r="D1297" s="52" t="s">
        <v>1612</v>
      </c>
      <c r="E1297" s="52" t="s">
        <v>1640</v>
      </c>
      <c r="F1297" s="52" t="s">
        <v>331</v>
      </c>
      <c r="G1297" s="52" t="s">
        <v>1641</v>
      </c>
      <c r="H1297" s="52" t="n">
        <v>1</v>
      </c>
    </row>
    <row r="1298" customFormat="false" ht="15" hidden="false" customHeight="true" outlineLevel="0" collapsed="false">
      <c r="A1298" s="52" t="n">
        <v>1297</v>
      </c>
      <c r="B1298" s="52" t="s">
        <v>397</v>
      </c>
      <c r="C1298" s="52" t="s">
        <v>624</v>
      </c>
      <c r="D1298" s="52" t="s">
        <v>1612</v>
      </c>
      <c r="E1298" s="52" t="s">
        <v>1640</v>
      </c>
      <c r="F1298" s="52" t="s">
        <v>74</v>
      </c>
      <c r="G1298" s="52" t="s">
        <v>1642</v>
      </c>
      <c r="H1298" s="52" t="n">
        <v>1</v>
      </c>
    </row>
    <row r="1299" customFormat="false" ht="15" hidden="false" customHeight="true" outlineLevel="0" collapsed="false">
      <c r="A1299" s="52" t="n">
        <v>1298</v>
      </c>
      <c r="B1299" s="52" t="s">
        <v>397</v>
      </c>
      <c r="C1299" s="52" t="s">
        <v>624</v>
      </c>
      <c r="D1299" s="52" t="s">
        <v>1612</v>
      </c>
      <c r="E1299" s="52" t="s">
        <v>1640</v>
      </c>
      <c r="F1299" s="52" t="s">
        <v>74</v>
      </c>
      <c r="G1299" s="52" t="s">
        <v>1643</v>
      </c>
      <c r="H1299" s="52" t="n">
        <v>1</v>
      </c>
    </row>
    <row r="1300" customFormat="false" ht="15" hidden="false" customHeight="true" outlineLevel="0" collapsed="false">
      <c r="A1300" s="52" t="n">
        <v>1299</v>
      </c>
      <c r="B1300" s="52" t="s">
        <v>397</v>
      </c>
      <c r="C1300" s="52" t="s">
        <v>624</v>
      </c>
      <c r="D1300" s="52" t="s">
        <v>1612</v>
      </c>
      <c r="E1300" s="52" t="s">
        <v>1640</v>
      </c>
      <c r="F1300" s="52" t="s">
        <v>36</v>
      </c>
      <c r="G1300" s="52" t="s">
        <v>1644</v>
      </c>
      <c r="H1300" s="52" t="n">
        <v>1</v>
      </c>
    </row>
    <row r="1301" customFormat="false" ht="15" hidden="false" customHeight="true" outlineLevel="0" collapsed="false">
      <c r="A1301" s="52" t="n">
        <v>1300</v>
      </c>
      <c r="B1301" s="52" t="s">
        <v>397</v>
      </c>
      <c r="C1301" s="52" t="s">
        <v>624</v>
      </c>
      <c r="D1301" s="52" t="s">
        <v>1612</v>
      </c>
      <c r="E1301" s="52" t="s">
        <v>1640</v>
      </c>
      <c r="F1301" s="52" t="s">
        <v>259</v>
      </c>
      <c r="G1301" s="52" t="s">
        <v>1645</v>
      </c>
      <c r="H1301" s="52" t="n">
        <v>1</v>
      </c>
    </row>
    <row r="1302" customFormat="false" ht="15" hidden="false" customHeight="true" outlineLevel="0" collapsed="false">
      <c r="A1302" s="52" t="n">
        <v>1301</v>
      </c>
      <c r="B1302" s="52" t="s">
        <v>397</v>
      </c>
      <c r="C1302" s="52" t="s">
        <v>624</v>
      </c>
      <c r="D1302" s="52" t="s">
        <v>1612</v>
      </c>
      <c r="E1302" s="52" t="s">
        <v>1640</v>
      </c>
      <c r="F1302" s="52" t="s">
        <v>259</v>
      </c>
      <c r="G1302" s="52" t="s">
        <v>1646</v>
      </c>
      <c r="H1302" s="52" t="n">
        <v>1</v>
      </c>
    </row>
    <row r="1303" customFormat="false" ht="15" hidden="false" customHeight="true" outlineLevel="0" collapsed="false">
      <c r="A1303" s="52" t="n">
        <v>1302</v>
      </c>
      <c r="B1303" s="52" t="s">
        <v>397</v>
      </c>
      <c r="C1303" s="52" t="s">
        <v>624</v>
      </c>
      <c r="D1303" s="52" t="s">
        <v>1612</v>
      </c>
      <c r="E1303" s="52" t="s">
        <v>1640</v>
      </c>
      <c r="F1303" s="52" t="s">
        <v>259</v>
      </c>
      <c r="G1303" s="52" t="s">
        <v>1647</v>
      </c>
      <c r="H1303" s="52" t="n">
        <v>1</v>
      </c>
    </row>
    <row r="1304" customFormat="false" ht="15" hidden="false" customHeight="true" outlineLevel="0" collapsed="false">
      <c r="A1304" s="52" t="n">
        <v>1303</v>
      </c>
      <c r="B1304" s="52" t="s">
        <v>397</v>
      </c>
      <c r="C1304" s="52" t="s">
        <v>624</v>
      </c>
      <c r="D1304" s="52" t="s">
        <v>1612</v>
      </c>
      <c r="E1304" s="52" t="s">
        <v>1640</v>
      </c>
      <c r="F1304" s="52" t="s">
        <v>52</v>
      </c>
      <c r="G1304" s="52" t="s">
        <v>1648</v>
      </c>
      <c r="H1304" s="52" t="n">
        <v>1</v>
      </c>
    </row>
    <row r="1305" customFormat="false" ht="15" hidden="false" customHeight="true" outlineLevel="0" collapsed="false">
      <c r="A1305" s="52" t="n">
        <v>1304</v>
      </c>
      <c r="B1305" s="52" t="s">
        <v>397</v>
      </c>
      <c r="C1305" s="52" t="s">
        <v>624</v>
      </c>
      <c r="D1305" s="52" t="s">
        <v>1612</v>
      </c>
      <c r="E1305" s="52" t="s">
        <v>1640</v>
      </c>
      <c r="F1305" s="52" t="s">
        <v>21</v>
      </c>
      <c r="G1305" s="52" t="s">
        <v>1649</v>
      </c>
      <c r="H1305" s="52" t="n">
        <v>1</v>
      </c>
    </row>
    <row r="1306" customFormat="false" ht="15" hidden="false" customHeight="true" outlineLevel="0" collapsed="false">
      <c r="A1306" s="52" t="n">
        <v>1305</v>
      </c>
      <c r="B1306" s="52" t="s">
        <v>397</v>
      </c>
      <c r="C1306" s="52" t="s">
        <v>624</v>
      </c>
      <c r="D1306" s="52" t="s">
        <v>1612</v>
      </c>
      <c r="E1306" s="52" t="s">
        <v>1640</v>
      </c>
      <c r="F1306" s="52" t="s">
        <v>21</v>
      </c>
      <c r="G1306" s="52" t="s">
        <v>1650</v>
      </c>
      <c r="H1306" s="52" t="n">
        <v>1</v>
      </c>
    </row>
    <row r="1307" customFormat="false" ht="15" hidden="false" customHeight="true" outlineLevel="0" collapsed="false">
      <c r="A1307" s="52" t="n">
        <v>1306</v>
      </c>
      <c r="B1307" s="52" t="s">
        <v>397</v>
      </c>
      <c r="C1307" s="52" t="s">
        <v>624</v>
      </c>
      <c r="D1307" s="52" t="s">
        <v>1612</v>
      </c>
      <c r="E1307" s="52" t="s">
        <v>1640</v>
      </c>
      <c r="F1307" s="52" t="s">
        <v>21</v>
      </c>
      <c r="G1307" s="52" t="s">
        <v>1651</v>
      </c>
      <c r="H1307" s="52" t="n">
        <v>1</v>
      </c>
    </row>
    <row r="1308" customFormat="false" ht="15" hidden="false" customHeight="true" outlineLevel="0" collapsed="false">
      <c r="A1308" s="52" t="n">
        <v>1307</v>
      </c>
      <c r="B1308" s="52" t="s">
        <v>397</v>
      </c>
      <c r="C1308" s="52" t="s">
        <v>624</v>
      </c>
      <c r="D1308" s="52" t="s">
        <v>1612</v>
      </c>
      <c r="E1308" s="52" t="s">
        <v>1640</v>
      </c>
      <c r="F1308" s="52" t="s">
        <v>123</v>
      </c>
      <c r="G1308" s="52" t="s">
        <v>1652</v>
      </c>
      <c r="H1308" s="52" t="n">
        <v>1</v>
      </c>
    </row>
    <row r="1309" customFormat="false" ht="15" hidden="false" customHeight="true" outlineLevel="0" collapsed="false">
      <c r="A1309" s="52" t="n">
        <v>1308</v>
      </c>
      <c r="B1309" s="52" t="s">
        <v>397</v>
      </c>
      <c r="C1309" s="52" t="s">
        <v>624</v>
      </c>
      <c r="D1309" s="52" t="s">
        <v>1612</v>
      </c>
      <c r="E1309" s="52" t="s">
        <v>1640</v>
      </c>
      <c r="F1309" s="52" t="s">
        <v>13</v>
      </c>
      <c r="G1309" s="52" t="s">
        <v>1653</v>
      </c>
      <c r="H1309" s="52" t="n">
        <v>1</v>
      </c>
    </row>
    <row r="1310" customFormat="false" ht="15" hidden="false" customHeight="true" outlineLevel="0" collapsed="false">
      <c r="A1310" s="52" t="n">
        <v>1309</v>
      </c>
      <c r="B1310" s="52" t="s">
        <v>397</v>
      </c>
      <c r="C1310" s="52" t="s">
        <v>624</v>
      </c>
      <c r="D1310" s="52" t="s">
        <v>1612</v>
      </c>
      <c r="E1310" s="52" t="s">
        <v>1640</v>
      </c>
      <c r="F1310" s="52" t="s">
        <v>101</v>
      </c>
      <c r="G1310" s="52" t="s">
        <v>1654</v>
      </c>
      <c r="H1310" s="52" t="n">
        <v>1</v>
      </c>
    </row>
    <row r="1311" customFormat="false" ht="15" hidden="false" customHeight="true" outlineLevel="0" collapsed="false">
      <c r="A1311" s="52" t="n">
        <v>1310</v>
      </c>
      <c r="B1311" s="52" t="s">
        <v>397</v>
      </c>
      <c r="C1311" s="52" t="s">
        <v>624</v>
      </c>
      <c r="D1311" s="52" t="s">
        <v>1612</v>
      </c>
      <c r="E1311" s="52" t="s">
        <v>1640</v>
      </c>
      <c r="F1311" s="52" t="s">
        <v>86</v>
      </c>
      <c r="G1311" s="52" t="s">
        <v>442</v>
      </c>
      <c r="H1311" s="52" t="n">
        <v>0</v>
      </c>
    </row>
    <row r="1312" customFormat="false" ht="15" hidden="false" customHeight="true" outlineLevel="0" collapsed="false">
      <c r="A1312" s="52" t="n">
        <v>1311</v>
      </c>
      <c r="B1312" s="52" t="s">
        <v>397</v>
      </c>
      <c r="C1312" s="52" t="s">
        <v>624</v>
      </c>
      <c r="D1312" s="52" t="s">
        <v>1612</v>
      </c>
      <c r="E1312" s="52" t="s">
        <v>1655</v>
      </c>
      <c r="F1312" s="52" t="s">
        <v>331</v>
      </c>
      <c r="G1312" s="52" t="s">
        <v>1656</v>
      </c>
      <c r="H1312" s="52" t="n">
        <v>1</v>
      </c>
    </row>
    <row r="1313" customFormat="false" ht="15" hidden="false" customHeight="true" outlineLevel="0" collapsed="false">
      <c r="A1313" s="52" t="n">
        <v>1312</v>
      </c>
      <c r="B1313" s="52" t="s">
        <v>397</v>
      </c>
      <c r="C1313" s="52" t="s">
        <v>624</v>
      </c>
      <c r="D1313" s="52" t="s">
        <v>1612</v>
      </c>
      <c r="E1313" s="52" t="s">
        <v>1655</v>
      </c>
      <c r="F1313" s="52" t="s">
        <v>331</v>
      </c>
      <c r="G1313" s="52" t="s">
        <v>1657</v>
      </c>
      <c r="H1313" s="52" t="n">
        <v>1</v>
      </c>
    </row>
    <row r="1314" customFormat="false" ht="15" hidden="false" customHeight="true" outlineLevel="0" collapsed="false">
      <c r="A1314" s="52" t="n">
        <v>1313</v>
      </c>
      <c r="B1314" s="52" t="s">
        <v>397</v>
      </c>
      <c r="C1314" s="52" t="s">
        <v>624</v>
      </c>
      <c r="D1314" s="52" t="s">
        <v>1612</v>
      </c>
      <c r="E1314" s="52" t="s">
        <v>1655</v>
      </c>
      <c r="F1314" s="52" t="s">
        <v>74</v>
      </c>
      <c r="G1314" s="52" t="s">
        <v>1658</v>
      </c>
      <c r="H1314" s="52" t="n">
        <v>1</v>
      </c>
    </row>
    <row r="1315" customFormat="false" ht="15" hidden="false" customHeight="true" outlineLevel="0" collapsed="false">
      <c r="A1315" s="52" t="n">
        <v>1314</v>
      </c>
      <c r="B1315" s="52" t="s">
        <v>397</v>
      </c>
      <c r="C1315" s="52" t="s">
        <v>624</v>
      </c>
      <c r="D1315" s="52" t="s">
        <v>1612</v>
      </c>
      <c r="E1315" s="52" t="s">
        <v>1655</v>
      </c>
      <c r="F1315" s="52" t="s">
        <v>74</v>
      </c>
      <c r="G1315" s="52" t="s">
        <v>1659</v>
      </c>
      <c r="H1315" s="52" t="n">
        <v>1</v>
      </c>
    </row>
    <row r="1316" customFormat="false" ht="15" hidden="false" customHeight="true" outlineLevel="0" collapsed="false">
      <c r="A1316" s="52" t="n">
        <v>1315</v>
      </c>
      <c r="B1316" s="52" t="s">
        <v>397</v>
      </c>
      <c r="C1316" s="52" t="s">
        <v>624</v>
      </c>
      <c r="D1316" s="52" t="s">
        <v>1612</v>
      </c>
      <c r="E1316" s="52" t="s">
        <v>1655</v>
      </c>
      <c r="F1316" s="52" t="s">
        <v>259</v>
      </c>
      <c r="G1316" s="52" t="s">
        <v>950</v>
      </c>
      <c r="H1316" s="52" t="n">
        <v>1</v>
      </c>
    </row>
    <row r="1317" customFormat="false" ht="15" hidden="false" customHeight="true" outlineLevel="0" collapsed="false">
      <c r="A1317" s="52" t="n">
        <v>1316</v>
      </c>
      <c r="B1317" s="52" t="s">
        <v>397</v>
      </c>
      <c r="C1317" s="52" t="s">
        <v>624</v>
      </c>
      <c r="D1317" s="52" t="s">
        <v>1612</v>
      </c>
      <c r="E1317" s="52" t="s">
        <v>1655</v>
      </c>
      <c r="F1317" s="52" t="s">
        <v>259</v>
      </c>
      <c r="G1317" s="52" t="s">
        <v>1660</v>
      </c>
      <c r="H1317" s="52" t="n">
        <v>1</v>
      </c>
    </row>
    <row r="1318" customFormat="false" ht="15" hidden="false" customHeight="true" outlineLevel="0" collapsed="false">
      <c r="A1318" s="52" t="n">
        <v>1317</v>
      </c>
      <c r="B1318" s="52" t="s">
        <v>397</v>
      </c>
      <c r="C1318" s="52" t="s">
        <v>624</v>
      </c>
      <c r="D1318" s="52" t="s">
        <v>1612</v>
      </c>
      <c r="E1318" s="52" t="s">
        <v>1655</v>
      </c>
      <c r="F1318" s="52" t="s">
        <v>52</v>
      </c>
      <c r="G1318" s="52" t="s">
        <v>690</v>
      </c>
      <c r="H1318" s="52" t="n">
        <v>1</v>
      </c>
    </row>
    <row r="1319" customFormat="false" ht="15" hidden="false" customHeight="true" outlineLevel="0" collapsed="false">
      <c r="A1319" s="52" t="n">
        <v>1318</v>
      </c>
      <c r="B1319" s="52" t="s">
        <v>397</v>
      </c>
      <c r="C1319" s="52" t="s">
        <v>624</v>
      </c>
      <c r="D1319" s="52" t="s">
        <v>1612</v>
      </c>
      <c r="E1319" s="52" t="s">
        <v>1655</v>
      </c>
      <c r="F1319" s="52" t="s">
        <v>21</v>
      </c>
      <c r="G1319" s="52" t="s">
        <v>1661</v>
      </c>
      <c r="H1319" s="52" t="n">
        <v>1</v>
      </c>
    </row>
    <row r="1320" customFormat="false" ht="15" hidden="false" customHeight="true" outlineLevel="0" collapsed="false">
      <c r="A1320" s="52" t="n">
        <v>1319</v>
      </c>
      <c r="B1320" s="52" t="s">
        <v>397</v>
      </c>
      <c r="C1320" s="52" t="s">
        <v>624</v>
      </c>
      <c r="D1320" s="52" t="s">
        <v>1612</v>
      </c>
      <c r="E1320" s="52" t="s">
        <v>1655</v>
      </c>
      <c r="F1320" s="52" t="s">
        <v>21</v>
      </c>
      <c r="G1320" s="52" t="s">
        <v>1662</v>
      </c>
      <c r="H1320" s="52" t="n">
        <v>1</v>
      </c>
    </row>
    <row r="1321" customFormat="false" ht="15" hidden="false" customHeight="true" outlineLevel="0" collapsed="false">
      <c r="A1321" s="52" t="n">
        <v>1320</v>
      </c>
      <c r="B1321" s="52" t="s">
        <v>397</v>
      </c>
      <c r="C1321" s="52" t="s">
        <v>624</v>
      </c>
      <c r="D1321" s="52" t="s">
        <v>1612</v>
      </c>
      <c r="E1321" s="52" t="s">
        <v>1655</v>
      </c>
      <c r="F1321" s="52" t="s">
        <v>13</v>
      </c>
      <c r="G1321" s="52" t="s">
        <v>1663</v>
      </c>
      <c r="H1321" s="52" t="n">
        <v>1</v>
      </c>
    </row>
    <row r="1322" customFormat="false" ht="15" hidden="false" customHeight="true" outlineLevel="0" collapsed="false">
      <c r="A1322" s="52" t="n">
        <v>1321</v>
      </c>
      <c r="B1322" s="52" t="s">
        <v>397</v>
      </c>
      <c r="C1322" s="52" t="s">
        <v>624</v>
      </c>
      <c r="D1322" s="52" t="s">
        <v>1612</v>
      </c>
      <c r="E1322" s="52" t="s">
        <v>1655</v>
      </c>
      <c r="F1322" s="52" t="s">
        <v>101</v>
      </c>
      <c r="G1322" s="52" t="s">
        <v>1664</v>
      </c>
      <c r="H1322" s="52" t="n">
        <v>1</v>
      </c>
    </row>
    <row r="1323" customFormat="false" ht="15" hidden="false" customHeight="true" outlineLevel="0" collapsed="false">
      <c r="A1323" s="52" t="n">
        <v>1322</v>
      </c>
      <c r="B1323" s="52" t="s">
        <v>397</v>
      </c>
      <c r="C1323" s="52" t="s">
        <v>624</v>
      </c>
      <c r="D1323" s="52" t="s">
        <v>1612</v>
      </c>
      <c r="E1323" s="52" t="s">
        <v>1655</v>
      </c>
      <c r="F1323" s="52" t="s">
        <v>86</v>
      </c>
      <c r="G1323" s="52" t="s">
        <v>1665</v>
      </c>
      <c r="H1323" s="52" t="n">
        <v>1</v>
      </c>
    </row>
    <row r="1324" customFormat="false" ht="15" hidden="false" customHeight="true" outlineLevel="0" collapsed="false">
      <c r="A1324" s="52" t="n">
        <v>1323</v>
      </c>
      <c r="B1324" s="52" t="s">
        <v>397</v>
      </c>
      <c r="C1324" s="52" t="s">
        <v>624</v>
      </c>
      <c r="D1324" s="52" t="s">
        <v>1612</v>
      </c>
      <c r="E1324" s="52" t="s">
        <v>1666</v>
      </c>
      <c r="F1324" s="52" t="s">
        <v>331</v>
      </c>
      <c r="G1324" s="52" t="s">
        <v>1667</v>
      </c>
      <c r="H1324" s="52" t="n">
        <v>1</v>
      </c>
    </row>
    <row r="1325" customFormat="false" ht="15" hidden="false" customHeight="true" outlineLevel="0" collapsed="false">
      <c r="A1325" s="52" t="n">
        <v>1324</v>
      </c>
      <c r="B1325" s="52" t="s">
        <v>397</v>
      </c>
      <c r="C1325" s="52" t="s">
        <v>624</v>
      </c>
      <c r="D1325" s="52" t="s">
        <v>1612</v>
      </c>
      <c r="E1325" s="52" t="s">
        <v>1666</v>
      </c>
      <c r="F1325" s="52" t="s">
        <v>74</v>
      </c>
      <c r="G1325" s="52" t="s">
        <v>1668</v>
      </c>
      <c r="H1325" s="52" t="n">
        <v>1</v>
      </c>
    </row>
    <row r="1326" customFormat="false" ht="15" hidden="false" customHeight="true" outlineLevel="0" collapsed="false">
      <c r="A1326" s="52" t="n">
        <v>1325</v>
      </c>
      <c r="B1326" s="52" t="s">
        <v>397</v>
      </c>
      <c r="C1326" s="52" t="s">
        <v>624</v>
      </c>
      <c r="D1326" s="52" t="s">
        <v>1612</v>
      </c>
      <c r="E1326" s="52" t="s">
        <v>1666</v>
      </c>
      <c r="F1326" s="52" t="s">
        <v>36</v>
      </c>
      <c r="G1326" s="52" t="s">
        <v>1669</v>
      </c>
      <c r="H1326" s="52" t="n">
        <v>1</v>
      </c>
    </row>
    <row r="1327" customFormat="false" ht="15" hidden="false" customHeight="true" outlineLevel="0" collapsed="false">
      <c r="A1327" s="52" t="n">
        <v>1326</v>
      </c>
      <c r="B1327" s="52" t="s">
        <v>397</v>
      </c>
      <c r="C1327" s="52" t="s">
        <v>624</v>
      </c>
      <c r="D1327" s="52" t="s">
        <v>1612</v>
      </c>
      <c r="E1327" s="52" t="s">
        <v>1666</v>
      </c>
      <c r="F1327" s="52" t="s">
        <v>259</v>
      </c>
      <c r="G1327" s="52" t="s">
        <v>1670</v>
      </c>
      <c r="H1327" s="52" t="n">
        <v>1</v>
      </c>
    </row>
    <row r="1328" customFormat="false" ht="15" hidden="false" customHeight="true" outlineLevel="0" collapsed="false">
      <c r="A1328" s="52" t="n">
        <v>1327</v>
      </c>
      <c r="B1328" s="52" t="s">
        <v>397</v>
      </c>
      <c r="C1328" s="52" t="s">
        <v>624</v>
      </c>
      <c r="D1328" s="52" t="s">
        <v>1612</v>
      </c>
      <c r="E1328" s="52" t="s">
        <v>1666</v>
      </c>
      <c r="F1328" s="52" t="s">
        <v>259</v>
      </c>
      <c r="G1328" s="52" t="s">
        <v>1671</v>
      </c>
      <c r="H1328" s="52" t="n">
        <v>1</v>
      </c>
    </row>
    <row r="1329" customFormat="false" ht="15" hidden="false" customHeight="true" outlineLevel="0" collapsed="false">
      <c r="A1329" s="52" t="n">
        <v>1328</v>
      </c>
      <c r="B1329" s="52" t="s">
        <v>397</v>
      </c>
      <c r="C1329" s="52" t="s">
        <v>624</v>
      </c>
      <c r="D1329" s="52" t="s">
        <v>1612</v>
      </c>
      <c r="E1329" s="52" t="s">
        <v>1666</v>
      </c>
      <c r="F1329" s="52" t="s">
        <v>52</v>
      </c>
      <c r="G1329" s="52" t="s">
        <v>1672</v>
      </c>
      <c r="H1329" s="52" t="n">
        <v>1</v>
      </c>
    </row>
    <row r="1330" customFormat="false" ht="15" hidden="false" customHeight="true" outlineLevel="0" collapsed="false">
      <c r="A1330" s="52" t="n">
        <v>1329</v>
      </c>
      <c r="B1330" s="52" t="s">
        <v>397</v>
      </c>
      <c r="C1330" s="52" t="s">
        <v>624</v>
      </c>
      <c r="D1330" s="52" t="s">
        <v>1612</v>
      </c>
      <c r="E1330" s="52" t="s">
        <v>1666</v>
      </c>
      <c r="F1330" s="52" t="s">
        <v>21</v>
      </c>
      <c r="G1330" s="52" t="s">
        <v>1673</v>
      </c>
      <c r="H1330" s="52" t="n">
        <v>1</v>
      </c>
    </row>
    <row r="1331" customFormat="false" ht="15" hidden="false" customHeight="true" outlineLevel="0" collapsed="false">
      <c r="A1331" s="52" t="n">
        <v>1330</v>
      </c>
      <c r="B1331" s="52" t="s">
        <v>397</v>
      </c>
      <c r="C1331" s="52" t="s">
        <v>624</v>
      </c>
      <c r="D1331" s="52" t="s">
        <v>1612</v>
      </c>
      <c r="E1331" s="52" t="s">
        <v>1666</v>
      </c>
      <c r="F1331" s="52" t="s">
        <v>123</v>
      </c>
      <c r="G1331" s="52" t="s">
        <v>1674</v>
      </c>
      <c r="H1331" s="52" t="n">
        <v>1</v>
      </c>
    </row>
    <row r="1332" customFormat="false" ht="15" hidden="false" customHeight="true" outlineLevel="0" collapsed="false">
      <c r="A1332" s="52" t="n">
        <v>1331</v>
      </c>
      <c r="B1332" s="52" t="s">
        <v>397</v>
      </c>
      <c r="C1332" s="52" t="s">
        <v>624</v>
      </c>
      <c r="D1332" s="52" t="s">
        <v>1612</v>
      </c>
      <c r="E1332" s="52" t="s">
        <v>1666</v>
      </c>
      <c r="F1332" s="52" t="s">
        <v>13</v>
      </c>
      <c r="G1332" s="52" t="s">
        <v>1675</v>
      </c>
      <c r="H1332" s="52" t="n">
        <v>1</v>
      </c>
    </row>
    <row r="1333" customFormat="false" ht="15" hidden="false" customHeight="true" outlineLevel="0" collapsed="false">
      <c r="A1333" s="52" t="n">
        <v>1332</v>
      </c>
      <c r="B1333" s="52" t="s">
        <v>397</v>
      </c>
      <c r="C1333" s="52" t="s">
        <v>624</v>
      </c>
      <c r="D1333" s="52" t="s">
        <v>1612</v>
      </c>
      <c r="E1333" s="52" t="s">
        <v>1666</v>
      </c>
      <c r="F1333" s="52" t="s">
        <v>101</v>
      </c>
      <c r="G1333" s="52" t="s">
        <v>1676</v>
      </c>
      <c r="H1333" s="52" t="n">
        <v>1</v>
      </c>
    </row>
    <row r="1334" customFormat="false" ht="15" hidden="false" customHeight="true" outlineLevel="0" collapsed="false">
      <c r="A1334" s="52" t="n">
        <v>1333</v>
      </c>
      <c r="B1334" s="52" t="s">
        <v>397</v>
      </c>
      <c r="C1334" s="52" t="s">
        <v>624</v>
      </c>
      <c r="D1334" s="52" t="s">
        <v>1612</v>
      </c>
      <c r="E1334" s="52" t="s">
        <v>1666</v>
      </c>
      <c r="F1334" s="52" t="s">
        <v>86</v>
      </c>
      <c r="G1334" s="52" t="s">
        <v>1677</v>
      </c>
      <c r="H1334" s="52" t="n">
        <v>1</v>
      </c>
    </row>
    <row r="1335" customFormat="false" ht="15" hidden="false" customHeight="true" outlineLevel="0" collapsed="false">
      <c r="A1335" s="52" t="n">
        <v>1334</v>
      </c>
      <c r="B1335" s="52" t="s">
        <v>399</v>
      </c>
      <c r="C1335" s="52" t="s">
        <v>408</v>
      </c>
      <c r="D1335" s="52" t="s">
        <v>1497</v>
      </c>
      <c r="E1335" s="52" t="s">
        <v>1678</v>
      </c>
      <c r="F1335" s="52" t="s">
        <v>331</v>
      </c>
      <c r="G1335" s="52" t="s">
        <v>1679</v>
      </c>
      <c r="H1335" s="52" t="n">
        <v>1</v>
      </c>
    </row>
    <row r="1336" customFormat="false" ht="15" hidden="false" customHeight="true" outlineLevel="0" collapsed="false">
      <c r="A1336" s="52" t="n">
        <v>1335</v>
      </c>
      <c r="B1336" s="52" t="s">
        <v>399</v>
      </c>
      <c r="C1336" s="52" t="s">
        <v>408</v>
      </c>
      <c r="D1336" s="52" t="s">
        <v>1497</v>
      </c>
      <c r="E1336" s="52" t="s">
        <v>1678</v>
      </c>
      <c r="F1336" s="52" t="s">
        <v>331</v>
      </c>
      <c r="G1336" s="52" t="s">
        <v>1680</v>
      </c>
      <c r="H1336" s="52" t="n">
        <v>1</v>
      </c>
    </row>
    <row r="1337" customFormat="false" ht="15" hidden="false" customHeight="true" outlineLevel="0" collapsed="false">
      <c r="A1337" s="52" t="n">
        <v>1336</v>
      </c>
      <c r="B1337" s="52" t="s">
        <v>399</v>
      </c>
      <c r="C1337" s="52" t="s">
        <v>408</v>
      </c>
      <c r="D1337" s="52" t="s">
        <v>1497</v>
      </c>
      <c r="E1337" s="52" t="s">
        <v>1678</v>
      </c>
      <c r="F1337" s="52" t="s">
        <v>331</v>
      </c>
      <c r="G1337" s="52" t="s">
        <v>1681</v>
      </c>
      <c r="H1337" s="52" t="n">
        <v>1</v>
      </c>
    </row>
    <row r="1338" customFormat="false" ht="15" hidden="false" customHeight="true" outlineLevel="0" collapsed="false">
      <c r="A1338" s="52" t="n">
        <v>1337</v>
      </c>
      <c r="B1338" s="52" t="s">
        <v>399</v>
      </c>
      <c r="C1338" s="52" t="s">
        <v>408</v>
      </c>
      <c r="D1338" s="52" t="s">
        <v>1497</v>
      </c>
      <c r="E1338" s="52" t="s">
        <v>1678</v>
      </c>
      <c r="F1338" s="52" t="s">
        <v>74</v>
      </c>
      <c r="G1338" s="52" t="s">
        <v>1682</v>
      </c>
      <c r="H1338" s="52" t="n">
        <v>1</v>
      </c>
    </row>
    <row r="1339" customFormat="false" ht="15" hidden="false" customHeight="true" outlineLevel="0" collapsed="false">
      <c r="A1339" s="52" t="n">
        <v>1338</v>
      </c>
      <c r="B1339" s="52" t="s">
        <v>399</v>
      </c>
      <c r="C1339" s="52" t="s">
        <v>408</v>
      </c>
      <c r="D1339" s="52" t="s">
        <v>1497</v>
      </c>
      <c r="E1339" s="52" t="s">
        <v>1678</v>
      </c>
      <c r="F1339" s="52" t="s">
        <v>74</v>
      </c>
      <c r="G1339" s="52" t="s">
        <v>1683</v>
      </c>
      <c r="H1339" s="52" t="n">
        <v>1</v>
      </c>
    </row>
    <row r="1340" customFormat="false" ht="15" hidden="false" customHeight="true" outlineLevel="0" collapsed="false">
      <c r="A1340" s="52" t="n">
        <v>1339</v>
      </c>
      <c r="B1340" s="52" t="s">
        <v>399</v>
      </c>
      <c r="C1340" s="52" t="s">
        <v>408</v>
      </c>
      <c r="D1340" s="52" t="s">
        <v>1497</v>
      </c>
      <c r="E1340" s="52" t="s">
        <v>1678</v>
      </c>
      <c r="F1340" s="52" t="s">
        <v>74</v>
      </c>
      <c r="G1340" s="52" t="s">
        <v>1684</v>
      </c>
      <c r="H1340" s="52" t="n">
        <v>1</v>
      </c>
    </row>
    <row r="1341" customFormat="false" ht="15" hidden="false" customHeight="true" outlineLevel="0" collapsed="false">
      <c r="A1341" s="52" t="n">
        <v>1340</v>
      </c>
      <c r="B1341" s="52" t="s">
        <v>399</v>
      </c>
      <c r="C1341" s="52" t="s">
        <v>408</v>
      </c>
      <c r="D1341" s="52" t="s">
        <v>1497</v>
      </c>
      <c r="E1341" s="52" t="s">
        <v>1678</v>
      </c>
      <c r="F1341" s="52" t="s">
        <v>36</v>
      </c>
      <c r="G1341" s="52" t="s">
        <v>1685</v>
      </c>
      <c r="H1341" s="52" t="n">
        <v>1</v>
      </c>
    </row>
    <row r="1342" customFormat="false" ht="15" hidden="false" customHeight="true" outlineLevel="0" collapsed="false">
      <c r="A1342" s="52" t="n">
        <v>1341</v>
      </c>
      <c r="B1342" s="52" t="s">
        <v>399</v>
      </c>
      <c r="C1342" s="52" t="s">
        <v>408</v>
      </c>
      <c r="D1342" s="52" t="s">
        <v>1497</v>
      </c>
      <c r="E1342" s="52" t="s">
        <v>1678</v>
      </c>
      <c r="F1342" s="52" t="s">
        <v>36</v>
      </c>
      <c r="G1342" s="52" t="s">
        <v>1686</v>
      </c>
      <c r="H1342" s="52" t="n">
        <v>1</v>
      </c>
    </row>
    <row r="1343" customFormat="false" ht="15" hidden="false" customHeight="true" outlineLevel="0" collapsed="false">
      <c r="A1343" s="52" t="n">
        <v>1342</v>
      </c>
      <c r="B1343" s="52" t="s">
        <v>399</v>
      </c>
      <c r="C1343" s="52" t="s">
        <v>408</v>
      </c>
      <c r="D1343" s="52" t="s">
        <v>1497</v>
      </c>
      <c r="E1343" s="52" t="s">
        <v>1678</v>
      </c>
      <c r="F1343" s="52" t="s">
        <v>36</v>
      </c>
      <c r="G1343" s="52" t="s">
        <v>1687</v>
      </c>
      <c r="H1343" s="52" t="n">
        <v>1</v>
      </c>
    </row>
    <row r="1344" customFormat="false" ht="15" hidden="false" customHeight="true" outlineLevel="0" collapsed="false">
      <c r="A1344" s="52" t="n">
        <v>1343</v>
      </c>
      <c r="B1344" s="52" t="s">
        <v>399</v>
      </c>
      <c r="C1344" s="52" t="s">
        <v>408</v>
      </c>
      <c r="D1344" s="52" t="s">
        <v>1497</v>
      </c>
      <c r="E1344" s="52" t="s">
        <v>1678</v>
      </c>
      <c r="F1344" s="52" t="s">
        <v>36</v>
      </c>
      <c r="G1344" s="52" t="s">
        <v>1688</v>
      </c>
      <c r="H1344" s="52" t="n">
        <v>1</v>
      </c>
    </row>
    <row r="1345" customFormat="false" ht="15" hidden="false" customHeight="true" outlineLevel="0" collapsed="false">
      <c r="A1345" s="52" t="n">
        <v>1344</v>
      </c>
      <c r="B1345" s="52" t="s">
        <v>399</v>
      </c>
      <c r="C1345" s="52" t="s">
        <v>408</v>
      </c>
      <c r="D1345" s="52" t="s">
        <v>1497</v>
      </c>
      <c r="E1345" s="52" t="s">
        <v>1678</v>
      </c>
      <c r="F1345" s="52" t="s">
        <v>259</v>
      </c>
      <c r="G1345" s="52" t="s">
        <v>1689</v>
      </c>
      <c r="H1345" s="52" t="n">
        <v>1</v>
      </c>
    </row>
    <row r="1346" customFormat="false" ht="15" hidden="false" customHeight="true" outlineLevel="0" collapsed="false">
      <c r="A1346" s="52" t="n">
        <v>1345</v>
      </c>
      <c r="B1346" s="52" t="s">
        <v>399</v>
      </c>
      <c r="C1346" s="52" t="s">
        <v>408</v>
      </c>
      <c r="D1346" s="52" t="s">
        <v>1497</v>
      </c>
      <c r="E1346" s="52" t="s">
        <v>1678</v>
      </c>
      <c r="F1346" s="52" t="s">
        <v>259</v>
      </c>
      <c r="G1346" s="52" t="s">
        <v>1690</v>
      </c>
      <c r="H1346" s="52" t="n">
        <v>1</v>
      </c>
    </row>
    <row r="1347" customFormat="false" ht="15" hidden="false" customHeight="true" outlineLevel="0" collapsed="false">
      <c r="A1347" s="52" t="n">
        <v>1346</v>
      </c>
      <c r="B1347" s="52" t="s">
        <v>399</v>
      </c>
      <c r="C1347" s="52" t="s">
        <v>408</v>
      </c>
      <c r="D1347" s="52" t="s">
        <v>1497</v>
      </c>
      <c r="E1347" s="52" t="s">
        <v>1678</v>
      </c>
      <c r="F1347" s="52" t="s">
        <v>52</v>
      </c>
      <c r="G1347" s="52" t="s">
        <v>1691</v>
      </c>
      <c r="H1347" s="52" t="n">
        <v>1</v>
      </c>
    </row>
    <row r="1348" customFormat="false" ht="15" hidden="false" customHeight="true" outlineLevel="0" collapsed="false">
      <c r="A1348" s="52" t="n">
        <v>1347</v>
      </c>
      <c r="B1348" s="52" t="s">
        <v>399</v>
      </c>
      <c r="C1348" s="52" t="s">
        <v>408</v>
      </c>
      <c r="D1348" s="52" t="s">
        <v>1497</v>
      </c>
      <c r="E1348" s="52" t="s">
        <v>1678</v>
      </c>
      <c r="F1348" s="52" t="s">
        <v>52</v>
      </c>
      <c r="G1348" s="52" t="s">
        <v>1692</v>
      </c>
      <c r="H1348" s="52" t="n">
        <v>1</v>
      </c>
    </row>
    <row r="1349" customFormat="false" ht="15" hidden="false" customHeight="true" outlineLevel="0" collapsed="false">
      <c r="A1349" s="52" t="n">
        <v>1348</v>
      </c>
      <c r="B1349" s="52" t="s">
        <v>399</v>
      </c>
      <c r="C1349" s="52" t="s">
        <v>408</v>
      </c>
      <c r="D1349" s="52" t="s">
        <v>1497</v>
      </c>
      <c r="E1349" s="52" t="s">
        <v>1678</v>
      </c>
      <c r="F1349" s="52" t="s">
        <v>52</v>
      </c>
      <c r="G1349" s="52" t="s">
        <v>1693</v>
      </c>
      <c r="H1349" s="52" t="n">
        <v>1</v>
      </c>
    </row>
    <row r="1350" customFormat="false" ht="15" hidden="false" customHeight="true" outlineLevel="0" collapsed="false">
      <c r="A1350" s="52" t="n">
        <v>1349</v>
      </c>
      <c r="B1350" s="52" t="s">
        <v>399</v>
      </c>
      <c r="C1350" s="52" t="s">
        <v>408</v>
      </c>
      <c r="D1350" s="52" t="s">
        <v>1497</v>
      </c>
      <c r="E1350" s="52" t="s">
        <v>1678</v>
      </c>
      <c r="F1350" s="52" t="s">
        <v>52</v>
      </c>
      <c r="G1350" s="52" t="s">
        <v>1694</v>
      </c>
      <c r="H1350" s="52" t="n">
        <v>1</v>
      </c>
    </row>
    <row r="1351" customFormat="false" ht="15" hidden="false" customHeight="true" outlineLevel="0" collapsed="false">
      <c r="A1351" s="52" t="n">
        <v>1350</v>
      </c>
      <c r="B1351" s="52" t="s">
        <v>399</v>
      </c>
      <c r="C1351" s="52" t="s">
        <v>408</v>
      </c>
      <c r="D1351" s="52" t="s">
        <v>1497</v>
      </c>
      <c r="E1351" s="52" t="s">
        <v>1678</v>
      </c>
      <c r="F1351" s="52" t="s">
        <v>21</v>
      </c>
      <c r="G1351" s="52" t="s">
        <v>1695</v>
      </c>
      <c r="H1351" s="52" t="n">
        <v>1</v>
      </c>
    </row>
    <row r="1352" customFormat="false" ht="15" hidden="false" customHeight="true" outlineLevel="0" collapsed="false">
      <c r="A1352" s="52" t="n">
        <v>1351</v>
      </c>
      <c r="B1352" s="52" t="s">
        <v>399</v>
      </c>
      <c r="C1352" s="52" t="s">
        <v>408</v>
      </c>
      <c r="D1352" s="52" t="s">
        <v>1497</v>
      </c>
      <c r="E1352" s="52" t="s">
        <v>1678</v>
      </c>
      <c r="F1352" s="52" t="s">
        <v>21</v>
      </c>
      <c r="G1352" s="52" t="s">
        <v>1696</v>
      </c>
      <c r="H1352" s="52" t="n">
        <v>1</v>
      </c>
    </row>
    <row r="1353" customFormat="false" ht="15" hidden="false" customHeight="true" outlineLevel="0" collapsed="false">
      <c r="A1353" s="52" t="n">
        <v>1352</v>
      </c>
      <c r="B1353" s="52" t="s">
        <v>399</v>
      </c>
      <c r="C1353" s="52" t="s">
        <v>408</v>
      </c>
      <c r="D1353" s="52" t="s">
        <v>1497</v>
      </c>
      <c r="E1353" s="52" t="s">
        <v>1678</v>
      </c>
      <c r="F1353" s="52" t="s">
        <v>21</v>
      </c>
      <c r="G1353" s="52" t="s">
        <v>1697</v>
      </c>
      <c r="H1353" s="52" t="n">
        <v>1</v>
      </c>
    </row>
    <row r="1354" customFormat="false" ht="15" hidden="false" customHeight="true" outlineLevel="0" collapsed="false">
      <c r="A1354" s="52" t="n">
        <v>1353</v>
      </c>
      <c r="B1354" s="52" t="s">
        <v>399</v>
      </c>
      <c r="C1354" s="52" t="s">
        <v>408</v>
      </c>
      <c r="D1354" s="52" t="s">
        <v>1497</v>
      </c>
      <c r="E1354" s="52" t="s">
        <v>1678</v>
      </c>
      <c r="F1354" s="52" t="s">
        <v>21</v>
      </c>
      <c r="G1354" s="52" t="s">
        <v>1698</v>
      </c>
      <c r="H1354" s="52" t="n">
        <v>1</v>
      </c>
    </row>
    <row r="1355" customFormat="false" ht="15" hidden="false" customHeight="true" outlineLevel="0" collapsed="false">
      <c r="A1355" s="52" t="n">
        <v>1354</v>
      </c>
      <c r="B1355" s="52" t="s">
        <v>399</v>
      </c>
      <c r="C1355" s="52" t="s">
        <v>408</v>
      </c>
      <c r="D1355" s="52" t="s">
        <v>1497</v>
      </c>
      <c r="E1355" s="52" t="s">
        <v>1678</v>
      </c>
      <c r="F1355" s="52" t="s">
        <v>123</v>
      </c>
      <c r="G1355" s="52" t="s">
        <v>1699</v>
      </c>
      <c r="H1355" s="52" t="n">
        <v>1</v>
      </c>
    </row>
    <row r="1356" customFormat="false" ht="15" hidden="false" customHeight="true" outlineLevel="0" collapsed="false">
      <c r="A1356" s="52" t="n">
        <v>1355</v>
      </c>
      <c r="B1356" s="52" t="s">
        <v>399</v>
      </c>
      <c r="C1356" s="52" t="s">
        <v>408</v>
      </c>
      <c r="D1356" s="52" t="s">
        <v>1497</v>
      </c>
      <c r="E1356" s="52" t="s">
        <v>1678</v>
      </c>
      <c r="F1356" s="52" t="s">
        <v>123</v>
      </c>
      <c r="G1356" s="52" t="s">
        <v>1700</v>
      </c>
      <c r="H1356" s="52" t="n">
        <v>1</v>
      </c>
    </row>
    <row r="1357" customFormat="false" ht="15" hidden="false" customHeight="true" outlineLevel="0" collapsed="false">
      <c r="A1357" s="52" t="n">
        <v>1356</v>
      </c>
      <c r="B1357" s="52" t="s">
        <v>399</v>
      </c>
      <c r="C1357" s="52" t="s">
        <v>408</v>
      </c>
      <c r="D1357" s="52" t="s">
        <v>1497</v>
      </c>
      <c r="E1357" s="52" t="s">
        <v>1678</v>
      </c>
      <c r="F1357" s="52" t="s">
        <v>123</v>
      </c>
      <c r="G1357" s="52" t="s">
        <v>1701</v>
      </c>
      <c r="H1357" s="52" t="n">
        <v>1</v>
      </c>
    </row>
    <row r="1358" customFormat="false" ht="15" hidden="false" customHeight="true" outlineLevel="0" collapsed="false">
      <c r="A1358" s="52" t="n">
        <v>1357</v>
      </c>
      <c r="B1358" s="52" t="s">
        <v>399</v>
      </c>
      <c r="C1358" s="52" t="s">
        <v>408</v>
      </c>
      <c r="D1358" s="52" t="s">
        <v>1497</v>
      </c>
      <c r="E1358" s="52" t="s">
        <v>1678</v>
      </c>
      <c r="F1358" s="52" t="s">
        <v>123</v>
      </c>
      <c r="G1358" s="52" t="s">
        <v>1702</v>
      </c>
      <c r="H1358" s="52" t="n">
        <v>1</v>
      </c>
    </row>
    <row r="1359" customFormat="false" ht="15" hidden="false" customHeight="true" outlineLevel="0" collapsed="false">
      <c r="A1359" s="52" t="n">
        <v>1358</v>
      </c>
      <c r="B1359" s="52" t="s">
        <v>399</v>
      </c>
      <c r="C1359" s="52" t="s">
        <v>408</v>
      </c>
      <c r="D1359" s="52" t="s">
        <v>1497</v>
      </c>
      <c r="E1359" s="52" t="s">
        <v>1678</v>
      </c>
      <c r="F1359" s="52" t="s">
        <v>123</v>
      </c>
      <c r="G1359" s="52" t="s">
        <v>1703</v>
      </c>
      <c r="H1359" s="52" t="n">
        <v>1</v>
      </c>
    </row>
    <row r="1360" customFormat="false" ht="15" hidden="false" customHeight="true" outlineLevel="0" collapsed="false">
      <c r="A1360" s="52" t="n">
        <v>1359</v>
      </c>
      <c r="B1360" s="52" t="s">
        <v>399</v>
      </c>
      <c r="C1360" s="52" t="s">
        <v>408</v>
      </c>
      <c r="D1360" s="52" t="s">
        <v>1497</v>
      </c>
      <c r="E1360" s="52" t="s">
        <v>1678</v>
      </c>
      <c r="F1360" s="52" t="s">
        <v>13</v>
      </c>
      <c r="G1360" s="52" t="s">
        <v>1704</v>
      </c>
      <c r="H1360" s="52" t="n">
        <v>1</v>
      </c>
    </row>
    <row r="1361" customFormat="false" ht="15" hidden="false" customHeight="true" outlineLevel="0" collapsed="false">
      <c r="A1361" s="52" t="n">
        <v>1360</v>
      </c>
      <c r="B1361" s="52" t="s">
        <v>399</v>
      </c>
      <c r="C1361" s="52" t="s">
        <v>408</v>
      </c>
      <c r="D1361" s="52" t="s">
        <v>1497</v>
      </c>
      <c r="E1361" s="52" t="s">
        <v>1678</v>
      </c>
      <c r="F1361" s="52" t="s">
        <v>13</v>
      </c>
      <c r="G1361" s="52" t="s">
        <v>1705</v>
      </c>
      <c r="H1361" s="52" t="n">
        <v>1</v>
      </c>
    </row>
    <row r="1362" customFormat="false" ht="15" hidden="false" customHeight="true" outlineLevel="0" collapsed="false">
      <c r="A1362" s="52" t="n">
        <v>1361</v>
      </c>
      <c r="B1362" s="52" t="s">
        <v>399</v>
      </c>
      <c r="C1362" s="52" t="s">
        <v>408</v>
      </c>
      <c r="D1362" s="52" t="s">
        <v>1497</v>
      </c>
      <c r="E1362" s="52" t="s">
        <v>1678</v>
      </c>
      <c r="F1362" s="52" t="s">
        <v>13</v>
      </c>
      <c r="G1362" s="52" t="s">
        <v>1706</v>
      </c>
      <c r="H1362" s="52" t="n">
        <v>1</v>
      </c>
    </row>
    <row r="1363" customFormat="false" ht="15" hidden="false" customHeight="true" outlineLevel="0" collapsed="false">
      <c r="A1363" s="52" t="n">
        <v>1362</v>
      </c>
      <c r="B1363" s="52" t="s">
        <v>399</v>
      </c>
      <c r="C1363" s="52" t="s">
        <v>408</v>
      </c>
      <c r="D1363" s="52" t="s">
        <v>1497</v>
      </c>
      <c r="E1363" s="52" t="s">
        <v>1678</v>
      </c>
      <c r="F1363" s="52" t="s">
        <v>13</v>
      </c>
      <c r="G1363" s="52" t="s">
        <v>1707</v>
      </c>
      <c r="H1363" s="52" t="n">
        <v>1</v>
      </c>
    </row>
    <row r="1364" customFormat="false" ht="15" hidden="false" customHeight="true" outlineLevel="0" collapsed="false">
      <c r="A1364" s="52" t="n">
        <v>1363</v>
      </c>
      <c r="B1364" s="52" t="s">
        <v>399</v>
      </c>
      <c r="C1364" s="52" t="s">
        <v>408</v>
      </c>
      <c r="D1364" s="52" t="s">
        <v>1497</v>
      </c>
      <c r="E1364" s="52" t="s">
        <v>1678</v>
      </c>
      <c r="F1364" s="52" t="s">
        <v>13</v>
      </c>
      <c r="G1364" s="52" t="s">
        <v>1708</v>
      </c>
      <c r="H1364" s="52" t="n">
        <v>1</v>
      </c>
    </row>
    <row r="1365" customFormat="false" ht="15" hidden="false" customHeight="true" outlineLevel="0" collapsed="false">
      <c r="A1365" s="52" t="n">
        <v>1364</v>
      </c>
      <c r="B1365" s="52" t="s">
        <v>399</v>
      </c>
      <c r="C1365" s="52" t="s">
        <v>408</v>
      </c>
      <c r="D1365" s="52" t="s">
        <v>1497</v>
      </c>
      <c r="E1365" s="52" t="s">
        <v>1678</v>
      </c>
      <c r="F1365" s="52" t="s">
        <v>13</v>
      </c>
      <c r="G1365" s="52" t="s">
        <v>1709</v>
      </c>
      <c r="H1365" s="52" t="n">
        <v>1</v>
      </c>
    </row>
    <row r="1366" customFormat="false" ht="15" hidden="false" customHeight="true" outlineLevel="0" collapsed="false">
      <c r="A1366" s="52" t="n">
        <v>1365</v>
      </c>
      <c r="B1366" s="52" t="s">
        <v>399</v>
      </c>
      <c r="C1366" s="52" t="s">
        <v>408</v>
      </c>
      <c r="D1366" s="52" t="s">
        <v>1497</v>
      </c>
      <c r="E1366" s="52" t="s">
        <v>1678</v>
      </c>
      <c r="F1366" s="52" t="s">
        <v>101</v>
      </c>
      <c r="G1366" s="52" t="s">
        <v>1710</v>
      </c>
      <c r="H1366" s="52" t="n">
        <v>1</v>
      </c>
    </row>
    <row r="1367" customFormat="false" ht="15" hidden="false" customHeight="true" outlineLevel="0" collapsed="false">
      <c r="A1367" s="52" t="n">
        <v>1366</v>
      </c>
      <c r="B1367" s="52" t="s">
        <v>399</v>
      </c>
      <c r="C1367" s="52" t="s">
        <v>408</v>
      </c>
      <c r="D1367" s="52" t="s">
        <v>1497</v>
      </c>
      <c r="E1367" s="52" t="s">
        <v>1678</v>
      </c>
      <c r="F1367" s="52" t="s">
        <v>101</v>
      </c>
      <c r="G1367" s="52" t="s">
        <v>1711</v>
      </c>
      <c r="H1367" s="52" t="n">
        <v>1</v>
      </c>
    </row>
    <row r="1368" customFormat="false" ht="15" hidden="false" customHeight="true" outlineLevel="0" collapsed="false">
      <c r="A1368" s="52" t="n">
        <v>1367</v>
      </c>
      <c r="B1368" s="52" t="s">
        <v>399</v>
      </c>
      <c r="C1368" s="52" t="s">
        <v>408</v>
      </c>
      <c r="D1368" s="52" t="s">
        <v>1497</v>
      </c>
      <c r="E1368" s="52" t="s">
        <v>1678</v>
      </c>
      <c r="F1368" s="52" t="s">
        <v>101</v>
      </c>
      <c r="G1368" s="52" t="s">
        <v>1712</v>
      </c>
      <c r="H1368" s="52" t="n">
        <v>1</v>
      </c>
    </row>
    <row r="1369" customFormat="false" ht="15" hidden="false" customHeight="true" outlineLevel="0" collapsed="false">
      <c r="A1369" s="52" t="n">
        <v>1368</v>
      </c>
      <c r="B1369" s="52" t="s">
        <v>399</v>
      </c>
      <c r="C1369" s="52" t="s">
        <v>408</v>
      </c>
      <c r="D1369" s="52" t="s">
        <v>1497</v>
      </c>
      <c r="E1369" s="52" t="s">
        <v>1678</v>
      </c>
      <c r="F1369" s="52" t="s">
        <v>101</v>
      </c>
      <c r="G1369" s="52" t="s">
        <v>1713</v>
      </c>
      <c r="H1369" s="52" t="n">
        <v>1</v>
      </c>
    </row>
    <row r="1370" customFormat="false" ht="15" hidden="false" customHeight="true" outlineLevel="0" collapsed="false">
      <c r="A1370" s="52" t="n">
        <v>1369</v>
      </c>
      <c r="B1370" s="52" t="s">
        <v>399</v>
      </c>
      <c r="C1370" s="52" t="s">
        <v>408</v>
      </c>
      <c r="D1370" s="52" t="s">
        <v>1497</v>
      </c>
      <c r="E1370" s="52" t="s">
        <v>1678</v>
      </c>
      <c r="F1370" s="52" t="s">
        <v>101</v>
      </c>
      <c r="G1370" s="52" t="s">
        <v>1714</v>
      </c>
      <c r="H1370" s="52" t="n">
        <v>1</v>
      </c>
    </row>
    <row r="1371" customFormat="false" ht="15" hidden="false" customHeight="true" outlineLevel="0" collapsed="false">
      <c r="A1371" s="52" t="n">
        <v>1370</v>
      </c>
      <c r="B1371" s="52" t="s">
        <v>399</v>
      </c>
      <c r="C1371" s="52" t="s">
        <v>408</v>
      </c>
      <c r="D1371" s="52" t="s">
        <v>1497</v>
      </c>
      <c r="E1371" s="52" t="s">
        <v>1678</v>
      </c>
      <c r="F1371" s="52" t="s">
        <v>101</v>
      </c>
      <c r="G1371" s="52" t="s">
        <v>1715</v>
      </c>
      <c r="H1371" s="52" t="n">
        <v>1</v>
      </c>
    </row>
    <row r="1372" customFormat="false" ht="15" hidden="false" customHeight="true" outlineLevel="0" collapsed="false">
      <c r="A1372" s="52" t="n">
        <v>1371</v>
      </c>
      <c r="B1372" s="52" t="s">
        <v>399</v>
      </c>
      <c r="C1372" s="52" t="s">
        <v>408</v>
      </c>
      <c r="D1372" s="52" t="s">
        <v>1497</v>
      </c>
      <c r="E1372" s="52" t="s">
        <v>1678</v>
      </c>
      <c r="F1372" s="52" t="s">
        <v>101</v>
      </c>
      <c r="G1372" s="52" t="s">
        <v>1716</v>
      </c>
      <c r="H1372" s="52" t="n">
        <v>1</v>
      </c>
    </row>
    <row r="1373" customFormat="false" ht="15" hidden="false" customHeight="true" outlineLevel="0" collapsed="false">
      <c r="A1373" s="52" t="n">
        <v>1372</v>
      </c>
      <c r="B1373" s="52" t="s">
        <v>399</v>
      </c>
      <c r="C1373" s="52" t="s">
        <v>408</v>
      </c>
      <c r="D1373" s="52" t="s">
        <v>1497</v>
      </c>
      <c r="E1373" s="52" t="s">
        <v>1678</v>
      </c>
      <c r="F1373" s="52" t="s">
        <v>101</v>
      </c>
      <c r="G1373" s="52" t="s">
        <v>1717</v>
      </c>
      <c r="H1373" s="52" t="n">
        <v>1</v>
      </c>
    </row>
    <row r="1374" customFormat="false" ht="15" hidden="false" customHeight="true" outlineLevel="0" collapsed="false">
      <c r="A1374" s="52" t="n">
        <v>1373</v>
      </c>
      <c r="B1374" s="52" t="s">
        <v>399</v>
      </c>
      <c r="C1374" s="52" t="s">
        <v>408</v>
      </c>
      <c r="D1374" s="52" t="s">
        <v>1497</v>
      </c>
      <c r="E1374" s="52" t="s">
        <v>1678</v>
      </c>
      <c r="F1374" s="52" t="s">
        <v>101</v>
      </c>
      <c r="G1374" s="52" t="s">
        <v>1718</v>
      </c>
      <c r="H1374" s="52" t="n">
        <v>1</v>
      </c>
    </row>
    <row r="1375" customFormat="false" ht="15" hidden="false" customHeight="true" outlineLevel="0" collapsed="false">
      <c r="A1375" s="52" t="n">
        <v>1374</v>
      </c>
      <c r="B1375" s="52" t="s">
        <v>399</v>
      </c>
      <c r="C1375" s="52" t="s">
        <v>408</v>
      </c>
      <c r="D1375" s="52" t="s">
        <v>1497</v>
      </c>
      <c r="E1375" s="52" t="s">
        <v>1678</v>
      </c>
      <c r="F1375" s="52" t="s">
        <v>101</v>
      </c>
      <c r="G1375" s="52" t="s">
        <v>1719</v>
      </c>
      <c r="H1375" s="52" t="n">
        <v>1</v>
      </c>
    </row>
    <row r="1376" customFormat="false" ht="15" hidden="false" customHeight="true" outlineLevel="0" collapsed="false">
      <c r="A1376" s="52" t="n">
        <v>1375</v>
      </c>
      <c r="B1376" s="52" t="s">
        <v>399</v>
      </c>
      <c r="C1376" s="52" t="s">
        <v>408</v>
      </c>
      <c r="D1376" s="52" t="s">
        <v>1497</v>
      </c>
      <c r="E1376" s="52" t="s">
        <v>1678</v>
      </c>
      <c r="F1376" s="52" t="s">
        <v>101</v>
      </c>
      <c r="G1376" s="52" t="s">
        <v>1720</v>
      </c>
      <c r="H1376" s="52" t="n">
        <v>1</v>
      </c>
    </row>
    <row r="1377" customFormat="false" ht="15" hidden="false" customHeight="true" outlineLevel="0" collapsed="false">
      <c r="A1377" s="52" t="n">
        <v>1376</v>
      </c>
      <c r="B1377" s="52" t="s">
        <v>399</v>
      </c>
      <c r="C1377" s="52" t="s">
        <v>644</v>
      </c>
      <c r="D1377" s="52" t="s">
        <v>1497</v>
      </c>
      <c r="E1377" s="52" t="s">
        <v>1678</v>
      </c>
      <c r="F1377" s="52" t="s">
        <v>331</v>
      </c>
      <c r="G1377" s="52" t="s">
        <v>1721</v>
      </c>
      <c r="H1377" s="52" t="n">
        <v>1</v>
      </c>
    </row>
    <row r="1378" customFormat="false" ht="15" hidden="false" customHeight="true" outlineLevel="0" collapsed="false">
      <c r="A1378" s="52" t="n">
        <v>1377</v>
      </c>
      <c r="B1378" s="52" t="s">
        <v>399</v>
      </c>
      <c r="C1378" s="52" t="s">
        <v>644</v>
      </c>
      <c r="D1378" s="52" t="s">
        <v>1497</v>
      </c>
      <c r="E1378" s="52" t="s">
        <v>1678</v>
      </c>
      <c r="F1378" s="52" t="s">
        <v>331</v>
      </c>
      <c r="G1378" s="52" t="s">
        <v>1722</v>
      </c>
      <c r="H1378" s="52" t="n">
        <v>1</v>
      </c>
    </row>
    <row r="1379" customFormat="false" ht="15" hidden="false" customHeight="true" outlineLevel="0" collapsed="false">
      <c r="A1379" s="52" t="n">
        <v>1378</v>
      </c>
      <c r="B1379" s="52" t="s">
        <v>399</v>
      </c>
      <c r="C1379" s="52" t="s">
        <v>644</v>
      </c>
      <c r="D1379" s="52" t="s">
        <v>1497</v>
      </c>
      <c r="E1379" s="52" t="s">
        <v>1678</v>
      </c>
      <c r="F1379" s="52" t="s">
        <v>331</v>
      </c>
      <c r="G1379" s="52" t="s">
        <v>1723</v>
      </c>
      <c r="H1379" s="52" t="n">
        <v>1</v>
      </c>
    </row>
    <row r="1380" customFormat="false" ht="15" hidden="false" customHeight="true" outlineLevel="0" collapsed="false">
      <c r="A1380" s="52" t="n">
        <v>1379</v>
      </c>
      <c r="B1380" s="52" t="s">
        <v>399</v>
      </c>
      <c r="C1380" s="52" t="s">
        <v>644</v>
      </c>
      <c r="D1380" s="52" t="s">
        <v>1497</v>
      </c>
      <c r="E1380" s="52" t="s">
        <v>1678</v>
      </c>
      <c r="F1380" s="52" t="s">
        <v>331</v>
      </c>
      <c r="G1380" s="52" t="s">
        <v>1724</v>
      </c>
      <c r="H1380" s="52" t="n">
        <v>1</v>
      </c>
    </row>
    <row r="1381" customFormat="false" ht="15" hidden="false" customHeight="true" outlineLevel="0" collapsed="false">
      <c r="A1381" s="52" t="n">
        <v>1380</v>
      </c>
      <c r="B1381" s="52" t="s">
        <v>399</v>
      </c>
      <c r="C1381" s="52" t="s">
        <v>644</v>
      </c>
      <c r="D1381" s="52" t="s">
        <v>1497</v>
      </c>
      <c r="E1381" s="52" t="s">
        <v>1678</v>
      </c>
      <c r="F1381" s="52" t="s">
        <v>74</v>
      </c>
      <c r="G1381" s="52" t="s">
        <v>1725</v>
      </c>
      <c r="H1381" s="52" t="n">
        <v>1</v>
      </c>
    </row>
    <row r="1382" customFormat="false" ht="15" hidden="false" customHeight="true" outlineLevel="0" collapsed="false">
      <c r="A1382" s="52" t="n">
        <v>1381</v>
      </c>
      <c r="B1382" s="52" t="s">
        <v>399</v>
      </c>
      <c r="C1382" s="52" t="s">
        <v>644</v>
      </c>
      <c r="D1382" s="52" t="s">
        <v>1497</v>
      </c>
      <c r="E1382" s="52" t="s">
        <v>1678</v>
      </c>
      <c r="F1382" s="52" t="s">
        <v>74</v>
      </c>
      <c r="G1382" s="52" t="s">
        <v>1726</v>
      </c>
      <c r="H1382" s="52" t="n">
        <v>1</v>
      </c>
    </row>
    <row r="1383" customFormat="false" ht="15" hidden="false" customHeight="true" outlineLevel="0" collapsed="false">
      <c r="A1383" s="52" t="n">
        <v>1382</v>
      </c>
      <c r="B1383" s="52" t="s">
        <v>399</v>
      </c>
      <c r="C1383" s="52" t="s">
        <v>644</v>
      </c>
      <c r="D1383" s="52" t="s">
        <v>1497</v>
      </c>
      <c r="E1383" s="52" t="s">
        <v>1678</v>
      </c>
      <c r="F1383" s="52" t="s">
        <v>74</v>
      </c>
      <c r="G1383" s="52" t="s">
        <v>1727</v>
      </c>
      <c r="H1383" s="52" t="n">
        <v>1</v>
      </c>
    </row>
    <row r="1384" customFormat="false" ht="15" hidden="false" customHeight="true" outlineLevel="0" collapsed="false">
      <c r="A1384" s="52" t="n">
        <v>1383</v>
      </c>
      <c r="B1384" s="52" t="s">
        <v>399</v>
      </c>
      <c r="C1384" s="52" t="s">
        <v>644</v>
      </c>
      <c r="D1384" s="52" t="s">
        <v>1497</v>
      </c>
      <c r="E1384" s="52" t="s">
        <v>1678</v>
      </c>
      <c r="F1384" s="52" t="s">
        <v>74</v>
      </c>
      <c r="G1384" s="52" t="s">
        <v>1728</v>
      </c>
      <c r="H1384" s="52" t="n">
        <v>1</v>
      </c>
    </row>
    <row r="1385" customFormat="false" ht="15" hidden="false" customHeight="true" outlineLevel="0" collapsed="false">
      <c r="A1385" s="52" t="n">
        <v>1384</v>
      </c>
      <c r="B1385" s="52" t="s">
        <v>399</v>
      </c>
      <c r="C1385" s="52" t="s">
        <v>644</v>
      </c>
      <c r="D1385" s="52" t="s">
        <v>1497</v>
      </c>
      <c r="E1385" s="52" t="s">
        <v>1678</v>
      </c>
      <c r="F1385" s="52" t="s">
        <v>74</v>
      </c>
      <c r="G1385" s="52" t="s">
        <v>1729</v>
      </c>
      <c r="H1385" s="52" t="n">
        <v>1</v>
      </c>
    </row>
    <row r="1386" customFormat="false" ht="15" hidden="false" customHeight="true" outlineLevel="0" collapsed="false">
      <c r="A1386" s="52" t="n">
        <v>1385</v>
      </c>
      <c r="B1386" s="52" t="s">
        <v>399</v>
      </c>
      <c r="C1386" s="52" t="s">
        <v>644</v>
      </c>
      <c r="D1386" s="52" t="s">
        <v>1497</v>
      </c>
      <c r="E1386" s="52" t="s">
        <v>1678</v>
      </c>
      <c r="F1386" s="52" t="s">
        <v>74</v>
      </c>
      <c r="G1386" s="52" t="s">
        <v>1730</v>
      </c>
      <c r="H1386" s="52" t="n">
        <v>1</v>
      </c>
    </row>
    <row r="1387" customFormat="false" ht="15" hidden="false" customHeight="true" outlineLevel="0" collapsed="false">
      <c r="A1387" s="52" t="n">
        <v>1386</v>
      </c>
      <c r="B1387" s="52" t="s">
        <v>399</v>
      </c>
      <c r="C1387" s="52" t="s">
        <v>644</v>
      </c>
      <c r="D1387" s="52" t="s">
        <v>1497</v>
      </c>
      <c r="E1387" s="52" t="s">
        <v>1678</v>
      </c>
      <c r="F1387" s="52" t="s">
        <v>36</v>
      </c>
      <c r="G1387" s="52" t="s">
        <v>1731</v>
      </c>
      <c r="H1387" s="52" t="n">
        <v>1</v>
      </c>
    </row>
    <row r="1388" customFormat="false" ht="15" hidden="false" customHeight="true" outlineLevel="0" collapsed="false">
      <c r="A1388" s="52" t="n">
        <v>1387</v>
      </c>
      <c r="B1388" s="52" t="s">
        <v>399</v>
      </c>
      <c r="C1388" s="52" t="s">
        <v>644</v>
      </c>
      <c r="D1388" s="52" t="s">
        <v>1497</v>
      </c>
      <c r="E1388" s="52" t="s">
        <v>1678</v>
      </c>
      <c r="F1388" s="52" t="s">
        <v>36</v>
      </c>
      <c r="G1388" s="52" t="s">
        <v>1732</v>
      </c>
      <c r="H1388" s="52" t="n">
        <v>1</v>
      </c>
    </row>
    <row r="1389" customFormat="false" ht="15" hidden="false" customHeight="true" outlineLevel="0" collapsed="false">
      <c r="A1389" s="52" t="n">
        <v>1388</v>
      </c>
      <c r="B1389" s="52" t="s">
        <v>399</v>
      </c>
      <c r="C1389" s="52" t="s">
        <v>644</v>
      </c>
      <c r="D1389" s="52" t="s">
        <v>1497</v>
      </c>
      <c r="E1389" s="52" t="s">
        <v>1678</v>
      </c>
      <c r="F1389" s="52" t="s">
        <v>36</v>
      </c>
      <c r="G1389" s="52" t="s">
        <v>1733</v>
      </c>
      <c r="H1389" s="52" t="n">
        <v>1</v>
      </c>
    </row>
    <row r="1390" customFormat="false" ht="15" hidden="false" customHeight="true" outlineLevel="0" collapsed="false">
      <c r="A1390" s="52" t="n">
        <v>1389</v>
      </c>
      <c r="B1390" s="52" t="s">
        <v>399</v>
      </c>
      <c r="C1390" s="52" t="s">
        <v>644</v>
      </c>
      <c r="D1390" s="52" t="s">
        <v>1497</v>
      </c>
      <c r="E1390" s="52" t="s">
        <v>1678</v>
      </c>
      <c r="F1390" s="52" t="s">
        <v>36</v>
      </c>
      <c r="G1390" s="52" t="s">
        <v>1734</v>
      </c>
      <c r="H1390" s="52" t="n">
        <v>1</v>
      </c>
    </row>
    <row r="1391" customFormat="false" ht="15" hidden="false" customHeight="true" outlineLevel="0" collapsed="false">
      <c r="A1391" s="52" t="n">
        <v>1390</v>
      </c>
      <c r="B1391" s="52" t="s">
        <v>399</v>
      </c>
      <c r="C1391" s="52" t="s">
        <v>644</v>
      </c>
      <c r="D1391" s="52" t="s">
        <v>1497</v>
      </c>
      <c r="E1391" s="52" t="s">
        <v>1678</v>
      </c>
      <c r="F1391" s="52" t="s">
        <v>36</v>
      </c>
      <c r="G1391" s="52" t="s">
        <v>1735</v>
      </c>
      <c r="H1391" s="52" t="n">
        <v>1</v>
      </c>
    </row>
    <row r="1392" customFormat="false" ht="15" hidden="false" customHeight="true" outlineLevel="0" collapsed="false">
      <c r="A1392" s="52" t="n">
        <v>1391</v>
      </c>
      <c r="B1392" s="52" t="s">
        <v>399</v>
      </c>
      <c r="C1392" s="52" t="s">
        <v>644</v>
      </c>
      <c r="D1392" s="52" t="s">
        <v>1497</v>
      </c>
      <c r="E1392" s="52" t="s">
        <v>1678</v>
      </c>
      <c r="F1392" s="52" t="s">
        <v>259</v>
      </c>
      <c r="G1392" s="52" t="s">
        <v>1736</v>
      </c>
      <c r="H1392" s="52" t="n">
        <v>1</v>
      </c>
    </row>
    <row r="1393" customFormat="false" ht="15" hidden="false" customHeight="true" outlineLevel="0" collapsed="false">
      <c r="A1393" s="52" t="n">
        <v>1392</v>
      </c>
      <c r="B1393" s="52" t="s">
        <v>399</v>
      </c>
      <c r="C1393" s="52" t="s">
        <v>644</v>
      </c>
      <c r="D1393" s="52" t="s">
        <v>1497</v>
      </c>
      <c r="E1393" s="52" t="s">
        <v>1678</v>
      </c>
      <c r="F1393" s="52" t="s">
        <v>259</v>
      </c>
      <c r="G1393" s="52" t="s">
        <v>1737</v>
      </c>
      <c r="H1393" s="52" t="n">
        <v>1</v>
      </c>
    </row>
    <row r="1394" customFormat="false" ht="15" hidden="false" customHeight="true" outlineLevel="0" collapsed="false">
      <c r="A1394" s="52" t="n">
        <v>1393</v>
      </c>
      <c r="B1394" s="52" t="s">
        <v>399</v>
      </c>
      <c r="C1394" s="52" t="s">
        <v>644</v>
      </c>
      <c r="D1394" s="52" t="s">
        <v>1497</v>
      </c>
      <c r="E1394" s="52" t="s">
        <v>1678</v>
      </c>
      <c r="F1394" s="52" t="s">
        <v>259</v>
      </c>
      <c r="G1394" s="52" t="s">
        <v>1738</v>
      </c>
      <c r="H1394" s="52" t="n">
        <v>1</v>
      </c>
    </row>
    <row r="1395" customFormat="false" ht="15" hidden="false" customHeight="true" outlineLevel="0" collapsed="false">
      <c r="A1395" s="52" t="n">
        <v>1394</v>
      </c>
      <c r="B1395" s="52" t="s">
        <v>399</v>
      </c>
      <c r="C1395" s="52" t="s">
        <v>644</v>
      </c>
      <c r="D1395" s="52" t="s">
        <v>1497</v>
      </c>
      <c r="E1395" s="52" t="s">
        <v>1678</v>
      </c>
      <c r="F1395" s="52" t="s">
        <v>259</v>
      </c>
      <c r="G1395" s="52" t="s">
        <v>1739</v>
      </c>
      <c r="H1395" s="52" t="n">
        <v>1</v>
      </c>
    </row>
    <row r="1396" customFormat="false" ht="15" hidden="false" customHeight="true" outlineLevel="0" collapsed="false">
      <c r="A1396" s="52" t="n">
        <v>1395</v>
      </c>
      <c r="B1396" s="52" t="s">
        <v>399</v>
      </c>
      <c r="C1396" s="52" t="s">
        <v>644</v>
      </c>
      <c r="D1396" s="52" t="s">
        <v>1497</v>
      </c>
      <c r="E1396" s="52" t="s">
        <v>1678</v>
      </c>
      <c r="F1396" s="52" t="s">
        <v>259</v>
      </c>
      <c r="G1396" s="52" t="s">
        <v>1740</v>
      </c>
      <c r="H1396" s="52" t="n">
        <v>1</v>
      </c>
    </row>
    <row r="1397" customFormat="false" ht="15" hidden="false" customHeight="true" outlineLevel="0" collapsed="false">
      <c r="A1397" s="52" t="n">
        <v>1396</v>
      </c>
      <c r="B1397" s="52" t="s">
        <v>399</v>
      </c>
      <c r="C1397" s="52" t="s">
        <v>644</v>
      </c>
      <c r="D1397" s="52" t="s">
        <v>1497</v>
      </c>
      <c r="E1397" s="52" t="s">
        <v>1678</v>
      </c>
      <c r="F1397" s="52" t="s">
        <v>52</v>
      </c>
      <c r="G1397" s="52" t="s">
        <v>1741</v>
      </c>
      <c r="H1397" s="52" t="n">
        <v>1</v>
      </c>
    </row>
    <row r="1398" customFormat="false" ht="15" hidden="false" customHeight="true" outlineLevel="0" collapsed="false">
      <c r="A1398" s="52" t="n">
        <v>1397</v>
      </c>
      <c r="B1398" s="52" t="s">
        <v>399</v>
      </c>
      <c r="C1398" s="52" t="s">
        <v>644</v>
      </c>
      <c r="D1398" s="52" t="s">
        <v>1497</v>
      </c>
      <c r="E1398" s="52" t="s">
        <v>1678</v>
      </c>
      <c r="F1398" s="52" t="s">
        <v>52</v>
      </c>
      <c r="G1398" s="52" t="s">
        <v>1742</v>
      </c>
      <c r="H1398" s="52" t="n">
        <v>1</v>
      </c>
    </row>
    <row r="1399" customFormat="false" ht="15" hidden="false" customHeight="true" outlineLevel="0" collapsed="false">
      <c r="A1399" s="52" t="n">
        <v>1398</v>
      </c>
      <c r="B1399" s="52" t="s">
        <v>399</v>
      </c>
      <c r="C1399" s="52" t="s">
        <v>644</v>
      </c>
      <c r="D1399" s="52" t="s">
        <v>1497</v>
      </c>
      <c r="E1399" s="52" t="s">
        <v>1678</v>
      </c>
      <c r="F1399" s="52" t="s">
        <v>52</v>
      </c>
      <c r="G1399" s="52" t="s">
        <v>1743</v>
      </c>
      <c r="H1399" s="52" t="n">
        <v>1</v>
      </c>
    </row>
    <row r="1400" customFormat="false" ht="15" hidden="false" customHeight="true" outlineLevel="0" collapsed="false">
      <c r="A1400" s="52" t="n">
        <v>1399</v>
      </c>
      <c r="B1400" s="52" t="s">
        <v>399</v>
      </c>
      <c r="C1400" s="52" t="s">
        <v>644</v>
      </c>
      <c r="D1400" s="52" t="s">
        <v>1497</v>
      </c>
      <c r="E1400" s="52" t="s">
        <v>1678</v>
      </c>
      <c r="F1400" s="52" t="s">
        <v>52</v>
      </c>
      <c r="G1400" s="52" t="s">
        <v>1744</v>
      </c>
      <c r="H1400" s="52" t="n">
        <v>1</v>
      </c>
    </row>
    <row r="1401" customFormat="false" ht="15" hidden="false" customHeight="true" outlineLevel="0" collapsed="false">
      <c r="A1401" s="52" t="n">
        <v>1400</v>
      </c>
      <c r="B1401" s="52" t="s">
        <v>399</v>
      </c>
      <c r="C1401" s="52" t="s">
        <v>644</v>
      </c>
      <c r="D1401" s="52" t="s">
        <v>1497</v>
      </c>
      <c r="E1401" s="52" t="s">
        <v>1678</v>
      </c>
      <c r="F1401" s="52" t="s">
        <v>52</v>
      </c>
      <c r="G1401" s="52" t="s">
        <v>1745</v>
      </c>
      <c r="H1401" s="52" t="n">
        <v>1</v>
      </c>
    </row>
    <row r="1402" customFormat="false" ht="15" hidden="false" customHeight="true" outlineLevel="0" collapsed="false">
      <c r="A1402" s="52" t="n">
        <v>1401</v>
      </c>
      <c r="B1402" s="52" t="s">
        <v>399</v>
      </c>
      <c r="C1402" s="52" t="s">
        <v>644</v>
      </c>
      <c r="D1402" s="52" t="s">
        <v>1497</v>
      </c>
      <c r="E1402" s="52" t="s">
        <v>1678</v>
      </c>
      <c r="F1402" s="52" t="s">
        <v>52</v>
      </c>
      <c r="G1402" s="52" t="s">
        <v>1746</v>
      </c>
      <c r="H1402" s="52" t="n">
        <v>1</v>
      </c>
    </row>
    <row r="1403" customFormat="false" ht="15" hidden="false" customHeight="true" outlineLevel="0" collapsed="false">
      <c r="A1403" s="52" t="n">
        <v>1402</v>
      </c>
      <c r="B1403" s="52" t="s">
        <v>399</v>
      </c>
      <c r="C1403" s="52" t="s">
        <v>644</v>
      </c>
      <c r="D1403" s="52" t="s">
        <v>1497</v>
      </c>
      <c r="E1403" s="52" t="s">
        <v>1678</v>
      </c>
      <c r="F1403" s="52" t="s">
        <v>21</v>
      </c>
      <c r="G1403" s="52" t="s">
        <v>1747</v>
      </c>
      <c r="H1403" s="52" t="n">
        <v>1</v>
      </c>
    </row>
    <row r="1404" customFormat="false" ht="15" hidden="false" customHeight="true" outlineLevel="0" collapsed="false">
      <c r="A1404" s="52" t="n">
        <v>1403</v>
      </c>
      <c r="B1404" s="52" t="s">
        <v>399</v>
      </c>
      <c r="C1404" s="52" t="s">
        <v>644</v>
      </c>
      <c r="D1404" s="52" t="s">
        <v>1497</v>
      </c>
      <c r="E1404" s="52" t="s">
        <v>1678</v>
      </c>
      <c r="F1404" s="52" t="s">
        <v>21</v>
      </c>
      <c r="G1404" s="52" t="s">
        <v>1748</v>
      </c>
      <c r="H1404" s="52" t="n">
        <v>1</v>
      </c>
    </row>
    <row r="1405" customFormat="false" ht="15" hidden="false" customHeight="true" outlineLevel="0" collapsed="false">
      <c r="A1405" s="52" t="n">
        <v>1404</v>
      </c>
      <c r="B1405" s="52" t="s">
        <v>399</v>
      </c>
      <c r="C1405" s="52" t="s">
        <v>644</v>
      </c>
      <c r="D1405" s="52" t="s">
        <v>1497</v>
      </c>
      <c r="E1405" s="52" t="s">
        <v>1678</v>
      </c>
      <c r="F1405" s="52" t="s">
        <v>21</v>
      </c>
      <c r="G1405" s="52" t="s">
        <v>1749</v>
      </c>
      <c r="H1405" s="52" t="n">
        <v>1</v>
      </c>
    </row>
    <row r="1406" customFormat="false" ht="15" hidden="false" customHeight="true" outlineLevel="0" collapsed="false">
      <c r="A1406" s="52" t="n">
        <v>1405</v>
      </c>
      <c r="B1406" s="52" t="s">
        <v>399</v>
      </c>
      <c r="C1406" s="52" t="s">
        <v>644</v>
      </c>
      <c r="D1406" s="52" t="s">
        <v>1497</v>
      </c>
      <c r="E1406" s="52" t="s">
        <v>1678</v>
      </c>
      <c r="F1406" s="52" t="s">
        <v>21</v>
      </c>
      <c r="G1406" s="52" t="s">
        <v>1750</v>
      </c>
      <c r="H1406" s="52" t="n">
        <v>1</v>
      </c>
    </row>
    <row r="1407" customFormat="false" ht="15" hidden="false" customHeight="true" outlineLevel="0" collapsed="false">
      <c r="A1407" s="52" t="n">
        <v>1406</v>
      </c>
      <c r="B1407" s="52" t="s">
        <v>399</v>
      </c>
      <c r="C1407" s="52" t="s">
        <v>644</v>
      </c>
      <c r="D1407" s="52" t="s">
        <v>1497</v>
      </c>
      <c r="E1407" s="52" t="s">
        <v>1678</v>
      </c>
      <c r="F1407" s="52" t="s">
        <v>21</v>
      </c>
      <c r="G1407" s="52" t="s">
        <v>1751</v>
      </c>
      <c r="H1407" s="52" t="n">
        <v>1</v>
      </c>
    </row>
    <row r="1408" customFormat="false" ht="15" hidden="false" customHeight="true" outlineLevel="0" collapsed="false">
      <c r="A1408" s="52" t="n">
        <v>1407</v>
      </c>
      <c r="B1408" s="52" t="s">
        <v>399</v>
      </c>
      <c r="C1408" s="52" t="s">
        <v>644</v>
      </c>
      <c r="D1408" s="52" t="s">
        <v>1497</v>
      </c>
      <c r="E1408" s="52" t="s">
        <v>1678</v>
      </c>
      <c r="F1408" s="52" t="s">
        <v>21</v>
      </c>
      <c r="G1408" s="52" t="s">
        <v>1752</v>
      </c>
      <c r="H1408" s="52" t="n">
        <v>1</v>
      </c>
    </row>
    <row r="1409" customFormat="false" ht="15" hidden="false" customHeight="true" outlineLevel="0" collapsed="false">
      <c r="A1409" s="52" t="n">
        <v>1408</v>
      </c>
      <c r="B1409" s="52" t="s">
        <v>399</v>
      </c>
      <c r="C1409" s="52" t="s">
        <v>644</v>
      </c>
      <c r="D1409" s="52" t="s">
        <v>1497</v>
      </c>
      <c r="E1409" s="52" t="s">
        <v>1678</v>
      </c>
      <c r="F1409" s="52" t="s">
        <v>21</v>
      </c>
      <c r="G1409" s="52" t="s">
        <v>1753</v>
      </c>
      <c r="H1409" s="52" t="n">
        <v>1</v>
      </c>
    </row>
    <row r="1410" customFormat="false" ht="15" hidden="false" customHeight="true" outlineLevel="0" collapsed="false">
      <c r="A1410" s="52" t="n">
        <v>1409</v>
      </c>
      <c r="B1410" s="52" t="s">
        <v>399</v>
      </c>
      <c r="C1410" s="52" t="s">
        <v>644</v>
      </c>
      <c r="D1410" s="52" t="s">
        <v>1497</v>
      </c>
      <c r="E1410" s="52" t="s">
        <v>1678</v>
      </c>
      <c r="F1410" s="52" t="s">
        <v>21</v>
      </c>
      <c r="G1410" s="52" t="s">
        <v>1754</v>
      </c>
      <c r="H1410" s="52" t="n">
        <v>1</v>
      </c>
    </row>
    <row r="1411" customFormat="false" ht="15" hidden="false" customHeight="true" outlineLevel="0" collapsed="false">
      <c r="A1411" s="52" t="n">
        <v>1410</v>
      </c>
      <c r="B1411" s="52" t="s">
        <v>399</v>
      </c>
      <c r="C1411" s="52" t="s">
        <v>644</v>
      </c>
      <c r="D1411" s="52" t="s">
        <v>1497</v>
      </c>
      <c r="E1411" s="52" t="s">
        <v>1678</v>
      </c>
      <c r="F1411" s="52" t="s">
        <v>21</v>
      </c>
      <c r="G1411" s="52" t="s">
        <v>1755</v>
      </c>
      <c r="H1411" s="52" t="n">
        <v>1</v>
      </c>
    </row>
    <row r="1412" customFormat="false" ht="15" hidden="false" customHeight="true" outlineLevel="0" collapsed="false">
      <c r="A1412" s="52" t="n">
        <v>1411</v>
      </c>
      <c r="B1412" s="52" t="s">
        <v>399</v>
      </c>
      <c r="C1412" s="52" t="s">
        <v>644</v>
      </c>
      <c r="D1412" s="52" t="s">
        <v>1497</v>
      </c>
      <c r="E1412" s="52" t="s">
        <v>1678</v>
      </c>
      <c r="F1412" s="52" t="s">
        <v>123</v>
      </c>
      <c r="G1412" s="52" t="s">
        <v>1756</v>
      </c>
      <c r="H1412" s="52" t="n">
        <v>1</v>
      </c>
    </row>
    <row r="1413" customFormat="false" ht="15" hidden="false" customHeight="true" outlineLevel="0" collapsed="false">
      <c r="A1413" s="52" t="n">
        <v>1412</v>
      </c>
      <c r="B1413" s="52" t="s">
        <v>399</v>
      </c>
      <c r="C1413" s="52" t="s">
        <v>644</v>
      </c>
      <c r="D1413" s="52" t="s">
        <v>1497</v>
      </c>
      <c r="E1413" s="52" t="s">
        <v>1678</v>
      </c>
      <c r="F1413" s="52" t="s">
        <v>123</v>
      </c>
      <c r="G1413" s="52" t="s">
        <v>1757</v>
      </c>
      <c r="H1413" s="52" t="n">
        <v>1</v>
      </c>
    </row>
    <row r="1414" customFormat="false" ht="15" hidden="false" customHeight="true" outlineLevel="0" collapsed="false">
      <c r="A1414" s="52" t="n">
        <v>1413</v>
      </c>
      <c r="B1414" s="52" t="s">
        <v>399</v>
      </c>
      <c r="C1414" s="52" t="s">
        <v>644</v>
      </c>
      <c r="D1414" s="52" t="s">
        <v>1497</v>
      </c>
      <c r="E1414" s="52" t="s">
        <v>1678</v>
      </c>
      <c r="F1414" s="52" t="s">
        <v>123</v>
      </c>
      <c r="G1414" s="52" t="s">
        <v>1758</v>
      </c>
      <c r="H1414" s="52" t="n">
        <v>1</v>
      </c>
    </row>
    <row r="1415" customFormat="false" ht="15" hidden="false" customHeight="true" outlineLevel="0" collapsed="false">
      <c r="A1415" s="52" t="n">
        <v>1414</v>
      </c>
      <c r="B1415" s="52" t="s">
        <v>399</v>
      </c>
      <c r="C1415" s="52" t="s">
        <v>644</v>
      </c>
      <c r="D1415" s="52" t="s">
        <v>1497</v>
      </c>
      <c r="E1415" s="52" t="s">
        <v>1678</v>
      </c>
      <c r="F1415" s="52" t="s">
        <v>123</v>
      </c>
      <c r="G1415" s="52" t="s">
        <v>1759</v>
      </c>
      <c r="H1415" s="52" t="n">
        <v>1</v>
      </c>
    </row>
    <row r="1416" customFormat="false" ht="15" hidden="false" customHeight="true" outlineLevel="0" collapsed="false">
      <c r="A1416" s="52" t="n">
        <v>1415</v>
      </c>
      <c r="B1416" s="52" t="s">
        <v>399</v>
      </c>
      <c r="C1416" s="52" t="s">
        <v>644</v>
      </c>
      <c r="D1416" s="52" t="s">
        <v>1497</v>
      </c>
      <c r="E1416" s="52" t="s">
        <v>1678</v>
      </c>
      <c r="F1416" s="52" t="s">
        <v>123</v>
      </c>
      <c r="G1416" s="52" t="s">
        <v>1760</v>
      </c>
      <c r="H1416" s="52" t="n">
        <v>1</v>
      </c>
    </row>
    <row r="1417" customFormat="false" ht="15" hidden="false" customHeight="true" outlineLevel="0" collapsed="false">
      <c r="A1417" s="52" t="n">
        <v>1416</v>
      </c>
      <c r="B1417" s="52" t="s">
        <v>399</v>
      </c>
      <c r="C1417" s="52" t="s">
        <v>644</v>
      </c>
      <c r="D1417" s="52" t="s">
        <v>1497</v>
      </c>
      <c r="E1417" s="52" t="s">
        <v>1678</v>
      </c>
      <c r="F1417" s="52" t="s">
        <v>123</v>
      </c>
      <c r="G1417" s="52" t="s">
        <v>1761</v>
      </c>
      <c r="H1417" s="52" t="n">
        <v>1</v>
      </c>
    </row>
    <row r="1418" customFormat="false" ht="15" hidden="false" customHeight="true" outlineLevel="0" collapsed="false">
      <c r="A1418" s="52" t="n">
        <v>1417</v>
      </c>
      <c r="B1418" s="52" t="s">
        <v>399</v>
      </c>
      <c r="C1418" s="52" t="s">
        <v>644</v>
      </c>
      <c r="D1418" s="52" t="s">
        <v>1497</v>
      </c>
      <c r="E1418" s="52" t="s">
        <v>1678</v>
      </c>
      <c r="F1418" s="52" t="s">
        <v>123</v>
      </c>
      <c r="G1418" s="52" t="s">
        <v>1762</v>
      </c>
      <c r="H1418" s="52" t="n">
        <v>1</v>
      </c>
    </row>
    <row r="1419" customFormat="false" ht="15" hidden="false" customHeight="true" outlineLevel="0" collapsed="false">
      <c r="A1419" s="52" t="n">
        <v>1418</v>
      </c>
      <c r="B1419" s="52" t="s">
        <v>399</v>
      </c>
      <c r="C1419" s="52" t="s">
        <v>644</v>
      </c>
      <c r="D1419" s="52" t="s">
        <v>1497</v>
      </c>
      <c r="E1419" s="52" t="s">
        <v>1678</v>
      </c>
      <c r="F1419" s="52" t="s">
        <v>13</v>
      </c>
      <c r="G1419" s="52" t="s">
        <v>1763</v>
      </c>
      <c r="H1419" s="52" t="n">
        <v>1</v>
      </c>
    </row>
    <row r="1420" customFormat="false" ht="15" hidden="false" customHeight="true" outlineLevel="0" collapsed="false">
      <c r="A1420" s="52" t="n">
        <v>1419</v>
      </c>
      <c r="B1420" s="52" t="s">
        <v>399</v>
      </c>
      <c r="C1420" s="52" t="s">
        <v>644</v>
      </c>
      <c r="D1420" s="52" t="s">
        <v>1497</v>
      </c>
      <c r="E1420" s="52" t="s">
        <v>1678</v>
      </c>
      <c r="F1420" s="52" t="s">
        <v>13</v>
      </c>
      <c r="G1420" s="52" t="s">
        <v>1764</v>
      </c>
      <c r="H1420" s="52" t="n">
        <v>1</v>
      </c>
    </row>
    <row r="1421" customFormat="false" ht="15" hidden="false" customHeight="true" outlineLevel="0" collapsed="false">
      <c r="A1421" s="52" t="n">
        <v>1420</v>
      </c>
      <c r="B1421" s="52" t="s">
        <v>399</v>
      </c>
      <c r="C1421" s="52" t="s">
        <v>644</v>
      </c>
      <c r="D1421" s="52" t="s">
        <v>1497</v>
      </c>
      <c r="E1421" s="52" t="s">
        <v>1678</v>
      </c>
      <c r="F1421" s="52" t="s">
        <v>13</v>
      </c>
      <c r="G1421" s="52" t="s">
        <v>1765</v>
      </c>
      <c r="H1421" s="52" t="n">
        <v>1</v>
      </c>
    </row>
    <row r="1422" customFormat="false" ht="15" hidden="false" customHeight="true" outlineLevel="0" collapsed="false">
      <c r="A1422" s="52" t="n">
        <v>1421</v>
      </c>
      <c r="B1422" s="52" t="s">
        <v>399</v>
      </c>
      <c r="C1422" s="52" t="s">
        <v>644</v>
      </c>
      <c r="D1422" s="52" t="s">
        <v>1497</v>
      </c>
      <c r="E1422" s="52" t="s">
        <v>1678</v>
      </c>
      <c r="F1422" s="52" t="s">
        <v>13</v>
      </c>
      <c r="G1422" s="52" t="s">
        <v>1766</v>
      </c>
      <c r="H1422" s="52" t="n">
        <v>1</v>
      </c>
    </row>
    <row r="1423" customFormat="false" ht="15" hidden="false" customHeight="true" outlineLevel="0" collapsed="false">
      <c r="A1423" s="52" t="n">
        <v>1422</v>
      </c>
      <c r="B1423" s="52" t="s">
        <v>399</v>
      </c>
      <c r="C1423" s="52" t="s">
        <v>644</v>
      </c>
      <c r="D1423" s="52" t="s">
        <v>1497</v>
      </c>
      <c r="E1423" s="52" t="s">
        <v>1678</v>
      </c>
      <c r="F1423" s="52" t="s">
        <v>13</v>
      </c>
      <c r="G1423" s="52" t="s">
        <v>1767</v>
      </c>
      <c r="H1423" s="52" t="n">
        <v>1</v>
      </c>
    </row>
    <row r="1424" customFormat="false" ht="15" hidden="false" customHeight="true" outlineLevel="0" collapsed="false">
      <c r="A1424" s="52" t="n">
        <v>1423</v>
      </c>
      <c r="B1424" s="52" t="s">
        <v>399</v>
      </c>
      <c r="C1424" s="52" t="s">
        <v>644</v>
      </c>
      <c r="D1424" s="52" t="s">
        <v>1497</v>
      </c>
      <c r="E1424" s="52" t="s">
        <v>1678</v>
      </c>
      <c r="F1424" s="52" t="s">
        <v>13</v>
      </c>
      <c r="G1424" s="52" t="s">
        <v>1768</v>
      </c>
      <c r="H1424" s="52" t="n">
        <v>1</v>
      </c>
    </row>
    <row r="1425" customFormat="false" ht="15" hidden="false" customHeight="true" outlineLevel="0" collapsed="false">
      <c r="A1425" s="52" t="n">
        <v>1424</v>
      </c>
      <c r="B1425" s="52" t="s">
        <v>399</v>
      </c>
      <c r="C1425" s="52" t="s">
        <v>644</v>
      </c>
      <c r="D1425" s="52" t="s">
        <v>1497</v>
      </c>
      <c r="E1425" s="52" t="s">
        <v>1678</v>
      </c>
      <c r="F1425" s="52" t="s">
        <v>101</v>
      </c>
      <c r="G1425" s="52" t="s">
        <v>1769</v>
      </c>
      <c r="H1425" s="52" t="n">
        <v>1</v>
      </c>
    </row>
    <row r="1426" customFormat="false" ht="15" hidden="false" customHeight="true" outlineLevel="0" collapsed="false">
      <c r="A1426" s="52" t="n">
        <v>1425</v>
      </c>
      <c r="B1426" s="52" t="s">
        <v>399</v>
      </c>
      <c r="C1426" s="52" t="s">
        <v>644</v>
      </c>
      <c r="D1426" s="52" t="s">
        <v>1497</v>
      </c>
      <c r="E1426" s="52" t="s">
        <v>1678</v>
      </c>
      <c r="F1426" s="52" t="s">
        <v>101</v>
      </c>
      <c r="G1426" s="52" t="s">
        <v>1770</v>
      </c>
      <c r="H1426" s="52" t="n">
        <v>1</v>
      </c>
    </row>
    <row r="1427" customFormat="false" ht="15" hidden="false" customHeight="true" outlineLevel="0" collapsed="false">
      <c r="A1427" s="52" t="n">
        <v>1426</v>
      </c>
      <c r="B1427" s="52" t="s">
        <v>399</v>
      </c>
      <c r="C1427" s="52" t="s">
        <v>644</v>
      </c>
      <c r="D1427" s="52" t="s">
        <v>1497</v>
      </c>
      <c r="E1427" s="52" t="s">
        <v>1678</v>
      </c>
      <c r="F1427" s="52" t="s">
        <v>101</v>
      </c>
      <c r="G1427" s="52" t="s">
        <v>1771</v>
      </c>
      <c r="H1427" s="52" t="n">
        <v>1</v>
      </c>
    </row>
    <row r="1428" customFormat="false" ht="15" hidden="false" customHeight="true" outlineLevel="0" collapsed="false">
      <c r="A1428" s="52" t="n">
        <v>1427</v>
      </c>
      <c r="B1428" s="52" t="s">
        <v>399</v>
      </c>
      <c r="C1428" s="52" t="s">
        <v>644</v>
      </c>
      <c r="D1428" s="52" t="s">
        <v>1497</v>
      </c>
      <c r="E1428" s="52" t="s">
        <v>1678</v>
      </c>
      <c r="F1428" s="52" t="s">
        <v>101</v>
      </c>
      <c r="G1428" s="52" t="s">
        <v>1772</v>
      </c>
      <c r="H1428" s="52" t="n">
        <v>1</v>
      </c>
    </row>
    <row r="1429" customFormat="false" ht="15" hidden="false" customHeight="true" outlineLevel="0" collapsed="false">
      <c r="A1429" s="52" t="n">
        <v>1428</v>
      </c>
      <c r="B1429" s="52" t="s">
        <v>399</v>
      </c>
      <c r="C1429" s="52" t="s">
        <v>644</v>
      </c>
      <c r="D1429" s="52" t="s">
        <v>1497</v>
      </c>
      <c r="E1429" s="52" t="s">
        <v>1678</v>
      </c>
      <c r="F1429" s="52" t="s">
        <v>101</v>
      </c>
      <c r="G1429" s="52" t="s">
        <v>1773</v>
      </c>
      <c r="H1429" s="52" t="n">
        <v>1</v>
      </c>
    </row>
    <row r="1430" customFormat="false" ht="15" hidden="false" customHeight="true" outlineLevel="0" collapsed="false">
      <c r="A1430" s="52" t="n">
        <v>1429</v>
      </c>
      <c r="B1430" s="52" t="s">
        <v>399</v>
      </c>
      <c r="C1430" s="52" t="s">
        <v>644</v>
      </c>
      <c r="D1430" s="52" t="s">
        <v>1497</v>
      </c>
      <c r="E1430" s="52" t="s">
        <v>1678</v>
      </c>
      <c r="F1430" s="52" t="s">
        <v>101</v>
      </c>
      <c r="G1430" s="52" t="s">
        <v>1774</v>
      </c>
      <c r="H1430" s="52" t="n">
        <v>1</v>
      </c>
    </row>
    <row r="1431" customFormat="false" ht="15" hidden="false" customHeight="true" outlineLevel="0" collapsed="false">
      <c r="A1431" s="52" t="n">
        <v>1430</v>
      </c>
      <c r="B1431" s="52" t="s">
        <v>399</v>
      </c>
      <c r="C1431" s="52" t="s">
        <v>644</v>
      </c>
      <c r="D1431" s="52" t="s">
        <v>1497</v>
      </c>
      <c r="E1431" s="52" t="s">
        <v>1678</v>
      </c>
      <c r="F1431" s="52" t="s">
        <v>101</v>
      </c>
      <c r="G1431" s="52" t="s">
        <v>1775</v>
      </c>
      <c r="H1431" s="52" t="n">
        <v>1</v>
      </c>
    </row>
    <row r="1432" customFormat="false" ht="15" hidden="false" customHeight="true" outlineLevel="0" collapsed="false">
      <c r="A1432" s="52" t="n">
        <v>1431</v>
      </c>
      <c r="B1432" s="52" t="s">
        <v>399</v>
      </c>
      <c r="C1432" s="52" t="s">
        <v>644</v>
      </c>
      <c r="D1432" s="52" t="s">
        <v>1497</v>
      </c>
      <c r="E1432" s="52" t="s">
        <v>1678</v>
      </c>
      <c r="F1432" s="52" t="s">
        <v>101</v>
      </c>
      <c r="G1432" s="52" t="s">
        <v>1776</v>
      </c>
      <c r="H1432" s="52" t="n">
        <v>1</v>
      </c>
    </row>
    <row r="1433" customFormat="false" ht="15" hidden="false" customHeight="true" outlineLevel="0" collapsed="false">
      <c r="A1433" s="52" t="n">
        <v>1432</v>
      </c>
      <c r="B1433" s="52" t="s">
        <v>399</v>
      </c>
      <c r="C1433" s="52" t="s">
        <v>644</v>
      </c>
      <c r="D1433" s="52" t="s">
        <v>1497</v>
      </c>
      <c r="E1433" s="52" t="s">
        <v>1678</v>
      </c>
      <c r="F1433" s="52" t="s">
        <v>101</v>
      </c>
      <c r="G1433" s="52" t="s">
        <v>1777</v>
      </c>
      <c r="H1433" s="52" t="n">
        <v>1</v>
      </c>
    </row>
    <row r="1434" customFormat="false" ht="15" hidden="false" customHeight="true" outlineLevel="0" collapsed="false">
      <c r="A1434" s="52" t="n">
        <v>1433</v>
      </c>
      <c r="B1434" s="52" t="s">
        <v>399</v>
      </c>
      <c r="C1434" s="52" t="s">
        <v>408</v>
      </c>
      <c r="D1434" s="52" t="s">
        <v>1497</v>
      </c>
      <c r="E1434" s="52" t="s">
        <v>1778</v>
      </c>
      <c r="F1434" s="52" t="s">
        <v>331</v>
      </c>
      <c r="G1434" s="52" t="s">
        <v>1779</v>
      </c>
      <c r="H1434" s="52" t="n">
        <v>0</v>
      </c>
    </row>
    <row r="1435" customFormat="false" ht="15" hidden="false" customHeight="true" outlineLevel="0" collapsed="false">
      <c r="A1435" s="52" t="n">
        <v>1434</v>
      </c>
      <c r="B1435" s="52" t="s">
        <v>399</v>
      </c>
      <c r="C1435" s="52" t="s">
        <v>408</v>
      </c>
      <c r="D1435" s="52" t="s">
        <v>1497</v>
      </c>
      <c r="E1435" s="52" t="s">
        <v>1778</v>
      </c>
      <c r="F1435" s="52" t="s">
        <v>74</v>
      </c>
      <c r="G1435" s="52" t="s">
        <v>1779</v>
      </c>
      <c r="H1435" s="52" t="n">
        <v>0</v>
      </c>
    </row>
    <row r="1436" customFormat="false" ht="15" hidden="false" customHeight="true" outlineLevel="0" collapsed="false">
      <c r="A1436" s="52" t="n">
        <v>1435</v>
      </c>
      <c r="B1436" s="52" t="s">
        <v>399</v>
      </c>
      <c r="C1436" s="52" t="s">
        <v>408</v>
      </c>
      <c r="D1436" s="52" t="s">
        <v>1497</v>
      </c>
      <c r="E1436" s="52" t="s">
        <v>1778</v>
      </c>
      <c r="F1436" s="52" t="s">
        <v>36</v>
      </c>
      <c r="G1436" s="52" t="s">
        <v>1780</v>
      </c>
      <c r="H1436" s="52" t="n">
        <v>1</v>
      </c>
    </row>
    <row r="1437" customFormat="false" ht="15" hidden="false" customHeight="true" outlineLevel="0" collapsed="false">
      <c r="A1437" s="52" t="n">
        <v>1436</v>
      </c>
      <c r="B1437" s="52" t="s">
        <v>399</v>
      </c>
      <c r="C1437" s="52" t="s">
        <v>408</v>
      </c>
      <c r="D1437" s="52" t="s">
        <v>1497</v>
      </c>
      <c r="E1437" s="52" t="s">
        <v>1778</v>
      </c>
      <c r="F1437" s="52" t="s">
        <v>36</v>
      </c>
      <c r="G1437" s="52" t="s">
        <v>1781</v>
      </c>
      <c r="H1437" s="52" t="n">
        <v>1</v>
      </c>
    </row>
    <row r="1438" customFormat="false" ht="15" hidden="false" customHeight="true" outlineLevel="0" collapsed="false">
      <c r="A1438" s="52" t="n">
        <v>1437</v>
      </c>
      <c r="B1438" s="52" t="s">
        <v>399</v>
      </c>
      <c r="C1438" s="52" t="s">
        <v>408</v>
      </c>
      <c r="D1438" s="52" t="s">
        <v>1497</v>
      </c>
      <c r="E1438" s="52" t="s">
        <v>1778</v>
      </c>
      <c r="F1438" s="52" t="s">
        <v>36</v>
      </c>
      <c r="G1438" s="52" t="s">
        <v>1782</v>
      </c>
      <c r="H1438" s="52" t="n">
        <v>1</v>
      </c>
    </row>
    <row r="1439" customFormat="false" ht="15" hidden="false" customHeight="true" outlineLevel="0" collapsed="false">
      <c r="A1439" s="52" t="n">
        <v>1438</v>
      </c>
      <c r="B1439" s="52" t="s">
        <v>399</v>
      </c>
      <c r="C1439" s="52" t="s">
        <v>408</v>
      </c>
      <c r="D1439" s="52" t="s">
        <v>1497</v>
      </c>
      <c r="E1439" s="52" t="s">
        <v>1778</v>
      </c>
      <c r="F1439" s="52" t="s">
        <v>36</v>
      </c>
      <c r="G1439" s="52" t="s">
        <v>1783</v>
      </c>
      <c r="H1439" s="52" t="n">
        <v>1</v>
      </c>
    </row>
    <row r="1440" customFormat="false" ht="15" hidden="false" customHeight="true" outlineLevel="0" collapsed="false">
      <c r="A1440" s="52" t="n">
        <v>1439</v>
      </c>
      <c r="B1440" s="52" t="s">
        <v>399</v>
      </c>
      <c r="C1440" s="52" t="s">
        <v>408</v>
      </c>
      <c r="D1440" s="52" t="s">
        <v>1497</v>
      </c>
      <c r="E1440" s="52" t="s">
        <v>1778</v>
      </c>
      <c r="F1440" s="52" t="s">
        <v>36</v>
      </c>
      <c r="G1440" s="52" t="s">
        <v>1784</v>
      </c>
      <c r="H1440" s="52" t="n">
        <v>1</v>
      </c>
    </row>
    <row r="1441" customFormat="false" ht="15" hidden="false" customHeight="true" outlineLevel="0" collapsed="false">
      <c r="A1441" s="52" t="n">
        <v>1440</v>
      </c>
      <c r="B1441" s="52" t="s">
        <v>399</v>
      </c>
      <c r="C1441" s="52" t="s">
        <v>408</v>
      </c>
      <c r="D1441" s="52" t="s">
        <v>1497</v>
      </c>
      <c r="E1441" s="52" t="s">
        <v>1778</v>
      </c>
      <c r="F1441" s="52" t="s">
        <v>36</v>
      </c>
      <c r="G1441" s="52" t="s">
        <v>1785</v>
      </c>
      <c r="H1441" s="52" t="n">
        <v>1</v>
      </c>
    </row>
    <row r="1442" customFormat="false" ht="15" hidden="false" customHeight="true" outlineLevel="0" collapsed="false">
      <c r="A1442" s="52" t="n">
        <v>1441</v>
      </c>
      <c r="B1442" s="52" t="s">
        <v>399</v>
      </c>
      <c r="C1442" s="52" t="s">
        <v>408</v>
      </c>
      <c r="D1442" s="52" t="s">
        <v>1497</v>
      </c>
      <c r="E1442" s="52" t="s">
        <v>1778</v>
      </c>
      <c r="F1442" s="52" t="s">
        <v>36</v>
      </c>
      <c r="G1442" s="52" t="s">
        <v>1786</v>
      </c>
      <c r="H1442" s="52" t="n">
        <v>1</v>
      </c>
    </row>
    <row r="1443" customFormat="false" ht="15" hidden="false" customHeight="true" outlineLevel="0" collapsed="false">
      <c r="A1443" s="52" t="n">
        <v>1442</v>
      </c>
      <c r="B1443" s="52" t="s">
        <v>399</v>
      </c>
      <c r="C1443" s="52" t="s">
        <v>408</v>
      </c>
      <c r="D1443" s="52" t="s">
        <v>1497</v>
      </c>
      <c r="E1443" s="52" t="s">
        <v>1778</v>
      </c>
      <c r="F1443" s="52" t="s">
        <v>259</v>
      </c>
      <c r="G1443" s="52" t="s">
        <v>1787</v>
      </c>
      <c r="H1443" s="52" t="n">
        <v>1</v>
      </c>
    </row>
    <row r="1444" customFormat="false" ht="15" hidden="false" customHeight="true" outlineLevel="0" collapsed="false">
      <c r="A1444" s="52" t="n">
        <v>1443</v>
      </c>
      <c r="B1444" s="52" t="s">
        <v>399</v>
      </c>
      <c r="C1444" s="52" t="s">
        <v>408</v>
      </c>
      <c r="D1444" s="52" t="s">
        <v>1497</v>
      </c>
      <c r="E1444" s="52" t="s">
        <v>1778</v>
      </c>
      <c r="F1444" s="52" t="s">
        <v>259</v>
      </c>
      <c r="G1444" s="52" t="s">
        <v>1788</v>
      </c>
      <c r="H1444" s="52" t="n">
        <v>1</v>
      </c>
    </row>
    <row r="1445" customFormat="false" ht="15" hidden="false" customHeight="true" outlineLevel="0" collapsed="false">
      <c r="A1445" s="52" t="n">
        <v>1444</v>
      </c>
      <c r="B1445" s="52" t="s">
        <v>399</v>
      </c>
      <c r="C1445" s="52" t="s">
        <v>408</v>
      </c>
      <c r="D1445" s="52" t="s">
        <v>1497</v>
      </c>
      <c r="E1445" s="52" t="s">
        <v>1778</v>
      </c>
      <c r="F1445" s="52" t="s">
        <v>259</v>
      </c>
      <c r="G1445" s="52" t="s">
        <v>1789</v>
      </c>
      <c r="H1445" s="52" t="n">
        <v>1</v>
      </c>
    </row>
    <row r="1446" customFormat="false" ht="15" hidden="false" customHeight="true" outlineLevel="0" collapsed="false">
      <c r="A1446" s="52" t="n">
        <v>1445</v>
      </c>
      <c r="B1446" s="52" t="s">
        <v>399</v>
      </c>
      <c r="C1446" s="52" t="s">
        <v>408</v>
      </c>
      <c r="D1446" s="52" t="s">
        <v>1497</v>
      </c>
      <c r="E1446" s="52" t="s">
        <v>1778</v>
      </c>
      <c r="F1446" s="52" t="s">
        <v>259</v>
      </c>
      <c r="G1446" s="52" t="s">
        <v>1790</v>
      </c>
      <c r="H1446" s="52" t="n">
        <v>1</v>
      </c>
    </row>
    <row r="1447" customFormat="false" ht="15" hidden="false" customHeight="true" outlineLevel="0" collapsed="false">
      <c r="A1447" s="52" t="n">
        <v>1446</v>
      </c>
      <c r="B1447" s="52" t="s">
        <v>399</v>
      </c>
      <c r="C1447" s="52" t="s">
        <v>408</v>
      </c>
      <c r="D1447" s="52" t="s">
        <v>1497</v>
      </c>
      <c r="E1447" s="52" t="s">
        <v>1778</v>
      </c>
      <c r="F1447" s="52" t="s">
        <v>52</v>
      </c>
      <c r="G1447" s="52" t="s">
        <v>1791</v>
      </c>
      <c r="H1447" s="52" t="n">
        <v>1</v>
      </c>
    </row>
    <row r="1448" customFormat="false" ht="15" hidden="false" customHeight="true" outlineLevel="0" collapsed="false">
      <c r="A1448" s="52" t="n">
        <v>1447</v>
      </c>
      <c r="B1448" s="52" t="s">
        <v>399</v>
      </c>
      <c r="C1448" s="52" t="s">
        <v>408</v>
      </c>
      <c r="D1448" s="52" t="s">
        <v>1497</v>
      </c>
      <c r="E1448" s="52" t="s">
        <v>1778</v>
      </c>
      <c r="F1448" s="52" t="s">
        <v>52</v>
      </c>
      <c r="G1448" s="52" t="s">
        <v>1792</v>
      </c>
      <c r="H1448" s="52" t="n">
        <v>1</v>
      </c>
    </row>
    <row r="1449" customFormat="false" ht="15" hidden="false" customHeight="true" outlineLevel="0" collapsed="false">
      <c r="A1449" s="52" t="n">
        <v>1448</v>
      </c>
      <c r="B1449" s="52" t="s">
        <v>399</v>
      </c>
      <c r="C1449" s="52" t="s">
        <v>408</v>
      </c>
      <c r="D1449" s="52" t="s">
        <v>1497</v>
      </c>
      <c r="E1449" s="52" t="s">
        <v>1778</v>
      </c>
      <c r="F1449" s="52" t="s">
        <v>21</v>
      </c>
      <c r="G1449" s="52" t="s">
        <v>1793</v>
      </c>
      <c r="H1449" s="52" t="n">
        <v>1</v>
      </c>
    </row>
    <row r="1450" customFormat="false" ht="15" hidden="false" customHeight="true" outlineLevel="0" collapsed="false">
      <c r="A1450" s="52" t="n">
        <v>1449</v>
      </c>
      <c r="B1450" s="52" t="s">
        <v>399</v>
      </c>
      <c r="C1450" s="52" t="s">
        <v>408</v>
      </c>
      <c r="D1450" s="52" t="s">
        <v>1497</v>
      </c>
      <c r="E1450" s="52" t="s">
        <v>1778</v>
      </c>
      <c r="F1450" s="52" t="s">
        <v>21</v>
      </c>
      <c r="G1450" s="52" t="s">
        <v>1794</v>
      </c>
      <c r="H1450" s="52" t="n">
        <v>1</v>
      </c>
    </row>
    <row r="1451" customFormat="false" ht="15" hidden="false" customHeight="true" outlineLevel="0" collapsed="false">
      <c r="A1451" s="52" t="n">
        <v>1450</v>
      </c>
      <c r="B1451" s="52" t="s">
        <v>399</v>
      </c>
      <c r="C1451" s="52" t="s">
        <v>408</v>
      </c>
      <c r="D1451" s="52" t="s">
        <v>1497</v>
      </c>
      <c r="E1451" s="52" t="s">
        <v>1778</v>
      </c>
      <c r="F1451" s="52" t="s">
        <v>21</v>
      </c>
      <c r="G1451" s="52" t="s">
        <v>1795</v>
      </c>
      <c r="H1451" s="52" t="n">
        <v>1</v>
      </c>
    </row>
    <row r="1452" customFormat="false" ht="15" hidden="false" customHeight="true" outlineLevel="0" collapsed="false">
      <c r="A1452" s="52" t="n">
        <v>1451</v>
      </c>
      <c r="B1452" s="52" t="s">
        <v>399</v>
      </c>
      <c r="C1452" s="52" t="s">
        <v>408</v>
      </c>
      <c r="D1452" s="52" t="s">
        <v>1497</v>
      </c>
      <c r="E1452" s="52" t="s">
        <v>1778</v>
      </c>
      <c r="F1452" s="52" t="s">
        <v>21</v>
      </c>
      <c r="G1452" s="52" t="s">
        <v>1796</v>
      </c>
      <c r="H1452" s="52" t="n">
        <v>1</v>
      </c>
    </row>
    <row r="1453" customFormat="false" ht="15" hidden="false" customHeight="true" outlineLevel="0" collapsed="false">
      <c r="A1453" s="52" t="n">
        <v>1452</v>
      </c>
      <c r="B1453" s="52" t="s">
        <v>399</v>
      </c>
      <c r="C1453" s="52" t="s">
        <v>408</v>
      </c>
      <c r="D1453" s="52" t="s">
        <v>1497</v>
      </c>
      <c r="E1453" s="52" t="s">
        <v>1778</v>
      </c>
      <c r="F1453" s="52" t="s">
        <v>21</v>
      </c>
      <c r="G1453" s="52" t="s">
        <v>1797</v>
      </c>
      <c r="H1453" s="52" t="n">
        <v>1</v>
      </c>
    </row>
    <row r="1454" customFormat="false" ht="15" hidden="false" customHeight="true" outlineLevel="0" collapsed="false">
      <c r="A1454" s="52" t="n">
        <v>1453</v>
      </c>
      <c r="B1454" s="52" t="s">
        <v>399</v>
      </c>
      <c r="C1454" s="52" t="s">
        <v>408</v>
      </c>
      <c r="D1454" s="52" t="s">
        <v>1497</v>
      </c>
      <c r="E1454" s="52" t="s">
        <v>1778</v>
      </c>
      <c r="F1454" s="52" t="s">
        <v>123</v>
      </c>
      <c r="G1454" s="52" t="s">
        <v>1798</v>
      </c>
      <c r="H1454" s="52" t="n">
        <v>1</v>
      </c>
    </row>
    <row r="1455" customFormat="false" ht="15" hidden="false" customHeight="true" outlineLevel="0" collapsed="false">
      <c r="A1455" s="52" t="n">
        <v>1454</v>
      </c>
      <c r="B1455" s="52" t="s">
        <v>399</v>
      </c>
      <c r="C1455" s="52" t="s">
        <v>408</v>
      </c>
      <c r="D1455" s="52" t="s">
        <v>1497</v>
      </c>
      <c r="E1455" s="52" t="s">
        <v>1778</v>
      </c>
      <c r="F1455" s="52" t="s">
        <v>123</v>
      </c>
      <c r="G1455" s="52" t="s">
        <v>1799</v>
      </c>
      <c r="H1455" s="52" t="n">
        <v>1</v>
      </c>
    </row>
    <row r="1456" customFormat="false" ht="15" hidden="false" customHeight="true" outlineLevel="0" collapsed="false">
      <c r="A1456" s="52" t="n">
        <v>1455</v>
      </c>
      <c r="B1456" s="52" t="s">
        <v>399</v>
      </c>
      <c r="C1456" s="52" t="s">
        <v>408</v>
      </c>
      <c r="D1456" s="52" t="s">
        <v>1497</v>
      </c>
      <c r="E1456" s="52" t="s">
        <v>1778</v>
      </c>
      <c r="F1456" s="52" t="s">
        <v>123</v>
      </c>
      <c r="G1456" s="52" t="s">
        <v>1800</v>
      </c>
      <c r="H1456" s="52" t="n">
        <v>1</v>
      </c>
    </row>
    <row r="1457" customFormat="false" ht="15" hidden="false" customHeight="true" outlineLevel="0" collapsed="false">
      <c r="A1457" s="52" t="n">
        <v>1456</v>
      </c>
      <c r="B1457" s="52" t="s">
        <v>399</v>
      </c>
      <c r="C1457" s="52" t="s">
        <v>408</v>
      </c>
      <c r="D1457" s="52" t="s">
        <v>1497</v>
      </c>
      <c r="E1457" s="52" t="s">
        <v>1778</v>
      </c>
      <c r="F1457" s="52" t="s">
        <v>123</v>
      </c>
      <c r="G1457" s="52" t="s">
        <v>1801</v>
      </c>
      <c r="H1457" s="52" t="n">
        <v>1</v>
      </c>
    </row>
    <row r="1458" customFormat="false" ht="15" hidden="false" customHeight="true" outlineLevel="0" collapsed="false">
      <c r="A1458" s="52" t="n">
        <v>1457</v>
      </c>
      <c r="B1458" s="52" t="s">
        <v>399</v>
      </c>
      <c r="C1458" s="52" t="s">
        <v>408</v>
      </c>
      <c r="D1458" s="52" t="s">
        <v>1497</v>
      </c>
      <c r="E1458" s="52" t="s">
        <v>1778</v>
      </c>
      <c r="F1458" s="52" t="s">
        <v>123</v>
      </c>
      <c r="G1458" s="52" t="s">
        <v>1802</v>
      </c>
      <c r="H1458" s="52" t="n">
        <v>1</v>
      </c>
    </row>
    <row r="1459" customFormat="false" ht="15" hidden="false" customHeight="true" outlineLevel="0" collapsed="false">
      <c r="A1459" s="52" t="n">
        <v>1458</v>
      </c>
      <c r="B1459" s="52" t="s">
        <v>399</v>
      </c>
      <c r="C1459" s="52" t="s">
        <v>408</v>
      </c>
      <c r="D1459" s="52" t="s">
        <v>1497</v>
      </c>
      <c r="E1459" s="52" t="s">
        <v>1778</v>
      </c>
      <c r="F1459" s="52" t="s">
        <v>13</v>
      </c>
      <c r="G1459" s="52" t="s">
        <v>1803</v>
      </c>
      <c r="H1459" s="52" t="n">
        <v>1</v>
      </c>
    </row>
    <row r="1460" customFormat="false" ht="15" hidden="false" customHeight="true" outlineLevel="0" collapsed="false">
      <c r="A1460" s="52" t="n">
        <v>1459</v>
      </c>
      <c r="B1460" s="52" t="s">
        <v>399</v>
      </c>
      <c r="C1460" s="52" t="s">
        <v>408</v>
      </c>
      <c r="D1460" s="52" t="s">
        <v>1497</v>
      </c>
      <c r="E1460" s="52" t="s">
        <v>1778</v>
      </c>
      <c r="F1460" s="52" t="s">
        <v>13</v>
      </c>
      <c r="G1460" s="52" t="s">
        <v>1804</v>
      </c>
      <c r="H1460" s="52" t="n">
        <v>1</v>
      </c>
    </row>
    <row r="1461" customFormat="false" ht="15" hidden="false" customHeight="true" outlineLevel="0" collapsed="false">
      <c r="A1461" s="52" t="n">
        <v>1460</v>
      </c>
      <c r="B1461" s="52" t="s">
        <v>399</v>
      </c>
      <c r="C1461" s="52" t="s">
        <v>408</v>
      </c>
      <c r="D1461" s="52" t="s">
        <v>1497</v>
      </c>
      <c r="E1461" s="52" t="s">
        <v>1778</v>
      </c>
      <c r="F1461" s="52" t="s">
        <v>13</v>
      </c>
      <c r="G1461" s="52" t="s">
        <v>1805</v>
      </c>
      <c r="H1461" s="52" t="n">
        <v>1</v>
      </c>
    </row>
    <row r="1462" customFormat="false" ht="15" hidden="false" customHeight="true" outlineLevel="0" collapsed="false">
      <c r="A1462" s="52" t="n">
        <v>1461</v>
      </c>
      <c r="B1462" s="52" t="s">
        <v>399</v>
      </c>
      <c r="C1462" s="52" t="s">
        <v>408</v>
      </c>
      <c r="D1462" s="52" t="s">
        <v>1497</v>
      </c>
      <c r="E1462" s="52" t="s">
        <v>1778</v>
      </c>
      <c r="F1462" s="52" t="s">
        <v>13</v>
      </c>
      <c r="G1462" s="52" t="s">
        <v>1806</v>
      </c>
      <c r="H1462" s="52" t="n">
        <v>1</v>
      </c>
    </row>
    <row r="1463" customFormat="false" ht="15" hidden="false" customHeight="true" outlineLevel="0" collapsed="false">
      <c r="A1463" s="52" t="n">
        <v>1462</v>
      </c>
      <c r="B1463" s="52" t="s">
        <v>399</v>
      </c>
      <c r="C1463" s="52" t="s">
        <v>408</v>
      </c>
      <c r="D1463" s="52" t="s">
        <v>1497</v>
      </c>
      <c r="E1463" s="52" t="s">
        <v>1778</v>
      </c>
      <c r="F1463" s="52" t="s">
        <v>13</v>
      </c>
      <c r="G1463" s="52" t="s">
        <v>1807</v>
      </c>
      <c r="H1463" s="52" t="n">
        <v>1</v>
      </c>
    </row>
    <row r="1464" customFormat="false" ht="15" hidden="false" customHeight="true" outlineLevel="0" collapsed="false">
      <c r="A1464" s="52" t="n">
        <v>1463</v>
      </c>
      <c r="B1464" s="52" t="s">
        <v>399</v>
      </c>
      <c r="C1464" s="52" t="s">
        <v>408</v>
      </c>
      <c r="D1464" s="52" t="s">
        <v>1497</v>
      </c>
      <c r="E1464" s="52" t="s">
        <v>1778</v>
      </c>
      <c r="F1464" s="52" t="s">
        <v>13</v>
      </c>
      <c r="G1464" s="52" t="s">
        <v>1808</v>
      </c>
      <c r="H1464" s="52" t="n">
        <v>1</v>
      </c>
    </row>
    <row r="1465" customFormat="false" ht="15" hidden="false" customHeight="true" outlineLevel="0" collapsed="false">
      <c r="A1465" s="52" t="n">
        <v>1464</v>
      </c>
      <c r="B1465" s="52" t="s">
        <v>399</v>
      </c>
      <c r="C1465" s="52" t="s">
        <v>408</v>
      </c>
      <c r="D1465" s="52" t="s">
        <v>1497</v>
      </c>
      <c r="E1465" s="52" t="s">
        <v>1778</v>
      </c>
      <c r="F1465" s="52" t="s">
        <v>13</v>
      </c>
      <c r="G1465" s="52" t="s">
        <v>1809</v>
      </c>
      <c r="H1465" s="52" t="n">
        <v>1</v>
      </c>
    </row>
    <row r="1466" customFormat="false" ht="15" hidden="false" customHeight="true" outlineLevel="0" collapsed="false">
      <c r="A1466" s="52" t="n">
        <v>1465</v>
      </c>
      <c r="B1466" s="52" t="s">
        <v>399</v>
      </c>
      <c r="C1466" s="52" t="s">
        <v>408</v>
      </c>
      <c r="D1466" s="52" t="s">
        <v>1497</v>
      </c>
      <c r="E1466" s="52" t="s">
        <v>1778</v>
      </c>
      <c r="F1466" s="52" t="s">
        <v>101</v>
      </c>
      <c r="G1466" s="52" t="s">
        <v>1810</v>
      </c>
      <c r="H1466" s="52" t="n">
        <v>1</v>
      </c>
    </row>
    <row r="1467" customFormat="false" ht="15" hidden="false" customHeight="true" outlineLevel="0" collapsed="false">
      <c r="A1467" s="52" t="n">
        <v>1466</v>
      </c>
      <c r="B1467" s="52" t="s">
        <v>399</v>
      </c>
      <c r="C1467" s="52" t="s">
        <v>408</v>
      </c>
      <c r="D1467" s="52" t="s">
        <v>1497</v>
      </c>
      <c r="E1467" s="52" t="s">
        <v>1778</v>
      </c>
      <c r="F1467" s="52" t="s">
        <v>101</v>
      </c>
      <c r="G1467" s="52" t="s">
        <v>1811</v>
      </c>
      <c r="H1467" s="52" t="n">
        <v>1</v>
      </c>
    </row>
    <row r="1468" customFormat="false" ht="15" hidden="false" customHeight="true" outlineLevel="0" collapsed="false">
      <c r="A1468" s="52" t="n">
        <v>1467</v>
      </c>
      <c r="B1468" s="52" t="s">
        <v>399</v>
      </c>
      <c r="C1468" s="52" t="s">
        <v>408</v>
      </c>
      <c r="D1468" s="52" t="s">
        <v>1497</v>
      </c>
      <c r="E1468" s="52" t="s">
        <v>1778</v>
      </c>
      <c r="F1468" s="52" t="s">
        <v>101</v>
      </c>
      <c r="G1468" s="52" t="s">
        <v>1812</v>
      </c>
      <c r="H1468" s="52" t="n">
        <v>1</v>
      </c>
    </row>
    <row r="1469" customFormat="false" ht="15" hidden="false" customHeight="true" outlineLevel="0" collapsed="false">
      <c r="A1469" s="52" t="n">
        <v>1468</v>
      </c>
      <c r="B1469" s="52" t="s">
        <v>399</v>
      </c>
      <c r="C1469" s="52" t="s">
        <v>408</v>
      </c>
      <c r="D1469" s="52" t="s">
        <v>1497</v>
      </c>
      <c r="E1469" s="52" t="s">
        <v>1778</v>
      </c>
      <c r="F1469" s="52" t="s">
        <v>101</v>
      </c>
      <c r="G1469" s="52" t="s">
        <v>1813</v>
      </c>
      <c r="H1469" s="52" t="n">
        <v>1</v>
      </c>
    </row>
    <row r="1470" customFormat="false" ht="15" hidden="false" customHeight="true" outlineLevel="0" collapsed="false">
      <c r="A1470" s="52" t="n">
        <v>1469</v>
      </c>
      <c r="B1470" s="52" t="s">
        <v>399</v>
      </c>
      <c r="C1470" s="52" t="s">
        <v>408</v>
      </c>
      <c r="D1470" s="52" t="s">
        <v>1497</v>
      </c>
      <c r="E1470" s="52" t="s">
        <v>1778</v>
      </c>
      <c r="F1470" s="52" t="s">
        <v>101</v>
      </c>
      <c r="G1470" s="52" t="s">
        <v>1814</v>
      </c>
      <c r="H1470" s="52" t="n">
        <v>1</v>
      </c>
    </row>
    <row r="1471" customFormat="false" ht="15" hidden="false" customHeight="true" outlineLevel="0" collapsed="false">
      <c r="A1471" s="52" t="n">
        <v>1470</v>
      </c>
      <c r="B1471" s="52" t="s">
        <v>399</v>
      </c>
      <c r="C1471" s="52" t="s">
        <v>408</v>
      </c>
      <c r="D1471" s="52" t="s">
        <v>1497</v>
      </c>
      <c r="E1471" s="52" t="s">
        <v>1778</v>
      </c>
      <c r="F1471" s="52" t="s">
        <v>101</v>
      </c>
      <c r="G1471" s="52" t="s">
        <v>1815</v>
      </c>
      <c r="H1471" s="52" t="n">
        <v>1</v>
      </c>
    </row>
    <row r="1472" customFormat="false" ht="15" hidden="false" customHeight="true" outlineLevel="0" collapsed="false">
      <c r="A1472" s="52" t="n">
        <v>1471</v>
      </c>
      <c r="B1472" s="52" t="s">
        <v>399</v>
      </c>
      <c r="C1472" s="52" t="s">
        <v>644</v>
      </c>
      <c r="D1472" s="52" t="s">
        <v>1497</v>
      </c>
      <c r="E1472" s="52" t="s">
        <v>1778</v>
      </c>
      <c r="F1472" s="52" t="s">
        <v>331</v>
      </c>
      <c r="G1472" s="52" t="s">
        <v>1779</v>
      </c>
      <c r="H1472" s="52" t="n">
        <v>0</v>
      </c>
    </row>
    <row r="1473" customFormat="false" ht="15" hidden="false" customHeight="true" outlineLevel="0" collapsed="false">
      <c r="A1473" s="52" t="n">
        <v>1472</v>
      </c>
      <c r="B1473" s="52" t="s">
        <v>399</v>
      </c>
      <c r="C1473" s="52" t="s">
        <v>644</v>
      </c>
      <c r="D1473" s="52" t="s">
        <v>1497</v>
      </c>
      <c r="E1473" s="52" t="s">
        <v>1778</v>
      </c>
      <c r="F1473" s="52" t="s">
        <v>74</v>
      </c>
      <c r="G1473" s="52" t="s">
        <v>1779</v>
      </c>
      <c r="H1473" s="52" t="n">
        <v>0</v>
      </c>
    </row>
    <row r="1474" customFormat="false" ht="15" hidden="false" customHeight="true" outlineLevel="0" collapsed="false">
      <c r="A1474" s="52" t="n">
        <v>1473</v>
      </c>
      <c r="B1474" s="52" t="s">
        <v>399</v>
      </c>
      <c r="C1474" s="52" t="s">
        <v>644</v>
      </c>
      <c r="D1474" s="52" t="s">
        <v>1497</v>
      </c>
      <c r="E1474" s="52" t="s">
        <v>1778</v>
      </c>
      <c r="F1474" s="52" t="s">
        <v>36</v>
      </c>
      <c r="G1474" s="52" t="s">
        <v>1816</v>
      </c>
      <c r="H1474" s="52" t="n">
        <v>1</v>
      </c>
    </row>
    <row r="1475" customFormat="false" ht="15" hidden="false" customHeight="true" outlineLevel="0" collapsed="false">
      <c r="A1475" s="52" t="n">
        <v>1474</v>
      </c>
      <c r="B1475" s="52" t="s">
        <v>399</v>
      </c>
      <c r="C1475" s="52" t="s">
        <v>644</v>
      </c>
      <c r="D1475" s="52" t="s">
        <v>1497</v>
      </c>
      <c r="E1475" s="52" t="s">
        <v>1778</v>
      </c>
      <c r="F1475" s="52" t="s">
        <v>36</v>
      </c>
      <c r="G1475" s="52" t="s">
        <v>1817</v>
      </c>
      <c r="H1475" s="52" t="n">
        <v>1</v>
      </c>
    </row>
    <row r="1476" customFormat="false" ht="15" hidden="false" customHeight="true" outlineLevel="0" collapsed="false">
      <c r="A1476" s="52" t="n">
        <v>1475</v>
      </c>
      <c r="B1476" s="52" t="s">
        <v>399</v>
      </c>
      <c r="C1476" s="52" t="s">
        <v>644</v>
      </c>
      <c r="D1476" s="52" t="s">
        <v>1497</v>
      </c>
      <c r="E1476" s="52" t="s">
        <v>1778</v>
      </c>
      <c r="F1476" s="52" t="s">
        <v>259</v>
      </c>
      <c r="G1476" s="52" t="s">
        <v>1818</v>
      </c>
      <c r="H1476" s="52" t="n">
        <v>1</v>
      </c>
    </row>
    <row r="1477" customFormat="false" ht="15" hidden="false" customHeight="true" outlineLevel="0" collapsed="false">
      <c r="A1477" s="52" t="n">
        <v>1476</v>
      </c>
      <c r="B1477" s="52" t="s">
        <v>399</v>
      </c>
      <c r="C1477" s="52" t="s">
        <v>644</v>
      </c>
      <c r="D1477" s="52" t="s">
        <v>1497</v>
      </c>
      <c r="E1477" s="52" t="s">
        <v>1778</v>
      </c>
      <c r="F1477" s="52" t="s">
        <v>259</v>
      </c>
      <c r="G1477" s="52" t="s">
        <v>1819</v>
      </c>
      <c r="H1477" s="52" t="n">
        <v>1</v>
      </c>
    </row>
    <row r="1478" customFormat="false" ht="15" hidden="false" customHeight="true" outlineLevel="0" collapsed="false">
      <c r="A1478" s="52" t="n">
        <v>1477</v>
      </c>
      <c r="B1478" s="52" t="s">
        <v>399</v>
      </c>
      <c r="C1478" s="52" t="s">
        <v>644</v>
      </c>
      <c r="D1478" s="52" t="s">
        <v>1497</v>
      </c>
      <c r="E1478" s="52" t="s">
        <v>1778</v>
      </c>
      <c r="F1478" s="52" t="s">
        <v>259</v>
      </c>
      <c r="G1478" s="52" t="s">
        <v>1820</v>
      </c>
      <c r="H1478" s="52" t="n">
        <v>1</v>
      </c>
    </row>
    <row r="1479" customFormat="false" ht="15" hidden="false" customHeight="true" outlineLevel="0" collapsed="false">
      <c r="A1479" s="52" t="n">
        <v>1478</v>
      </c>
      <c r="B1479" s="52" t="s">
        <v>399</v>
      </c>
      <c r="C1479" s="52" t="s">
        <v>644</v>
      </c>
      <c r="D1479" s="52" t="s">
        <v>1497</v>
      </c>
      <c r="E1479" s="52" t="s">
        <v>1778</v>
      </c>
      <c r="F1479" s="52" t="s">
        <v>259</v>
      </c>
      <c r="G1479" s="52" t="s">
        <v>1821</v>
      </c>
      <c r="H1479" s="52" t="n">
        <v>1</v>
      </c>
    </row>
    <row r="1480" customFormat="false" ht="15" hidden="false" customHeight="true" outlineLevel="0" collapsed="false">
      <c r="A1480" s="52" t="n">
        <v>1479</v>
      </c>
      <c r="B1480" s="52" t="s">
        <v>399</v>
      </c>
      <c r="C1480" s="52" t="s">
        <v>644</v>
      </c>
      <c r="D1480" s="52" t="s">
        <v>1497</v>
      </c>
      <c r="E1480" s="52" t="s">
        <v>1778</v>
      </c>
      <c r="F1480" s="52" t="s">
        <v>259</v>
      </c>
      <c r="G1480" s="52" t="s">
        <v>1822</v>
      </c>
      <c r="H1480" s="52" t="n">
        <v>1</v>
      </c>
    </row>
    <row r="1481" customFormat="false" ht="15" hidden="false" customHeight="true" outlineLevel="0" collapsed="false">
      <c r="A1481" s="52" t="n">
        <v>1480</v>
      </c>
      <c r="B1481" s="52" t="s">
        <v>399</v>
      </c>
      <c r="C1481" s="52" t="s">
        <v>644</v>
      </c>
      <c r="D1481" s="52" t="s">
        <v>1497</v>
      </c>
      <c r="E1481" s="52" t="s">
        <v>1778</v>
      </c>
      <c r="F1481" s="52" t="s">
        <v>259</v>
      </c>
      <c r="G1481" s="52" t="s">
        <v>1823</v>
      </c>
      <c r="H1481" s="52" t="n">
        <v>1</v>
      </c>
    </row>
    <row r="1482" customFormat="false" ht="15" hidden="false" customHeight="true" outlineLevel="0" collapsed="false">
      <c r="A1482" s="52" t="n">
        <v>1481</v>
      </c>
      <c r="B1482" s="52" t="s">
        <v>399</v>
      </c>
      <c r="C1482" s="52" t="s">
        <v>644</v>
      </c>
      <c r="D1482" s="52" t="s">
        <v>1497</v>
      </c>
      <c r="E1482" s="52" t="s">
        <v>1778</v>
      </c>
      <c r="F1482" s="52" t="s">
        <v>259</v>
      </c>
      <c r="G1482" s="52" t="s">
        <v>1824</v>
      </c>
      <c r="H1482" s="52" t="n">
        <v>1</v>
      </c>
    </row>
    <row r="1483" customFormat="false" ht="15" hidden="false" customHeight="true" outlineLevel="0" collapsed="false">
      <c r="A1483" s="52" t="n">
        <v>1482</v>
      </c>
      <c r="B1483" s="52" t="s">
        <v>399</v>
      </c>
      <c r="C1483" s="52" t="s">
        <v>644</v>
      </c>
      <c r="D1483" s="52" t="s">
        <v>1497</v>
      </c>
      <c r="E1483" s="52" t="s">
        <v>1778</v>
      </c>
      <c r="F1483" s="52" t="s">
        <v>259</v>
      </c>
      <c r="G1483" s="52" t="s">
        <v>1825</v>
      </c>
      <c r="H1483" s="52" t="n">
        <v>1</v>
      </c>
    </row>
    <row r="1484" customFormat="false" ht="15" hidden="false" customHeight="true" outlineLevel="0" collapsed="false">
      <c r="A1484" s="52" t="n">
        <v>1483</v>
      </c>
      <c r="B1484" s="52" t="s">
        <v>399</v>
      </c>
      <c r="C1484" s="52" t="s">
        <v>644</v>
      </c>
      <c r="D1484" s="52" t="s">
        <v>1497</v>
      </c>
      <c r="E1484" s="52" t="s">
        <v>1778</v>
      </c>
      <c r="F1484" s="52" t="s">
        <v>259</v>
      </c>
      <c r="G1484" s="52" t="s">
        <v>1826</v>
      </c>
      <c r="H1484" s="52" t="n">
        <v>1</v>
      </c>
    </row>
    <row r="1485" customFormat="false" ht="15" hidden="false" customHeight="true" outlineLevel="0" collapsed="false">
      <c r="A1485" s="52" t="n">
        <v>1484</v>
      </c>
      <c r="B1485" s="52" t="s">
        <v>399</v>
      </c>
      <c r="C1485" s="52" t="s">
        <v>644</v>
      </c>
      <c r="D1485" s="52" t="s">
        <v>1497</v>
      </c>
      <c r="E1485" s="52" t="s">
        <v>1778</v>
      </c>
      <c r="F1485" s="52" t="s">
        <v>52</v>
      </c>
      <c r="G1485" s="52" t="s">
        <v>1827</v>
      </c>
      <c r="H1485" s="52" t="n">
        <v>1</v>
      </c>
    </row>
    <row r="1486" customFormat="false" ht="15" hidden="false" customHeight="true" outlineLevel="0" collapsed="false">
      <c r="A1486" s="52" t="n">
        <v>1485</v>
      </c>
      <c r="B1486" s="52" t="s">
        <v>399</v>
      </c>
      <c r="C1486" s="52" t="s">
        <v>644</v>
      </c>
      <c r="D1486" s="52" t="s">
        <v>1497</v>
      </c>
      <c r="E1486" s="52" t="s">
        <v>1778</v>
      </c>
      <c r="F1486" s="52" t="s">
        <v>52</v>
      </c>
      <c r="G1486" s="52" t="s">
        <v>1828</v>
      </c>
      <c r="H1486" s="52" t="n">
        <v>1</v>
      </c>
    </row>
    <row r="1487" customFormat="false" ht="15" hidden="false" customHeight="true" outlineLevel="0" collapsed="false">
      <c r="A1487" s="52" t="n">
        <v>1486</v>
      </c>
      <c r="B1487" s="52" t="s">
        <v>399</v>
      </c>
      <c r="C1487" s="52" t="s">
        <v>644</v>
      </c>
      <c r="D1487" s="52" t="s">
        <v>1497</v>
      </c>
      <c r="E1487" s="52" t="s">
        <v>1778</v>
      </c>
      <c r="F1487" s="52" t="s">
        <v>52</v>
      </c>
      <c r="G1487" s="52" t="s">
        <v>1829</v>
      </c>
      <c r="H1487" s="52" t="n">
        <v>1</v>
      </c>
    </row>
    <row r="1488" customFormat="false" ht="15" hidden="false" customHeight="true" outlineLevel="0" collapsed="false">
      <c r="A1488" s="52" t="n">
        <v>1487</v>
      </c>
      <c r="B1488" s="52" t="s">
        <v>399</v>
      </c>
      <c r="C1488" s="52" t="s">
        <v>644</v>
      </c>
      <c r="D1488" s="52" t="s">
        <v>1497</v>
      </c>
      <c r="E1488" s="52" t="s">
        <v>1778</v>
      </c>
      <c r="F1488" s="52" t="s">
        <v>52</v>
      </c>
      <c r="G1488" s="52" t="s">
        <v>1830</v>
      </c>
      <c r="H1488" s="52" t="n">
        <v>1</v>
      </c>
    </row>
    <row r="1489" customFormat="false" ht="15" hidden="false" customHeight="true" outlineLevel="0" collapsed="false">
      <c r="A1489" s="52" t="n">
        <v>1488</v>
      </c>
      <c r="B1489" s="52" t="s">
        <v>399</v>
      </c>
      <c r="C1489" s="52" t="s">
        <v>644</v>
      </c>
      <c r="D1489" s="52" t="s">
        <v>1497</v>
      </c>
      <c r="E1489" s="52" t="s">
        <v>1778</v>
      </c>
      <c r="F1489" s="52" t="s">
        <v>52</v>
      </c>
      <c r="G1489" s="52" t="s">
        <v>1831</v>
      </c>
      <c r="H1489" s="52" t="n">
        <v>1</v>
      </c>
    </row>
    <row r="1490" customFormat="false" ht="15" hidden="false" customHeight="true" outlineLevel="0" collapsed="false">
      <c r="A1490" s="52" t="n">
        <v>1489</v>
      </c>
      <c r="B1490" s="52" t="s">
        <v>399</v>
      </c>
      <c r="C1490" s="52" t="s">
        <v>644</v>
      </c>
      <c r="D1490" s="52" t="s">
        <v>1497</v>
      </c>
      <c r="E1490" s="52" t="s">
        <v>1778</v>
      </c>
      <c r="F1490" s="52" t="s">
        <v>52</v>
      </c>
      <c r="G1490" s="52" t="s">
        <v>1832</v>
      </c>
      <c r="H1490" s="52" t="n">
        <v>1</v>
      </c>
    </row>
    <row r="1491" customFormat="false" ht="15" hidden="false" customHeight="true" outlineLevel="0" collapsed="false">
      <c r="A1491" s="52" t="n">
        <v>1490</v>
      </c>
      <c r="B1491" s="52" t="s">
        <v>399</v>
      </c>
      <c r="C1491" s="52" t="s">
        <v>644</v>
      </c>
      <c r="D1491" s="52" t="s">
        <v>1497</v>
      </c>
      <c r="E1491" s="52" t="s">
        <v>1778</v>
      </c>
      <c r="F1491" s="52" t="s">
        <v>52</v>
      </c>
      <c r="G1491" s="52" t="s">
        <v>1833</v>
      </c>
      <c r="H1491" s="52" t="n">
        <v>1</v>
      </c>
    </row>
    <row r="1492" customFormat="false" ht="15" hidden="false" customHeight="true" outlineLevel="0" collapsed="false">
      <c r="A1492" s="52" t="n">
        <v>1491</v>
      </c>
      <c r="B1492" s="52" t="s">
        <v>399</v>
      </c>
      <c r="C1492" s="52" t="s">
        <v>644</v>
      </c>
      <c r="D1492" s="52" t="s">
        <v>1497</v>
      </c>
      <c r="E1492" s="52" t="s">
        <v>1778</v>
      </c>
      <c r="F1492" s="52" t="s">
        <v>21</v>
      </c>
      <c r="G1492" s="52" t="s">
        <v>1834</v>
      </c>
      <c r="H1492" s="52" t="n">
        <v>1</v>
      </c>
    </row>
    <row r="1493" customFormat="false" ht="15" hidden="false" customHeight="true" outlineLevel="0" collapsed="false">
      <c r="A1493" s="52" t="n">
        <v>1492</v>
      </c>
      <c r="B1493" s="52" t="s">
        <v>399</v>
      </c>
      <c r="C1493" s="52" t="s">
        <v>644</v>
      </c>
      <c r="D1493" s="52" t="s">
        <v>1497</v>
      </c>
      <c r="E1493" s="52" t="s">
        <v>1778</v>
      </c>
      <c r="F1493" s="52" t="s">
        <v>21</v>
      </c>
      <c r="G1493" s="52" t="s">
        <v>1835</v>
      </c>
      <c r="H1493" s="52" t="n">
        <v>1</v>
      </c>
    </row>
    <row r="1494" customFormat="false" ht="15" hidden="false" customHeight="true" outlineLevel="0" collapsed="false">
      <c r="A1494" s="52" t="n">
        <v>1493</v>
      </c>
      <c r="B1494" s="52" t="s">
        <v>399</v>
      </c>
      <c r="C1494" s="52" t="s">
        <v>644</v>
      </c>
      <c r="D1494" s="52" t="s">
        <v>1497</v>
      </c>
      <c r="E1494" s="52" t="s">
        <v>1778</v>
      </c>
      <c r="F1494" s="52" t="s">
        <v>21</v>
      </c>
      <c r="G1494" s="52" t="s">
        <v>1836</v>
      </c>
      <c r="H1494" s="52" t="n">
        <v>1</v>
      </c>
    </row>
    <row r="1495" customFormat="false" ht="15" hidden="false" customHeight="true" outlineLevel="0" collapsed="false">
      <c r="A1495" s="52" t="n">
        <v>1494</v>
      </c>
      <c r="B1495" s="52" t="s">
        <v>399</v>
      </c>
      <c r="C1495" s="52" t="s">
        <v>644</v>
      </c>
      <c r="D1495" s="52" t="s">
        <v>1497</v>
      </c>
      <c r="E1495" s="52" t="s">
        <v>1778</v>
      </c>
      <c r="F1495" s="52" t="s">
        <v>21</v>
      </c>
      <c r="G1495" s="52" t="s">
        <v>1837</v>
      </c>
      <c r="H1495" s="52" t="n">
        <v>1</v>
      </c>
    </row>
    <row r="1496" customFormat="false" ht="15" hidden="false" customHeight="true" outlineLevel="0" collapsed="false">
      <c r="A1496" s="52" t="n">
        <v>1495</v>
      </c>
      <c r="B1496" s="52" t="s">
        <v>399</v>
      </c>
      <c r="C1496" s="52" t="s">
        <v>644</v>
      </c>
      <c r="D1496" s="52" t="s">
        <v>1497</v>
      </c>
      <c r="E1496" s="52" t="s">
        <v>1778</v>
      </c>
      <c r="F1496" s="52" t="s">
        <v>21</v>
      </c>
      <c r="G1496" s="52" t="s">
        <v>1838</v>
      </c>
      <c r="H1496" s="52" t="n">
        <v>1</v>
      </c>
    </row>
    <row r="1497" customFormat="false" ht="15" hidden="false" customHeight="true" outlineLevel="0" collapsed="false">
      <c r="A1497" s="52" t="n">
        <v>1496</v>
      </c>
      <c r="B1497" s="52" t="s">
        <v>399</v>
      </c>
      <c r="C1497" s="52" t="s">
        <v>644</v>
      </c>
      <c r="D1497" s="52" t="s">
        <v>1497</v>
      </c>
      <c r="E1497" s="52" t="s">
        <v>1778</v>
      </c>
      <c r="F1497" s="52" t="s">
        <v>21</v>
      </c>
      <c r="G1497" s="52" t="s">
        <v>1839</v>
      </c>
      <c r="H1497" s="52" t="n">
        <v>1</v>
      </c>
    </row>
    <row r="1498" customFormat="false" ht="15" hidden="false" customHeight="true" outlineLevel="0" collapsed="false">
      <c r="A1498" s="52" t="n">
        <v>1497</v>
      </c>
      <c r="B1498" s="52" t="s">
        <v>399</v>
      </c>
      <c r="C1498" s="52" t="s">
        <v>644</v>
      </c>
      <c r="D1498" s="52" t="s">
        <v>1497</v>
      </c>
      <c r="E1498" s="52" t="s">
        <v>1778</v>
      </c>
      <c r="F1498" s="52" t="s">
        <v>21</v>
      </c>
      <c r="G1498" s="52" t="s">
        <v>1840</v>
      </c>
      <c r="H1498" s="52" t="n">
        <v>1</v>
      </c>
    </row>
    <row r="1499" customFormat="false" ht="15" hidden="false" customHeight="true" outlineLevel="0" collapsed="false">
      <c r="A1499" s="52" t="n">
        <v>1498</v>
      </c>
      <c r="B1499" s="52" t="s">
        <v>399</v>
      </c>
      <c r="C1499" s="52" t="s">
        <v>644</v>
      </c>
      <c r="D1499" s="52" t="s">
        <v>1497</v>
      </c>
      <c r="E1499" s="52" t="s">
        <v>1778</v>
      </c>
      <c r="F1499" s="52" t="s">
        <v>21</v>
      </c>
      <c r="G1499" s="52" t="s">
        <v>1841</v>
      </c>
      <c r="H1499" s="52" t="n">
        <v>1</v>
      </c>
    </row>
    <row r="1500" customFormat="false" ht="15" hidden="false" customHeight="true" outlineLevel="0" collapsed="false">
      <c r="A1500" s="52" t="n">
        <v>1499</v>
      </c>
      <c r="B1500" s="52" t="s">
        <v>399</v>
      </c>
      <c r="C1500" s="52" t="s">
        <v>644</v>
      </c>
      <c r="D1500" s="52" t="s">
        <v>1497</v>
      </c>
      <c r="E1500" s="52" t="s">
        <v>1778</v>
      </c>
      <c r="F1500" s="52" t="s">
        <v>21</v>
      </c>
      <c r="G1500" s="52" t="s">
        <v>1842</v>
      </c>
      <c r="H1500" s="52" t="n">
        <v>1</v>
      </c>
    </row>
    <row r="1501" customFormat="false" ht="15" hidden="false" customHeight="true" outlineLevel="0" collapsed="false">
      <c r="A1501" s="52" t="n">
        <v>1500</v>
      </c>
      <c r="B1501" s="52" t="s">
        <v>399</v>
      </c>
      <c r="C1501" s="52" t="s">
        <v>644</v>
      </c>
      <c r="D1501" s="52" t="s">
        <v>1497</v>
      </c>
      <c r="E1501" s="52" t="s">
        <v>1778</v>
      </c>
      <c r="F1501" s="52" t="s">
        <v>21</v>
      </c>
      <c r="G1501" s="52" t="s">
        <v>1843</v>
      </c>
      <c r="H1501" s="52" t="n">
        <v>1</v>
      </c>
    </row>
    <row r="1502" customFormat="false" ht="15" hidden="false" customHeight="true" outlineLevel="0" collapsed="false">
      <c r="A1502" s="52" t="n">
        <v>1501</v>
      </c>
      <c r="B1502" s="52" t="s">
        <v>399</v>
      </c>
      <c r="C1502" s="52" t="s">
        <v>644</v>
      </c>
      <c r="D1502" s="52" t="s">
        <v>1497</v>
      </c>
      <c r="E1502" s="52" t="s">
        <v>1778</v>
      </c>
      <c r="F1502" s="52" t="s">
        <v>123</v>
      </c>
      <c r="G1502" s="52" t="s">
        <v>1844</v>
      </c>
      <c r="H1502" s="52" t="n">
        <v>1</v>
      </c>
    </row>
    <row r="1503" customFormat="false" ht="15" hidden="false" customHeight="true" outlineLevel="0" collapsed="false">
      <c r="A1503" s="52" t="n">
        <v>1502</v>
      </c>
      <c r="B1503" s="52" t="s">
        <v>399</v>
      </c>
      <c r="C1503" s="52" t="s">
        <v>644</v>
      </c>
      <c r="D1503" s="52" t="s">
        <v>1497</v>
      </c>
      <c r="E1503" s="52" t="s">
        <v>1778</v>
      </c>
      <c r="F1503" s="52" t="s">
        <v>123</v>
      </c>
      <c r="G1503" s="52" t="s">
        <v>1845</v>
      </c>
      <c r="H1503" s="52" t="n">
        <v>1</v>
      </c>
    </row>
    <row r="1504" customFormat="false" ht="15" hidden="false" customHeight="true" outlineLevel="0" collapsed="false">
      <c r="A1504" s="52" t="n">
        <v>1503</v>
      </c>
      <c r="B1504" s="52" t="s">
        <v>399</v>
      </c>
      <c r="C1504" s="52" t="s">
        <v>644</v>
      </c>
      <c r="D1504" s="52" t="s">
        <v>1497</v>
      </c>
      <c r="E1504" s="52" t="s">
        <v>1778</v>
      </c>
      <c r="F1504" s="52" t="s">
        <v>123</v>
      </c>
      <c r="G1504" s="52" t="s">
        <v>1846</v>
      </c>
      <c r="H1504" s="52" t="n">
        <v>1</v>
      </c>
    </row>
    <row r="1505" customFormat="false" ht="15" hidden="false" customHeight="true" outlineLevel="0" collapsed="false">
      <c r="A1505" s="52" t="n">
        <v>1504</v>
      </c>
      <c r="B1505" s="52" t="s">
        <v>399</v>
      </c>
      <c r="C1505" s="52" t="s">
        <v>644</v>
      </c>
      <c r="D1505" s="52" t="s">
        <v>1497</v>
      </c>
      <c r="E1505" s="52" t="s">
        <v>1778</v>
      </c>
      <c r="F1505" s="52" t="s">
        <v>13</v>
      </c>
      <c r="G1505" s="52" t="s">
        <v>1847</v>
      </c>
      <c r="H1505" s="52" t="n">
        <v>1</v>
      </c>
    </row>
    <row r="1506" customFormat="false" ht="15" hidden="false" customHeight="true" outlineLevel="0" collapsed="false">
      <c r="A1506" s="52" t="n">
        <v>1505</v>
      </c>
      <c r="B1506" s="52" t="s">
        <v>399</v>
      </c>
      <c r="C1506" s="52" t="s">
        <v>644</v>
      </c>
      <c r="D1506" s="52" t="s">
        <v>1497</v>
      </c>
      <c r="E1506" s="52" t="s">
        <v>1778</v>
      </c>
      <c r="F1506" s="52" t="s">
        <v>13</v>
      </c>
      <c r="G1506" s="52" t="s">
        <v>1848</v>
      </c>
      <c r="H1506" s="52" t="n">
        <v>1</v>
      </c>
    </row>
    <row r="1507" customFormat="false" ht="15" hidden="false" customHeight="true" outlineLevel="0" collapsed="false">
      <c r="A1507" s="52" t="n">
        <v>1506</v>
      </c>
      <c r="B1507" s="52" t="s">
        <v>399</v>
      </c>
      <c r="C1507" s="52" t="s">
        <v>644</v>
      </c>
      <c r="D1507" s="52" t="s">
        <v>1497</v>
      </c>
      <c r="E1507" s="52" t="s">
        <v>1778</v>
      </c>
      <c r="F1507" s="52" t="s">
        <v>13</v>
      </c>
      <c r="G1507" s="52" t="s">
        <v>1849</v>
      </c>
      <c r="H1507" s="52" t="n">
        <v>1</v>
      </c>
    </row>
    <row r="1508" customFormat="false" ht="15" hidden="false" customHeight="true" outlineLevel="0" collapsed="false">
      <c r="A1508" s="52" t="n">
        <v>1507</v>
      </c>
      <c r="B1508" s="52" t="s">
        <v>399</v>
      </c>
      <c r="C1508" s="52" t="s">
        <v>644</v>
      </c>
      <c r="D1508" s="52" t="s">
        <v>1497</v>
      </c>
      <c r="E1508" s="52" t="s">
        <v>1778</v>
      </c>
      <c r="F1508" s="52" t="s">
        <v>13</v>
      </c>
      <c r="G1508" s="52" t="s">
        <v>1850</v>
      </c>
      <c r="H1508" s="52" t="n">
        <v>1</v>
      </c>
    </row>
    <row r="1509" customFormat="false" ht="15" hidden="false" customHeight="true" outlineLevel="0" collapsed="false">
      <c r="A1509" s="52" t="n">
        <v>1508</v>
      </c>
      <c r="B1509" s="52" t="s">
        <v>399</v>
      </c>
      <c r="C1509" s="52" t="s">
        <v>644</v>
      </c>
      <c r="D1509" s="52" t="s">
        <v>1497</v>
      </c>
      <c r="E1509" s="52" t="s">
        <v>1778</v>
      </c>
      <c r="F1509" s="52" t="s">
        <v>13</v>
      </c>
      <c r="G1509" s="52" t="s">
        <v>1851</v>
      </c>
      <c r="H1509" s="52" t="n">
        <v>1</v>
      </c>
    </row>
    <row r="1510" customFormat="false" ht="15" hidden="false" customHeight="true" outlineLevel="0" collapsed="false">
      <c r="A1510" s="52" t="n">
        <v>1509</v>
      </c>
      <c r="B1510" s="52" t="s">
        <v>399</v>
      </c>
      <c r="C1510" s="52" t="s">
        <v>644</v>
      </c>
      <c r="D1510" s="52" t="s">
        <v>1497</v>
      </c>
      <c r="E1510" s="52" t="s">
        <v>1778</v>
      </c>
      <c r="F1510" s="52" t="s">
        <v>13</v>
      </c>
      <c r="G1510" s="52" t="s">
        <v>1852</v>
      </c>
      <c r="H1510" s="52" t="n">
        <v>1</v>
      </c>
    </row>
    <row r="1511" customFormat="false" ht="15" hidden="false" customHeight="true" outlineLevel="0" collapsed="false">
      <c r="A1511" s="52" t="n">
        <v>1510</v>
      </c>
      <c r="B1511" s="52" t="s">
        <v>399</v>
      </c>
      <c r="C1511" s="52" t="s">
        <v>644</v>
      </c>
      <c r="D1511" s="52" t="s">
        <v>1497</v>
      </c>
      <c r="E1511" s="52" t="s">
        <v>1778</v>
      </c>
      <c r="F1511" s="52" t="s">
        <v>101</v>
      </c>
      <c r="G1511" s="52" t="s">
        <v>1853</v>
      </c>
      <c r="H1511" s="52" t="n">
        <v>1</v>
      </c>
    </row>
    <row r="1512" customFormat="false" ht="15" hidden="false" customHeight="true" outlineLevel="0" collapsed="false">
      <c r="A1512" s="52" t="n">
        <v>1511</v>
      </c>
      <c r="B1512" s="52" t="s">
        <v>399</v>
      </c>
      <c r="C1512" s="52" t="s">
        <v>644</v>
      </c>
      <c r="D1512" s="52" t="s">
        <v>1497</v>
      </c>
      <c r="E1512" s="52" t="s">
        <v>1778</v>
      </c>
      <c r="F1512" s="52" t="s">
        <v>101</v>
      </c>
      <c r="G1512" s="52" t="s">
        <v>1854</v>
      </c>
      <c r="H1512" s="52" t="n">
        <v>1</v>
      </c>
    </row>
    <row r="1513" customFormat="false" ht="15" hidden="false" customHeight="true" outlineLevel="0" collapsed="false">
      <c r="A1513" s="52" t="n">
        <v>1512</v>
      </c>
      <c r="B1513" s="52" t="s">
        <v>399</v>
      </c>
      <c r="C1513" s="52" t="s">
        <v>644</v>
      </c>
      <c r="D1513" s="52" t="s">
        <v>1497</v>
      </c>
      <c r="E1513" s="52" t="s">
        <v>1778</v>
      </c>
      <c r="F1513" s="52" t="s">
        <v>101</v>
      </c>
      <c r="G1513" s="52" t="s">
        <v>1855</v>
      </c>
      <c r="H1513" s="52" t="n">
        <v>1</v>
      </c>
    </row>
    <row r="1514" customFormat="false" ht="15" hidden="false" customHeight="true" outlineLevel="0" collapsed="false">
      <c r="A1514" s="52" t="n">
        <v>1513</v>
      </c>
      <c r="B1514" s="52" t="s">
        <v>399</v>
      </c>
      <c r="C1514" s="52" t="s">
        <v>644</v>
      </c>
      <c r="D1514" s="52" t="s">
        <v>1497</v>
      </c>
      <c r="E1514" s="52" t="s">
        <v>1778</v>
      </c>
      <c r="F1514" s="52" t="s">
        <v>101</v>
      </c>
      <c r="G1514" s="52" t="s">
        <v>1856</v>
      </c>
      <c r="H1514" s="52" t="n">
        <v>1</v>
      </c>
    </row>
    <row r="1515" customFormat="false" ht="15" hidden="false" customHeight="true" outlineLevel="0" collapsed="false">
      <c r="A1515" s="52" t="n">
        <v>1514</v>
      </c>
      <c r="B1515" s="52" t="s">
        <v>399</v>
      </c>
      <c r="C1515" s="52" t="s">
        <v>644</v>
      </c>
      <c r="D1515" s="52" t="s">
        <v>1497</v>
      </c>
      <c r="E1515" s="52" t="s">
        <v>1778</v>
      </c>
      <c r="F1515" s="52" t="s">
        <v>101</v>
      </c>
      <c r="G1515" s="52" t="s">
        <v>1857</v>
      </c>
      <c r="H1515" s="52" t="n">
        <v>1</v>
      </c>
    </row>
    <row r="1516" customFormat="false" ht="15" hidden="false" customHeight="true" outlineLevel="0" collapsed="false">
      <c r="A1516" s="52" t="n">
        <v>1515</v>
      </c>
      <c r="B1516" s="52" t="s">
        <v>399</v>
      </c>
      <c r="C1516" s="52" t="s">
        <v>408</v>
      </c>
      <c r="D1516" s="52" t="s">
        <v>1588</v>
      </c>
      <c r="E1516" s="52" t="s">
        <v>1858</v>
      </c>
      <c r="F1516" s="52" t="s">
        <v>331</v>
      </c>
      <c r="G1516" s="52" t="s">
        <v>1859</v>
      </c>
      <c r="H1516" s="52" t="n">
        <v>1</v>
      </c>
    </row>
    <row r="1517" customFormat="false" ht="15" hidden="false" customHeight="true" outlineLevel="0" collapsed="false">
      <c r="A1517" s="52" t="n">
        <v>1516</v>
      </c>
      <c r="B1517" s="52" t="s">
        <v>399</v>
      </c>
      <c r="C1517" s="52" t="s">
        <v>408</v>
      </c>
      <c r="D1517" s="52" t="s">
        <v>1588</v>
      </c>
      <c r="E1517" s="52" t="s">
        <v>1858</v>
      </c>
      <c r="F1517" s="52" t="s">
        <v>331</v>
      </c>
      <c r="G1517" s="52" t="s">
        <v>1860</v>
      </c>
      <c r="H1517" s="52" t="n">
        <v>1</v>
      </c>
    </row>
    <row r="1518" customFormat="false" ht="15" hidden="false" customHeight="true" outlineLevel="0" collapsed="false">
      <c r="A1518" s="52" t="n">
        <v>1517</v>
      </c>
      <c r="B1518" s="52" t="s">
        <v>399</v>
      </c>
      <c r="C1518" s="52" t="s">
        <v>408</v>
      </c>
      <c r="D1518" s="52" t="s">
        <v>1588</v>
      </c>
      <c r="E1518" s="52" t="s">
        <v>1858</v>
      </c>
      <c r="F1518" s="52" t="s">
        <v>74</v>
      </c>
      <c r="G1518" s="52" t="s">
        <v>1861</v>
      </c>
      <c r="H1518" s="52" t="n">
        <v>1</v>
      </c>
    </row>
    <row r="1519" customFormat="false" ht="15" hidden="false" customHeight="true" outlineLevel="0" collapsed="false">
      <c r="A1519" s="52" t="n">
        <v>1518</v>
      </c>
      <c r="B1519" s="52" t="s">
        <v>399</v>
      </c>
      <c r="C1519" s="52" t="s">
        <v>408</v>
      </c>
      <c r="D1519" s="52" t="s">
        <v>1588</v>
      </c>
      <c r="E1519" s="52" t="s">
        <v>1858</v>
      </c>
      <c r="F1519" s="52" t="s">
        <v>74</v>
      </c>
      <c r="G1519" s="52" t="s">
        <v>1862</v>
      </c>
      <c r="H1519" s="52" t="n">
        <v>1</v>
      </c>
    </row>
    <row r="1520" customFormat="false" ht="15" hidden="false" customHeight="true" outlineLevel="0" collapsed="false">
      <c r="A1520" s="52" t="n">
        <v>1519</v>
      </c>
      <c r="B1520" s="52" t="s">
        <v>399</v>
      </c>
      <c r="C1520" s="52" t="s">
        <v>408</v>
      </c>
      <c r="D1520" s="52" t="s">
        <v>1588</v>
      </c>
      <c r="E1520" s="52" t="s">
        <v>1858</v>
      </c>
      <c r="F1520" s="52" t="s">
        <v>74</v>
      </c>
      <c r="G1520" s="52" t="s">
        <v>1863</v>
      </c>
      <c r="H1520" s="52" t="n">
        <v>1</v>
      </c>
    </row>
    <row r="1521" customFormat="false" ht="15" hidden="false" customHeight="true" outlineLevel="0" collapsed="false">
      <c r="A1521" s="52" t="n">
        <v>1520</v>
      </c>
      <c r="B1521" s="52" t="s">
        <v>399</v>
      </c>
      <c r="C1521" s="52" t="s">
        <v>408</v>
      </c>
      <c r="D1521" s="52" t="s">
        <v>1588</v>
      </c>
      <c r="E1521" s="52" t="s">
        <v>1858</v>
      </c>
      <c r="F1521" s="52" t="s">
        <v>74</v>
      </c>
      <c r="G1521" s="52" t="s">
        <v>1864</v>
      </c>
      <c r="H1521" s="52" t="n">
        <v>1</v>
      </c>
    </row>
    <row r="1522" customFormat="false" ht="15" hidden="false" customHeight="true" outlineLevel="0" collapsed="false">
      <c r="A1522" s="52" t="n">
        <v>1521</v>
      </c>
      <c r="B1522" s="52" t="s">
        <v>399</v>
      </c>
      <c r="C1522" s="52" t="s">
        <v>408</v>
      </c>
      <c r="D1522" s="52" t="s">
        <v>1588</v>
      </c>
      <c r="E1522" s="52" t="s">
        <v>1858</v>
      </c>
      <c r="F1522" s="52" t="s">
        <v>74</v>
      </c>
      <c r="G1522" s="52" t="s">
        <v>1865</v>
      </c>
      <c r="H1522" s="52" t="n">
        <v>1</v>
      </c>
    </row>
    <row r="1523" customFormat="false" ht="15" hidden="false" customHeight="true" outlineLevel="0" collapsed="false">
      <c r="A1523" s="52" t="n">
        <v>1522</v>
      </c>
      <c r="B1523" s="52" t="s">
        <v>399</v>
      </c>
      <c r="C1523" s="52" t="s">
        <v>408</v>
      </c>
      <c r="D1523" s="52" t="s">
        <v>1588</v>
      </c>
      <c r="E1523" s="52" t="s">
        <v>1858</v>
      </c>
      <c r="F1523" s="52" t="s">
        <v>74</v>
      </c>
      <c r="G1523" s="52" t="s">
        <v>1866</v>
      </c>
      <c r="H1523" s="52" t="n">
        <v>1</v>
      </c>
    </row>
    <row r="1524" customFormat="false" ht="15" hidden="false" customHeight="true" outlineLevel="0" collapsed="false">
      <c r="A1524" s="52" t="n">
        <v>1523</v>
      </c>
      <c r="B1524" s="52" t="s">
        <v>399</v>
      </c>
      <c r="C1524" s="52" t="s">
        <v>408</v>
      </c>
      <c r="D1524" s="52" t="s">
        <v>1588</v>
      </c>
      <c r="E1524" s="52" t="s">
        <v>1858</v>
      </c>
      <c r="F1524" s="52" t="s">
        <v>36</v>
      </c>
      <c r="G1524" s="52" t="s">
        <v>1867</v>
      </c>
      <c r="H1524" s="52" t="n">
        <v>1</v>
      </c>
    </row>
    <row r="1525" customFormat="false" ht="15" hidden="false" customHeight="true" outlineLevel="0" collapsed="false">
      <c r="A1525" s="52" t="n">
        <v>1524</v>
      </c>
      <c r="B1525" s="52" t="s">
        <v>399</v>
      </c>
      <c r="C1525" s="52" t="s">
        <v>408</v>
      </c>
      <c r="D1525" s="52" t="s">
        <v>1588</v>
      </c>
      <c r="E1525" s="52" t="s">
        <v>1858</v>
      </c>
      <c r="F1525" s="52" t="s">
        <v>36</v>
      </c>
      <c r="G1525" s="52" t="s">
        <v>1868</v>
      </c>
      <c r="H1525" s="52" t="n">
        <v>1</v>
      </c>
    </row>
    <row r="1526" customFormat="false" ht="15" hidden="false" customHeight="true" outlineLevel="0" collapsed="false">
      <c r="A1526" s="52" t="n">
        <v>1525</v>
      </c>
      <c r="B1526" s="52" t="s">
        <v>399</v>
      </c>
      <c r="C1526" s="52" t="s">
        <v>408</v>
      </c>
      <c r="D1526" s="52" t="s">
        <v>1588</v>
      </c>
      <c r="E1526" s="52" t="s">
        <v>1858</v>
      </c>
      <c r="F1526" s="52" t="s">
        <v>36</v>
      </c>
      <c r="G1526" s="52" t="s">
        <v>1869</v>
      </c>
      <c r="H1526" s="52" t="n">
        <v>1</v>
      </c>
    </row>
    <row r="1527" customFormat="false" ht="15" hidden="false" customHeight="true" outlineLevel="0" collapsed="false">
      <c r="A1527" s="52" t="n">
        <v>1526</v>
      </c>
      <c r="B1527" s="52" t="s">
        <v>399</v>
      </c>
      <c r="C1527" s="52" t="s">
        <v>408</v>
      </c>
      <c r="D1527" s="52" t="s">
        <v>1588</v>
      </c>
      <c r="E1527" s="52" t="s">
        <v>1858</v>
      </c>
      <c r="F1527" s="52" t="s">
        <v>36</v>
      </c>
      <c r="G1527" s="52" t="s">
        <v>1870</v>
      </c>
      <c r="H1527" s="52" t="n">
        <v>1</v>
      </c>
    </row>
    <row r="1528" customFormat="false" ht="15" hidden="false" customHeight="true" outlineLevel="0" collapsed="false">
      <c r="A1528" s="52" t="n">
        <v>1527</v>
      </c>
      <c r="B1528" s="52" t="s">
        <v>399</v>
      </c>
      <c r="C1528" s="52" t="s">
        <v>408</v>
      </c>
      <c r="D1528" s="52" t="s">
        <v>1588</v>
      </c>
      <c r="E1528" s="52" t="s">
        <v>1858</v>
      </c>
      <c r="F1528" s="52" t="s">
        <v>36</v>
      </c>
      <c r="G1528" s="52" t="s">
        <v>1871</v>
      </c>
      <c r="H1528" s="52" t="n">
        <v>1</v>
      </c>
    </row>
    <row r="1529" customFormat="false" ht="15" hidden="false" customHeight="true" outlineLevel="0" collapsed="false">
      <c r="A1529" s="52" t="n">
        <v>1528</v>
      </c>
      <c r="B1529" s="52" t="s">
        <v>399</v>
      </c>
      <c r="C1529" s="52" t="s">
        <v>408</v>
      </c>
      <c r="D1529" s="52" t="s">
        <v>1588</v>
      </c>
      <c r="E1529" s="52" t="s">
        <v>1858</v>
      </c>
      <c r="F1529" s="52" t="s">
        <v>259</v>
      </c>
      <c r="G1529" s="52" t="s">
        <v>1872</v>
      </c>
      <c r="H1529" s="52" t="n">
        <v>1</v>
      </c>
    </row>
    <row r="1530" customFormat="false" ht="15" hidden="false" customHeight="true" outlineLevel="0" collapsed="false">
      <c r="A1530" s="52" t="n">
        <v>1529</v>
      </c>
      <c r="B1530" s="52" t="s">
        <v>399</v>
      </c>
      <c r="C1530" s="52" t="s">
        <v>408</v>
      </c>
      <c r="D1530" s="52" t="s">
        <v>1588</v>
      </c>
      <c r="E1530" s="52" t="s">
        <v>1858</v>
      </c>
      <c r="F1530" s="52" t="s">
        <v>259</v>
      </c>
      <c r="G1530" s="52" t="s">
        <v>1873</v>
      </c>
      <c r="H1530" s="52" t="n">
        <v>1</v>
      </c>
    </row>
    <row r="1531" customFormat="false" ht="15" hidden="false" customHeight="true" outlineLevel="0" collapsed="false">
      <c r="A1531" s="52" t="n">
        <v>1530</v>
      </c>
      <c r="B1531" s="52" t="s">
        <v>399</v>
      </c>
      <c r="C1531" s="52" t="s">
        <v>408</v>
      </c>
      <c r="D1531" s="52" t="s">
        <v>1588</v>
      </c>
      <c r="E1531" s="52" t="s">
        <v>1858</v>
      </c>
      <c r="F1531" s="52" t="s">
        <v>259</v>
      </c>
      <c r="G1531" s="52" t="s">
        <v>1874</v>
      </c>
      <c r="H1531" s="52" t="n">
        <v>1</v>
      </c>
    </row>
    <row r="1532" customFormat="false" ht="15" hidden="false" customHeight="true" outlineLevel="0" collapsed="false">
      <c r="A1532" s="52" t="n">
        <v>1531</v>
      </c>
      <c r="B1532" s="52" t="s">
        <v>399</v>
      </c>
      <c r="C1532" s="52" t="s">
        <v>408</v>
      </c>
      <c r="D1532" s="52" t="s">
        <v>1588</v>
      </c>
      <c r="E1532" s="52" t="s">
        <v>1858</v>
      </c>
      <c r="F1532" s="52" t="s">
        <v>259</v>
      </c>
      <c r="G1532" s="52" t="s">
        <v>1875</v>
      </c>
      <c r="H1532" s="52" t="n">
        <v>1</v>
      </c>
    </row>
    <row r="1533" customFormat="false" ht="15" hidden="false" customHeight="true" outlineLevel="0" collapsed="false">
      <c r="A1533" s="52" t="n">
        <v>1532</v>
      </c>
      <c r="B1533" s="52" t="s">
        <v>399</v>
      </c>
      <c r="C1533" s="52" t="s">
        <v>408</v>
      </c>
      <c r="D1533" s="52" t="s">
        <v>1588</v>
      </c>
      <c r="E1533" s="52" t="s">
        <v>1858</v>
      </c>
      <c r="F1533" s="52" t="s">
        <v>259</v>
      </c>
      <c r="G1533" s="52" t="s">
        <v>1876</v>
      </c>
      <c r="H1533" s="52" t="n">
        <v>1</v>
      </c>
    </row>
    <row r="1534" customFormat="false" ht="15" hidden="false" customHeight="true" outlineLevel="0" collapsed="false">
      <c r="A1534" s="52" t="n">
        <v>1533</v>
      </c>
      <c r="B1534" s="52" t="s">
        <v>399</v>
      </c>
      <c r="C1534" s="52" t="s">
        <v>408</v>
      </c>
      <c r="D1534" s="52" t="s">
        <v>1588</v>
      </c>
      <c r="E1534" s="52" t="s">
        <v>1858</v>
      </c>
      <c r="F1534" s="52" t="s">
        <v>52</v>
      </c>
      <c r="G1534" s="52" t="s">
        <v>1877</v>
      </c>
      <c r="H1534" s="52" t="n">
        <v>1</v>
      </c>
    </row>
    <row r="1535" customFormat="false" ht="15" hidden="false" customHeight="true" outlineLevel="0" collapsed="false">
      <c r="A1535" s="52" t="n">
        <v>1534</v>
      </c>
      <c r="B1535" s="52" t="s">
        <v>399</v>
      </c>
      <c r="C1535" s="52" t="s">
        <v>408</v>
      </c>
      <c r="D1535" s="52" t="s">
        <v>1588</v>
      </c>
      <c r="E1535" s="52" t="s">
        <v>1858</v>
      </c>
      <c r="F1535" s="52" t="s">
        <v>21</v>
      </c>
      <c r="G1535" s="52" t="s">
        <v>1878</v>
      </c>
      <c r="H1535" s="52" t="n">
        <v>1</v>
      </c>
    </row>
    <row r="1536" customFormat="false" ht="15" hidden="false" customHeight="true" outlineLevel="0" collapsed="false">
      <c r="A1536" s="52" t="n">
        <v>1535</v>
      </c>
      <c r="B1536" s="52" t="s">
        <v>399</v>
      </c>
      <c r="C1536" s="52" t="s">
        <v>408</v>
      </c>
      <c r="D1536" s="52" t="s">
        <v>1588</v>
      </c>
      <c r="E1536" s="52" t="s">
        <v>1858</v>
      </c>
      <c r="F1536" s="52" t="s">
        <v>123</v>
      </c>
      <c r="G1536" s="52" t="s">
        <v>1879</v>
      </c>
      <c r="H1536" s="52" t="n">
        <v>1</v>
      </c>
    </row>
    <row r="1537" customFormat="false" ht="15" hidden="false" customHeight="true" outlineLevel="0" collapsed="false">
      <c r="A1537" s="52" t="n">
        <v>1536</v>
      </c>
      <c r="B1537" s="52" t="s">
        <v>399</v>
      </c>
      <c r="C1537" s="52" t="s">
        <v>408</v>
      </c>
      <c r="D1537" s="52" t="s">
        <v>1588</v>
      </c>
      <c r="E1537" s="52" t="s">
        <v>1858</v>
      </c>
      <c r="F1537" s="52" t="s">
        <v>123</v>
      </c>
      <c r="G1537" s="52" t="s">
        <v>1880</v>
      </c>
      <c r="H1537" s="52" t="n">
        <v>1</v>
      </c>
    </row>
    <row r="1538" customFormat="false" ht="15" hidden="false" customHeight="true" outlineLevel="0" collapsed="false">
      <c r="A1538" s="52" t="n">
        <v>1537</v>
      </c>
      <c r="B1538" s="52" t="s">
        <v>399</v>
      </c>
      <c r="C1538" s="52" t="s">
        <v>408</v>
      </c>
      <c r="D1538" s="52" t="s">
        <v>1588</v>
      </c>
      <c r="E1538" s="52" t="s">
        <v>1858</v>
      </c>
      <c r="F1538" s="52" t="s">
        <v>13</v>
      </c>
      <c r="G1538" s="52" t="s">
        <v>1881</v>
      </c>
      <c r="H1538" s="52" t="n">
        <v>1</v>
      </c>
    </row>
    <row r="1539" customFormat="false" ht="15" hidden="false" customHeight="true" outlineLevel="0" collapsed="false">
      <c r="A1539" s="52" t="n">
        <v>1538</v>
      </c>
      <c r="B1539" s="52" t="s">
        <v>399</v>
      </c>
      <c r="C1539" s="52" t="s">
        <v>408</v>
      </c>
      <c r="D1539" s="52" t="s">
        <v>1588</v>
      </c>
      <c r="E1539" s="52" t="s">
        <v>1858</v>
      </c>
      <c r="F1539" s="52" t="s">
        <v>13</v>
      </c>
      <c r="G1539" s="52" t="s">
        <v>1882</v>
      </c>
      <c r="H1539" s="52" t="n">
        <v>1</v>
      </c>
    </row>
    <row r="1540" customFormat="false" ht="15" hidden="false" customHeight="true" outlineLevel="0" collapsed="false">
      <c r="A1540" s="52" t="n">
        <v>1539</v>
      </c>
      <c r="B1540" s="52" t="s">
        <v>399</v>
      </c>
      <c r="C1540" s="52" t="s">
        <v>408</v>
      </c>
      <c r="D1540" s="52" t="s">
        <v>1588</v>
      </c>
      <c r="E1540" s="52" t="s">
        <v>1858</v>
      </c>
      <c r="F1540" s="52" t="s">
        <v>101</v>
      </c>
      <c r="G1540" s="52" t="s">
        <v>1883</v>
      </c>
      <c r="H1540" s="52" t="n">
        <v>1</v>
      </c>
    </row>
    <row r="1541" customFormat="false" ht="15" hidden="false" customHeight="true" outlineLevel="0" collapsed="false">
      <c r="A1541" s="52" t="n">
        <v>1540</v>
      </c>
      <c r="B1541" s="52" t="s">
        <v>399</v>
      </c>
      <c r="C1541" s="52" t="s">
        <v>644</v>
      </c>
      <c r="D1541" s="52" t="s">
        <v>1588</v>
      </c>
      <c r="E1541" s="52" t="s">
        <v>1858</v>
      </c>
      <c r="F1541" s="52" t="s">
        <v>331</v>
      </c>
      <c r="G1541" s="52" t="s">
        <v>463</v>
      </c>
      <c r="H1541" s="52" t="n">
        <v>0</v>
      </c>
    </row>
    <row r="1542" customFormat="false" ht="15" hidden="false" customHeight="true" outlineLevel="0" collapsed="false">
      <c r="A1542" s="52" t="n">
        <v>1541</v>
      </c>
      <c r="B1542" s="52" t="s">
        <v>399</v>
      </c>
      <c r="C1542" s="52" t="s">
        <v>644</v>
      </c>
      <c r="D1542" s="52" t="s">
        <v>1588</v>
      </c>
      <c r="E1542" s="52" t="s">
        <v>1858</v>
      </c>
      <c r="F1542" s="52" t="s">
        <v>74</v>
      </c>
      <c r="G1542" s="52" t="s">
        <v>1884</v>
      </c>
      <c r="H1542" s="52" t="n">
        <v>1</v>
      </c>
    </row>
    <row r="1543" customFormat="false" ht="15" hidden="false" customHeight="true" outlineLevel="0" collapsed="false">
      <c r="A1543" s="52" t="n">
        <v>1542</v>
      </c>
      <c r="B1543" s="52" t="s">
        <v>399</v>
      </c>
      <c r="C1543" s="52" t="s">
        <v>644</v>
      </c>
      <c r="D1543" s="52" t="s">
        <v>1588</v>
      </c>
      <c r="E1543" s="52" t="s">
        <v>1858</v>
      </c>
      <c r="F1543" s="52" t="s">
        <v>74</v>
      </c>
      <c r="G1543" s="52" t="s">
        <v>1885</v>
      </c>
      <c r="H1543" s="52" t="n">
        <v>1</v>
      </c>
    </row>
    <row r="1544" customFormat="false" ht="15" hidden="false" customHeight="true" outlineLevel="0" collapsed="false">
      <c r="A1544" s="52" t="n">
        <v>1543</v>
      </c>
      <c r="B1544" s="52" t="s">
        <v>399</v>
      </c>
      <c r="C1544" s="52" t="s">
        <v>644</v>
      </c>
      <c r="D1544" s="52" t="s">
        <v>1588</v>
      </c>
      <c r="E1544" s="52" t="s">
        <v>1858</v>
      </c>
      <c r="F1544" s="52" t="s">
        <v>74</v>
      </c>
      <c r="G1544" s="52" t="s">
        <v>1886</v>
      </c>
      <c r="H1544" s="52" t="n">
        <v>1</v>
      </c>
    </row>
    <row r="1545" customFormat="false" ht="15" hidden="false" customHeight="true" outlineLevel="0" collapsed="false">
      <c r="A1545" s="52" t="n">
        <v>1544</v>
      </c>
      <c r="B1545" s="52" t="s">
        <v>399</v>
      </c>
      <c r="C1545" s="52" t="s">
        <v>644</v>
      </c>
      <c r="D1545" s="52" t="s">
        <v>1588</v>
      </c>
      <c r="E1545" s="52" t="s">
        <v>1858</v>
      </c>
      <c r="F1545" s="52" t="s">
        <v>74</v>
      </c>
      <c r="G1545" s="52" t="s">
        <v>1887</v>
      </c>
      <c r="H1545" s="52" t="n">
        <v>1</v>
      </c>
    </row>
    <row r="1546" customFormat="false" ht="15" hidden="false" customHeight="true" outlineLevel="0" collapsed="false">
      <c r="A1546" s="52" t="n">
        <v>1545</v>
      </c>
      <c r="B1546" s="52" t="s">
        <v>399</v>
      </c>
      <c r="C1546" s="52" t="s">
        <v>644</v>
      </c>
      <c r="D1546" s="52" t="s">
        <v>1588</v>
      </c>
      <c r="E1546" s="52" t="s">
        <v>1858</v>
      </c>
      <c r="F1546" s="52" t="s">
        <v>74</v>
      </c>
      <c r="G1546" s="52" t="s">
        <v>1888</v>
      </c>
      <c r="H1546" s="52" t="n">
        <v>1</v>
      </c>
    </row>
    <row r="1547" customFormat="false" ht="15" hidden="false" customHeight="true" outlineLevel="0" collapsed="false">
      <c r="A1547" s="52" t="n">
        <v>1546</v>
      </c>
      <c r="B1547" s="52" t="s">
        <v>399</v>
      </c>
      <c r="C1547" s="52" t="s">
        <v>644</v>
      </c>
      <c r="D1547" s="52" t="s">
        <v>1588</v>
      </c>
      <c r="E1547" s="52" t="s">
        <v>1858</v>
      </c>
      <c r="F1547" s="52" t="s">
        <v>36</v>
      </c>
      <c r="G1547" s="52" t="s">
        <v>1889</v>
      </c>
      <c r="H1547" s="52" t="n">
        <v>1</v>
      </c>
    </row>
    <row r="1548" customFormat="false" ht="15" hidden="false" customHeight="true" outlineLevel="0" collapsed="false">
      <c r="A1548" s="52" t="n">
        <v>1547</v>
      </c>
      <c r="B1548" s="52" t="s">
        <v>399</v>
      </c>
      <c r="C1548" s="52" t="s">
        <v>644</v>
      </c>
      <c r="D1548" s="52" t="s">
        <v>1588</v>
      </c>
      <c r="E1548" s="52" t="s">
        <v>1858</v>
      </c>
      <c r="F1548" s="52" t="s">
        <v>36</v>
      </c>
      <c r="G1548" s="52" t="s">
        <v>1890</v>
      </c>
      <c r="H1548" s="52" t="n">
        <v>1</v>
      </c>
    </row>
    <row r="1549" customFormat="false" ht="15" hidden="false" customHeight="true" outlineLevel="0" collapsed="false">
      <c r="A1549" s="52" t="n">
        <v>1548</v>
      </c>
      <c r="B1549" s="52" t="s">
        <v>399</v>
      </c>
      <c r="C1549" s="52" t="s">
        <v>644</v>
      </c>
      <c r="D1549" s="52" t="s">
        <v>1588</v>
      </c>
      <c r="E1549" s="52" t="s">
        <v>1858</v>
      </c>
      <c r="F1549" s="52" t="s">
        <v>36</v>
      </c>
      <c r="G1549" s="52" t="s">
        <v>1891</v>
      </c>
      <c r="H1549" s="52" t="n">
        <v>1</v>
      </c>
    </row>
    <row r="1550" customFormat="false" ht="15" hidden="false" customHeight="true" outlineLevel="0" collapsed="false">
      <c r="A1550" s="52" t="n">
        <v>1549</v>
      </c>
      <c r="B1550" s="52" t="s">
        <v>399</v>
      </c>
      <c r="C1550" s="52" t="s">
        <v>644</v>
      </c>
      <c r="D1550" s="52" t="s">
        <v>1588</v>
      </c>
      <c r="E1550" s="52" t="s">
        <v>1858</v>
      </c>
      <c r="F1550" s="52" t="s">
        <v>259</v>
      </c>
      <c r="G1550" s="52" t="s">
        <v>1892</v>
      </c>
      <c r="H1550" s="52" t="n">
        <v>1</v>
      </c>
    </row>
    <row r="1551" customFormat="false" ht="15" hidden="false" customHeight="true" outlineLevel="0" collapsed="false">
      <c r="A1551" s="52" t="n">
        <v>1550</v>
      </c>
      <c r="B1551" s="52" t="s">
        <v>399</v>
      </c>
      <c r="C1551" s="52" t="s">
        <v>644</v>
      </c>
      <c r="D1551" s="52" t="s">
        <v>1588</v>
      </c>
      <c r="E1551" s="52" t="s">
        <v>1858</v>
      </c>
      <c r="F1551" s="52" t="s">
        <v>259</v>
      </c>
      <c r="G1551" s="52" t="s">
        <v>1893</v>
      </c>
      <c r="H1551" s="52" t="n">
        <v>1</v>
      </c>
    </row>
    <row r="1552" customFormat="false" ht="15" hidden="false" customHeight="true" outlineLevel="0" collapsed="false">
      <c r="A1552" s="52" t="n">
        <v>1551</v>
      </c>
      <c r="B1552" s="52" t="s">
        <v>399</v>
      </c>
      <c r="C1552" s="52" t="s">
        <v>644</v>
      </c>
      <c r="D1552" s="52" t="s">
        <v>1588</v>
      </c>
      <c r="E1552" s="52" t="s">
        <v>1858</v>
      </c>
      <c r="F1552" s="52" t="s">
        <v>52</v>
      </c>
      <c r="G1552" s="52" t="s">
        <v>1894</v>
      </c>
      <c r="H1552" s="52" t="n">
        <v>1</v>
      </c>
    </row>
    <row r="1553" customFormat="false" ht="15" hidden="false" customHeight="true" outlineLevel="0" collapsed="false">
      <c r="A1553" s="52" t="n">
        <v>1552</v>
      </c>
      <c r="B1553" s="52" t="s">
        <v>399</v>
      </c>
      <c r="C1553" s="52" t="s">
        <v>644</v>
      </c>
      <c r="D1553" s="52" t="s">
        <v>1588</v>
      </c>
      <c r="E1553" s="52" t="s">
        <v>1858</v>
      </c>
      <c r="F1553" s="52" t="s">
        <v>52</v>
      </c>
      <c r="G1553" s="52" t="s">
        <v>1895</v>
      </c>
      <c r="H1553" s="52" t="n">
        <v>1</v>
      </c>
    </row>
    <row r="1554" customFormat="false" ht="15" hidden="false" customHeight="true" outlineLevel="0" collapsed="false">
      <c r="A1554" s="52" t="n">
        <v>1553</v>
      </c>
      <c r="B1554" s="52" t="s">
        <v>399</v>
      </c>
      <c r="C1554" s="52" t="s">
        <v>644</v>
      </c>
      <c r="D1554" s="52" t="s">
        <v>1588</v>
      </c>
      <c r="E1554" s="52" t="s">
        <v>1858</v>
      </c>
      <c r="F1554" s="52" t="s">
        <v>52</v>
      </c>
      <c r="G1554" s="52" t="s">
        <v>1896</v>
      </c>
      <c r="H1554" s="52" t="n">
        <v>1</v>
      </c>
    </row>
    <row r="1555" customFormat="false" ht="15" hidden="false" customHeight="true" outlineLevel="0" collapsed="false">
      <c r="A1555" s="52" t="n">
        <v>1554</v>
      </c>
      <c r="B1555" s="52" t="s">
        <v>399</v>
      </c>
      <c r="C1555" s="52" t="s">
        <v>644</v>
      </c>
      <c r="D1555" s="52" t="s">
        <v>1588</v>
      </c>
      <c r="E1555" s="52" t="s">
        <v>1858</v>
      </c>
      <c r="F1555" s="52" t="s">
        <v>52</v>
      </c>
      <c r="G1555" s="52" t="s">
        <v>1897</v>
      </c>
      <c r="H1555" s="52" t="n">
        <v>1</v>
      </c>
    </row>
    <row r="1556" customFormat="false" ht="15" hidden="false" customHeight="true" outlineLevel="0" collapsed="false">
      <c r="A1556" s="52" t="n">
        <v>1555</v>
      </c>
      <c r="B1556" s="52" t="s">
        <v>399</v>
      </c>
      <c r="C1556" s="52" t="s">
        <v>644</v>
      </c>
      <c r="D1556" s="52" t="s">
        <v>1588</v>
      </c>
      <c r="E1556" s="52" t="s">
        <v>1858</v>
      </c>
      <c r="F1556" s="52" t="s">
        <v>21</v>
      </c>
      <c r="G1556" s="52" t="s">
        <v>1898</v>
      </c>
      <c r="H1556" s="52" t="n">
        <v>1</v>
      </c>
    </row>
    <row r="1557" customFormat="false" ht="15" hidden="false" customHeight="true" outlineLevel="0" collapsed="false">
      <c r="A1557" s="52" t="n">
        <v>1556</v>
      </c>
      <c r="B1557" s="52" t="s">
        <v>399</v>
      </c>
      <c r="C1557" s="52" t="s">
        <v>644</v>
      </c>
      <c r="D1557" s="52" t="s">
        <v>1588</v>
      </c>
      <c r="E1557" s="52" t="s">
        <v>1858</v>
      </c>
      <c r="F1557" s="52" t="s">
        <v>21</v>
      </c>
      <c r="G1557" s="52" t="s">
        <v>1899</v>
      </c>
      <c r="H1557" s="52" t="n">
        <v>1</v>
      </c>
    </row>
    <row r="1558" customFormat="false" ht="15" hidden="false" customHeight="true" outlineLevel="0" collapsed="false">
      <c r="A1558" s="52" t="n">
        <v>1557</v>
      </c>
      <c r="B1558" s="52" t="s">
        <v>399</v>
      </c>
      <c r="C1558" s="52" t="s">
        <v>644</v>
      </c>
      <c r="D1558" s="52" t="s">
        <v>1588</v>
      </c>
      <c r="E1558" s="52" t="s">
        <v>1858</v>
      </c>
      <c r="F1558" s="52" t="s">
        <v>21</v>
      </c>
      <c r="G1558" s="52" t="s">
        <v>1900</v>
      </c>
      <c r="H1558" s="52" t="n">
        <v>1</v>
      </c>
    </row>
    <row r="1559" customFormat="false" ht="15" hidden="false" customHeight="true" outlineLevel="0" collapsed="false">
      <c r="A1559" s="52" t="n">
        <v>1558</v>
      </c>
      <c r="B1559" s="52" t="s">
        <v>399</v>
      </c>
      <c r="C1559" s="52" t="s">
        <v>644</v>
      </c>
      <c r="D1559" s="52" t="s">
        <v>1588</v>
      </c>
      <c r="E1559" s="52" t="s">
        <v>1858</v>
      </c>
      <c r="F1559" s="52" t="s">
        <v>21</v>
      </c>
      <c r="G1559" s="52" t="s">
        <v>1901</v>
      </c>
      <c r="H1559" s="52" t="n">
        <v>1</v>
      </c>
    </row>
    <row r="1560" customFormat="false" ht="15" hidden="false" customHeight="true" outlineLevel="0" collapsed="false">
      <c r="A1560" s="52" t="n">
        <v>1559</v>
      </c>
      <c r="B1560" s="52" t="s">
        <v>399</v>
      </c>
      <c r="C1560" s="52" t="s">
        <v>644</v>
      </c>
      <c r="D1560" s="52" t="s">
        <v>1588</v>
      </c>
      <c r="E1560" s="52" t="s">
        <v>1858</v>
      </c>
      <c r="F1560" s="52" t="s">
        <v>123</v>
      </c>
      <c r="G1560" s="52" t="s">
        <v>1902</v>
      </c>
      <c r="H1560" s="52" t="n">
        <v>1</v>
      </c>
    </row>
    <row r="1561" customFormat="false" ht="15" hidden="false" customHeight="true" outlineLevel="0" collapsed="false">
      <c r="A1561" s="52" t="n">
        <v>1560</v>
      </c>
      <c r="B1561" s="52" t="s">
        <v>399</v>
      </c>
      <c r="C1561" s="52" t="s">
        <v>644</v>
      </c>
      <c r="D1561" s="52" t="s">
        <v>1588</v>
      </c>
      <c r="E1561" s="52" t="s">
        <v>1858</v>
      </c>
      <c r="F1561" s="52" t="s">
        <v>123</v>
      </c>
      <c r="G1561" s="52" t="s">
        <v>1903</v>
      </c>
      <c r="H1561" s="52" t="n">
        <v>1</v>
      </c>
    </row>
    <row r="1562" customFormat="false" ht="15" hidden="false" customHeight="true" outlineLevel="0" collapsed="false">
      <c r="A1562" s="52" t="n">
        <v>1561</v>
      </c>
      <c r="B1562" s="52" t="s">
        <v>399</v>
      </c>
      <c r="C1562" s="52" t="s">
        <v>644</v>
      </c>
      <c r="D1562" s="52" t="s">
        <v>1588</v>
      </c>
      <c r="E1562" s="52" t="s">
        <v>1858</v>
      </c>
      <c r="F1562" s="52" t="s">
        <v>123</v>
      </c>
      <c r="G1562" s="52" t="s">
        <v>1904</v>
      </c>
      <c r="H1562" s="52" t="n">
        <v>1</v>
      </c>
    </row>
    <row r="1563" customFormat="false" ht="15" hidden="false" customHeight="true" outlineLevel="0" collapsed="false">
      <c r="A1563" s="52" t="n">
        <v>1562</v>
      </c>
      <c r="B1563" s="52" t="s">
        <v>399</v>
      </c>
      <c r="C1563" s="52" t="s">
        <v>644</v>
      </c>
      <c r="D1563" s="52" t="s">
        <v>1588</v>
      </c>
      <c r="E1563" s="52" t="s">
        <v>1858</v>
      </c>
      <c r="F1563" s="52" t="s">
        <v>13</v>
      </c>
      <c r="G1563" s="52" t="s">
        <v>1905</v>
      </c>
      <c r="H1563" s="52" t="n">
        <v>1</v>
      </c>
    </row>
    <row r="1564" customFormat="false" ht="15" hidden="false" customHeight="true" outlineLevel="0" collapsed="false">
      <c r="A1564" s="52" t="n">
        <v>1563</v>
      </c>
      <c r="B1564" s="52" t="s">
        <v>399</v>
      </c>
      <c r="C1564" s="52" t="s">
        <v>644</v>
      </c>
      <c r="D1564" s="52" t="s">
        <v>1588</v>
      </c>
      <c r="E1564" s="52" t="s">
        <v>1858</v>
      </c>
      <c r="F1564" s="52" t="s">
        <v>13</v>
      </c>
      <c r="G1564" s="52" t="s">
        <v>1906</v>
      </c>
      <c r="H1564" s="52" t="n">
        <v>1</v>
      </c>
    </row>
    <row r="1565" customFormat="false" ht="15" hidden="false" customHeight="true" outlineLevel="0" collapsed="false">
      <c r="A1565" s="52" t="n">
        <v>1564</v>
      </c>
      <c r="B1565" s="52" t="s">
        <v>399</v>
      </c>
      <c r="C1565" s="52" t="s">
        <v>644</v>
      </c>
      <c r="D1565" s="52" t="s">
        <v>1588</v>
      </c>
      <c r="E1565" s="52" t="s">
        <v>1858</v>
      </c>
      <c r="F1565" s="52" t="s">
        <v>13</v>
      </c>
      <c r="G1565" s="52" t="s">
        <v>1907</v>
      </c>
      <c r="H1565" s="52" t="n">
        <v>1</v>
      </c>
    </row>
    <row r="1566" customFormat="false" ht="15" hidden="false" customHeight="true" outlineLevel="0" collapsed="false">
      <c r="A1566" s="52" t="n">
        <v>1565</v>
      </c>
      <c r="B1566" s="52" t="s">
        <v>399</v>
      </c>
      <c r="C1566" s="52" t="s">
        <v>644</v>
      </c>
      <c r="D1566" s="52" t="s">
        <v>1588</v>
      </c>
      <c r="E1566" s="52" t="s">
        <v>1858</v>
      </c>
      <c r="F1566" s="52" t="s">
        <v>101</v>
      </c>
      <c r="G1566" s="52" t="s">
        <v>1908</v>
      </c>
      <c r="H1566" s="52" t="n">
        <v>1</v>
      </c>
    </row>
    <row r="1567" customFormat="false" ht="15" hidden="false" customHeight="true" outlineLevel="0" collapsed="false">
      <c r="A1567" s="52" t="n">
        <v>1566</v>
      </c>
      <c r="B1567" s="52" t="s">
        <v>399</v>
      </c>
      <c r="C1567" s="52" t="s">
        <v>644</v>
      </c>
      <c r="D1567" s="52" t="s">
        <v>1588</v>
      </c>
      <c r="E1567" s="52" t="s">
        <v>1858</v>
      </c>
      <c r="F1567" s="52" t="s">
        <v>101</v>
      </c>
      <c r="G1567" s="52" t="s">
        <v>1909</v>
      </c>
      <c r="H1567" s="52" t="n">
        <v>1</v>
      </c>
    </row>
    <row r="1568" customFormat="false" ht="15" hidden="false" customHeight="true" outlineLevel="0" collapsed="false">
      <c r="A1568" s="52" t="n">
        <v>1567</v>
      </c>
      <c r="B1568" s="52" t="s">
        <v>399</v>
      </c>
      <c r="C1568" s="52" t="s">
        <v>644</v>
      </c>
      <c r="D1568" s="52" t="s">
        <v>1588</v>
      </c>
      <c r="E1568" s="52" t="s">
        <v>1858</v>
      </c>
      <c r="F1568" s="52" t="s">
        <v>101</v>
      </c>
      <c r="G1568" s="52" t="s">
        <v>1910</v>
      </c>
      <c r="H1568" s="52" t="n">
        <v>1</v>
      </c>
    </row>
    <row r="1569" customFormat="false" ht="15" hidden="false" customHeight="true" outlineLevel="0" collapsed="false">
      <c r="A1569" s="52" t="n">
        <v>1568</v>
      </c>
      <c r="B1569" s="52" t="s">
        <v>399</v>
      </c>
      <c r="C1569" s="52" t="s">
        <v>644</v>
      </c>
      <c r="D1569" s="52" t="s">
        <v>1588</v>
      </c>
      <c r="E1569" s="52" t="s">
        <v>1858</v>
      </c>
      <c r="F1569" s="52" t="s">
        <v>101</v>
      </c>
      <c r="G1569" s="52" t="s">
        <v>1911</v>
      </c>
      <c r="H1569" s="52" t="n">
        <v>1</v>
      </c>
    </row>
    <row r="1570" customFormat="false" ht="15" hidden="false" customHeight="true" outlineLevel="0" collapsed="false">
      <c r="A1570" s="52" t="n">
        <v>1569</v>
      </c>
      <c r="B1570" s="52" t="s">
        <v>399</v>
      </c>
      <c r="C1570" s="52" t="s">
        <v>644</v>
      </c>
      <c r="D1570" s="52" t="s">
        <v>1588</v>
      </c>
      <c r="E1570" s="52" t="s">
        <v>1858</v>
      </c>
      <c r="F1570" s="52" t="s">
        <v>101</v>
      </c>
      <c r="G1570" s="52" t="s">
        <v>1912</v>
      </c>
      <c r="H1570" s="52" t="n">
        <v>1</v>
      </c>
    </row>
    <row r="1571" customFormat="false" ht="15" hidden="false" customHeight="true" outlineLevel="0" collapsed="false">
      <c r="A1571" s="52" t="n">
        <v>1570</v>
      </c>
      <c r="B1571" s="52" t="s">
        <v>399</v>
      </c>
      <c r="C1571" s="52" t="s">
        <v>644</v>
      </c>
      <c r="D1571" s="52" t="s">
        <v>1588</v>
      </c>
      <c r="E1571" s="52" t="s">
        <v>1858</v>
      </c>
      <c r="F1571" s="52" t="s">
        <v>101</v>
      </c>
      <c r="G1571" s="52" t="s">
        <v>1913</v>
      </c>
      <c r="H1571" s="52" t="n">
        <v>1</v>
      </c>
    </row>
    <row r="1572" customFormat="false" ht="15" hidden="false" customHeight="true" outlineLevel="0" collapsed="false">
      <c r="A1572" s="52" t="n">
        <v>1571</v>
      </c>
      <c r="B1572" s="52" t="s">
        <v>399</v>
      </c>
      <c r="C1572" s="52" t="s">
        <v>644</v>
      </c>
      <c r="D1572" s="52" t="s">
        <v>1588</v>
      </c>
      <c r="E1572" s="52" t="s">
        <v>1858</v>
      </c>
      <c r="F1572" s="52" t="s">
        <v>101</v>
      </c>
      <c r="G1572" s="52" t="s">
        <v>1914</v>
      </c>
      <c r="H1572" s="52" t="n">
        <v>1</v>
      </c>
    </row>
    <row r="1573" customFormat="false" ht="15" hidden="false" customHeight="true" outlineLevel="0" collapsed="false">
      <c r="A1573" s="52" t="n">
        <v>1572</v>
      </c>
      <c r="B1573" s="52" t="s">
        <v>399</v>
      </c>
      <c r="C1573" s="52" t="s">
        <v>644</v>
      </c>
      <c r="D1573" s="52" t="s">
        <v>1588</v>
      </c>
      <c r="E1573" s="52" t="s">
        <v>1858</v>
      </c>
      <c r="F1573" s="52" t="s">
        <v>101</v>
      </c>
      <c r="G1573" s="52" t="s">
        <v>1915</v>
      </c>
      <c r="H1573" s="52" t="n">
        <v>1</v>
      </c>
    </row>
    <row r="1574" customFormat="false" ht="15" hidden="false" customHeight="true" outlineLevel="0" collapsed="false">
      <c r="A1574" s="52" t="n">
        <v>1573</v>
      </c>
      <c r="B1574" s="52" t="s">
        <v>399</v>
      </c>
      <c r="C1574" s="52" t="s">
        <v>408</v>
      </c>
      <c r="D1574" s="52" t="s">
        <v>1612</v>
      </c>
      <c r="E1574" s="52" t="s">
        <v>1916</v>
      </c>
      <c r="F1574" s="52" t="s">
        <v>331</v>
      </c>
      <c r="G1574" s="52" t="s">
        <v>1917</v>
      </c>
      <c r="H1574" s="52" t="n">
        <v>1</v>
      </c>
    </row>
    <row r="1575" customFormat="false" ht="15" hidden="false" customHeight="true" outlineLevel="0" collapsed="false">
      <c r="A1575" s="52" t="n">
        <v>1574</v>
      </c>
      <c r="B1575" s="52" t="s">
        <v>399</v>
      </c>
      <c r="C1575" s="52" t="s">
        <v>408</v>
      </c>
      <c r="D1575" s="52" t="s">
        <v>1612</v>
      </c>
      <c r="E1575" s="52" t="s">
        <v>1916</v>
      </c>
      <c r="F1575" s="52" t="s">
        <v>331</v>
      </c>
      <c r="G1575" s="52" t="s">
        <v>1918</v>
      </c>
      <c r="H1575" s="52" t="n">
        <v>1</v>
      </c>
    </row>
    <row r="1576" customFormat="false" ht="15" hidden="false" customHeight="true" outlineLevel="0" collapsed="false">
      <c r="A1576" s="52" t="n">
        <v>1575</v>
      </c>
      <c r="B1576" s="52" t="s">
        <v>399</v>
      </c>
      <c r="C1576" s="52" t="s">
        <v>408</v>
      </c>
      <c r="D1576" s="52" t="s">
        <v>1612</v>
      </c>
      <c r="E1576" s="52" t="s">
        <v>1916</v>
      </c>
      <c r="F1576" s="52" t="s">
        <v>331</v>
      </c>
      <c r="G1576" s="52" t="s">
        <v>1919</v>
      </c>
      <c r="H1576" s="52" t="n">
        <v>1</v>
      </c>
    </row>
    <row r="1577" customFormat="false" ht="15" hidden="false" customHeight="true" outlineLevel="0" collapsed="false">
      <c r="A1577" s="52" t="n">
        <v>1576</v>
      </c>
      <c r="B1577" s="52" t="s">
        <v>399</v>
      </c>
      <c r="C1577" s="52" t="s">
        <v>408</v>
      </c>
      <c r="D1577" s="52" t="s">
        <v>1612</v>
      </c>
      <c r="E1577" s="52" t="s">
        <v>1916</v>
      </c>
      <c r="F1577" s="52" t="s">
        <v>331</v>
      </c>
      <c r="G1577" s="52" t="s">
        <v>1920</v>
      </c>
      <c r="H1577" s="52" t="n">
        <v>1</v>
      </c>
    </row>
    <row r="1578" customFormat="false" ht="15" hidden="false" customHeight="true" outlineLevel="0" collapsed="false">
      <c r="A1578" s="52" t="n">
        <v>1577</v>
      </c>
      <c r="B1578" s="52" t="s">
        <v>399</v>
      </c>
      <c r="C1578" s="52" t="s">
        <v>408</v>
      </c>
      <c r="D1578" s="52" t="s">
        <v>1612</v>
      </c>
      <c r="E1578" s="52" t="s">
        <v>1916</v>
      </c>
      <c r="F1578" s="52" t="s">
        <v>74</v>
      </c>
      <c r="G1578" s="52" t="s">
        <v>1921</v>
      </c>
      <c r="H1578" s="52" t="n">
        <v>1</v>
      </c>
    </row>
    <row r="1579" customFormat="false" ht="15" hidden="false" customHeight="true" outlineLevel="0" collapsed="false">
      <c r="A1579" s="52" t="n">
        <v>1578</v>
      </c>
      <c r="B1579" s="52" t="s">
        <v>399</v>
      </c>
      <c r="C1579" s="52" t="s">
        <v>408</v>
      </c>
      <c r="D1579" s="52" t="s">
        <v>1612</v>
      </c>
      <c r="E1579" s="52" t="s">
        <v>1916</v>
      </c>
      <c r="F1579" s="52" t="s">
        <v>74</v>
      </c>
      <c r="G1579" s="52" t="s">
        <v>1922</v>
      </c>
      <c r="H1579" s="52" t="n">
        <v>1</v>
      </c>
    </row>
    <row r="1580" customFormat="false" ht="15" hidden="false" customHeight="true" outlineLevel="0" collapsed="false">
      <c r="A1580" s="52" t="n">
        <v>1579</v>
      </c>
      <c r="B1580" s="52" t="s">
        <v>399</v>
      </c>
      <c r="C1580" s="52" t="s">
        <v>408</v>
      </c>
      <c r="D1580" s="52" t="s">
        <v>1612</v>
      </c>
      <c r="E1580" s="52" t="s">
        <v>1916</v>
      </c>
      <c r="F1580" s="52" t="s">
        <v>74</v>
      </c>
      <c r="G1580" s="52" t="s">
        <v>1923</v>
      </c>
      <c r="H1580" s="52" t="n">
        <v>1</v>
      </c>
    </row>
    <row r="1581" customFormat="false" ht="15" hidden="false" customHeight="true" outlineLevel="0" collapsed="false">
      <c r="A1581" s="52" t="n">
        <v>1580</v>
      </c>
      <c r="B1581" s="52" t="s">
        <v>399</v>
      </c>
      <c r="C1581" s="52" t="s">
        <v>408</v>
      </c>
      <c r="D1581" s="52" t="s">
        <v>1612</v>
      </c>
      <c r="E1581" s="52" t="s">
        <v>1916</v>
      </c>
      <c r="F1581" s="52" t="s">
        <v>74</v>
      </c>
      <c r="G1581" s="52" t="s">
        <v>1924</v>
      </c>
      <c r="H1581" s="52" t="n">
        <v>1</v>
      </c>
    </row>
    <row r="1582" customFormat="false" ht="15" hidden="false" customHeight="true" outlineLevel="0" collapsed="false">
      <c r="A1582" s="52" t="n">
        <v>1581</v>
      </c>
      <c r="B1582" s="52" t="s">
        <v>399</v>
      </c>
      <c r="C1582" s="52" t="s">
        <v>408</v>
      </c>
      <c r="D1582" s="52" t="s">
        <v>1612</v>
      </c>
      <c r="E1582" s="52" t="s">
        <v>1916</v>
      </c>
      <c r="F1582" s="52" t="s">
        <v>74</v>
      </c>
      <c r="G1582" s="52" t="s">
        <v>1925</v>
      </c>
      <c r="H1582" s="52" t="n">
        <v>1</v>
      </c>
    </row>
    <row r="1583" customFormat="false" ht="15" hidden="false" customHeight="true" outlineLevel="0" collapsed="false">
      <c r="A1583" s="52" t="n">
        <v>1582</v>
      </c>
      <c r="B1583" s="52" t="s">
        <v>399</v>
      </c>
      <c r="C1583" s="52" t="s">
        <v>408</v>
      </c>
      <c r="D1583" s="52" t="s">
        <v>1612</v>
      </c>
      <c r="E1583" s="52" t="s">
        <v>1916</v>
      </c>
      <c r="F1583" s="52" t="s">
        <v>74</v>
      </c>
      <c r="G1583" s="52" t="s">
        <v>1926</v>
      </c>
      <c r="H1583" s="52" t="n">
        <v>1</v>
      </c>
    </row>
    <row r="1584" customFormat="false" ht="15" hidden="false" customHeight="true" outlineLevel="0" collapsed="false">
      <c r="A1584" s="52" t="n">
        <v>1583</v>
      </c>
      <c r="B1584" s="52" t="s">
        <v>399</v>
      </c>
      <c r="C1584" s="52" t="s">
        <v>408</v>
      </c>
      <c r="D1584" s="52" t="s">
        <v>1612</v>
      </c>
      <c r="E1584" s="52" t="s">
        <v>1916</v>
      </c>
      <c r="F1584" s="52" t="s">
        <v>36</v>
      </c>
      <c r="G1584" s="52" t="s">
        <v>1927</v>
      </c>
      <c r="H1584" s="52" t="n">
        <v>1</v>
      </c>
    </row>
    <row r="1585" customFormat="false" ht="15" hidden="false" customHeight="true" outlineLevel="0" collapsed="false">
      <c r="A1585" s="52" t="n">
        <v>1584</v>
      </c>
      <c r="B1585" s="52" t="s">
        <v>399</v>
      </c>
      <c r="C1585" s="52" t="s">
        <v>408</v>
      </c>
      <c r="D1585" s="52" t="s">
        <v>1612</v>
      </c>
      <c r="E1585" s="52" t="s">
        <v>1916</v>
      </c>
      <c r="F1585" s="52" t="s">
        <v>36</v>
      </c>
      <c r="G1585" s="52" t="s">
        <v>1928</v>
      </c>
      <c r="H1585" s="52" t="n">
        <v>1</v>
      </c>
    </row>
    <row r="1586" customFormat="false" ht="15" hidden="false" customHeight="true" outlineLevel="0" collapsed="false">
      <c r="A1586" s="52" t="n">
        <v>1585</v>
      </c>
      <c r="B1586" s="52" t="s">
        <v>399</v>
      </c>
      <c r="C1586" s="52" t="s">
        <v>408</v>
      </c>
      <c r="D1586" s="52" t="s">
        <v>1612</v>
      </c>
      <c r="E1586" s="52" t="s">
        <v>1916</v>
      </c>
      <c r="F1586" s="52" t="s">
        <v>36</v>
      </c>
      <c r="G1586" s="52" t="s">
        <v>1929</v>
      </c>
      <c r="H1586" s="52" t="n">
        <v>1</v>
      </c>
    </row>
    <row r="1587" customFormat="false" ht="15" hidden="false" customHeight="true" outlineLevel="0" collapsed="false">
      <c r="A1587" s="52" t="n">
        <v>1586</v>
      </c>
      <c r="B1587" s="52" t="s">
        <v>399</v>
      </c>
      <c r="C1587" s="52" t="s">
        <v>408</v>
      </c>
      <c r="D1587" s="52" t="s">
        <v>1612</v>
      </c>
      <c r="E1587" s="52" t="s">
        <v>1916</v>
      </c>
      <c r="F1587" s="52" t="s">
        <v>36</v>
      </c>
      <c r="G1587" s="52" t="s">
        <v>1930</v>
      </c>
      <c r="H1587" s="52" t="n">
        <v>1</v>
      </c>
    </row>
    <row r="1588" customFormat="false" ht="15" hidden="false" customHeight="true" outlineLevel="0" collapsed="false">
      <c r="A1588" s="52" t="n">
        <v>1587</v>
      </c>
      <c r="B1588" s="52" t="s">
        <v>399</v>
      </c>
      <c r="C1588" s="52" t="s">
        <v>408</v>
      </c>
      <c r="D1588" s="52" t="s">
        <v>1612</v>
      </c>
      <c r="E1588" s="52" t="s">
        <v>1916</v>
      </c>
      <c r="F1588" s="52" t="s">
        <v>36</v>
      </c>
      <c r="G1588" s="52" t="s">
        <v>1931</v>
      </c>
      <c r="H1588" s="52" t="n">
        <v>1</v>
      </c>
    </row>
    <row r="1589" customFormat="false" ht="15" hidden="false" customHeight="true" outlineLevel="0" collapsed="false">
      <c r="A1589" s="52" t="n">
        <v>1588</v>
      </c>
      <c r="B1589" s="52" t="s">
        <v>399</v>
      </c>
      <c r="C1589" s="52" t="s">
        <v>408</v>
      </c>
      <c r="D1589" s="52" t="s">
        <v>1612</v>
      </c>
      <c r="E1589" s="52" t="s">
        <v>1916</v>
      </c>
      <c r="F1589" s="52" t="s">
        <v>259</v>
      </c>
      <c r="G1589" s="52" t="s">
        <v>1932</v>
      </c>
      <c r="H1589" s="52" t="n">
        <v>1</v>
      </c>
    </row>
    <row r="1590" customFormat="false" ht="15" hidden="false" customHeight="true" outlineLevel="0" collapsed="false">
      <c r="A1590" s="52" t="n">
        <v>1589</v>
      </c>
      <c r="B1590" s="52" t="s">
        <v>399</v>
      </c>
      <c r="C1590" s="52" t="s">
        <v>408</v>
      </c>
      <c r="D1590" s="52" t="s">
        <v>1612</v>
      </c>
      <c r="E1590" s="52" t="s">
        <v>1916</v>
      </c>
      <c r="F1590" s="52" t="s">
        <v>259</v>
      </c>
      <c r="G1590" s="52" t="s">
        <v>1933</v>
      </c>
      <c r="H1590" s="52" t="n">
        <v>1</v>
      </c>
    </row>
    <row r="1591" customFormat="false" ht="15" hidden="false" customHeight="true" outlineLevel="0" collapsed="false">
      <c r="A1591" s="52" t="n">
        <v>1590</v>
      </c>
      <c r="B1591" s="52" t="s">
        <v>399</v>
      </c>
      <c r="C1591" s="52" t="s">
        <v>408</v>
      </c>
      <c r="D1591" s="52" t="s">
        <v>1612</v>
      </c>
      <c r="E1591" s="52" t="s">
        <v>1916</v>
      </c>
      <c r="F1591" s="52" t="s">
        <v>259</v>
      </c>
      <c r="G1591" s="52" t="s">
        <v>1934</v>
      </c>
      <c r="H1591" s="52" t="n">
        <v>1</v>
      </c>
    </row>
    <row r="1592" customFormat="false" ht="15" hidden="false" customHeight="true" outlineLevel="0" collapsed="false">
      <c r="A1592" s="52" t="n">
        <v>1591</v>
      </c>
      <c r="B1592" s="52" t="s">
        <v>399</v>
      </c>
      <c r="C1592" s="52" t="s">
        <v>408</v>
      </c>
      <c r="D1592" s="52" t="s">
        <v>1612</v>
      </c>
      <c r="E1592" s="52" t="s">
        <v>1916</v>
      </c>
      <c r="F1592" s="52" t="s">
        <v>259</v>
      </c>
      <c r="G1592" s="52" t="s">
        <v>1935</v>
      </c>
      <c r="H1592" s="52" t="n">
        <v>1</v>
      </c>
    </row>
    <row r="1593" customFormat="false" ht="15" hidden="false" customHeight="true" outlineLevel="0" collapsed="false">
      <c r="A1593" s="52" t="n">
        <v>1592</v>
      </c>
      <c r="B1593" s="52" t="s">
        <v>399</v>
      </c>
      <c r="C1593" s="52" t="s">
        <v>408</v>
      </c>
      <c r="D1593" s="52" t="s">
        <v>1612</v>
      </c>
      <c r="E1593" s="52" t="s">
        <v>1916</v>
      </c>
      <c r="F1593" s="52" t="s">
        <v>259</v>
      </c>
      <c r="G1593" s="52" t="s">
        <v>1936</v>
      </c>
      <c r="H1593" s="52" t="n">
        <v>1</v>
      </c>
    </row>
    <row r="1594" customFormat="false" ht="15" hidden="false" customHeight="true" outlineLevel="0" collapsed="false">
      <c r="A1594" s="52" t="n">
        <v>1593</v>
      </c>
      <c r="B1594" s="52" t="s">
        <v>399</v>
      </c>
      <c r="C1594" s="52" t="s">
        <v>408</v>
      </c>
      <c r="D1594" s="52" t="s">
        <v>1612</v>
      </c>
      <c r="E1594" s="52" t="s">
        <v>1916</v>
      </c>
      <c r="F1594" s="52" t="s">
        <v>52</v>
      </c>
      <c r="G1594" s="52" t="s">
        <v>1937</v>
      </c>
      <c r="H1594" s="52" t="n">
        <v>1</v>
      </c>
    </row>
    <row r="1595" customFormat="false" ht="15" hidden="false" customHeight="true" outlineLevel="0" collapsed="false">
      <c r="A1595" s="52" t="n">
        <v>1594</v>
      </c>
      <c r="B1595" s="52" t="s">
        <v>399</v>
      </c>
      <c r="C1595" s="52" t="s">
        <v>408</v>
      </c>
      <c r="D1595" s="52" t="s">
        <v>1612</v>
      </c>
      <c r="E1595" s="52" t="s">
        <v>1916</v>
      </c>
      <c r="F1595" s="52" t="s">
        <v>52</v>
      </c>
      <c r="G1595" s="52" t="s">
        <v>1938</v>
      </c>
      <c r="H1595" s="52" t="n">
        <v>1</v>
      </c>
    </row>
    <row r="1596" customFormat="false" ht="15" hidden="false" customHeight="true" outlineLevel="0" collapsed="false">
      <c r="A1596" s="52" t="n">
        <v>1595</v>
      </c>
      <c r="B1596" s="52" t="s">
        <v>399</v>
      </c>
      <c r="C1596" s="52" t="s">
        <v>408</v>
      </c>
      <c r="D1596" s="52" t="s">
        <v>1612</v>
      </c>
      <c r="E1596" s="52" t="s">
        <v>1916</v>
      </c>
      <c r="F1596" s="52" t="s">
        <v>52</v>
      </c>
      <c r="G1596" s="52" t="s">
        <v>1939</v>
      </c>
      <c r="H1596" s="52" t="n">
        <v>1</v>
      </c>
    </row>
    <row r="1597" customFormat="false" ht="15" hidden="false" customHeight="true" outlineLevel="0" collapsed="false">
      <c r="A1597" s="52" t="n">
        <v>1596</v>
      </c>
      <c r="B1597" s="52" t="s">
        <v>399</v>
      </c>
      <c r="C1597" s="52" t="s">
        <v>408</v>
      </c>
      <c r="D1597" s="52" t="s">
        <v>1612</v>
      </c>
      <c r="E1597" s="52" t="s">
        <v>1916</v>
      </c>
      <c r="F1597" s="52" t="s">
        <v>52</v>
      </c>
      <c r="G1597" s="52" t="s">
        <v>1940</v>
      </c>
      <c r="H1597" s="52" t="n">
        <v>1</v>
      </c>
    </row>
    <row r="1598" customFormat="false" ht="15" hidden="false" customHeight="true" outlineLevel="0" collapsed="false">
      <c r="A1598" s="52" t="n">
        <v>1597</v>
      </c>
      <c r="B1598" s="52" t="s">
        <v>399</v>
      </c>
      <c r="C1598" s="52" t="s">
        <v>408</v>
      </c>
      <c r="D1598" s="52" t="s">
        <v>1612</v>
      </c>
      <c r="E1598" s="52" t="s">
        <v>1916</v>
      </c>
      <c r="F1598" s="52" t="s">
        <v>52</v>
      </c>
      <c r="G1598" s="52" t="s">
        <v>1941</v>
      </c>
      <c r="H1598" s="52" t="n">
        <v>1</v>
      </c>
    </row>
    <row r="1599" customFormat="false" ht="15" hidden="false" customHeight="true" outlineLevel="0" collapsed="false">
      <c r="A1599" s="52" t="n">
        <v>1598</v>
      </c>
      <c r="B1599" s="52" t="s">
        <v>399</v>
      </c>
      <c r="C1599" s="52" t="s">
        <v>408</v>
      </c>
      <c r="D1599" s="52" t="s">
        <v>1612</v>
      </c>
      <c r="E1599" s="52" t="s">
        <v>1916</v>
      </c>
      <c r="F1599" s="52" t="s">
        <v>52</v>
      </c>
      <c r="G1599" s="52" t="s">
        <v>1942</v>
      </c>
      <c r="H1599" s="52" t="n">
        <v>1</v>
      </c>
    </row>
    <row r="1600" customFormat="false" ht="15" hidden="false" customHeight="true" outlineLevel="0" collapsed="false">
      <c r="A1600" s="52" t="n">
        <v>1599</v>
      </c>
      <c r="B1600" s="52" t="s">
        <v>399</v>
      </c>
      <c r="C1600" s="52" t="s">
        <v>408</v>
      </c>
      <c r="D1600" s="52" t="s">
        <v>1612</v>
      </c>
      <c r="E1600" s="52" t="s">
        <v>1916</v>
      </c>
      <c r="F1600" s="52" t="s">
        <v>21</v>
      </c>
      <c r="G1600" s="52" t="s">
        <v>1943</v>
      </c>
      <c r="H1600" s="52" t="n">
        <v>1</v>
      </c>
    </row>
    <row r="1601" customFormat="false" ht="15" hidden="false" customHeight="true" outlineLevel="0" collapsed="false">
      <c r="A1601" s="52" t="n">
        <v>1600</v>
      </c>
      <c r="B1601" s="52" t="s">
        <v>399</v>
      </c>
      <c r="C1601" s="52" t="s">
        <v>408</v>
      </c>
      <c r="D1601" s="52" t="s">
        <v>1612</v>
      </c>
      <c r="E1601" s="52" t="s">
        <v>1916</v>
      </c>
      <c r="F1601" s="52" t="s">
        <v>13</v>
      </c>
      <c r="G1601" s="52" t="s">
        <v>1944</v>
      </c>
      <c r="H1601" s="52" t="n">
        <v>1</v>
      </c>
    </row>
    <row r="1602" customFormat="false" ht="15" hidden="false" customHeight="true" outlineLevel="0" collapsed="false">
      <c r="A1602" s="52" t="n">
        <v>1601</v>
      </c>
      <c r="B1602" s="52" t="s">
        <v>399</v>
      </c>
      <c r="C1602" s="52" t="s">
        <v>408</v>
      </c>
      <c r="D1602" s="52" t="s">
        <v>1612</v>
      </c>
      <c r="E1602" s="52" t="s">
        <v>1916</v>
      </c>
      <c r="F1602" s="52" t="s">
        <v>13</v>
      </c>
      <c r="G1602" s="52" t="s">
        <v>1945</v>
      </c>
      <c r="H1602" s="52" t="n">
        <v>1</v>
      </c>
    </row>
    <row r="1603" customFormat="false" ht="15" hidden="false" customHeight="true" outlineLevel="0" collapsed="false">
      <c r="A1603" s="52" t="n">
        <v>1602</v>
      </c>
      <c r="B1603" s="52" t="s">
        <v>399</v>
      </c>
      <c r="C1603" s="52" t="s">
        <v>408</v>
      </c>
      <c r="D1603" s="52" t="s">
        <v>1612</v>
      </c>
      <c r="E1603" s="52" t="s">
        <v>1916</v>
      </c>
      <c r="F1603" s="52" t="s">
        <v>13</v>
      </c>
      <c r="G1603" s="52" t="s">
        <v>1946</v>
      </c>
      <c r="H1603" s="52" t="n">
        <v>1</v>
      </c>
    </row>
    <row r="1604" customFormat="false" ht="15" hidden="false" customHeight="true" outlineLevel="0" collapsed="false">
      <c r="A1604" s="52" t="n">
        <v>1603</v>
      </c>
      <c r="B1604" s="52" t="s">
        <v>399</v>
      </c>
      <c r="C1604" s="52" t="s">
        <v>408</v>
      </c>
      <c r="D1604" s="52" t="s">
        <v>1612</v>
      </c>
      <c r="E1604" s="52" t="s">
        <v>1916</v>
      </c>
      <c r="F1604" s="52" t="s">
        <v>13</v>
      </c>
      <c r="G1604" s="52" t="s">
        <v>1947</v>
      </c>
      <c r="H1604" s="52" t="n">
        <v>1</v>
      </c>
    </row>
    <row r="1605" customFormat="false" ht="15" hidden="false" customHeight="true" outlineLevel="0" collapsed="false">
      <c r="A1605" s="52" t="n">
        <v>1604</v>
      </c>
      <c r="B1605" s="52" t="s">
        <v>399</v>
      </c>
      <c r="C1605" s="52" t="s">
        <v>408</v>
      </c>
      <c r="D1605" s="52" t="s">
        <v>1612</v>
      </c>
      <c r="E1605" s="52" t="s">
        <v>1916</v>
      </c>
      <c r="F1605" s="52" t="s">
        <v>101</v>
      </c>
      <c r="G1605" s="52" t="s">
        <v>1948</v>
      </c>
      <c r="H1605" s="52" t="n">
        <v>1</v>
      </c>
    </row>
    <row r="1606" customFormat="false" ht="15" hidden="false" customHeight="true" outlineLevel="0" collapsed="false">
      <c r="A1606" s="52" t="n">
        <v>1605</v>
      </c>
      <c r="B1606" s="52" t="s">
        <v>399</v>
      </c>
      <c r="C1606" s="52" t="s">
        <v>408</v>
      </c>
      <c r="D1606" s="52" t="s">
        <v>1612</v>
      </c>
      <c r="E1606" s="52" t="s">
        <v>1916</v>
      </c>
      <c r="F1606" s="52" t="s">
        <v>101</v>
      </c>
      <c r="G1606" s="52" t="s">
        <v>1949</v>
      </c>
      <c r="H1606" s="52" t="n">
        <v>1</v>
      </c>
    </row>
    <row r="1607" customFormat="false" ht="15" hidden="false" customHeight="true" outlineLevel="0" collapsed="false">
      <c r="A1607" s="52" t="n">
        <v>1606</v>
      </c>
      <c r="B1607" s="52" t="s">
        <v>399</v>
      </c>
      <c r="C1607" s="52" t="s">
        <v>644</v>
      </c>
      <c r="D1607" s="52" t="s">
        <v>1612</v>
      </c>
      <c r="E1607" s="52" t="s">
        <v>1916</v>
      </c>
      <c r="F1607" s="52" t="s">
        <v>331</v>
      </c>
      <c r="G1607" s="52" t="s">
        <v>1950</v>
      </c>
      <c r="H1607" s="52" t="n">
        <v>1</v>
      </c>
    </row>
    <row r="1608" customFormat="false" ht="15" hidden="false" customHeight="true" outlineLevel="0" collapsed="false">
      <c r="A1608" s="52" t="n">
        <v>1607</v>
      </c>
      <c r="B1608" s="52" t="s">
        <v>399</v>
      </c>
      <c r="C1608" s="52" t="s">
        <v>644</v>
      </c>
      <c r="D1608" s="52" t="s">
        <v>1612</v>
      </c>
      <c r="E1608" s="52" t="s">
        <v>1916</v>
      </c>
      <c r="F1608" s="52" t="s">
        <v>331</v>
      </c>
      <c r="G1608" s="52" t="s">
        <v>1951</v>
      </c>
      <c r="H1608" s="52" t="n">
        <v>1</v>
      </c>
    </row>
    <row r="1609" customFormat="false" ht="15" hidden="false" customHeight="true" outlineLevel="0" collapsed="false">
      <c r="A1609" s="52" t="n">
        <v>1608</v>
      </c>
      <c r="B1609" s="52" t="s">
        <v>399</v>
      </c>
      <c r="C1609" s="52" t="s">
        <v>644</v>
      </c>
      <c r="D1609" s="52" t="s">
        <v>1612</v>
      </c>
      <c r="E1609" s="52" t="s">
        <v>1916</v>
      </c>
      <c r="F1609" s="52" t="s">
        <v>331</v>
      </c>
      <c r="G1609" s="52" t="s">
        <v>1952</v>
      </c>
      <c r="H1609" s="52" t="n">
        <v>1</v>
      </c>
    </row>
    <row r="1610" customFormat="false" ht="15" hidden="false" customHeight="true" outlineLevel="0" collapsed="false">
      <c r="A1610" s="52" t="n">
        <v>1609</v>
      </c>
      <c r="B1610" s="52" t="s">
        <v>399</v>
      </c>
      <c r="C1610" s="52" t="s">
        <v>644</v>
      </c>
      <c r="D1610" s="52" t="s">
        <v>1612</v>
      </c>
      <c r="E1610" s="52" t="s">
        <v>1916</v>
      </c>
      <c r="F1610" s="52" t="s">
        <v>74</v>
      </c>
      <c r="G1610" s="52" t="s">
        <v>1953</v>
      </c>
      <c r="H1610" s="52" t="n">
        <v>1</v>
      </c>
    </row>
    <row r="1611" customFormat="false" ht="15" hidden="false" customHeight="true" outlineLevel="0" collapsed="false">
      <c r="A1611" s="52" t="n">
        <v>1610</v>
      </c>
      <c r="B1611" s="52" t="s">
        <v>399</v>
      </c>
      <c r="C1611" s="52" t="s">
        <v>644</v>
      </c>
      <c r="D1611" s="52" t="s">
        <v>1612</v>
      </c>
      <c r="E1611" s="52" t="s">
        <v>1916</v>
      </c>
      <c r="F1611" s="52" t="s">
        <v>74</v>
      </c>
      <c r="G1611" s="52" t="s">
        <v>1954</v>
      </c>
      <c r="H1611" s="52" t="n">
        <v>1</v>
      </c>
    </row>
    <row r="1612" customFormat="false" ht="15" hidden="false" customHeight="true" outlineLevel="0" collapsed="false">
      <c r="A1612" s="52" t="n">
        <v>1611</v>
      </c>
      <c r="B1612" s="52" t="s">
        <v>399</v>
      </c>
      <c r="C1612" s="52" t="s">
        <v>644</v>
      </c>
      <c r="D1612" s="52" t="s">
        <v>1612</v>
      </c>
      <c r="E1612" s="52" t="s">
        <v>1916</v>
      </c>
      <c r="F1612" s="52" t="s">
        <v>74</v>
      </c>
      <c r="G1612" s="52" t="s">
        <v>1955</v>
      </c>
      <c r="H1612" s="52" t="n">
        <v>1</v>
      </c>
    </row>
    <row r="1613" customFormat="false" ht="15" hidden="false" customHeight="true" outlineLevel="0" collapsed="false">
      <c r="A1613" s="52" t="n">
        <v>1612</v>
      </c>
      <c r="B1613" s="52" t="s">
        <v>399</v>
      </c>
      <c r="C1613" s="52" t="s">
        <v>644</v>
      </c>
      <c r="D1613" s="52" t="s">
        <v>1612</v>
      </c>
      <c r="E1613" s="52" t="s">
        <v>1916</v>
      </c>
      <c r="F1613" s="52" t="s">
        <v>74</v>
      </c>
      <c r="G1613" s="52" t="s">
        <v>1956</v>
      </c>
      <c r="H1613" s="52" t="n">
        <v>1</v>
      </c>
    </row>
    <row r="1614" customFormat="false" ht="15" hidden="false" customHeight="true" outlineLevel="0" collapsed="false">
      <c r="A1614" s="52" t="n">
        <v>1613</v>
      </c>
      <c r="B1614" s="52" t="s">
        <v>399</v>
      </c>
      <c r="C1614" s="52" t="s">
        <v>644</v>
      </c>
      <c r="D1614" s="52" t="s">
        <v>1612</v>
      </c>
      <c r="E1614" s="52" t="s">
        <v>1916</v>
      </c>
      <c r="F1614" s="52" t="s">
        <v>74</v>
      </c>
      <c r="G1614" s="52" t="s">
        <v>1957</v>
      </c>
      <c r="H1614" s="52" t="n">
        <v>1</v>
      </c>
    </row>
    <row r="1615" customFormat="false" ht="15" hidden="false" customHeight="true" outlineLevel="0" collapsed="false">
      <c r="A1615" s="52" t="n">
        <v>1614</v>
      </c>
      <c r="B1615" s="52" t="s">
        <v>399</v>
      </c>
      <c r="C1615" s="52" t="s">
        <v>644</v>
      </c>
      <c r="D1615" s="52" t="s">
        <v>1612</v>
      </c>
      <c r="E1615" s="52" t="s">
        <v>1916</v>
      </c>
      <c r="F1615" s="52" t="s">
        <v>74</v>
      </c>
      <c r="G1615" s="52" t="s">
        <v>1958</v>
      </c>
      <c r="H1615" s="52" t="n">
        <v>1</v>
      </c>
    </row>
    <row r="1616" customFormat="false" ht="15" hidden="false" customHeight="true" outlineLevel="0" collapsed="false">
      <c r="A1616" s="52" t="n">
        <v>1615</v>
      </c>
      <c r="B1616" s="52" t="s">
        <v>399</v>
      </c>
      <c r="C1616" s="52" t="s">
        <v>644</v>
      </c>
      <c r="D1616" s="52" t="s">
        <v>1612</v>
      </c>
      <c r="E1616" s="52" t="s">
        <v>1916</v>
      </c>
      <c r="F1616" s="52" t="s">
        <v>74</v>
      </c>
      <c r="G1616" s="52" t="s">
        <v>1959</v>
      </c>
      <c r="H1616" s="52" t="n">
        <v>1</v>
      </c>
    </row>
    <row r="1617" customFormat="false" ht="15" hidden="false" customHeight="true" outlineLevel="0" collapsed="false">
      <c r="A1617" s="52" t="n">
        <v>1616</v>
      </c>
      <c r="B1617" s="52" t="s">
        <v>399</v>
      </c>
      <c r="C1617" s="52" t="s">
        <v>644</v>
      </c>
      <c r="D1617" s="52" t="s">
        <v>1612</v>
      </c>
      <c r="E1617" s="52" t="s">
        <v>1916</v>
      </c>
      <c r="F1617" s="52" t="s">
        <v>74</v>
      </c>
      <c r="G1617" s="52" t="s">
        <v>1960</v>
      </c>
      <c r="H1617" s="52" t="n">
        <v>1</v>
      </c>
    </row>
    <row r="1618" customFormat="false" ht="15" hidden="false" customHeight="true" outlineLevel="0" collapsed="false">
      <c r="A1618" s="52" t="n">
        <v>1617</v>
      </c>
      <c r="B1618" s="52" t="s">
        <v>399</v>
      </c>
      <c r="C1618" s="52" t="s">
        <v>644</v>
      </c>
      <c r="D1618" s="52" t="s">
        <v>1612</v>
      </c>
      <c r="E1618" s="52" t="s">
        <v>1916</v>
      </c>
      <c r="F1618" s="52" t="s">
        <v>36</v>
      </c>
      <c r="G1618" s="52" t="s">
        <v>1961</v>
      </c>
      <c r="H1618" s="52" t="n">
        <v>1</v>
      </c>
    </row>
    <row r="1619" customFormat="false" ht="15" hidden="false" customHeight="true" outlineLevel="0" collapsed="false">
      <c r="A1619" s="52" t="n">
        <v>1618</v>
      </c>
      <c r="B1619" s="52" t="s">
        <v>399</v>
      </c>
      <c r="C1619" s="52" t="s">
        <v>644</v>
      </c>
      <c r="D1619" s="52" t="s">
        <v>1612</v>
      </c>
      <c r="E1619" s="52" t="s">
        <v>1916</v>
      </c>
      <c r="F1619" s="52" t="s">
        <v>36</v>
      </c>
      <c r="G1619" s="52" t="s">
        <v>1962</v>
      </c>
      <c r="H1619" s="52" t="n">
        <v>1</v>
      </c>
    </row>
    <row r="1620" customFormat="false" ht="15" hidden="false" customHeight="true" outlineLevel="0" collapsed="false">
      <c r="A1620" s="52" t="n">
        <v>1619</v>
      </c>
      <c r="B1620" s="52" t="s">
        <v>399</v>
      </c>
      <c r="C1620" s="52" t="s">
        <v>644</v>
      </c>
      <c r="D1620" s="52" t="s">
        <v>1612</v>
      </c>
      <c r="E1620" s="52" t="s">
        <v>1916</v>
      </c>
      <c r="F1620" s="52" t="s">
        <v>36</v>
      </c>
      <c r="G1620" s="52" t="s">
        <v>1963</v>
      </c>
      <c r="H1620" s="52" t="n">
        <v>1</v>
      </c>
    </row>
    <row r="1621" customFormat="false" ht="15" hidden="false" customHeight="true" outlineLevel="0" collapsed="false">
      <c r="A1621" s="52" t="n">
        <v>1620</v>
      </c>
      <c r="B1621" s="52" t="s">
        <v>399</v>
      </c>
      <c r="C1621" s="52" t="s">
        <v>644</v>
      </c>
      <c r="D1621" s="52" t="s">
        <v>1612</v>
      </c>
      <c r="E1621" s="52" t="s">
        <v>1916</v>
      </c>
      <c r="F1621" s="52" t="s">
        <v>36</v>
      </c>
      <c r="G1621" s="52" t="s">
        <v>1964</v>
      </c>
      <c r="H1621" s="52" t="n">
        <v>1</v>
      </c>
    </row>
    <row r="1622" customFormat="false" ht="15" hidden="false" customHeight="true" outlineLevel="0" collapsed="false">
      <c r="A1622" s="52" t="n">
        <v>1621</v>
      </c>
      <c r="B1622" s="52" t="s">
        <v>399</v>
      </c>
      <c r="C1622" s="52" t="s">
        <v>644</v>
      </c>
      <c r="D1622" s="52" t="s">
        <v>1612</v>
      </c>
      <c r="E1622" s="52" t="s">
        <v>1916</v>
      </c>
      <c r="F1622" s="52" t="s">
        <v>36</v>
      </c>
      <c r="G1622" s="52" t="s">
        <v>1965</v>
      </c>
      <c r="H1622" s="52" t="n">
        <v>1</v>
      </c>
    </row>
    <row r="1623" customFormat="false" ht="15" hidden="false" customHeight="true" outlineLevel="0" collapsed="false">
      <c r="A1623" s="52" t="n">
        <v>1622</v>
      </c>
      <c r="B1623" s="52" t="s">
        <v>399</v>
      </c>
      <c r="C1623" s="52" t="s">
        <v>644</v>
      </c>
      <c r="D1623" s="52" t="s">
        <v>1612</v>
      </c>
      <c r="E1623" s="52" t="s">
        <v>1916</v>
      </c>
      <c r="F1623" s="52" t="s">
        <v>36</v>
      </c>
      <c r="G1623" s="52" t="s">
        <v>1966</v>
      </c>
      <c r="H1623" s="52" t="n">
        <v>1</v>
      </c>
    </row>
    <row r="1624" customFormat="false" ht="15" hidden="false" customHeight="true" outlineLevel="0" collapsed="false">
      <c r="A1624" s="52" t="n">
        <v>1623</v>
      </c>
      <c r="B1624" s="52" t="s">
        <v>399</v>
      </c>
      <c r="C1624" s="52" t="s">
        <v>644</v>
      </c>
      <c r="D1624" s="52" t="s">
        <v>1612</v>
      </c>
      <c r="E1624" s="52" t="s">
        <v>1916</v>
      </c>
      <c r="F1624" s="52" t="s">
        <v>36</v>
      </c>
      <c r="G1624" s="52" t="s">
        <v>1967</v>
      </c>
      <c r="H1624" s="52" t="n">
        <v>1</v>
      </c>
    </row>
    <row r="1625" customFormat="false" ht="15" hidden="false" customHeight="true" outlineLevel="0" collapsed="false">
      <c r="A1625" s="52" t="n">
        <v>1624</v>
      </c>
      <c r="B1625" s="52" t="s">
        <v>399</v>
      </c>
      <c r="C1625" s="52" t="s">
        <v>644</v>
      </c>
      <c r="D1625" s="52" t="s">
        <v>1612</v>
      </c>
      <c r="E1625" s="52" t="s">
        <v>1916</v>
      </c>
      <c r="F1625" s="52" t="s">
        <v>259</v>
      </c>
      <c r="G1625" s="52" t="s">
        <v>1968</v>
      </c>
      <c r="H1625" s="52" t="n">
        <v>1</v>
      </c>
    </row>
    <row r="1626" customFormat="false" ht="15" hidden="false" customHeight="true" outlineLevel="0" collapsed="false">
      <c r="A1626" s="52" t="n">
        <v>1625</v>
      </c>
      <c r="B1626" s="52" t="s">
        <v>399</v>
      </c>
      <c r="C1626" s="52" t="s">
        <v>644</v>
      </c>
      <c r="D1626" s="52" t="s">
        <v>1612</v>
      </c>
      <c r="E1626" s="52" t="s">
        <v>1916</v>
      </c>
      <c r="F1626" s="52" t="s">
        <v>259</v>
      </c>
      <c r="G1626" s="52" t="s">
        <v>1969</v>
      </c>
      <c r="H1626" s="52" t="n">
        <v>1</v>
      </c>
    </row>
    <row r="1627" customFormat="false" ht="15" hidden="false" customHeight="true" outlineLevel="0" collapsed="false">
      <c r="A1627" s="52" t="n">
        <v>1626</v>
      </c>
      <c r="B1627" s="52" t="s">
        <v>399</v>
      </c>
      <c r="C1627" s="52" t="s">
        <v>644</v>
      </c>
      <c r="D1627" s="52" t="s">
        <v>1612</v>
      </c>
      <c r="E1627" s="52" t="s">
        <v>1916</v>
      </c>
      <c r="F1627" s="52" t="s">
        <v>259</v>
      </c>
      <c r="G1627" s="52" t="s">
        <v>1970</v>
      </c>
      <c r="H1627" s="52" t="n">
        <v>1</v>
      </c>
    </row>
    <row r="1628" customFormat="false" ht="15" hidden="false" customHeight="true" outlineLevel="0" collapsed="false">
      <c r="A1628" s="52" t="n">
        <v>1627</v>
      </c>
      <c r="B1628" s="52" t="s">
        <v>399</v>
      </c>
      <c r="C1628" s="52" t="s">
        <v>644</v>
      </c>
      <c r="D1628" s="52" t="s">
        <v>1612</v>
      </c>
      <c r="E1628" s="52" t="s">
        <v>1916</v>
      </c>
      <c r="F1628" s="52" t="s">
        <v>259</v>
      </c>
      <c r="G1628" s="52" t="s">
        <v>1971</v>
      </c>
      <c r="H1628" s="52" t="n">
        <v>1</v>
      </c>
    </row>
    <row r="1629" customFormat="false" ht="15" hidden="false" customHeight="true" outlineLevel="0" collapsed="false">
      <c r="A1629" s="52" t="n">
        <v>1628</v>
      </c>
      <c r="B1629" s="52" t="s">
        <v>399</v>
      </c>
      <c r="C1629" s="52" t="s">
        <v>644</v>
      </c>
      <c r="D1629" s="52" t="s">
        <v>1612</v>
      </c>
      <c r="E1629" s="52" t="s">
        <v>1916</v>
      </c>
      <c r="F1629" s="52" t="s">
        <v>259</v>
      </c>
      <c r="G1629" s="52" t="s">
        <v>1972</v>
      </c>
      <c r="H1629" s="52" t="n">
        <v>1</v>
      </c>
    </row>
    <row r="1630" customFormat="false" ht="15" hidden="false" customHeight="true" outlineLevel="0" collapsed="false">
      <c r="A1630" s="52" t="n">
        <v>1629</v>
      </c>
      <c r="B1630" s="52" t="s">
        <v>399</v>
      </c>
      <c r="C1630" s="52" t="s">
        <v>644</v>
      </c>
      <c r="D1630" s="52" t="s">
        <v>1612</v>
      </c>
      <c r="E1630" s="52" t="s">
        <v>1916</v>
      </c>
      <c r="F1630" s="52" t="s">
        <v>259</v>
      </c>
      <c r="G1630" s="52" t="s">
        <v>1973</v>
      </c>
      <c r="H1630" s="52" t="n">
        <v>1</v>
      </c>
    </row>
    <row r="1631" customFormat="false" ht="15" hidden="false" customHeight="true" outlineLevel="0" collapsed="false">
      <c r="A1631" s="52" t="n">
        <v>1630</v>
      </c>
      <c r="B1631" s="52" t="s">
        <v>399</v>
      </c>
      <c r="C1631" s="52" t="s">
        <v>644</v>
      </c>
      <c r="D1631" s="52" t="s">
        <v>1612</v>
      </c>
      <c r="E1631" s="52" t="s">
        <v>1916</v>
      </c>
      <c r="F1631" s="52" t="s">
        <v>259</v>
      </c>
      <c r="G1631" s="52" t="s">
        <v>1974</v>
      </c>
      <c r="H1631" s="52" t="n">
        <v>1</v>
      </c>
    </row>
    <row r="1632" customFormat="false" ht="15" hidden="false" customHeight="true" outlineLevel="0" collapsed="false">
      <c r="A1632" s="52" t="n">
        <v>1631</v>
      </c>
      <c r="B1632" s="52" t="s">
        <v>399</v>
      </c>
      <c r="C1632" s="52" t="s">
        <v>644</v>
      </c>
      <c r="D1632" s="52" t="s">
        <v>1612</v>
      </c>
      <c r="E1632" s="52" t="s">
        <v>1916</v>
      </c>
      <c r="F1632" s="52" t="s">
        <v>259</v>
      </c>
      <c r="G1632" s="52" t="s">
        <v>1975</v>
      </c>
      <c r="H1632" s="52" t="n">
        <v>1</v>
      </c>
    </row>
    <row r="1633" customFormat="false" ht="15" hidden="false" customHeight="true" outlineLevel="0" collapsed="false">
      <c r="A1633" s="52" t="n">
        <v>1632</v>
      </c>
      <c r="B1633" s="52" t="s">
        <v>399</v>
      </c>
      <c r="C1633" s="52" t="s">
        <v>644</v>
      </c>
      <c r="D1633" s="52" t="s">
        <v>1612</v>
      </c>
      <c r="E1633" s="52" t="s">
        <v>1916</v>
      </c>
      <c r="F1633" s="52" t="s">
        <v>259</v>
      </c>
      <c r="G1633" s="52" t="s">
        <v>1976</v>
      </c>
      <c r="H1633" s="52" t="n">
        <v>1</v>
      </c>
    </row>
    <row r="1634" customFormat="false" ht="15" hidden="false" customHeight="true" outlineLevel="0" collapsed="false">
      <c r="A1634" s="52" t="n">
        <v>1633</v>
      </c>
      <c r="B1634" s="52" t="s">
        <v>399</v>
      </c>
      <c r="C1634" s="52" t="s">
        <v>644</v>
      </c>
      <c r="D1634" s="52" t="s">
        <v>1612</v>
      </c>
      <c r="E1634" s="52" t="s">
        <v>1916</v>
      </c>
      <c r="F1634" s="52" t="s">
        <v>259</v>
      </c>
      <c r="G1634" s="52" t="s">
        <v>1977</v>
      </c>
      <c r="H1634" s="52" t="n">
        <v>1</v>
      </c>
    </row>
    <row r="1635" customFormat="false" ht="15" hidden="false" customHeight="true" outlineLevel="0" collapsed="false">
      <c r="A1635" s="52" t="n">
        <v>1634</v>
      </c>
      <c r="B1635" s="52" t="s">
        <v>399</v>
      </c>
      <c r="C1635" s="52" t="s">
        <v>644</v>
      </c>
      <c r="D1635" s="52" t="s">
        <v>1612</v>
      </c>
      <c r="E1635" s="52" t="s">
        <v>1916</v>
      </c>
      <c r="F1635" s="52" t="s">
        <v>52</v>
      </c>
      <c r="G1635" s="52" t="s">
        <v>1978</v>
      </c>
      <c r="H1635" s="52" t="n">
        <v>1</v>
      </c>
    </row>
    <row r="1636" customFormat="false" ht="15" hidden="false" customHeight="true" outlineLevel="0" collapsed="false">
      <c r="A1636" s="52" t="n">
        <v>1635</v>
      </c>
      <c r="B1636" s="52" t="s">
        <v>399</v>
      </c>
      <c r="C1636" s="52" t="s">
        <v>644</v>
      </c>
      <c r="D1636" s="52" t="s">
        <v>1612</v>
      </c>
      <c r="E1636" s="52" t="s">
        <v>1916</v>
      </c>
      <c r="F1636" s="52" t="s">
        <v>52</v>
      </c>
      <c r="G1636" s="52" t="s">
        <v>1979</v>
      </c>
      <c r="H1636" s="52" t="n">
        <v>1</v>
      </c>
    </row>
    <row r="1637" customFormat="false" ht="15" hidden="false" customHeight="true" outlineLevel="0" collapsed="false">
      <c r="A1637" s="52" t="n">
        <v>1636</v>
      </c>
      <c r="B1637" s="52" t="s">
        <v>399</v>
      </c>
      <c r="C1637" s="52" t="s">
        <v>644</v>
      </c>
      <c r="D1637" s="52" t="s">
        <v>1612</v>
      </c>
      <c r="E1637" s="52" t="s">
        <v>1916</v>
      </c>
      <c r="F1637" s="52" t="s">
        <v>52</v>
      </c>
      <c r="G1637" s="52" t="s">
        <v>1980</v>
      </c>
      <c r="H1637" s="52" t="n">
        <v>1</v>
      </c>
    </row>
    <row r="1638" customFormat="false" ht="15" hidden="false" customHeight="true" outlineLevel="0" collapsed="false">
      <c r="A1638" s="52" t="n">
        <v>1637</v>
      </c>
      <c r="B1638" s="52" t="s">
        <v>399</v>
      </c>
      <c r="C1638" s="52" t="s">
        <v>644</v>
      </c>
      <c r="D1638" s="52" t="s">
        <v>1612</v>
      </c>
      <c r="E1638" s="52" t="s">
        <v>1916</v>
      </c>
      <c r="F1638" s="52" t="s">
        <v>52</v>
      </c>
      <c r="G1638" s="52" t="s">
        <v>1981</v>
      </c>
      <c r="H1638" s="52" t="n">
        <v>1</v>
      </c>
    </row>
    <row r="1639" customFormat="false" ht="15" hidden="false" customHeight="true" outlineLevel="0" collapsed="false">
      <c r="A1639" s="52" t="n">
        <v>1638</v>
      </c>
      <c r="B1639" s="52" t="s">
        <v>399</v>
      </c>
      <c r="C1639" s="52" t="s">
        <v>644</v>
      </c>
      <c r="D1639" s="52" t="s">
        <v>1612</v>
      </c>
      <c r="E1639" s="52" t="s">
        <v>1916</v>
      </c>
      <c r="F1639" s="52" t="s">
        <v>52</v>
      </c>
      <c r="G1639" s="52" t="s">
        <v>1982</v>
      </c>
      <c r="H1639" s="52" t="n">
        <v>1</v>
      </c>
    </row>
    <row r="1640" customFormat="false" ht="15" hidden="false" customHeight="true" outlineLevel="0" collapsed="false">
      <c r="A1640" s="52" t="n">
        <v>1639</v>
      </c>
      <c r="B1640" s="52" t="s">
        <v>399</v>
      </c>
      <c r="C1640" s="52" t="s">
        <v>644</v>
      </c>
      <c r="D1640" s="52" t="s">
        <v>1612</v>
      </c>
      <c r="E1640" s="52" t="s">
        <v>1916</v>
      </c>
      <c r="F1640" s="52" t="s">
        <v>52</v>
      </c>
      <c r="G1640" s="52" t="s">
        <v>1983</v>
      </c>
      <c r="H1640" s="52" t="n">
        <v>1</v>
      </c>
    </row>
    <row r="1641" customFormat="false" ht="15" hidden="false" customHeight="true" outlineLevel="0" collapsed="false">
      <c r="A1641" s="52" t="n">
        <v>1640</v>
      </c>
      <c r="B1641" s="52" t="s">
        <v>399</v>
      </c>
      <c r="C1641" s="52" t="s">
        <v>644</v>
      </c>
      <c r="D1641" s="52" t="s">
        <v>1612</v>
      </c>
      <c r="E1641" s="52" t="s">
        <v>1916</v>
      </c>
      <c r="F1641" s="52" t="s">
        <v>52</v>
      </c>
      <c r="G1641" s="52" t="s">
        <v>1984</v>
      </c>
      <c r="H1641" s="52" t="n">
        <v>1</v>
      </c>
    </row>
    <row r="1642" customFormat="false" ht="15" hidden="false" customHeight="true" outlineLevel="0" collapsed="false">
      <c r="A1642" s="52" t="n">
        <v>1641</v>
      </c>
      <c r="B1642" s="52" t="s">
        <v>399</v>
      </c>
      <c r="C1642" s="52" t="s">
        <v>644</v>
      </c>
      <c r="D1642" s="52" t="s">
        <v>1612</v>
      </c>
      <c r="E1642" s="52" t="s">
        <v>1916</v>
      </c>
      <c r="F1642" s="52" t="s">
        <v>52</v>
      </c>
      <c r="G1642" s="52" t="s">
        <v>1985</v>
      </c>
      <c r="H1642" s="52" t="n">
        <v>1</v>
      </c>
    </row>
    <row r="1643" customFormat="false" ht="15" hidden="false" customHeight="true" outlineLevel="0" collapsed="false">
      <c r="A1643" s="52" t="n">
        <v>1642</v>
      </c>
      <c r="B1643" s="52" t="s">
        <v>399</v>
      </c>
      <c r="C1643" s="52" t="s">
        <v>644</v>
      </c>
      <c r="D1643" s="52" t="s">
        <v>1612</v>
      </c>
      <c r="E1643" s="52" t="s">
        <v>1916</v>
      </c>
      <c r="F1643" s="52" t="s">
        <v>21</v>
      </c>
      <c r="G1643" s="52" t="s">
        <v>1986</v>
      </c>
      <c r="H1643" s="52" t="n">
        <v>1</v>
      </c>
    </row>
    <row r="1644" customFormat="false" ht="15" hidden="false" customHeight="true" outlineLevel="0" collapsed="false">
      <c r="A1644" s="52" t="n">
        <v>1643</v>
      </c>
      <c r="B1644" s="52" t="s">
        <v>399</v>
      </c>
      <c r="C1644" s="52" t="s">
        <v>644</v>
      </c>
      <c r="D1644" s="52" t="s">
        <v>1612</v>
      </c>
      <c r="E1644" s="52" t="s">
        <v>1916</v>
      </c>
      <c r="F1644" s="52" t="s">
        <v>21</v>
      </c>
      <c r="G1644" s="52" t="s">
        <v>1987</v>
      </c>
      <c r="H1644" s="52" t="n">
        <v>1</v>
      </c>
    </row>
    <row r="1645" customFormat="false" ht="15" hidden="false" customHeight="true" outlineLevel="0" collapsed="false">
      <c r="A1645" s="52" t="n">
        <v>1644</v>
      </c>
      <c r="B1645" s="52" t="s">
        <v>399</v>
      </c>
      <c r="C1645" s="52" t="s">
        <v>644</v>
      </c>
      <c r="D1645" s="52" t="s">
        <v>1612</v>
      </c>
      <c r="E1645" s="52" t="s">
        <v>1916</v>
      </c>
      <c r="F1645" s="52" t="s">
        <v>21</v>
      </c>
      <c r="G1645" s="52" t="s">
        <v>1988</v>
      </c>
      <c r="H1645" s="52" t="n">
        <v>1</v>
      </c>
    </row>
    <row r="1646" customFormat="false" ht="15" hidden="false" customHeight="true" outlineLevel="0" collapsed="false">
      <c r="A1646" s="52" t="n">
        <v>1645</v>
      </c>
      <c r="B1646" s="52" t="s">
        <v>399</v>
      </c>
      <c r="C1646" s="52" t="s">
        <v>644</v>
      </c>
      <c r="D1646" s="52" t="s">
        <v>1612</v>
      </c>
      <c r="E1646" s="52" t="s">
        <v>1916</v>
      </c>
      <c r="F1646" s="52" t="s">
        <v>21</v>
      </c>
      <c r="G1646" s="52" t="s">
        <v>1989</v>
      </c>
      <c r="H1646" s="52" t="n">
        <v>1</v>
      </c>
    </row>
    <row r="1647" customFormat="false" ht="15" hidden="false" customHeight="true" outlineLevel="0" collapsed="false">
      <c r="A1647" s="52" t="n">
        <v>1646</v>
      </c>
      <c r="B1647" s="52" t="s">
        <v>399</v>
      </c>
      <c r="C1647" s="52" t="s">
        <v>644</v>
      </c>
      <c r="D1647" s="52" t="s">
        <v>1612</v>
      </c>
      <c r="E1647" s="52" t="s">
        <v>1916</v>
      </c>
      <c r="F1647" s="52" t="s">
        <v>21</v>
      </c>
      <c r="G1647" s="52" t="s">
        <v>1990</v>
      </c>
      <c r="H1647" s="52" t="n">
        <v>1</v>
      </c>
    </row>
    <row r="1648" customFormat="false" ht="15" hidden="false" customHeight="true" outlineLevel="0" collapsed="false">
      <c r="A1648" s="52" t="n">
        <v>1647</v>
      </c>
      <c r="B1648" s="52" t="s">
        <v>399</v>
      </c>
      <c r="C1648" s="52" t="s">
        <v>644</v>
      </c>
      <c r="D1648" s="52" t="s">
        <v>1612</v>
      </c>
      <c r="E1648" s="52" t="s">
        <v>1916</v>
      </c>
      <c r="F1648" s="52" t="s">
        <v>21</v>
      </c>
      <c r="G1648" s="52" t="s">
        <v>1991</v>
      </c>
      <c r="H1648" s="52" t="n">
        <v>1</v>
      </c>
    </row>
    <row r="1649" customFormat="false" ht="15" hidden="false" customHeight="true" outlineLevel="0" collapsed="false">
      <c r="A1649" s="52" t="n">
        <v>1648</v>
      </c>
      <c r="B1649" s="52" t="s">
        <v>399</v>
      </c>
      <c r="C1649" s="52" t="s">
        <v>644</v>
      </c>
      <c r="D1649" s="52" t="s">
        <v>1612</v>
      </c>
      <c r="E1649" s="52" t="s">
        <v>1916</v>
      </c>
      <c r="F1649" s="52" t="s">
        <v>21</v>
      </c>
      <c r="G1649" s="52" t="s">
        <v>1992</v>
      </c>
      <c r="H1649" s="52" t="n">
        <v>1</v>
      </c>
    </row>
    <row r="1650" customFormat="false" ht="15" hidden="false" customHeight="true" outlineLevel="0" collapsed="false">
      <c r="A1650" s="52" t="n">
        <v>1649</v>
      </c>
      <c r="B1650" s="52" t="s">
        <v>399</v>
      </c>
      <c r="C1650" s="52" t="s">
        <v>644</v>
      </c>
      <c r="D1650" s="52" t="s">
        <v>1612</v>
      </c>
      <c r="E1650" s="52" t="s">
        <v>1916</v>
      </c>
      <c r="F1650" s="52" t="s">
        <v>21</v>
      </c>
      <c r="G1650" s="52" t="s">
        <v>1993</v>
      </c>
      <c r="H1650" s="52" t="n">
        <v>1</v>
      </c>
    </row>
    <row r="1651" customFormat="false" ht="15" hidden="false" customHeight="true" outlineLevel="0" collapsed="false">
      <c r="A1651" s="52" t="n">
        <v>1650</v>
      </c>
      <c r="B1651" s="52" t="s">
        <v>399</v>
      </c>
      <c r="C1651" s="52" t="s">
        <v>644</v>
      </c>
      <c r="D1651" s="52" t="s">
        <v>1612</v>
      </c>
      <c r="E1651" s="52" t="s">
        <v>1916</v>
      </c>
      <c r="F1651" s="52" t="s">
        <v>21</v>
      </c>
      <c r="G1651" s="52" t="s">
        <v>1994</v>
      </c>
      <c r="H1651" s="52" t="n">
        <v>1</v>
      </c>
    </row>
    <row r="1652" customFormat="false" ht="15" hidden="false" customHeight="true" outlineLevel="0" collapsed="false">
      <c r="A1652" s="52" t="n">
        <v>1651</v>
      </c>
      <c r="B1652" s="52" t="s">
        <v>399</v>
      </c>
      <c r="C1652" s="52" t="s">
        <v>644</v>
      </c>
      <c r="D1652" s="52" t="s">
        <v>1612</v>
      </c>
      <c r="E1652" s="52" t="s">
        <v>1916</v>
      </c>
      <c r="F1652" s="52" t="s">
        <v>123</v>
      </c>
      <c r="G1652" s="52" t="s">
        <v>1995</v>
      </c>
      <c r="H1652" s="52" t="n">
        <v>1</v>
      </c>
    </row>
    <row r="1653" customFormat="false" ht="15" hidden="false" customHeight="true" outlineLevel="0" collapsed="false">
      <c r="A1653" s="52" t="n">
        <v>1652</v>
      </c>
      <c r="B1653" s="52" t="s">
        <v>399</v>
      </c>
      <c r="C1653" s="52" t="s">
        <v>644</v>
      </c>
      <c r="D1653" s="52" t="s">
        <v>1612</v>
      </c>
      <c r="E1653" s="52" t="s">
        <v>1916</v>
      </c>
      <c r="F1653" s="52" t="s">
        <v>123</v>
      </c>
      <c r="G1653" s="52" t="s">
        <v>1996</v>
      </c>
      <c r="H1653" s="52" t="n">
        <v>1</v>
      </c>
    </row>
    <row r="1654" customFormat="false" ht="15" hidden="false" customHeight="true" outlineLevel="0" collapsed="false">
      <c r="A1654" s="52" t="n">
        <v>1653</v>
      </c>
      <c r="B1654" s="52" t="s">
        <v>399</v>
      </c>
      <c r="C1654" s="52" t="s">
        <v>644</v>
      </c>
      <c r="D1654" s="52" t="s">
        <v>1612</v>
      </c>
      <c r="E1654" s="52" t="s">
        <v>1916</v>
      </c>
      <c r="F1654" s="52" t="s">
        <v>123</v>
      </c>
      <c r="G1654" s="52" t="s">
        <v>1997</v>
      </c>
      <c r="H1654" s="52" t="n">
        <v>1</v>
      </c>
    </row>
    <row r="1655" customFormat="false" ht="15" hidden="false" customHeight="true" outlineLevel="0" collapsed="false">
      <c r="A1655" s="52" t="n">
        <v>1654</v>
      </c>
      <c r="B1655" s="52" t="s">
        <v>399</v>
      </c>
      <c r="C1655" s="52" t="s">
        <v>644</v>
      </c>
      <c r="D1655" s="52" t="s">
        <v>1612</v>
      </c>
      <c r="E1655" s="52" t="s">
        <v>1916</v>
      </c>
      <c r="F1655" s="52" t="s">
        <v>123</v>
      </c>
      <c r="G1655" s="52" t="s">
        <v>1998</v>
      </c>
      <c r="H1655" s="52" t="n">
        <v>1</v>
      </c>
    </row>
    <row r="1656" customFormat="false" ht="15" hidden="false" customHeight="true" outlineLevel="0" collapsed="false">
      <c r="A1656" s="52" t="n">
        <v>1655</v>
      </c>
      <c r="B1656" s="52" t="s">
        <v>399</v>
      </c>
      <c r="C1656" s="52" t="s">
        <v>644</v>
      </c>
      <c r="D1656" s="52" t="s">
        <v>1612</v>
      </c>
      <c r="E1656" s="52" t="s">
        <v>1916</v>
      </c>
      <c r="F1656" s="52" t="s">
        <v>13</v>
      </c>
      <c r="G1656" s="52" t="s">
        <v>1999</v>
      </c>
      <c r="H1656" s="52" t="n">
        <v>1</v>
      </c>
    </row>
    <row r="1657" customFormat="false" ht="15" hidden="false" customHeight="true" outlineLevel="0" collapsed="false">
      <c r="A1657" s="52" t="n">
        <v>1656</v>
      </c>
      <c r="B1657" s="52" t="s">
        <v>399</v>
      </c>
      <c r="C1657" s="52" t="s">
        <v>644</v>
      </c>
      <c r="D1657" s="52" t="s">
        <v>1612</v>
      </c>
      <c r="E1657" s="52" t="s">
        <v>1916</v>
      </c>
      <c r="F1657" s="52" t="s">
        <v>101</v>
      </c>
      <c r="G1657" s="52" t="s">
        <v>442</v>
      </c>
      <c r="H1657" s="52" t="n">
        <v>0</v>
      </c>
    </row>
    <row r="1658" customFormat="false" ht="15" hidden="false" customHeight="true" outlineLevel="0" collapsed="false">
      <c r="A1658" s="52" t="n">
        <v>1657</v>
      </c>
      <c r="B1658" s="52" t="s">
        <v>399</v>
      </c>
      <c r="C1658" s="52" t="s">
        <v>408</v>
      </c>
      <c r="D1658" s="52" t="s">
        <v>1612</v>
      </c>
      <c r="E1658" s="52" t="s">
        <v>2000</v>
      </c>
      <c r="F1658" s="52" t="s">
        <v>331</v>
      </c>
      <c r="G1658" s="52" t="s">
        <v>2001</v>
      </c>
      <c r="H1658" s="52" t="n">
        <v>1</v>
      </c>
    </row>
    <row r="1659" customFormat="false" ht="15" hidden="false" customHeight="true" outlineLevel="0" collapsed="false">
      <c r="A1659" s="52" t="n">
        <v>1658</v>
      </c>
      <c r="B1659" s="52" t="s">
        <v>399</v>
      </c>
      <c r="C1659" s="52" t="s">
        <v>408</v>
      </c>
      <c r="D1659" s="52" t="s">
        <v>1612</v>
      </c>
      <c r="E1659" s="52" t="s">
        <v>2000</v>
      </c>
      <c r="F1659" s="52" t="s">
        <v>331</v>
      </c>
      <c r="G1659" s="52" t="s">
        <v>2002</v>
      </c>
      <c r="H1659" s="52" t="n">
        <v>1</v>
      </c>
    </row>
    <row r="1660" customFormat="false" ht="15" hidden="false" customHeight="true" outlineLevel="0" collapsed="false">
      <c r="A1660" s="52" t="n">
        <v>1659</v>
      </c>
      <c r="B1660" s="52" t="s">
        <v>399</v>
      </c>
      <c r="C1660" s="52" t="s">
        <v>408</v>
      </c>
      <c r="D1660" s="52" t="s">
        <v>1612</v>
      </c>
      <c r="E1660" s="52" t="s">
        <v>2000</v>
      </c>
      <c r="F1660" s="52" t="s">
        <v>331</v>
      </c>
      <c r="G1660" s="52" t="s">
        <v>2003</v>
      </c>
      <c r="H1660" s="52" t="n">
        <v>1</v>
      </c>
    </row>
    <row r="1661" customFormat="false" ht="15" hidden="false" customHeight="true" outlineLevel="0" collapsed="false">
      <c r="A1661" s="52" t="n">
        <v>1660</v>
      </c>
      <c r="B1661" s="52" t="s">
        <v>399</v>
      </c>
      <c r="C1661" s="52" t="s">
        <v>408</v>
      </c>
      <c r="D1661" s="52" t="s">
        <v>1612</v>
      </c>
      <c r="E1661" s="52" t="s">
        <v>2000</v>
      </c>
      <c r="F1661" s="52" t="s">
        <v>74</v>
      </c>
      <c r="G1661" s="52" t="s">
        <v>2004</v>
      </c>
      <c r="H1661" s="52" t="n">
        <v>1</v>
      </c>
    </row>
    <row r="1662" customFormat="false" ht="15" hidden="false" customHeight="true" outlineLevel="0" collapsed="false">
      <c r="A1662" s="52" t="n">
        <v>1661</v>
      </c>
      <c r="B1662" s="52" t="s">
        <v>399</v>
      </c>
      <c r="C1662" s="52" t="s">
        <v>408</v>
      </c>
      <c r="D1662" s="52" t="s">
        <v>1612</v>
      </c>
      <c r="E1662" s="52" t="s">
        <v>2000</v>
      </c>
      <c r="F1662" s="52" t="s">
        <v>74</v>
      </c>
      <c r="G1662" s="52" t="s">
        <v>2005</v>
      </c>
      <c r="H1662" s="52" t="n">
        <v>1</v>
      </c>
    </row>
    <row r="1663" customFormat="false" ht="15" hidden="false" customHeight="true" outlineLevel="0" collapsed="false">
      <c r="A1663" s="52" t="n">
        <v>1662</v>
      </c>
      <c r="B1663" s="52" t="s">
        <v>399</v>
      </c>
      <c r="C1663" s="52" t="s">
        <v>408</v>
      </c>
      <c r="D1663" s="52" t="s">
        <v>1612</v>
      </c>
      <c r="E1663" s="52" t="s">
        <v>2000</v>
      </c>
      <c r="F1663" s="52" t="s">
        <v>74</v>
      </c>
      <c r="G1663" s="52" t="s">
        <v>2006</v>
      </c>
      <c r="H1663" s="52" t="n">
        <v>1</v>
      </c>
    </row>
    <row r="1664" customFormat="false" ht="15" hidden="false" customHeight="true" outlineLevel="0" collapsed="false">
      <c r="A1664" s="52" t="n">
        <v>1663</v>
      </c>
      <c r="B1664" s="52" t="s">
        <v>399</v>
      </c>
      <c r="C1664" s="52" t="s">
        <v>408</v>
      </c>
      <c r="D1664" s="52" t="s">
        <v>1612</v>
      </c>
      <c r="E1664" s="52" t="s">
        <v>2000</v>
      </c>
      <c r="F1664" s="52" t="s">
        <v>74</v>
      </c>
      <c r="G1664" s="52" t="s">
        <v>2007</v>
      </c>
      <c r="H1664" s="52" t="n">
        <v>1</v>
      </c>
    </row>
    <row r="1665" customFormat="false" ht="15" hidden="false" customHeight="true" outlineLevel="0" collapsed="false">
      <c r="A1665" s="52" t="n">
        <v>1664</v>
      </c>
      <c r="B1665" s="52" t="s">
        <v>399</v>
      </c>
      <c r="C1665" s="52" t="s">
        <v>408</v>
      </c>
      <c r="D1665" s="52" t="s">
        <v>1612</v>
      </c>
      <c r="E1665" s="52" t="s">
        <v>2000</v>
      </c>
      <c r="F1665" s="52" t="s">
        <v>74</v>
      </c>
      <c r="G1665" s="52" t="s">
        <v>2008</v>
      </c>
      <c r="H1665" s="52" t="n">
        <v>1</v>
      </c>
    </row>
    <row r="1666" customFormat="false" ht="15" hidden="false" customHeight="true" outlineLevel="0" collapsed="false">
      <c r="A1666" s="52" t="n">
        <v>1665</v>
      </c>
      <c r="B1666" s="52" t="s">
        <v>399</v>
      </c>
      <c r="C1666" s="52" t="s">
        <v>408</v>
      </c>
      <c r="D1666" s="52" t="s">
        <v>1612</v>
      </c>
      <c r="E1666" s="52" t="s">
        <v>2000</v>
      </c>
      <c r="F1666" s="52" t="s">
        <v>74</v>
      </c>
      <c r="G1666" s="52" t="s">
        <v>2009</v>
      </c>
      <c r="H1666" s="52" t="n">
        <v>1</v>
      </c>
    </row>
    <row r="1667" customFormat="false" ht="15" hidden="false" customHeight="true" outlineLevel="0" collapsed="false">
      <c r="A1667" s="52" t="n">
        <v>1666</v>
      </c>
      <c r="B1667" s="52" t="s">
        <v>399</v>
      </c>
      <c r="C1667" s="52" t="s">
        <v>408</v>
      </c>
      <c r="D1667" s="52" t="s">
        <v>1612</v>
      </c>
      <c r="E1667" s="52" t="s">
        <v>2000</v>
      </c>
      <c r="F1667" s="52" t="s">
        <v>36</v>
      </c>
      <c r="G1667" s="52" t="s">
        <v>2010</v>
      </c>
      <c r="H1667" s="52" t="n">
        <v>1</v>
      </c>
    </row>
    <row r="1668" customFormat="false" ht="15" hidden="false" customHeight="true" outlineLevel="0" collapsed="false">
      <c r="A1668" s="52" t="n">
        <v>1667</v>
      </c>
      <c r="B1668" s="52" t="s">
        <v>399</v>
      </c>
      <c r="C1668" s="52" t="s">
        <v>408</v>
      </c>
      <c r="D1668" s="52" t="s">
        <v>1612</v>
      </c>
      <c r="E1668" s="52" t="s">
        <v>2000</v>
      </c>
      <c r="F1668" s="52" t="s">
        <v>259</v>
      </c>
      <c r="G1668" s="52" t="s">
        <v>2011</v>
      </c>
      <c r="H1668" s="52" t="n">
        <v>1</v>
      </c>
    </row>
    <row r="1669" customFormat="false" ht="15" hidden="false" customHeight="true" outlineLevel="0" collapsed="false">
      <c r="A1669" s="52" t="n">
        <v>1668</v>
      </c>
      <c r="B1669" s="52" t="s">
        <v>399</v>
      </c>
      <c r="C1669" s="52" t="s">
        <v>408</v>
      </c>
      <c r="D1669" s="52" t="s">
        <v>1612</v>
      </c>
      <c r="E1669" s="52" t="s">
        <v>2000</v>
      </c>
      <c r="F1669" s="52" t="s">
        <v>259</v>
      </c>
      <c r="G1669" s="52" t="s">
        <v>2012</v>
      </c>
      <c r="H1669" s="52" t="n">
        <v>1</v>
      </c>
    </row>
    <row r="1670" customFormat="false" ht="15" hidden="false" customHeight="true" outlineLevel="0" collapsed="false">
      <c r="A1670" s="52" t="n">
        <v>1669</v>
      </c>
      <c r="B1670" s="52" t="s">
        <v>399</v>
      </c>
      <c r="C1670" s="52" t="s">
        <v>408</v>
      </c>
      <c r="D1670" s="52" t="s">
        <v>1612</v>
      </c>
      <c r="E1670" s="52" t="s">
        <v>2000</v>
      </c>
      <c r="F1670" s="52" t="s">
        <v>52</v>
      </c>
      <c r="G1670" s="52" t="s">
        <v>2013</v>
      </c>
      <c r="H1670" s="52" t="n">
        <v>1</v>
      </c>
    </row>
    <row r="1671" customFormat="false" ht="15" hidden="false" customHeight="true" outlineLevel="0" collapsed="false">
      <c r="A1671" s="52" t="n">
        <v>1670</v>
      </c>
      <c r="B1671" s="52" t="s">
        <v>399</v>
      </c>
      <c r="C1671" s="52" t="s">
        <v>408</v>
      </c>
      <c r="D1671" s="52" t="s">
        <v>1612</v>
      </c>
      <c r="E1671" s="52" t="s">
        <v>2000</v>
      </c>
      <c r="F1671" s="52" t="s">
        <v>52</v>
      </c>
      <c r="G1671" s="52" t="s">
        <v>2014</v>
      </c>
      <c r="H1671" s="52" t="n">
        <v>1</v>
      </c>
    </row>
    <row r="1672" customFormat="false" ht="15" hidden="false" customHeight="true" outlineLevel="0" collapsed="false">
      <c r="A1672" s="52" t="n">
        <v>1671</v>
      </c>
      <c r="B1672" s="52" t="s">
        <v>399</v>
      </c>
      <c r="C1672" s="52" t="s">
        <v>408</v>
      </c>
      <c r="D1672" s="52" t="s">
        <v>1612</v>
      </c>
      <c r="E1672" s="52" t="s">
        <v>2000</v>
      </c>
      <c r="F1672" s="52" t="s">
        <v>52</v>
      </c>
      <c r="G1672" s="52" t="s">
        <v>2015</v>
      </c>
      <c r="H1672" s="52" t="n">
        <v>1</v>
      </c>
    </row>
    <row r="1673" customFormat="false" ht="15" hidden="false" customHeight="true" outlineLevel="0" collapsed="false">
      <c r="A1673" s="52" t="n">
        <v>1672</v>
      </c>
      <c r="B1673" s="52" t="s">
        <v>399</v>
      </c>
      <c r="C1673" s="52" t="s">
        <v>408</v>
      </c>
      <c r="D1673" s="52" t="s">
        <v>1612</v>
      </c>
      <c r="E1673" s="52" t="s">
        <v>2000</v>
      </c>
      <c r="F1673" s="52" t="s">
        <v>52</v>
      </c>
      <c r="G1673" s="52" t="s">
        <v>2016</v>
      </c>
      <c r="H1673" s="52" t="n">
        <v>1</v>
      </c>
    </row>
    <row r="1674" customFormat="false" ht="15" hidden="false" customHeight="true" outlineLevel="0" collapsed="false">
      <c r="A1674" s="52" t="n">
        <v>1673</v>
      </c>
      <c r="B1674" s="52" t="s">
        <v>399</v>
      </c>
      <c r="C1674" s="52" t="s">
        <v>408</v>
      </c>
      <c r="D1674" s="52" t="s">
        <v>1612</v>
      </c>
      <c r="E1674" s="52" t="s">
        <v>2000</v>
      </c>
      <c r="F1674" s="52" t="s">
        <v>21</v>
      </c>
      <c r="G1674" s="52" t="s">
        <v>2017</v>
      </c>
      <c r="H1674" s="52" t="n">
        <v>1</v>
      </c>
    </row>
    <row r="1675" customFormat="false" ht="15" hidden="false" customHeight="true" outlineLevel="0" collapsed="false">
      <c r="A1675" s="52" t="n">
        <v>1674</v>
      </c>
      <c r="B1675" s="52" t="s">
        <v>399</v>
      </c>
      <c r="C1675" s="52" t="s">
        <v>408</v>
      </c>
      <c r="D1675" s="52" t="s">
        <v>1612</v>
      </c>
      <c r="E1675" s="52" t="s">
        <v>2000</v>
      </c>
      <c r="F1675" s="52" t="s">
        <v>21</v>
      </c>
      <c r="G1675" s="52" t="s">
        <v>2018</v>
      </c>
      <c r="H1675" s="52" t="n">
        <v>1</v>
      </c>
    </row>
    <row r="1676" customFormat="false" ht="15" hidden="false" customHeight="true" outlineLevel="0" collapsed="false">
      <c r="A1676" s="52" t="n">
        <v>1675</v>
      </c>
      <c r="B1676" s="52" t="s">
        <v>399</v>
      </c>
      <c r="C1676" s="52" t="s">
        <v>408</v>
      </c>
      <c r="D1676" s="52" t="s">
        <v>1612</v>
      </c>
      <c r="E1676" s="52" t="s">
        <v>2000</v>
      </c>
      <c r="F1676" s="52" t="s">
        <v>123</v>
      </c>
      <c r="G1676" s="52" t="s">
        <v>442</v>
      </c>
      <c r="H1676" s="52" t="n">
        <v>0</v>
      </c>
    </row>
    <row r="1677" customFormat="false" ht="15" hidden="false" customHeight="true" outlineLevel="0" collapsed="false">
      <c r="A1677" s="52" t="n">
        <v>1676</v>
      </c>
      <c r="B1677" s="52" t="s">
        <v>399</v>
      </c>
      <c r="C1677" s="52" t="s">
        <v>408</v>
      </c>
      <c r="D1677" s="52" t="s">
        <v>1612</v>
      </c>
      <c r="E1677" s="52" t="s">
        <v>2000</v>
      </c>
      <c r="F1677" s="52" t="s">
        <v>13</v>
      </c>
      <c r="G1677" s="52" t="s">
        <v>2019</v>
      </c>
      <c r="H1677" s="52" t="n">
        <v>1</v>
      </c>
    </row>
    <row r="1678" customFormat="false" ht="15" hidden="false" customHeight="true" outlineLevel="0" collapsed="false">
      <c r="A1678" s="52" t="n">
        <v>1677</v>
      </c>
      <c r="B1678" s="52" t="s">
        <v>399</v>
      </c>
      <c r="C1678" s="52" t="s">
        <v>408</v>
      </c>
      <c r="D1678" s="52" t="s">
        <v>1612</v>
      </c>
      <c r="E1678" s="52" t="s">
        <v>2000</v>
      </c>
      <c r="F1678" s="52" t="s">
        <v>101</v>
      </c>
      <c r="G1678" s="52" t="s">
        <v>2020</v>
      </c>
      <c r="H1678" s="52" t="n">
        <v>0</v>
      </c>
    </row>
    <row r="1679" customFormat="false" ht="15" hidden="false" customHeight="true" outlineLevel="0" collapsed="false">
      <c r="A1679" s="52" t="n">
        <v>1678</v>
      </c>
      <c r="B1679" s="52" t="s">
        <v>399</v>
      </c>
      <c r="C1679" s="52" t="s">
        <v>644</v>
      </c>
      <c r="D1679" s="52" t="s">
        <v>1612</v>
      </c>
      <c r="E1679" s="52" t="s">
        <v>2000</v>
      </c>
      <c r="F1679" s="52" t="s">
        <v>331</v>
      </c>
      <c r="G1679" s="52" t="s">
        <v>2021</v>
      </c>
      <c r="H1679" s="52" t="n">
        <v>1</v>
      </c>
    </row>
    <row r="1680" customFormat="false" ht="15" hidden="false" customHeight="true" outlineLevel="0" collapsed="false">
      <c r="A1680" s="52" t="n">
        <v>1679</v>
      </c>
      <c r="B1680" s="52" t="s">
        <v>399</v>
      </c>
      <c r="C1680" s="52" t="s">
        <v>644</v>
      </c>
      <c r="D1680" s="52" t="s">
        <v>1612</v>
      </c>
      <c r="E1680" s="52" t="s">
        <v>2000</v>
      </c>
      <c r="F1680" s="52" t="s">
        <v>74</v>
      </c>
      <c r="G1680" s="52" t="s">
        <v>2022</v>
      </c>
      <c r="H1680" s="52" t="n">
        <v>1</v>
      </c>
    </row>
    <row r="1681" customFormat="false" ht="15" hidden="false" customHeight="true" outlineLevel="0" collapsed="false">
      <c r="A1681" s="52" t="n">
        <v>1680</v>
      </c>
      <c r="B1681" s="52" t="s">
        <v>399</v>
      </c>
      <c r="C1681" s="52" t="s">
        <v>644</v>
      </c>
      <c r="D1681" s="52" t="s">
        <v>1612</v>
      </c>
      <c r="E1681" s="52" t="s">
        <v>2000</v>
      </c>
      <c r="F1681" s="52" t="s">
        <v>74</v>
      </c>
      <c r="G1681" s="52" t="s">
        <v>2023</v>
      </c>
      <c r="H1681" s="52" t="n">
        <v>1</v>
      </c>
    </row>
    <row r="1682" customFormat="false" ht="15" hidden="false" customHeight="true" outlineLevel="0" collapsed="false">
      <c r="A1682" s="52" t="n">
        <v>1681</v>
      </c>
      <c r="B1682" s="52" t="s">
        <v>399</v>
      </c>
      <c r="C1682" s="52" t="s">
        <v>644</v>
      </c>
      <c r="D1682" s="52" t="s">
        <v>1612</v>
      </c>
      <c r="E1682" s="52" t="s">
        <v>2000</v>
      </c>
      <c r="F1682" s="52" t="s">
        <v>36</v>
      </c>
      <c r="G1682" s="52" t="s">
        <v>2024</v>
      </c>
      <c r="H1682" s="52" t="n">
        <v>1</v>
      </c>
    </row>
    <row r="1683" customFormat="false" ht="15" hidden="false" customHeight="true" outlineLevel="0" collapsed="false">
      <c r="A1683" s="52" t="n">
        <v>1682</v>
      </c>
      <c r="B1683" s="52" t="s">
        <v>399</v>
      </c>
      <c r="C1683" s="52" t="s">
        <v>644</v>
      </c>
      <c r="D1683" s="52" t="s">
        <v>1612</v>
      </c>
      <c r="E1683" s="52" t="s">
        <v>2000</v>
      </c>
      <c r="F1683" s="52" t="s">
        <v>36</v>
      </c>
      <c r="G1683" s="52" t="s">
        <v>2025</v>
      </c>
      <c r="H1683" s="52" t="n">
        <v>1</v>
      </c>
    </row>
    <row r="1684" customFormat="false" ht="15" hidden="false" customHeight="true" outlineLevel="0" collapsed="false">
      <c r="A1684" s="52" t="n">
        <v>1683</v>
      </c>
      <c r="B1684" s="52" t="s">
        <v>399</v>
      </c>
      <c r="C1684" s="52" t="s">
        <v>644</v>
      </c>
      <c r="D1684" s="52" t="s">
        <v>1612</v>
      </c>
      <c r="E1684" s="52" t="s">
        <v>2000</v>
      </c>
      <c r="F1684" s="52" t="s">
        <v>36</v>
      </c>
      <c r="G1684" s="52" t="s">
        <v>2026</v>
      </c>
      <c r="H1684" s="52" t="n">
        <v>1</v>
      </c>
    </row>
    <row r="1685" customFormat="false" ht="15" hidden="false" customHeight="true" outlineLevel="0" collapsed="false">
      <c r="A1685" s="52" t="n">
        <v>1684</v>
      </c>
      <c r="B1685" s="52" t="s">
        <v>399</v>
      </c>
      <c r="C1685" s="52" t="s">
        <v>644</v>
      </c>
      <c r="D1685" s="52" t="s">
        <v>1612</v>
      </c>
      <c r="E1685" s="52" t="s">
        <v>2000</v>
      </c>
      <c r="F1685" s="52" t="s">
        <v>36</v>
      </c>
      <c r="G1685" s="52" t="s">
        <v>2027</v>
      </c>
      <c r="H1685" s="52" t="n">
        <v>1</v>
      </c>
    </row>
    <row r="1686" customFormat="false" ht="15" hidden="false" customHeight="true" outlineLevel="0" collapsed="false">
      <c r="A1686" s="52" t="n">
        <v>1685</v>
      </c>
      <c r="B1686" s="52" t="s">
        <v>399</v>
      </c>
      <c r="C1686" s="52" t="s">
        <v>644</v>
      </c>
      <c r="D1686" s="52" t="s">
        <v>1612</v>
      </c>
      <c r="E1686" s="52" t="s">
        <v>2000</v>
      </c>
      <c r="F1686" s="52" t="s">
        <v>259</v>
      </c>
      <c r="G1686" s="52" t="s">
        <v>2028</v>
      </c>
      <c r="H1686" s="52" t="n">
        <v>1</v>
      </c>
    </row>
    <row r="1687" customFormat="false" ht="15" hidden="false" customHeight="true" outlineLevel="0" collapsed="false">
      <c r="A1687" s="52" t="n">
        <v>1686</v>
      </c>
      <c r="B1687" s="52" t="s">
        <v>399</v>
      </c>
      <c r="C1687" s="52" t="s">
        <v>644</v>
      </c>
      <c r="D1687" s="52" t="s">
        <v>1612</v>
      </c>
      <c r="E1687" s="52" t="s">
        <v>2000</v>
      </c>
      <c r="F1687" s="52" t="s">
        <v>259</v>
      </c>
      <c r="G1687" s="52" t="s">
        <v>2029</v>
      </c>
      <c r="H1687" s="52" t="n">
        <v>1</v>
      </c>
    </row>
    <row r="1688" customFormat="false" ht="15" hidden="false" customHeight="true" outlineLevel="0" collapsed="false">
      <c r="A1688" s="52" t="n">
        <v>1687</v>
      </c>
      <c r="B1688" s="52" t="s">
        <v>399</v>
      </c>
      <c r="C1688" s="52" t="s">
        <v>644</v>
      </c>
      <c r="D1688" s="52" t="s">
        <v>1612</v>
      </c>
      <c r="E1688" s="52" t="s">
        <v>2000</v>
      </c>
      <c r="F1688" s="52" t="s">
        <v>259</v>
      </c>
      <c r="G1688" s="52" t="s">
        <v>2030</v>
      </c>
      <c r="H1688" s="52" t="n">
        <v>1</v>
      </c>
    </row>
    <row r="1689" customFormat="false" ht="15" hidden="false" customHeight="true" outlineLevel="0" collapsed="false">
      <c r="A1689" s="52" t="n">
        <v>1688</v>
      </c>
      <c r="B1689" s="52" t="s">
        <v>399</v>
      </c>
      <c r="C1689" s="52" t="s">
        <v>644</v>
      </c>
      <c r="D1689" s="52" t="s">
        <v>1612</v>
      </c>
      <c r="E1689" s="52" t="s">
        <v>2000</v>
      </c>
      <c r="F1689" s="52" t="s">
        <v>259</v>
      </c>
      <c r="G1689" s="52" t="s">
        <v>2031</v>
      </c>
      <c r="H1689" s="52" t="n">
        <v>1</v>
      </c>
    </row>
    <row r="1690" customFormat="false" ht="15" hidden="false" customHeight="true" outlineLevel="0" collapsed="false">
      <c r="A1690" s="52" t="n">
        <v>1689</v>
      </c>
      <c r="B1690" s="52" t="s">
        <v>399</v>
      </c>
      <c r="C1690" s="52" t="s">
        <v>644</v>
      </c>
      <c r="D1690" s="52" t="s">
        <v>1612</v>
      </c>
      <c r="E1690" s="52" t="s">
        <v>2000</v>
      </c>
      <c r="F1690" s="52" t="s">
        <v>259</v>
      </c>
      <c r="G1690" s="52" t="s">
        <v>2032</v>
      </c>
      <c r="H1690" s="52" t="n">
        <v>1</v>
      </c>
    </row>
    <row r="1691" customFormat="false" ht="15" hidden="false" customHeight="true" outlineLevel="0" collapsed="false">
      <c r="A1691" s="52" t="n">
        <v>1690</v>
      </c>
      <c r="B1691" s="52" t="s">
        <v>399</v>
      </c>
      <c r="C1691" s="52" t="s">
        <v>644</v>
      </c>
      <c r="D1691" s="52" t="s">
        <v>1612</v>
      </c>
      <c r="E1691" s="52" t="s">
        <v>2000</v>
      </c>
      <c r="F1691" s="52" t="s">
        <v>52</v>
      </c>
      <c r="G1691" s="52" t="s">
        <v>2033</v>
      </c>
      <c r="H1691" s="52" t="n">
        <v>1</v>
      </c>
    </row>
    <row r="1692" customFormat="false" ht="15" hidden="false" customHeight="true" outlineLevel="0" collapsed="false">
      <c r="A1692" s="52" t="n">
        <v>1691</v>
      </c>
      <c r="B1692" s="52" t="s">
        <v>399</v>
      </c>
      <c r="C1692" s="52" t="s">
        <v>644</v>
      </c>
      <c r="D1692" s="52" t="s">
        <v>1612</v>
      </c>
      <c r="E1692" s="52" t="s">
        <v>2000</v>
      </c>
      <c r="F1692" s="52" t="s">
        <v>52</v>
      </c>
      <c r="G1692" s="52" t="s">
        <v>2034</v>
      </c>
      <c r="H1692" s="52" t="n">
        <v>1</v>
      </c>
    </row>
    <row r="1693" customFormat="false" ht="15" hidden="false" customHeight="true" outlineLevel="0" collapsed="false">
      <c r="A1693" s="52" t="n">
        <v>1692</v>
      </c>
      <c r="B1693" s="52" t="s">
        <v>399</v>
      </c>
      <c r="C1693" s="52" t="s">
        <v>644</v>
      </c>
      <c r="D1693" s="52" t="s">
        <v>1612</v>
      </c>
      <c r="E1693" s="52" t="s">
        <v>2000</v>
      </c>
      <c r="F1693" s="52" t="s">
        <v>52</v>
      </c>
      <c r="G1693" s="52" t="s">
        <v>2035</v>
      </c>
      <c r="H1693" s="52" t="n">
        <v>1</v>
      </c>
    </row>
    <row r="1694" customFormat="false" ht="15" hidden="false" customHeight="true" outlineLevel="0" collapsed="false">
      <c r="A1694" s="52" t="n">
        <v>1693</v>
      </c>
      <c r="B1694" s="52" t="s">
        <v>399</v>
      </c>
      <c r="C1694" s="52" t="s">
        <v>644</v>
      </c>
      <c r="D1694" s="52" t="s">
        <v>1612</v>
      </c>
      <c r="E1694" s="52" t="s">
        <v>2000</v>
      </c>
      <c r="F1694" s="52" t="s">
        <v>21</v>
      </c>
      <c r="G1694" s="52" t="s">
        <v>2036</v>
      </c>
      <c r="H1694" s="52" t="n">
        <v>1</v>
      </c>
    </row>
    <row r="1695" customFormat="false" ht="15" hidden="false" customHeight="true" outlineLevel="0" collapsed="false">
      <c r="A1695" s="52" t="n">
        <v>1694</v>
      </c>
      <c r="B1695" s="52" t="s">
        <v>399</v>
      </c>
      <c r="C1695" s="52" t="s">
        <v>644</v>
      </c>
      <c r="D1695" s="52" t="s">
        <v>1612</v>
      </c>
      <c r="E1695" s="52" t="s">
        <v>2000</v>
      </c>
      <c r="F1695" s="52" t="s">
        <v>21</v>
      </c>
      <c r="G1695" s="52" t="s">
        <v>2037</v>
      </c>
      <c r="H1695" s="52" t="n">
        <v>1</v>
      </c>
    </row>
    <row r="1696" customFormat="false" ht="15" hidden="false" customHeight="true" outlineLevel="0" collapsed="false">
      <c r="A1696" s="52" t="n">
        <v>1695</v>
      </c>
      <c r="B1696" s="52" t="s">
        <v>399</v>
      </c>
      <c r="C1696" s="52" t="s">
        <v>644</v>
      </c>
      <c r="D1696" s="52" t="s">
        <v>1612</v>
      </c>
      <c r="E1696" s="52" t="s">
        <v>2000</v>
      </c>
      <c r="F1696" s="52" t="s">
        <v>21</v>
      </c>
      <c r="G1696" s="52" t="s">
        <v>2038</v>
      </c>
      <c r="H1696" s="52" t="n">
        <v>1</v>
      </c>
    </row>
    <row r="1697" customFormat="false" ht="15" hidden="false" customHeight="true" outlineLevel="0" collapsed="false">
      <c r="A1697" s="52" t="n">
        <v>1696</v>
      </c>
      <c r="B1697" s="52" t="s">
        <v>399</v>
      </c>
      <c r="C1697" s="52" t="s">
        <v>644</v>
      </c>
      <c r="D1697" s="52" t="s">
        <v>1612</v>
      </c>
      <c r="E1697" s="52" t="s">
        <v>2000</v>
      </c>
      <c r="F1697" s="52" t="s">
        <v>21</v>
      </c>
      <c r="G1697" s="52" t="s">
        <v>2039</v>
      </c>
      <c r="H1697" s="52" t="n">
        <v>1</v>
      </c>
    </row>
    <row r="1698" customFormat="false" ht="15" hidden="false" customHeight="true" outlineLevel="0" collapsed="false">
      <c r="A1698" s="52" t="n">
        <v>1697</v>
      </c>
      <c r="B1698" s="52" t="s">
        <v>399</v>
      </c>
      <c r="C1698" s="52" t="s">
        <v>644</v>
      </c>
      <c r="D1698" s="52" t="s">
        <v>1612</v>
      </c>
      <c r="E1698" s="52" t="s">
        <v>2000</v>
      </c>
      <c r="F1698" s="52" t="s">
        <v>21</v>
      </c>
      <c r="G1698" s="52" t="s">
        <v>2040</v>
      </c>
      <c r="H1698" s="52" t="n">
        <v>1</v>
      </c>
    </row>
    <row r="1699" customFormat="false" ht="15" hidden="false" customHeight="true" outlineLevel="0" collapsed="false">
      <c r="A1699" s="52" t="n">
        <v>1698</v>
      </c>
      <c r="B1699" s="52" t="s">
        <v>399</v>
      </c>
      <c r="C1699" s="52" t="s">
        <v>644</v>
      </c>
      <c r="D1699" s="52" t="s">
        <v>1612</v>
      </c>
      <c r="E1699" s="52" t="s">
        <v>2000</v>
      </c>
      <c r="F1699" s="52" t="s">
        <v>21</v>
      </c>
      <c r="G1699" s="52" t="s">
        <v>2041</v>
      </c>
      <c r="H1699" s="52" t="n">
        <v>1</v>
      </c>
    </row>
    <row r="1700" customFormat="false" ht="15" hidden="false" customHeight="true" outlineLevel="0" collapsed="false">
      <c r="A1700" s="52" t="n">
        <v>1699</v>
      </c>
      <c r="B1700" s="52" t="s">
        <v>399</v>
      </c>
      <c r="C1700" s="52" t="s">
        <v>644</v>
      </c>
      <c r="D1700" s="52" t="s">
        <v>1612</v>
      </c>
      <c r="E1700" s="52" t="s">
        <v>2000</v>
      </c>
      <c r="F1700" s="52" t="s">
        <v>123</v>
      </c>
      <c r="G1700" s="52" t="s">
        <v>2042</v>
      </c>
      <c r="H1700" s="52" t="n">
        <v>1</v>
      </c>
    </row>
    <row r="1701" customFormat="false" ht="15" hidden="false" customHeight="true" outlineLevel="0" collapsed="false">
      <c r="A1701" s="52" t="n">
        <v>1700</v>
      </c>
      <c r="B1701" s="52" t="s">
        <v>399</v>
      </c>
      <c r="C1701" s="52" t="s">
        <v>644</v>
      </c>
      <c r="D1701" s="52" t="s">
        <v>1612</v>
      </c>
      <c r="E1701" s="52" t="s">
        <v>2000</v>
      </c>
      <c r="F1701" s="52" t="s">
        <v>123</v>
      </c>
      <c r="G1701" s="52" t="s">
        <v>2043</v>
      </c>
      <c r="H1701" s="52" t="n">
        <v>1</v>
      </c>
    </row>
    <row r="1702" customFormat="false" ht="15" hidden="false" customHeight="true" outlineLevel="0" collapsed="false">
      <c r="A1702" s="52" t="n">
        <v>1701</v>
      </c>
      <c r="B1702" s="52" t="s">
        <v>399</v>
      </c>
      <c r="C1702" s="52" t="s">
        <v>644</v>
      </c>
      <c r="D1702" s="52" t="s">
        <v>1612</v>
      </c>
      <c r="E1702" s="52" t="s">
        <v>2000</v>
      </c>
      <c r="F1702" s="52" t="s">
        <v>123</v>
      </c>
      <c r="G1702" s="52" t="s">
        <v>2044</v>
      </c>
      <c r="H1702" s="52" t="n">
        <v>1</v>
      </c>
    </row>
    <row r="1703" customFormat="false" ht="15" hidden="false" customHeight="true" outlineLevel="0" collapsed="false">
      <c r="A1703" s="52" t="n">
        <v>1702</v>
      </c>
      <c r="B1703" s="52" t="s">
        <v>399</v>
      </c>
      <c r="C1703" s="52" t="s">
        <v>644</v>
      </c>
      <c r="D1703" s="52" t="s">
        <v>1612</v>
      </c>
      <c r="E1703" s="52" t="s">
        <v>2000</v>
      </c>
      <c r="F1703" s="52" t="s">
        <v>13</v>
      </c>
      <c r="G1703" s="52" t="s">
        <v>2045</v>
      </c>
      <c r="H1703" s="52" t="n">
        <v>1</v>
      </c>
    </row>
    <row r="1704" customFormat="false" ht="15" hidden="false" customHeight="true" outlineLevel="0" collapsed="false">
      <c r="A1704" s="52" t="n">
        <v>1703</v>
      </c>
      <c r="B1704" s="52" t="s">
        <v>399</v>
      </c>
      <c r="C1704" s="52" t="s">
        <v>644</v>
      </c>
      <c r="D1704" s="52" t="s">
        <v>1612</v>
      </c>
      <c r="E1704" s="52" t="s">
        <v>2000</v>
      </c>
      <c r="F1704" s="52" t="s">
        <v>101</v>
      </c>
      <c r="G1704" s="52" t="s">
        <v>442</v>
      </c>
      <c r="H1704" s="52" t="n">
        <v>0</v>
      </c>
    </row>
    <row r="1705" customFormat="false" ht="15" hidden="false" customHeight="true" outlineLevel="0" collapsed="false">
      <c r="A1705" s="52" t="n">
        <v>1704</v>
      </c>
      <c r="B1705" s="52" t="s">
        <v>399</v>
      </c>
      <c r="C1705" s="52" t="s">
        <v>624</v>
      </c>
      <c r="D1705" s="52" t="s">
        <v>1612</v>
      </c>
      <c r="E1705" s="52" t="s">
        <v>2046</v>
      </c>
      <c r="F1705" s="52" t="s">
        <v>331</v>
      </c>
      <c r="G1705" s="52" t="s">
        <v>2047</v>
      </c>
      <c r="H1705" s="52" t="n">
        <v>1</v>
      </c>
    </row>
    <row r="1706" customFormat="false" ht="15" hidden="false" customHeight="true" outlineLevel="0" collapsed="false">
      <c r="A1706" s="52" t="n">
        <v>1705</v>
      </c>
      <c r="B1706" s="52" t="s">
        <v>399</v>
      </c>
      <c r="C1706" s="52" t="s">
        <v>624</v>
      </c>
      <c r="D1706" s="52" t="s">
        <v>1612</v>
      </c>
      <c r="E1706" s="52" t="s">
        <v>2046</v>
      </c>
      <c r="F1706" s="52" t="s">
        <v>331</v>
      </c>
      <c r="G1706" s="52" t="s">
        <v>2048</v>
      </c>
      <c r="H1706" s="52" t="n">
        <v>1</v>
      </c>
    </row>
    <row r="1707" customFormat="false" ht="15" hidden="false" customHeight="true" outlineLevel="0" collapsed="false">
      <c r="A1707" s="52" t="n">
        <v>1706</v>
      </c>
      <c r="B1707" s="52" t="s">
        <v>399</v>
      </c>
      <c r="C1707" s="52" t="s">
        <v>624</v>
      </c>
      <c r="D1707" s="52" t="s">
        <v>1612</v>
      </c>
      <c r="E1707" s="52" t="s">
        <v>2046</v>
      </c>
      <c r="F1707" s="52" t="s">
        <v>331</v>
      </c>
      <c r="G1707" s="52" t="s">
        <v>2049</v>
      </c>
      <c r="H1707" s="52" t="n">
        <v>1</v>
      </c>
    </row>
    <row r="1708" customFormat="false" ht="15" hidden="false" customHeight="true" outlineLevel="0" collapsed="false">
      <c r="A1708" s="52" t="n">
        <v>1707</v>
      </c>
      <c r="B1708" s="52" t="s">
        <v>399</v>
      </c>
      <c r="C1708" s="52" t="s">
        <v>624</v>
      </c>
      <c r="D1708" s="52" t="s">
        <v>1612</v>
      </c>
      <c r="E1708" s="52" t="s">
        <v>2046</v>
      </c>
      <c r="F1708" s="52" t="s">
        <v>331</v>
      </c>
      <c r="G1708" s="52" t="s">
        <v>2050</v>
      </c>
      <c r="H1708" s="52" t="n">
        <v>1</v>
      </c>
    </row>
    <row r="1709" customFormat="false" ht="15" hidden="false" customHeight="true" outlineLevel="0" collapsed="false">
      <c r="A1709" s="52" t="n">
        <v>1708</v>
      </c>
      <c r="B1709" s="52" t="s">
        <v>399</v>
      </c>
      <c r="C1709" s="52" t="s">
        <v>624</v>
      </c>
      <c r="D1709" s="52" t="s">
        <v>1612</v>
      </c>
      <c r="E1709" s="52" t="s">
        <v>2046</v>
      </c>
      <c r="F1709" s="52" t="s">
        <v>331</v>
      </c>
      <c r="G1709" s="52" t="s">
        <v>2051</v>
      </c>
      <c r="H1709" s="52" t="n">
        <v>1</v>
      </c>
    </row>
    <row r="1710" customFormat="false" ht="15" hidden="false" customHeight="true" outlineLevel="0" collapsed="false">
      <c r="A1710" s="52" t="n">
        <v>1709</v>
      </c>
      <c r="B1710" s="52" t="s">
        <v>399</v>
      </c>
      <c r="C1710" s="52" t="s">
        <v>624</v>
      </c>
      <c r="D1710" s="52" t="s">
        <v>1612</v>
      </c>
      <c r="E1710" s="52" t="s">
        <v>2046</v>
      </c>
      <c r="F1710" s="52" t="s">
        <v>331</v>
      </c>
      <c r="G1710" s="52" t="s">
        <v>2052</v>
      </c>
      <c r="H1710" s="52" t="n">
        <v>1</v>
      </c>
    </row>
    <row r="1711" customFormat="false" ht="15" hidden="false" customHeight="true" outlineLevel="0" collapsed="false">
      <c r="A1711" s="52" t="n">
        <v>1710</v>
      </c>
      <c r="B1711" s="52" t="s">
        <v>399</v>
      </c>
      <c r="C1711" s="52" t="s">
        <v>624</v>
      </c>
      <c r="D1711" s="52" t="s">
        <v>1612</v>
      </c>
      <c r="E1711" s="52" t="s">
        <v>2046</v>
      </c>
      <c r="F1711" s="52" t="s">
        <v>331</v>
      </c>
      <c r="G1711" s="52" t="s">
        <v>2053</v>
      </c>
      <c r="H1711" s="52" t="n">
        <v>1</v>
      </c>
    </row>
    <row r="1712" customFormat="false" ht="15" hidden="false" customHeight="true" outlineLevel="0" collapsed="false">
      <c r="A1712" s="52" t="n">
        <v>1711</v>
      </c>
      <c r="B1712" s="52" t="s">
        <v>399</v>
      </c>
      <c r="C1712" s="52" t="s">
        <v>624</v>
      </c>
      <c r="D1712" s="52" t="s">
        <v>1612</v>
      </c>
      <c r="E1712" s="52" t="s">
        <v>2046</v>
      </c>
      <c r="F1712" s="52" t="s">
        <v>74</v>
      </c>
      <c r="G1712" s="52" t="s">
        <v>2054</v>
      </c>
      <c r="H1712" s="52" t="n">
        <v>1</v>
      </c>
    </row>
    <row r="1713" customFormat="false" ht="15" hidden="false" customHeight="true" outlineLevel="0" collapsed="false">
      <c r="A1713" s="52" t="n">
        <v>1712</v>
      </c>
      <c r="B1713" s="52" t="s">
        <v>399</v>
      </c>
      <c r="C1713" s="52" t="s">
        <v>624</v>
      </c>
      <c r="D1713" s="52" t="s">
        <v>1612</v>
      </c>
      <c r="E1713" s="52" t="s">
        <v>2046</v>
      </c>
      <c r="F1713" s="52" t="s">
        <v>74</v>
      </c>
      <c r="G1713" s="52" t="s">
        <v>2055</v>
      </c>
      <c r="H1713" s="52" t="n">
        <v>1</v>
      </c>
    </row>
    <row r="1714" customFormat="false" ht="15" hidden="false" customHeight="true" outlineLevel="0" collapsed="false">
      <c r="A1714" s="52" t="n">
        <v>1713</v>
      </c>
      <c r="B1714" s="52" t="s">
        <v>399</v>
      </c>
      <c r="C1714" s="52" t="s">
        <v>624</v>
      </c>
      <c r="D1714" s="52" t="s">
        <v>1612</v>
      </c>
      <c r="E1714" s="52" t="s">
        <v>2046</v>
      </c>
      <c r="F1714" s="52" t="s">
        <v>74</v>
      </c>
      <c r="G1714" s="52" t="s">
        <v>2056</v>
      </c>
      <c r="H1714" s="52" t="n">
        <v>1</v>
      </c>
    </row>
    <row r="1715" customFormat="false" ht="15" hidden="false" customHeight="true" outlineLevel="0" collapsed="false">
      <c r="A1715" s="52" t="n">
        <v>1714</v>
      </c>
      <c r="B1715" s="52" t="s">
        <v>399</v>
      </c>
      <c r="C1715" s="52" t="s">
        <v>624</v>
      </c>
      <c r="D1715" s="52" t="s">
        <v>1612</v>
      </c>
      <c r="E1715" s="52" t="s">
        <v>2046</v>
      </c>
      <c r="F1715" s="52" t="s">
        <v>74</v>
      </c>
      <c r="G1715" s="52" t="s">
        <v>2057</v>
      </c>
      <c r="H1715" s="52" t="n">
        <v>1</v>
      </c>
    </row>
    <row r="1716" customFormat="false" ht="15" hidden="false" customHeight="true" outlineLevel="0" collapsed="false">
      <c r="A1716" s="52" t="n">
        <v>1715</v>
      </c>
      <c r="B1716" s="52" t="s">
        <v>399</v>
      </c>
      <c r="C1716" s="52" t="s">
        <v>624</v>
      </c>
      <c r="D1716" s="52" t="s">
        <v>1612</v>
      </c>
      <c r="E1716" s="52" t="s">
        <v>2046</v>
      </c>
      <c r="F1716" s="52" t="s">
        <v>74</v>
      </c>
      <c r="G1716" s="52" t="s">
        <v>2058</v>
      </c>
      <c r="H1716" s="52" t="n">
        <v>1</v>
      </c>
    </row>
    <row r="1717" customFormat="false" ht="15" hidden="false" customHeight="true" outlineLevel="0" collapsed="false">
      <c r="A1717" s="52" t="n">
        <v>1716</v>
      </c>
      <c r="B1717" s="52" t="s">
        <v>399</v>
      </c>
      <c r="C1717" s="52" t="s">
        <v>624</v>
      </c>
      <c r="D1717" s="52" t="s">
        <v>1612</v>
      </c>
      <c r="E1717" s="52" t="s">
        <v>2046</v>
      </c>
      <c r="F1717" s="52" t="s">
        <v>74</v>
      </c>
      <c r="G1717" s="52" t="s">
        <v>2059</v>
      </c>
      <c r="H1717" s="52" t="n">
        <v>1</v>
      </c>
    </row>
    <row r="1718" customFormat="false" ht="15" hidden="false" customHeight="true" outlineLevel="0" collapsed="false">
      <c r="A1718" s="52" t="n">
        <v>1717</v>
      </c>
      <c r="B1718" s="52" t="s">
        <v>399</v>
      </c>
      <c r="C1718" s="52" t="s">
        <v>624</v>
      </c>
      <c r="D1718" s="52" t="s">
        <v>1612</v>
      </c>
      <c r="E1718" s="52" t="s">
        <v>2046</v>
      </c>
      <c r="F1718" s="52" t="s">
        <v>74</v>
      </c>
      <c r="G1718" s="52" t="s">
        <v>2060</v>
      </c>
      <c r="H1718" s="52" t="n">
        <v>1</v>
      </c>
    </row>
    <row r="1719" customFormat="false" ht="15" hidden="false" customHeight="true" outlineLevel="0" collapsed="false">
      <c r="A1719" s="52" t="n">
        <v>1718</v>
      </c>
      <c r="B1719" s="52" t="s">
        <v>399</v>
      </c>
      <c r="C1719" s="52" t="s">
        <v>624</v>
      </c>
      <c r="D1719" s="52" t="s">
        <v>1612</v>
      </c>
      <c r="E1719" s="52" t="s">
        <v>2046</v>
      </c>
      <c r="F1719" s="52" t="s">
        <v>74</v>
      </c>
      <c r="G1719" s="52" t="s">
        <v>2061</v>
      </c>
      <c r="H1719" s="52" t="n">
        <v>1</v>
      </c>
    </row>
    <row r="1720" customFormat="false" ht="15" hidden="false" customHeight="true" outlineLevel="0" collapsed="false">
      <c r="A1720" s="52" t="n">
        <v>1719</v>
      </c>
      <c r="B1720" s="52" t="s">
        <v>399</v>
      </c>
      <c r="C1720" s="52" t="s">
        <v>624</v>
      </c>
      <c r="D1720" s="52" t="s">
        <v>1612</v>
      </c>
      <c r="E1720" s="52" t="s">
        <v>2046</v>
      </c>
      <c r="F1720" s="52" t="s">
        <v>36</v>
      </c>
      <c r="G1720" s="52" t="s">
        <v>2062</v>
      </c>
      <c r="H1720" s="52" t="n">
        <v>1</v>
      </c>
    </row>
    <row r="1721" customFormat="false" ht="15" hidden="false" customHeight="true" outlineLevel="0" collapsed="false">
      <c r="A1721" s="52" t="n">
        <v>1720</v>
      </c>
      <c r="B1721" s="52" t="s">
        <v>399</v>
      </c>
      <c r="C1721" s="52" t="s">
        <v>624</v>
      </c>
      <c r="D1721" s="52" t="s">
        <v>1612</v>
      </c>
      <c r="E1721" s="52" t="s">
        <v>2046</v>
      </c>
      <c r="F1721" s="52" t="s">
        <v>36</v>
      </c>
      <c r="G1721" s="52" t="s">
        <v>2063</v>
      </c>
      <c r="H1721" s="52" t="n">
        <v>1</v>
      </c>
    </row>
    <row r="1722" customFormat="false" ht="15" hidden="false" customHeight="true" outlineLevel="0" collapsed="false">
      <c r="A1722" s="52" t="n">
        <v>1721</v>
      </c>
      <c r="B1722" s="52" t="s">
        <v>399</v>
      </c>
      <c r="C1722" s="52" t="s">
        <v>624</v>
      </c>
      <c r="D1722" s="52" t="s">
        <v>1612</v>
      </c>
      <c r="E1722" s="52" t="s">
        <v>2046</v>
      </c>
      <c r="F1722" s="52" t="s">
        <v>36</v>
      </c>
      <c r="G1722" s="52" t="s">
        <v>2064</v>
      </c>
      <c r="H1722" s="52" t="n">
        <v>1</v>
      </c>
    </row>
    <row r="1723" customFormat="false" ht="15" hidden="false" customHeight="true" outlineLevel="0" collapsed="false">
      <c r="A1723" s="52" t="n">
        <v>1722</v>
      </c>
      <c r="B1723" s="52" t="s">
        <v>399</v>
      </c>
      <c r="C1723" s="52" t="s">
        <v>624</v>
      </c>
      <c r="D1723" s="52" t="s">
        <v>1612</v>
      </c>
      <c r="E1723" s="52" t="s">
        <v>2046</v>
      </c>
      <c r="F1723" s="52" t="s">
        <v>36</v>
      </c>
      <c r="G1723" s="52" t="s">
        <v>2065</v>
      </c>
      <c r="H1723" s="52" t="n">
        <v>1</v>
      </c>
    </row>
    <row r="1724" customFormat="false" ht="15" hidden="false" customHeight="true" outlineLevel="0" collapsed="false">
      <c r="A1724" s="52" t="n">
        <v>1723</v>
      </c>
      <c r="B1724" s="52" t="s">
        <v>399</v>
      </c>
      <c r="C1724" s="52" t="s">
        <v>624</v>
      </c>
      <c r="D1724" s="52" t="s">
        <v>1612</v>
      </c>
      <c r="E1724" s="52" t="s">
        <v>2046</v>
      </c>
      <c r="F1724" s="52" t="s">
        <v>36</v>
      </c>
      <c r="G1724" s="52" t="s">
        <v>2066</v>
      </c>
      <c r="H1724" s="52" t="n">
        <v>1</v>
      </c>
    </row>
    <row r="1725" customFormat="false" ht="15" hidden="false" customHeight="true" outlineLevel="0" collapsed="false">
      <c r="A1725" s="52" t="n">
        <v>1724</v>
      </c>
      <c r="B1725" s="52" t="s">
        <v>399</v>
      </c>
      <c r="C1725" s="52" t="s">
        <v>624</v>
      </c>
      <c r="D1725" s="52" t="s">
        <v>1612</v>
      </c>
      <c r="E1725" s="52" t="s">
        <v>2046</v>
      </c>
      <c r="F1725" s="52" t="s">
        <v>36</v>
      </c>
      <c r="G1725" s="52" t="s">
        <v>2067</v>
      </c>
      <c r="H1725" s="52" t="n">
        <v>1</v>
      </c>
    </row>
    <row r="1726" customFormat="false" ht="15" hidden="false" customHeight="true" outlineLevel="0" collapsed="false">
      <c r="A1726" s="52" t="n">
        <v>1725</v>
      </c>
      <c r="B1726" s="52" t="s">
        <v>399</v>
      </c>
      <c r="C1726" s="52" t="s">
        <v>624</v>
      </c>
      <c r="D1726" s="52" t="s">
        <v>1612</v>
      </c>
      <c r="E1726" s="52" t="s">
        <v>2046</v>
      </c>
      <c r="F1726" s="52" t="s">
        <v>36</v>
      </c>
      <c r="G1726" s="52" t="s">
        <v>2068</v>
      </c>
      <c r="H1726" s="52" t="n">
        <v>1</v>
      </c>
    </row>
    <row r="1727" customFormat="false" ht="15" hidden="false" customHeight="true" outlineLevel="0" collapsed="false">
      <c r="A1727" s="52" t="n">
        <v>1726</v>
      </c>
      <c r="B1727" s="52" t="s">
        <v>399</v>
      </c>
      <c r="C1727" s="52" t="s">
        <v>624</v>
      </c>
      <c r="D1727" s="52" t="s">
        <v>1612</v>
      </c>
      <c r="E1727" s="52" t="s">
        <v>2046</v>
      </c>
      <c r="F1727" s="52" t="s">
        <v>259</v>
      </c>
      <c r="G1727" s="52" t="s">
        <v>2069</v>
      </c>
      <c r="H1727" s="52" t="n">
        <v>1</v>
      </c>
    </row>
    <row r="1728" customFormat="false" ht="15" hidden="false" customHeight="true" outlineLevel="0" collapsed="false">
      <c r="A1728" s="52" t="n">
        <v>1727</v>
      </c>
      <c r="B1728" s="52" t="s">
        <v>399</v>
      </c>
      <c r="C1728" s="52" t="s">
        <v>624</v>
      </c>
      <c r="D1728" s="52" t="s">
        <v>1612</v>
      </c>
      <c r="E1728" s="52" t="s">
        <v>2046</v>
      </c>
      <c r="F1728" s="52" t="s">
        <v>259</v>
      </c>
      <c r="G1728" s="52" t="s">
        <v>2070</v>
      </c>
      <c r="H1728" s="52" t="n">
        <v>1</v>
      </c>
    </row>
    <row r="1729" customFormat="false" ht="15" hidden="false" customHeight="true" outlineLevel="0" collapsed="false">
      <c r="A1729" s="52" t="n">
        <v>1728</v>
      </c>
      <c r="B1729" s="52" t="s">
        <v>399</v>
      </c>
      <c r="C1729" s="52" t="s">
        <v>624</v>
      </c>
      <c r="D1729" s="52" t="s">
        <v>1612</v>
      </c>
      <c r="E1729" s="52" t="s">
        <v>2046</v>
      </c>
      <c r="F1729" s="52" t="s">
        <v>259</v>
      </c>
      <c r="G1729" s="52" t="s">
        <v>2071</v>
      </c>
      <c r="H1729" s="52" t="n">
        <v>1</v>
      </c>
    </row>
    <row r="1730" customFormat="false" ht="15" hidden="false" customHeight="true" outlineLevel="0" collapsed="false">
      <c r="A1730" s="52" t="n">
        <v>1729</v>
      </c>
      <c r="B1730" s="52" t="s">
        <v>399</v>
      </c>
      <c r="C1730" s="52" t="s">
        <v>624</v>
      </c>
      <c r="D1730" s="52" t="s">
        <v>1612</v>
      </c>
      <c r="E1730" s="52" t="s">
        <v>2046</v>
      </c>
      <c r="F1730" s="52" t="s">
        <v>259</v>
      </c>
      <c r="G1730" s="52" t="s">
        <v>2072</v>
      </c>
      <c r="H1730" s="52" t="n">
        <v>1</v>
      </c>
    </row>
    <row r="1731" customFormat="false" ht="15" hidden="false" customHeight="true" outlineLevel="0" collapsed="false">
      <c r="A1731" s="52" t="n">
        <v>1730</v>
      </c>
      <c r="B1731" s="52" t="s">
        <v>399</v>
      </c>
      <c r="C1731" s="52" t="s">
        <v>624</v>
      </c>
      <c r="D1731" s="52" t="s">
        <v>1612</v>
      </c>
      <c r="E1731" s="52" t="s">
        <v>2046</v>
      </c>
      <c r="F1731" s="52" t="s">
        <v>259</v>
      </c>
      <c r="G1731" s="52" t="s">
        <v>2073</v>
      </c>
      <c r="H1731" s="52" t="n">
        <v>1</v>
      </c>
    </row>
    <row r="1732" customFormat="false" ht="15" hidden="false" customHeight="true" outlineLevel="0" collapsed="false">
      <c r="A1732" s="52" t="n">
        <v>1731</v>
      </c>
      <c r="B1732" s="52" t="s">
        <v>399</v>
      </c>
      <c r="C1732" s="52" t="s">
        <v>624</v>
      </c>
      <c r="D1732" s="52" t="s">
        <v>1612</v>
      </c>
      <c r="E1732" s="52" t="s">
        <v>2046</v>
      </c>
      <c r="F1732" s="52" t="s">
        <v>259</v>
      </c>
      <c r="G1732" s="52" t="s">
        <v>2074</v>
      </c>
      <c r="H1732" s="52" t="n">
        <v>1</v>
      </c>
    </row>
    <row r="1733" customFormat="false" ht="15" hidden="false" customHeight="true" outlineLevel="0" collapsed="false">
      <c r="A1733" s="52" t="n">
        <v>1732</v>
      </c>
      <c r="B1733" s="52" t="s">
        <v>399</v>
      </c>
      <c r="C1733" s="52" t="s">
        <v>624</v>
      </c>
      <c r="D1733" s="52" t="s">
        <v>1612</v>
      </c>
      <c r="E1733" s="52" t="s">
        <v>2046</v>
      </c>
      <c r="F1733" s="52" t="s">
        <v>259</v>
      </c>
      <c r="G1733" s="52" t="s">
        <v>2075</v>
      </c>
      <c r="H1733" s="52" t="n">
        <v>1</v>
      </c>
    </row>
    <row r="1734" customFormat="false" ht="15" hidden="false" customHeight="true" outlineLevel="0" collapsed="false">
      <c r="A1734" s="52" t="n">
        <v>1733</v>
      </c>
      <c r="B1734" s="52" t="s">
        <v>399</v>
      </c>
      <c r="C1734" s="52" t="s">
        <v>624</v>
      </c>
      <c r="D1734" s="52" t="s">
        <v>1612</v>
      </c>
      <c r="E1734" s="52" t="s">
        <v>2046</v>
      </c>
      <c r="F1734" s="52" t="s">
        <v>52</v>
      </c>
      <c r="G1734" s="52" t="s">
        <v>2076</v>
      </c>
      <c r="H1734" s="52" t="n">
        <v>1</v>
      </c>
    </row>
    <row r="1735" customFormat="false" ht="15" hidden="false" customHeight="true" outlineLevel="0" collapsed="false">
      <c r="A1735" s="52" t="n">
        <v>1734</v>
      </c>
      <c r="B1735" s="52" t="s">
        <v>399</v>
      </c>
      <c r="C1735" s="52" t="s">
        <v>624</v>
      </c>
      <c r="D1735" s="52" t="s">
        <v>1612</v>
      </c>
      <c r="E1735" s="52" t="s">
        <v>2046</v>
      </c>
      <c r="F1735" s="52" t="s">
        <v>52</v>
      </c>
      <c r="G1735" s="52" t="s">
        <v>2077</v>
      </c>
      <c r="H1735" s="52" t="n">
        <v>1</v>
      </c>
    </row>
    <row r="1736" customFormat="false" ht="15" hidden="false" customHeight="true" outlineLevel="0" collapsed="false">
      <c r="A1736" s="52" t="n">
        <v>1735</v>
      </c>
      <c r="B1736" s="52" t="s">
        <v>399</v>
      </c>
      <c r="C1736" s="52" t="s">
        <v>624</v>
      </c>
      <c r="D1736" s="52" t="s">
        <v>1612</v>
      </c>
      <c r="E1736" s="52" t="s">
        <v>2046</v>
      </c>
      <c r="F1736" s="52" t="s">
        <v>52</v>
      </c>
      <c r="G1736" s="52" t="s">
        <v>2078</v>
      </c>
      <c r="H1736" s="52" t="n">
        <v>1</v>
      </c>
    </row>
    <row r="1737" customFormat="false" ht="15" hidden="false" customHeight="true" outlineLevel="0" collapsed="false">
      <c r="A1737" s="52" t="n">
        <v>1736</v>
      </c>
      <c r="B1737" s="52" t="s">
        <v>399</v>
      </c>
      <c r="C1737" s="52" t="s">
        <v>624</v>
      </c>
      <c r="D1737" s="52" t="s">
        <v>1612</v>
      </c>
      <c r="E1737" s="52" t="s">
        <v>2046</v>
      </c>
      <c r="F1737" s="52" t="s">
        <v>52</v>
      </c>
      <c r="G1737" s="52" t="s">
        <v>2079</v>
      </c>
      <c r="H1737" s="52" t="n">
        <v>1</v>
      </c>
    </row>
    <row r="1738" customFormat="false" ht="15" hidden="false" customHeight="true" outlineLevel="0" collapsed="false">
      <c r="A1738" s="52" t="n">
        <v>1737</v>
      </c>
      <c r="B1738" s="52" t="s">
        <v>399</v>
      </c>
      <c r="C1738" s="52" t="s">
        <v>624</v>
      </c>
      <c r="D1738" s="52" t="s">
        <v>1612</v>
      </c>
      <c r="E1738" s="52" t="s">
        <v>2046</v>
      </c>
      <c r="F1738" s="52" t="s">
        <v>52</v>
      </c>
      <c r="G1738" s="52" t="s">
        <v>2080</v>
      </c>
      <c r="H1738" s="52" t="n">
        <v>1</v>
      </c>
    </row>
    <row r="1739" customFormat="false" ht="15" hidden="false" customHeight="true" outlineLevel="0" collapsed="false">
      <c r="A1739" s="52" t="n">
        <v>1738</v>
      </c>
      <c r="B1739" s="52" t="s">
        <v>399</v>
      </c>
      <c r="C1739" s="52" t="s">
        <v>624</v>
      </c>
      <c r="D1739" s="52" t="s">
        <v>1612</v>
      </c>
      <c r="E1739" s="52" t="s">
        <v>2046</v>
      </c>
      <c r="F1739" s="52" t="s">
        <v>52</v>
      </c>
      <c r="G1739" s="52" t="s">
        <v>2081</v>
      </c>
      <c r="H1739" s="52" t="n">
        <v>1</v>
      </c>
    </row>
    <row r="1740" customFormat="false" ht="15" hidden="false" customHeight="true" outlineLevel="0" collapsed="false">
      <c r="A1740" s="52" t="n">
        <v>1739</v>
      </c>
      <c r="B1740" s="52" t="s">
        <v>399</v>
      </c>
      <c r="C1740" s="52" t="s">
        <v>624</v>
      </c>
      <c r="D1740" s="52" t="s">
        <v>1612</v>
      </c>
      <c r="E1740" s="52" t="s">
        <v>2046</v>
      </c>
      <c r="F1740" s="52" t="s">
        <v>52</v>
      </c>
      <c r="G1740" s="52" t="s">
        <v>2082</v>
      </c>
      <c r="H1740" s="52" t="n">
        <v>1</v>
      </c>
    </row>
    <row r="1741" customFormat="false" ht="15" hidden="false" customHeight="true" outlineLevel="0" collapsed="false">
      <c r="A1741" s="52" t="n">
        <v>1740</v>
      </c>
      <c r="B1741" s="52" t="s">
        <v>399</v>
      </c>
      <c r="C1741" s="52" t="s">
        <v>624</v>
      </c>
      <c r="D1741" s="52" t="s">
        <v>1612</v>
      </c>
      <c r="E1741" s="52" t="s">
        <v>2046</v>
      </c>
      <c r="F1741" s="52" t="s">
        <v>21</v>
      </c>
      <c r="G1741" s="52" t="s">
        <v>2083</v>
      </c>
      <c r="H1741" s="52" t="n">
        <v>1</v>
      </c>
    </row>
    <row r="1742" customFormat="false" ht="15" hidden="false" customHeight="true" outlineLevel="0" collapsed="false">
      <c r="A1742" s="52" t="n">
        <v>1741</v>
      </c>
      <c r="B1742" s="52" t="s">
        <v>399</v>
      </c>
      <c r="C1742" s="52" t="s">
        <v>624</v>
      </c>
      <c r="D1742" s="52" t="s">
        <v>1612</v>
      </c>
      <c r="E1742" s="52" t="s">
        <v>2046</v>
      </c>
      <c r="F1742" s="52" t="s">
        <v>21</v>
      </c>
      <c r="G1742" s="52" t="s">
        <v>2084</v>
      </c>
      <c r="H1742" s="52" t="n">
        <v>1</v>
      </c>
    </row>
    <row r="1743" customFormat="false" ht="15" hidden="false" customHeight="true" outlineLevel="0" collapsed="false">
      <c r="A1743" s="52" t="n">
        <v>1742</v>
      </c>
      <c r="B1743" s="52" t="s">
        <v>399</v>
      </c>
      <c r="C1743" s="52" t="s">
        <v>624</v>
      </c>
      <c r="D1743" s="52" t="s">
        <v>1612</v>
      </c>
      <c r="E1743" s="52" t="s">
        <v>2046</v>
      </c>
      <c r="F1743" s="52" t="s">
        <v>21</v>
      </c>
      <c r="G1743" s="52" t="s">
        <v>2085</v>
      </c>
      <c r="H1743" s="52" t="n">
        <v>1</v>
      </c>
    </row>
    <row r="1744" customFormat="false" ht="15" hidden="false" customHeight="true" outlineLevel="0" collapsed="false">
      <c r="A1744" s="52" t="n">
        <v>1743</v>
      </c>
      <c r="B1744" s="52" t="s">
        <v>399</v>
      </c>
      <c r="C1744" s="52" t="s">
        <v>624</v>
      </c>
      <c r="D1744" s="52" t="s">
        <v>1612</v>
      </c>
      <c r="E1744" s="52" t="s">
        <v>2046</v>
      </c>
      <c r="F1744" s="52" t="s">
        <v>21</v>
      </c>
      <c r="G1744" s="52" t="s">
        <v>2086</v>
      </c>
      <c r="H1744" s="52" t="n">
        <v>1</v>
      </c>
    </row>
    <row r="1745" customFormat="false" ht="15" hidden="false" customHeight="true" outlineLevel="0" collapsed="false">
      <c r="A1745" s="52" t="n">
        <v>1744</v>
      </c>
      <c r="B1745" s="52" t="s">
        <v>399</v>
      </c>
      <c r="C1745" s="52" t="s">
        <v>624</v>
      </c>
      <c r="D1745" s="52" t="s">
        <v>1612</v>
      </c>
      <c r="E1745" s="52" t="s">
        <v>2046</v>
      </c>
      <c r="F1745" s="52" t="s">
        <v>21</v>
      </c>
      <c r="G1745" s="52" t="s">
        <v>2087</v>
      </c>
      <c r="H1745" s="52" t="n">
        <v>1</v>
      </c>
    </row>
    <row r="1746" customFormat="false" ht="15" hidden="false" customHeight="true" outlineLevel="0" collapsed="false">
      <c r="A1746" s="52" t="n">
        <v>1745</v>
      </c>
      <c r="B1746" s="52" t="s">
        <v>399</v>
      </c>
      <c r="C1746" s="52" t="s">
        <v>624</v>
      </c>
      <c r="D1746" s="52" t="s">
        <v>1612</v>
      </c>
      <c r="E1746" s="52" t="s">
        <v>2046</v>
      </c>
      <c r="F1746" s="52" t="s">
        <v>21</v>
      </c>
      <c r="G1746" s="52" t="s">
        <v>2088</v>
      </c>
      <c r="H1746" s="52" t="n">
        <v>1</v>
      </c>
    </row>
    <row r="1747" customFormat="false" ht="15" hidden="false" customHeight="true" outlineLevel="0" collapsed="false">
      <c r="A1747" s="52" t="n">
        <v>1746</v>
      </c>
      <c r="B1747" s="52" t="s">
        <v>399</v>
      </c>
      <c r="C1747" s="52" t="s">
        <v>624</v>
      </c>
      <c r="D1747" s="52" t="s">
        <v>1612</v>
      </c>
      <c r="E1747" s="52" t="s">
        <v>2046</v>
      </c>
      <c r="F1747" s="52" t="s">
        <v>123</v>
      </c>
      <c r="G1747" s="52" t="s">
        <v>2089</v>
      </c>
      <c r="H1747" s="52" t="n">
        <v>1</v>
      </c>
    </row>
    <row r="1748" customFormat="false" ht="15" hidden="false" customHeight="true" outlineLevel="0" collapsed="false">
      <c r="A1748" s="52" t="n">
        <v>1747</v>
      </c>
      <c r="B1748" s="52" t="s">
        <v>399</v>
      </c>
      <c r="C1748" s="52" t="s">
        <v>624</v>
      </c>
      <c r="D1748" s="52" t="s">
        <v>1612</v>
      </c>
      <c r="E1748" s="52" t="s">
        <v>2046</v>
      </c>
      <c r="F1748" s="52" t="s">
        <v>123</v>
      </c>
      <c r="G1748" s="52" t="s">
        <v>2090</v>
      </c>
      <c r="H1748" s="52" t="n">
        <v>1</v>
      </c>
    </row>
    <row r="1749" customFormat="false" ht="15" hidden="false" customHeight="true" outlineLevel="0" collapsed="false">
      <c r="A1749" s="52" t="n">
        <v>1748</v>
      </c>
      <c r="B1749" s="52" t="s">
        <v>399</v>
      </c>
      <c r="C1749" s="52" t="s">
        <v>624</v>
      </c>
      <c r="D1749" s="52" t="s">
        <v>1612</v>
      </c>
      <c r="E1749" s="52" t="s">
        <v>2046</v>
      </c>
      <c r="F1749" s="52" t="s">
        <v>123</v>
      </c>
      <c r="G1749" s="52" t="s">
        <v>2091</v>
      </c>
      <c r="H1749" s="52" t="n">
        <v>1</v>
      </c>
    </row>
    <row r="1750" customFormat="false" ht="15" hidden="false" customHeight="true" outlineLevel="0" collapsed="false">
      <c r="A1750" s="52" t="n">
        <v>1749</v>
      </c>
      <c r="B1750" s="52" t="s">
        <v>399</v>
      </c>
      <c r="C1750" s="52" t="s">
        <v>624</v>
      </c>
      <c r="D1750" s="52" t="s">
        <v>1612</v>
      </c>
      <c r="E1750" s="52" t="s">
        <v>2046</v>
      </c>
      <c r="F1750" s="52" t="s">
        <v>123</v>
      </c>
      <c r="G1750" s="52" t="s">
        <v>2092</v>
      </c>
      <c r="H1750" s="52" t="n">
        <v>1</v>
      </c>
    </row>
    <row r="1751" customFormat="false" ht="15" hidden="false" customHeight="true" outlineLevel="0" collapsed="false">
      <c r="A1751" s="52" t="n">
        <v>1750</v>
      </c>
      <c r="B1751" s="52" t="s">
        <v>399</v>
      </c>
      <c r="C1751" s="52" t="s">
        <v>624</v>
      </c>
      <c r="D1751" s="52" t="s">
        <v>1612</v>
      </c>
      <c r="E1751" s="52" t="s">
        <v>2046</v>
      </c>
      <c r="F1751" s="52" t="s">
        <v>13</v>
      </c>
      <c r="G1751" s="52" t="s">
        <v>2093</v>
      </c>
      <c r="H1751" s="52" t="n">
        <v>1</v>
      </c>
    </row>
    <row r="1752" customFormat="false" ht="15" hidden="false" customHeight="true" outlineLevel="0" collapsed="false">
      <c r="A1752" s="52" t="n">
        <v>1751</v>
      </c>
      <c r="B1752" s="52" t="s">
        <v>399</v>
      </c>
      <c r="C1752" s="52" t="s">
        <v>624</v>
      </c>
      <c r="D1752" s="52" t="s">
        <v>1612</v>
      </c>
      <c r="E1752" s="52" t="s">
        <v>2046</v>
      </c>
      <c r="F1752" s="52" t="s">
        <v>13</v>
      </c>
      <c r="G1752" s="52" t="s">
        <v>2094</v>
      </c>
      <c r="H1752" s="52" t="n">
        <v>1</v>
      </c>
    </row>
    <row r="1753" customFormat="false" ht="15" hidden="false" customHeight="true" outlineLevel="0" collapsed="false">
      <c r="A1753" s="52" t="n">
        <v>1752</v>
      </c>
      <c r="B1753" s="52" t="s">
        <v>399</v>
      </c>
      <c r="C1753" s="52" t="s">
        <v>624</v>
      </c>
      <c r="D1753" s="52" t="s">
        <v>1612</v>
      </c>
      <c r="E1753" s="52" t="s">
        <v>2046</v>
      </c>
      <c r="F1753" s="52" t="s">
        <v>13</v>
      </c>
      <c r="G1753" s="52" t="s">
        <v>2095</v>
      </c>
      <c r="H1753" s="52" t="n">
        <v>1</v>
      </c>
    </row>
    <row r="1754" customFormat="false" ht="15" hidden="false" customHeight="true" outlineLevel="0" collapsed="false">
      <c r="A1754" s="52" t="n">
        <v>1753</v>
      </c>
      <c r="B1754" s="52" t="s">
        <v>399</v>
      </c>
      <c r="C1754" s="52" t="s">
        <v>624</v>
      </c>
      <c r="D1754" s="52" t="s">
        <v>1612</v>
      </c>
      <c r="E1754" s="52" t="s">
        <v>2046</v>
      </c>
      <c r="F1754" s="52" t="s">
        <v>13</v>
      </c>
      <c r="G1754" s="52" t="s">
        <v>2096</v>
      </c>
      <c r="H1754" s="52" t="n">
        <v>1</v>
      </c>
    </row>
    <row r="1755" customFormat="false" ht="15" hidden="false" customHeight="true" outlineLevel="0" collapsed="false">
      <c r="A1755" s="52" t="n">
        <v>1754</v>
      </c>
      <c r="B1755" s="52" t="s">
        <v>399</v>
      </c>
      <c r="C1755" s="52" t="s">
        <v>624</v>
      </c>
      <c r="D1755" s="52" t="s">
        <v>1612</v>
      </c>
      <c r="E1755" s="52" t="s">
        <v>2046</v>
      </c>
      <c r="F1755" s="52" t="s">
        <v>13</v>
      </c>
      <c r="G1755" s="52" t="s">
        <v>2097</v>
      </c>
      <c r="H1755" s="52" t="n">
        <v>1</v>
      </c>
    </row>
    <row r="1756" customFormat="false" ht="15" hidden="false" customHeight="true" outlineLevel="0" collapsed="false">
      <c r="A1756" s="52" t="n">
        <v>1755</v>
      </c>
      <c r="B1756" s="52" t="s">
        <v>399</v>
      </c>
      <c r="C1756" s="52" t="s">
        <v>624</v>
      </c>
      <c r="D1756" s="52" t="s">
        <v>1612</v>
      </c>
      <c r="E1756" s="52" t="s">
        <v>2046</v>
      </c>
      <c r="F1756" s="52" t="s">
        <v>101</v>
      </c>
      <c r="G1756" s="52" t="s">
        <v>2098</v>
      </c>
      <c r="H1756" s="52" t="n">
        <v>1</v>
      </c>
    </row>
    <row r="1757" customFormat="false" ht="15" hidden="false" customHeight="true" outlineLevel="0" collapsed="false">
      <c r="A1757" s="52" t="n">
        <v>1756</v>
      </c>
      <c r="B1757" s="52" t="s">
        <v>399</v>
      </c>
      <c r="C1757" s="52" t="s">
        <v>624</v>
      </c>
      <c r="D1757" s="52" t="s">
        <v>1612</v>
      </c>
      <c r="E1757" s="52" t="s">
        <v>2046</v>
      </c>
      <c r="F1757" s="52" t="s">
        <v>101</v>
      </c>
      <c r="G1757" s="52" t="s">
        <v>2099</v>
      </c>
      <c r="H1757" s="52" t="n">
        <v>1</v>
      </c>
    </row>
    <row r="1758" customFormat="false" ht="15" hidden="false" customHeight="true" outlineLevel="0" collapsed="false">
      <c r="A1758" s="52" t="n">
        <v>1757</v>
      </c>
      <c r="B1758" s="52" t="s">
        <v>399</v>
      </c>
      <c r="C1758" s="52" t="s">
        <v>624</v>
      </c>
      <c r="D1758" s="52" t="s">
        <v>1612</v>
      </c>
      <c r="E1758" s="52" t="s">
        <v>2100</v>
      </c>
      <c r="F1758" s="52" t="s">
        <v>331</v>
      </c>
      <c r="G1758" s="52" t="s">
        <v>2101</v>
      </c>
      <c r="H1758" s="52" t="n">
        <v>1</v>
      </c>
    </row>
    <row r="1759" customFormat="false" ht="15" hidden="false" customHeight="true" outlineLevel="0" collapsed="false">
      <c r="A1759" s="52" t="n">
        <v>1758</v>
      </c>
      <c r="B1759" s="52" t="s">
        <v>399</v>
      </c>
      <c r="C1759" s="52" t="s">
        <v>624</v>
      </c>
      <c r="D1759" s="52" t="s">
        <v>1612</v>
      </c>
      <c r="E1759" s="52" t="s">
        <v>2100</v>
      </c>
      <c r="F1759" s="52" t="s">
        <v>331</v>
      </c>
      <c r="G1759" s="52" t="s">
        <v>2102</v>
      </c>
      <c r="H1759" s="52" t="n">
        <v>1</v>
      </c>
    </row>
    <row r="1760" customFormat="false" ht="15" hidden="false" customHeight="true" outlineLevel="0" collapsed="false">
      <c r="A1760" s="52" t="n">
        <v>1759</v>
      </c>
      <c r="B1760" s="52" t="s">
        <v>399</v>
      </c>
      <c r="C1760" s="52" t="s">
        <v>624</v>
      </c>
      <c r="D1760" s="52" t="s">
        <v>1612</v>
      </c>
      <c r="E1760" s="52" t="s">
        <v>2100</v>
      </c>
      <c r="F1760" s="52" t="s">
        <v>331</v>
      </c>
      <c r="G1760" s="52" t="s">
        <v>2103</v>
      </c>
      <c r="H1760" s="52" t="n">
        <v>1</v>
      </c>
    </row>
    <row r="1761" customFormat="false" ht="15" hidden="false" customHeight="true" outlineLevel="0" collapsed="false">
      <c r="A1761" s="52" t="n">
        <v>1760</v>
      </c>
      <c r="B1761" s="52" t="s">
        <v>399</v>
      </c>
      <c r="C1761" s="52" t="s">
        <v>624</v>
      </c>
      <c r="D1761" s="52" t="s">
        <v>1612</v>
      </c>
      <c r="E1761" s="52" t="s">
        <v>2100</v>
      </c>
      <c r="F1761" s="52" t="s">
        <v>331</v>
      </c>
      <c r="G1761" s="52" t="s">
        <v>2104</v>
      </c>
      <c r="H1761" s="52" t="n">
        <v>1</v>
      </c>
    </row>
    <row r="1762" customFormat="false" ht="15" hidden="false" customHeight="true" outlineLevel="0" collapsed="false">
      <c r="A1762" s="52" t="n">
        <v>1761</v>
      </c>
      <c r="B1762" s="52" t="s">
        <v>399</v>
      </c>
      <c r="C1762" s="52" t="s">
        <v>624</v>
      </c>
      <c r="D1762" s="52" t="s">
        <v>1612</v>
      </c>
      <c r="E1762" s="52" t="s">
        <v>2100</v>
      </c>
      <c r="F1762" s="52" t="s">
        <v>74</v>
      </c>
      <c r="G1762" s="52" t="s">
        <v>2105</v>
      </c>
      <c r="H1762" s="52" t="n">
        <v>1</v>
      </c>
    </row>
    <row r="1763" customFormat="false" ht="15" hidden="false" customHeight="true" outlineLevel="0" collapsed="false">
      <c r="A1763" s="52" t="n">
        <v>1762</v>
      </c>
      <c r="B1763" s="52" t="s">
        <v>399</v>
      </c>
      <c r="C1763" s="52" t="s">
        <v>624</v>
      </c>
      <c r="D1763" s="52" t="s">
        <v>1612</v>
      </c>
      <c r="E1763" s="52" t="s">
        <v>2100</v>
      </c>
      <c r="F1763" s="52" t="s">
        <v>74</v>
      </c>
      <c r="G1763" s="52" t="s">
        <v>2106</v>
      </c>
      <c r="H1763" s="52" t="n">
        <v>1</v>
      </c>
    </row>
    <row r="1764" customFormat="false" ht="15" hidden="false" customHeight="true" outlineLevel="0" collapsed="false">
      <c r="A1764" s="52" t="n">
        <v>1763</v>
      </c>
      <c r="B1764" s="52" t="s">
        <v>399</v>
      </c>
      <c r="C1764" s="52" t="s">
        <v>624</v>
      </c>
      <c r="D1764" s="52" t="s">
        <v>1612</v>
      </c>
      <c r="E1764" s="52" t="s">
        <v>2100</v>
      </c>
      <c r="F1764" s="52" t="s">
        <v>74</v>
      </c>
      <c r="G1764" s="52" t="s">
        <v>2107</v>
      </c>
      <c r="H1764" s="52" t="n">
        <v>1</v>
      </c>
    </row>
    <row r="1765" customFormat="false" ht="15" hidden="false" customHeight="true" outlineLevel="0" collapsed="false">
      <c r="A1765" s="52" t="n">
        <v>1764</v>
      </c>
      <c r="B1765" s="52" t="s">
        <v>399</v>
      </c>
      <c r="C1765" s="52" t="s">
        <v>624</v>
      </c>
      <c r="D1765" s="52" t="s">
        <v>1612</v>
      </c>
      <c r="E1765" s="52" t="s">
        <v>2100</v>
      </c>
      <c r="F1765" s="52" t="s">
        <v>74</v>
      </c>
      <c r="G1765" s="52" t="s">
        <v>2108</v>
      </c>
      <c r="H1765" s="52" t="n">
        <v>1</v>
      </c>
    </row>
    <row r="1766" customFormat="false" ht="15" hidden="false" customHeight="true" outlineLevel="0" collapsed="false">
      <c r="A1766" s="52" t="n">
        <v>1765</v>
      </c>
      <c r="B1766" s="52" t="s">
        <v>399</v>
      </c>
      <c r="C1766" s="52" t="s">
        <v>624</v>
      </c>
      <c r="D1766" s="52" t="s">
        <v>1612</v>
      </c>
      <c r="E1766" s="52" t="s">
        <v>2100</v>
      </c>
      <c r="F1766" s="52" t="s">
        <v>74</v>
      </c>
      <c r="G1766" s="52" t="s">
        <v>2109</v>
      </c>
      <c r="H1766" s="52" t="n">
        <v>1</v>
      </c>
    </row>
    <row r="1767" customFormat="false" ht="15" hidden="false" customHeight="true" outlineLevel="0" collapsed="false">
      <c r="A1767" s="52" t="n">
        <v>1766</v>
      </c>
      <c r="B1767" s="52" t="s">
        <v>399</v>
      </c>
      <c r="C1767" s="52" t="s">
        <v>624</v>
      </c>
      <c r="D1767" s="52" t="s">
        <v>1612</v>
      </c>
      <c r="E1767" s="52" t="s">
        <v>2100</v>
      </c>
      <c r="F1767" s="52" t="s">
        <v>74</v>
      </c>
      <c r="G1767" s="52" t="s">
        <v>2110</v>
      </c>
      <c r="H1767" s="52" t="n">
        <v>1</v>
      </c>
    </row>
    <row r="1768" customFormat="false" ht="15" hidden="false" customHeight="true" outlineLevel="0" collapsed="false">
      <c r="A1768" s="52" t="n">
        <v>1767</v>
      </c>
      <c r="B1768" s="52" t="s">
        <v>399</v>
      </c>
      <c r="C1768" s="52" t="s">
        <v>624</v>
      </c>
      <c r="D1768" s="52" t="s">
        <v>1612</v>
      </c>
      <c r="E1768" s="52" t="s">
        <v>2100</v>
      </c>
      <c r="F1768" s="52" t="s">
        <v>74</v>
      </c>
      <c r="G1768" s="52" t="s">
        <v>2111</v>
      </c>
      <c r="H1768" s="52" t="n">
        <v>1</v>
      </c>
    </row>
    <row r="1769" customFormat="false" ht="15" hidden="false" customHeight="true" outlineLevel="0" collapsed="false">
      <c r="A1769" s="52" t="n">
        <v>1768</v>
      </c>
      <c r="B1769" s="52" t="s">
        <v>399</v>
      </c>
      <c r="C1769" s="52" t="s">
        <v>624</v>
      </c>
      <c r="D1769" s="52" t="s">
        <v>1612</v>
      </c>
      <c r="E1769" s="52" t="s">
        <v>2100</v>
      </c>
      <c r="F1769" s="52" t="s">
        <v>36</v>
      </c>
      <c r="G1769" s="52" t="s">
        <v>2112</v>
      </c>
      <c r="H1769" s="52" t="n">
        <v>1</v>
      </c>
    </row>
    <row r="1770" customFormat="false" ht="15" hidden="false" customHeight="true" outlineLevel="0" collapsed="false">
      <c r="A1770" s="52" t="n">
        <v>1769</v>
      </c>
      <c r="B1770" s="52" t="s">
        <v>399</v>
      </c>
      <c r="C1770" s="52" t="s">
        <v>624</v>
      </c>
      <c r="D1770" s="52" t="s">
        <v>1612</v>
      </c>
      <c r="E1770" s="52" t="s">
        <v>2100</v>
      </c>
      <c r="F1770" s="52" t="s">
        <v>36</v>
      </c>
      <c r="G1770" s="52" t="s">
        <v>2113</v>
      </c>
      <c r="H1770" s="52" t="n">
        <v>1</v>
      </c>
    </row>
    <row r="1771" customFormat="false" ht="15" hidden="false" customHeight="true" outlineLevel="0" collapsed="false">
      <c r="A1771" s="52" t="n">
        <v>1770</v>
      </c>
      <c r="B1771" s="52" t="s">
        <v>399</v>
      </c>
      <c r="C1771" s="52" t="s">
        <v>624</v>
      </c>
      <c r="D1771" s="52" t="s">
        <v>1612</v>
      </c>
      <c r="E1771" s="52" t="s">
        <v>2100</v>
      </c>
      <c r="F1771" s="52" t="s">
        <v>36</v>
      </c>
      <c r="G1771" s="52" t="s">
        <v>2114</v>
      </c>
      <c r="H1771" s="52" t="n">
        <v>1</v>
      </c>
    </row>
    <row r="1772" customFormat="false" ht="15" hidden="false" customHeight="true" outlineLevel="0" collapsed="false">
      <c r="A1772" s="52" t="n">
        <v>1771</v>
      </c>
      <c r="B1772" s="52" t="s">
        <v>399</v>
      </c>
      <c r="C1772" s="52" t="s">
        <v>624</v>
      </c>
      <c r="D1772" s="52" t="s">
        <v>1612</v>
      </c>
      <c r="E1772" s="52" t="s">
        <v>2100</v>
      </c>
      <c r="F1772" s="52" t="s">
        <v>36</v>
      </c>
      <c r="G1772" s="52" t="s">
        <v>2115</v>
      </c>
      <c r="H1772" s="52" t="n">
        <v>1</v>
      </c>
    </row>
    <row r="1773" customFormat="false" ht="15" hidden="false" customHeight="true" outlineLevel="0" collapsed="false">
      <c r="A1773" s="52" t="n">
        <v>1772</v>
      </c>
      <c r="B1773" s="52" t="s">
        <v>399</v>
      </c>
      <c r="C1773" s="52" t="s">
        <v>624</v>
      </c>
      <c r="D1773" s="52" t="s">
        <v>1612</v>
      </c>
      <c r="E1773" s="52" t="s">
        <v>2100</v>
      </c>
      <c r="F1773" s="52" t="s">
        <v>259</v>
      </c>
      <c r="G1773" s="52" t="s">
        <v>2116</v>
      </c>
      <c r="H1773" s="52" t="n">
        <v>1</v>
      </c>
    </row>
    <row r="1774" customFormat="false" ht="15" hidden="false" customHeight="true" outlineLevel="0" collapsed="false">
      <c r="A1774" s="52" t="n">
        <v>1773</v>
      </c>
      <c r="B1774" s="52" t="s">
        <v>399</v>
      </c>
      <c r="C1774" s="52" t="s">
        <v>624</v>
      </c>
      <c r="D1774" s="52" t="s">
        <v>1612</v>
      </c>
      <c r="E1774" s="52" t="s">
        <v>2100</v>
      </c>
      <c r="F1774" s="52" t="s">
        <v>259</v>
      </c>
      <c r="G1774" s="52" t="s">
        <v>2117</v>
      </c>
      <c r="H1774" s="52" t="n">
        <v>1</v>
      </c>
    </row>
    <row r="1775" customFormat="false" ht="15" hidden="false" customHeight="true" outlineLevel="0" collapsed="false">
      <c r="A1775" s="52" t="n">
        <v>1774</v>
      </c>
      <c r="B1775" s="52" t="s">
        <v>399</v>
      </c>
      <c r="C1775" s="52" t="s">
        <v>624</v>
      </c>
      <c r="D1775" s="52" t="s">
        <v>1612</v>
      </c>
      <c r="E1775" s="52" t="s">
        <v>2100</v>
      </c>
      <c r="F1775" s="52" t="s">
        <v>259</v>
      </c>
      <c r="G1775" s="52" t="s">
        <v>2118</v>
      </c>
      <c r="H1775" s="52" t="n">
        <v>1</v>
      </c>
    </row>
    <row r="1776" customFormat="false" ht="15" hidden="false" customHeight="true" outlineLevel="0" collapsed="false">
      <c r="A1776" s="52" t="n">
        <v>1775</v>
      </c>
      <c r="B1776" s="52" t="s">
        <v>399</v>
      </c>
      <c r="C1776" s="52" t="s">
        <v>624</v>
      </c>
      <c r="D1776" s="52" t="s">
        <v>1612</v>
      </c>
      <c r="E1776" s="52" t="s">
        <v>2100</v>
      </c>
      <c r="F1776" s="52" t="s">
        <v>259</v>
      </c>
      <c r="G1776" s="52" t="s">
        <v>2119</v>
      </c>
      <c r="H1776" s="52" t="n">
        <v>1</v>
      </c>
    </row>
    <row r="1777" customFormat="false" ht="15" hidden="false" customHeight="true" outlineLevel="0" collapsed="false">
      <c r="A1777" s="52" t="n">
        <v>1776</v>
      </c>
      <c r="B1777" s="52" t="s">
        <v>399</v>
      </c>
      <c r="C1777" s="52" t="s">
        <v>624</v>
      </c>
      <c r="D1777" s="52" t="s">
        <v>1612</v>
      </c>
      <c r="E1777" s="52" t="s">
        <v>2100</v>
      </c>
      <c r="F1777" s="52" t="s">
        <v>52</v>
      </c>
      <c r="G1777" s="52" t="s">
        <v>2120</v>
      </c>
      <c r="H1777" s="52" t="n">
        <v>1</v>
      </c>
    </row>
    <row r="1778" customFormat="false" ht="15" hidden="false" customHeight="true" outlineLevel="0" collapsed="false">
      <c r="A1778" s="52" t="n">
        <v>1777</v>
      </c>
      <c r="B1778" s="52" t="s">
        <v>399</v>
      </c>
      <c r="C1778" s="52" t="s">
        <v>624</v>
      </c>
      <c r="D1778" s="52" t="s">
        <v>1612</v>
      </c>
      <c r="E1778" s="52" t="s">
        <v>2100</v>
      </c>
      <c r="F1778" s="52" t="s">
        <v>52</v>
      </c>
      <c r="G1778" s="52" t="s">
        <v>2121</v>
      </c>
      <c r="H1778" s="52" t="n">
        <v>1</v>
      </c>
    </row>
    <row r="1779" customFormat="false" ht="15" hidden="false" customHeight="true" outlineLevel="0" collapsed="false">
      <c r="A1779" s="52" t="n">
        <v>1778</v>
      </c>
      <c r="B1779" s="52" t="s">
        <v>399</v>
      </c>
      <c r="C1779" s="52" t="s">
        <v>624</v>
      </c>
      <c r="D1779" s="52" t="s">
        <v>1612</v>
      </c>
      <c r="E1779" s="52" t="s">
        <v>2100</v>
      </c>
      <c r="F1779" s="52" t="s">
        <v>52</v>
      </c>
      <c r="G1779" s="52" t="s">
        <v>2122</v>
      </c>
      <c r="H1779" s="52" t="n">
        <v>1</v>
      </c>
    </row>
    <row r="1780" customFormat="false" ht="15" hidden="false" customHeight="true" outlineLevel="0" collapsed="false">
      <c r="A1780" s="52" t="n">
        <v>1779</v>
      </c>
      <c r="B1780" s="52" t="s">
        <v>399</v>
      </c>
      <c r="C1780" s="52" t="s">
        <v>624</v>
      </c>
      <c r="D1780" s="52" t="s">
        <v>1612</v>
      </c>
      <c r="E1780" s="52" t="s">
        <v>2100</v>
      </c>
      <c r="F1780" s="52" t="s">
        <v>52</v>
      </c>
      <c r="G1780" s="52" t="s">
        <v>2123</v>
      </c>
      <c r="H1780" s="52" t="n">
        <v>1</v>
      </c>
    </row>
    <row r="1781" customFormat="false" ht="15" hidden="false" customHeight="true" outlineLevel="0" collapsed="false">
      <c r="A1781" s="52" t="n">
        <v>1780</v>
      </c>
      <c r="B1781" s="52" t="s">
        <v>399</v>
      </c>
      <c r="C1781" s="52" t="s">
        <v>624</v>
      </c>
      <c r="D1781" s="52" t="s">
        <v>1612</v>
      </c>
      <c r="E1781" s="52" t="s">
        <v>2100</v>
      </c>
      <c r="F1781" s="52" t="s">
        <v>21</v>
      </c>
      <c r="G1781" s="52" t="s">
        <v>2124</v>
      </c>
      <c r="H1781" s="52" t="n">
        <v>1</v>
      </c>
    </row>
    <row r="1782" customFormat="false" ht="15" hidden="false" customHeight="true" outlineLevel="0" collapsed="false">
      <c r="A1782" s="52" t="n">
        <v>1781</v>
      </c>
      <c r="B1782" s="52" t="s">
        <v>399</v>
      </c>
      <c r="C1782" s="52" t="s">
        <v>624</v>
      </c>
      <c r="D1782" s="52" t="s">
        <v>1612</v>
      </c>
      <c r="E1782" s="52" t="s">
        <v>2100</v>
      </c>
      <c r="F1782" s="52" t="s">
        <v>21</v>
      </c>
      <c r="G1782" s="52" t="s">
        <v>2125</v>
      </c>
      <c r="H1782" s="52" t="n">
        <v>1</v>
      </c>
    </row>
    <row r="1783" customFormat="false" ht="15" hidden="false" customHeight="true" outlineLevel="0" collapsed="false">
      <c r="A1783" s="52" t="n">
        <v>1782</v>
      </c>
      <c r="B1783" s="52" t="s">
        <v>399</v>
      </c>
      <c r="C1783" s="52" t="s">
        <v>624</v>
      </c>
      <c r="D1783" s="52" t="s">
        <v>1612</v>
      </c>
      <c r="E1783" s="52" t="s">
        <v>2100</v>
      </c>
      <c r="F1783" s="52" t="s">
        <v>21</v>
      </c>
      <c r="G1783" s="52" t="s">
        <v>2126</v>
      </c>
      <c r="H1783" s="52" t="n">
        <v>1</v>
      </c>
    </row>
    <row r="1784" customFormat="false" ht="15" hidden="false" customHeight="true" outlineLevel="0" collapsed="false">
      <c r="A1784" s="52" t="n">
        <v>1783</v>
      </c>
      <c r="B1784" s="52" t="s">
        <v>399</v>
      </c>
      <c r="C1784" s="52" t="s">
        <v>624</v>
      </c>
      <c r="D1784" s="52" t="s">
        <v>1612</v>
      </c>
      <c r="E1784" s="52" t="s">
        <v>2100</v>
      </c>
      <c r="F1784" s="52" t="s">
        <v>123</v>
      </c>
      <c r="G1784" s="52" t="s">
        <v>2127</v>
      </c>
      <c r="H1784" s="52" t="n">
        <v>1</v>
      </c>
    </row>
    <row r="1785" customFormat="false" ht="15" hidden="false" customHeight="true" outlineLevel="0" collapsed="false">
      <c r="A1785" s="52" t="n">
        <v>1784</v>
      </c>
      <c r="B1785" s="52" t="s">
        <v>399</v>
      </c>
      <c r="C1785" s="52" t="s">
        <v>624</v>
      </c>
      <c r="D1785" s="52" t="s">
        <v>1612</v>
      </c>
      <c r="E1785" s="52" t="s">
        <v>2100</v>
      </c>
      <c r="F1785" s="52" t="s">
        <v>123</v>
      </c>
      <c r="G1785" s="52" t="s">
        <v>2128</v>
      </c>
      <c r="H1785" s="52" t="n">
        <v>1</v>
      </c>
    </row>
    <row r="1786" customFormat="false" ht="15" hidden="false" customHeight="true" outlineLevel="0" collapsed="false">
      <c r="A1786" s="52" t="n">
        <v>1785</v>
      </c>
      <c r="B1786" s="52" t="s">
        <v>399</v>
      </c>
      <c r="C1786" s="52" t="s">
        <v>624</v>
      </c>
      <c r="D1786" s="52" t="s">
        <v>1612</v>
      </c>
      <c r="E1786" s="52" t="s">
        <v>2100</v>
      </c>
      <c r="F1786" s="52" t="s">
        <v>123</v>
      </c>
      <c r="G1786" s="52" t="s">
        <v>2129</v>
      </c>
      <c r="H1786" s="52" t="n">
        <v>1</v>
      </c>
    </row>
    <row r="1787" customFormat="false" ht="15" hidden="false" customHeight="true" outlineLevel="0" collapsed="false">
      <c r="A1787" s="52" t="n">
        <v>1786</v>
      </c>
      <c r="B1787" s="52" t="s">
        <v>399</v>
      </c>
      <c r="C1787" s="52" t="s">
        <v>624</v>
      </c>
      <c r="D1787" s="52" t="s">
        <v>1612</v>
      </c>
      <c r="E1787" s="52" t="s">
        <v>2100</v>
      </c>
      <c r="F1787" s="52" t="s">
        <v>13</v>
      </c>
      <c r="G1787" s="52" t="s">
        <v>2130</v>
      </c>
      <c r="H1787" s="52" t="n">
        <v>1</v>
      </c>
    </row>
    <row r="1788" customFormat="false" ht="15" hidden="false" customHeight="true" outlineLevel="0" collapsed="false">
      <c r="A1788" s="52" t="n">
        <v>1787</v>
      </c>
      <c r="B1788" s="52" t="s">
        <v>399</v>
      </c>
      <c r="C1788" s="52" t="s">
        <v>624</v>
      </c>
      <c r="D1788" s="52" t="s">
        <v>1612</v>
      </c>
      <c r="E1788" s="52" t="s">
        <v>2100</v>
      </c>
      <c r="F1788" s="52" t="s">
        <v>13</v>
      </c>
      <c r="G1788" s="52" t="s">
        <v>2131</v>
      </c>
      <c r="H1788" s="52" t="n">
        <v>1</v>
      </c>
    </row>
    <row r="1789" customFormat="false" ht="15" hidden="false" customHeight="true" outlineLevel="0" collapsed="false">
      <c r="A1789" s="52" t="n">
        <v>1788</v>
      </c>
      <c r="B1789" s="52" t="s">
        <v>399</v>
      </c>
      <c r="C1789" s="52" t="s">
        <v>624</v>
      </c>
      <c r="D1789" s="52" t="s">
        <v>1612</v>
      </c>
      <c r="E1789" s="52" t="s">
        <v>2100</v>
      </c>
      <c r="F1789" s="52" t="s">
        <v>101</v>
      </c>
      <c r="G1789" s="52" t="s">
        <v>2132</v>
      </c>
      <c r="H1789" s="52" t="n">
        <v>1</v>
      </c>
    </row>
    <row r="1790" customFormat="false" ht="15" hidden="false" customHeight="true" outlineLevel="0" collapsed="false">
      <c r="A1790" s="52" t="n">
        <v>1789</v>
      </c>
      <c r="B1790" s="52" t="s">
        <v>399</v>
      </c>
      <c r="C1790" s="52" t="s">
        <v>624</v>
      </c>
      <c r="D1790" s="52" t="s">
        <v>1612</v>
      </c>
      <c r="E1790" s="52" t="s">
        <v>2100</v>
      </c>
      <c r="F1790" s="52" t="s">
        <v>101</v>
      </c>
      <c r="G1790" s="52" t="s">
        <v>2133</v>
      </c>
      <c r="H1790" s="52" t="n">
        <v>1</v>
      </c>
    </row>
    <row r="1791" customFormat="false" ht="15" hidden="false" customHeight="true" outlineLevel="0" collapsed="false">
      <c r="A1791" s="52" t="n">
        <v>1790</v>
      </c>
      <c r="B1791" s="52" t="s">
        <v>399</v>
      </c>
      <c r="C1791" s="52" t="s">
        <v>624</v>
      </c>
      <c r="D1791" s="52" t="s">
        <v>1612</v>
      </c>
      <c r="E1791" s="52" t="s">
        <v>2134</v>
      </c>
      <c r="F1791" s="52" t="s">
        <v>331</v>
      </c>
      <c r="G1791" s="52" t="s">
        <v>2135</v>
      </c>
      <c r="H1791" s="52" t="n">
        <v>1</v>
      </c>
    </row>
    <row r="1792" customFormat="false" ht="15" hidden="false" customHeight="true" outlineLevel="0" collapsed="false">
      <c r="A1792" s="52" t="n">
        <v>1791</v>
      </c>
      <c r="B1792" s="52" t="s">
        <v>399</v>
      </c>
      <c r="C1792" s="52" t="s">
        <v>624</v>
      </c>
      <c r="D1792" s="52" t="s">
        <v>1612</v>
      </c>
      <c r="E1792" s="52" t="s">
        <v>2134</v>
      </c>
      <c r="F1792" s="52" t="s">
        <v>331</v>
      </c>
      <c r="G1792" s="52" t="s">
        <v>2136</v>
      </c>
      <c r="H1792" s="52" t="n">
        <v>1</v>
      </c>
    </row>
    <row r="1793" customFormat="false" ht="15" hidden="false" customHeight="true" outlineLevel="0" collapsed="false">
      <c r="A1793" s="52" t="n">
        <v>1792</v>
      </c>
      <c r="B1793" s="52" t="s">
        <v>399</v>
      </c>
      <c r="C1793" s="52" t="s">
        <v>624</v>
      </c>
      <c r="D1793" s="52" t="s">
        <v>1612</v>
      </c>
      <c r="E1793" s="52" t="s">
        <v>2134</v>
      </c>
      <c r="F1793" s="52" t="s">
        <v>331</v>
      </c>
      <c r="G1793" s="52" t="s">
        <v>2137</v>
      </c>
      <c r="H1793" s="52" t="n">
        <v>1</v>
      </c>
    </row>
    <row r="1794" customFormat="false" ht="15" hidden="false" customHeight="true" outlineLevel="0" collapsed="false">
      <c r="A1794" s="52" t="n">
        <v>1793</v>
      </c>
      <c r="B1794" s="52" t="s">
        <v>399</v>
      </c>
      <c r="C1794" s="52" t="s">
        <v>624</v>
      </c>
      <c r="D1794" s="52" t="s">
        <v>1612</v>
      </c>
      <c r="E1794" s="52" t="s">
        <v>2134</v>
      </c>
      <c r="F1794" s="52" t="s">
        <v>331</v>
      </c>
      <c r="G1794" s="52" t="s">
        <v>2138</v>
      </c>
      <c r="H1794" s="52" t="n">
        <v>1</v>
      </c>
    </row>
    <row r="1795" customFormat="false" ht="15" hidden="false" customHeight="true" outlineLevel="0" collapsed="false">
      <c r="A1795" s="52" t="n">
        <v>1794</v>
      </c>
      <c r="B1795" s="52" t="s">
        <v>399</v>
      </c>
      <c r="C1795" s="52" t="s">
        <v>624</v>
      </c>
      <c r="D1795" s="52" t="s">
        <v>1612</v>
      </c>
      <c r="E1795" s="52" t="s">
        <v>2134</v>
      </c>
      <c r="F1795" s="52" t="s">
        <v>74</v>
      </c>
      <c r="G1795" s="52" t="s">
        <v>2139</v>
      </c>
      <c r="H1795" s="52" t="n">
        <v>1</v>
      </c>
    </row>
    <row r="1796" customFormat="false" ht="15" hidden="false" customHeight="true" outlineLevel="0" collapsed="false">
      <c r="A1796" s="52" t="n">
        <v>1795</v>
      </c>
      <c r="B1796" s="52" t="s">
        <v>399</v>
      </c>
      <c r="C1796" s="52" t="s">
        <v>624</v>
      </c>
      <c r="D1796" s="52" t="s">
        <v>1612</v>
      </c>
      <c r="E1796" s="52" t="s">
        <v>2134</v>
      </c>
      <c r="F1796" s="52" t="s">
        <v>74</v>
      </c>
      <c r="G1796" s="52" t="s">
        <v>2140</v>
      </c>
      <c r="H1796" s="52" t="n">
        <v>1</v>
      </c>
    </row>
    <row r="1797" customFormat="false" ht="15" hidden="false" customHeight="true" outlineLevel="0" collapsed="false">
      <c r="A1797" s="52" t="n">
        <v>1796</v>
      </c>
      <c r="B1797" s="52" t="s">
        <v>399</v>
      </c>
      <c r="C1797" s="52" t="s">
        <v>624</v>
      </c>
      <c r="D1797" s="52" t="s">
        <v>1612</v>
      </c>
      <c r="E1797" s="52" t="s">
        <v>2134</v>
      </c>
      <c r="F1797" s="52" t="s">
        <v>74</v>
      </c>
      <c r="G1797" s="52" t="s">
        <v>2141</v>
      </c>
      <c r="H1797" s="52" t="n">
        <v>1</v>
      </c>
    </row>
    <row r="1798" customFormat="false" ht="15" hidden="false" customHeight="true" outlineLevel="0" collapsed="false">
      <c r="A1798" s="52" t="n">
        <v>1797</v>
      </c>
      <c r="B1798" s="52" t="s">
        <v>399</v>
      </c>
      <c r="C1798" s="52" t="s">
        <v>624</v>
      </c>
      <c r="D1798" s="52" t="s">
        <v>1612</v>
      </c>
      <c r="E1798" s="52" t="s">
        <v>2134</v>
      </c>
      <c r="F1798" s="52" t="s">
        <v>74</v>
      </c>
      <c r="G1798" s="52" t="s">
        <v>2142</v>
      </c>
      <c r="H1798" s="52" t="n">
        <v>1</v>
      </c>
    </row>
    <row r="1799" customFormat="false" ht="15" hidden="false" customHeight="true" outlineLevel="0" collapsed="false">
      <c r="A1799" s="52" t="n">
        <v>1798</v>
      </c>
      <c r="B1799" s="52" t="s">
        <v>399</v>
      </c>
      <c r="C1799" s="52" t="s">
        <v>624</v>
      </c>
      <c r="D1799" s="52" t="s">
        <v>1612</v>
      </c>
      <c r="E1799" s="52" t="s">
        <v>2134</v>
      </c>
      <c r="F1799" s="52" t="s">
        <v>74</v>
      </c>
      <c r="G1799" s="52" t="s">
        <v>2143</v>
      </c>
      <c r="H1799" s="52" t="n">
        <v>1</v>
      </c>
    </row>
    <row r="1800" customFormat="false" ht="15" hidden="false" customHeight="true" outlineLevel="0" collapsed="false">
      <c r="A1800" s="52" t="n">
        <v>1799</v>
      </c>
      <c r="B1800" s="52" t="s">
        <v>399</v>
      </c>
      <c r="C1800" s="52" t="s">
        <v>624</v>
      </c>
      <c r="D1800" s="52" t="s">
        <v>1612</v>
      </c>
      <c r="E1800" s="52" t="s">
        <v>2134</v>
      </c>
      <c r="F1800" s="52" t="s">
        <v>74</v>
      </c>
      <c r="G1800" s="52" t="s">
        <v>2144</v>
      </c>
      <c r="H1800" s="52" t="n">
        <v>1</v>
      </c>
    </row>
    <row r="1801" customFormat="false" ht="15" hidden="false" customHeight="true" outlineLevel="0" collapsed="false">
      <c r="A1801" s="52" t="n">
        <v>1800</v>
      </c>
      <c r="B1801" s="52" t="s">
        <v>399</v>
      </c>
      <c r="C1801" s="52" t="s">
        <v>624</v>
      </c>
      <c r="D1801" s="52" t="s">
        <v>1612</v>
      </c>
      <c r="E1801" s="52" t="s">
        <v>2134</v>
      </c>
      <c r="F1801" s="52" t="s">
        <v>74</v>
      </c>
      <c r="G1801" s="52" t="s">
        <v>2145</v>
      </c>
      <c r="H1801" s="52" t="n">
        <v>1</v>
      </c>
    </row>
    <row r="1802" customFormat="false" ht="15" hidden="false" customHeight="true" outlineLevel="0" collapsed="false">
      <c r="A1802" s="52" t="n">
        <v>1801</v>
      </c>
      <c r="B1802" s="52" t="s">
        <v>399</v>
      </c>
      <c r="C1802" s="52" t="s">
        <v>624</v>
      </c>
      <c r="D1802" s="52" t="s">
        <v>1612</v>
      </c>
      <c r="E1802" s="52" t="s">
        <v>2134</v>
      </c>
      <c r="F1802" s="52" t="s">
        <v>74</v>
      </c>
      <c r="G1802" s="52" t="s">
        <v>2146</v>
      </c>
      <c r="H1802" s="52" t="n">
        <v>1</v>
      </c>
    </row>
    <row r="1803" customFormat="false" ht="15" hidden="false" customHeight="true" outlineLevel="0" collapsed="false">
      <c r="A1803" s="52" t="n">
        <v>1802</v>
      </c>
      <c r="B1803" s="52" t="s">
        <v>399</v>
      </c>
      <c r="C1803" s="52" t="s">
        <v>624</v>
      </c>
      <c r="D1803" s="52" t="s">
        <v>1612</v>
      </c>
      <c r="E1803" s="52" t="s">
        <v>2134</v>
      </c>
      <c r="F1803" s="52" t="s">
        <v>36</v>
      </c>
      <c r="G1803" s="52" t="s">
        <v>2147</v>
      </c>
      <c r="H1803" s="52" t="n">
        <v>1</v>
      </c>
    </row>
    <row r="1804" customFormat="false" ht="15" hidden="false" customHeight="true" outlineLevel="0" collapsed="false">
      <c r="A1804" s="52" t="n">
        <v>1803</v>
      </c>
      <c r="B1804" s="52" t="s">
        <v>399</v>
      </c>
      <c r="C1804" s="52" t="s">
        <v>624</v>
      </c>
      <c r="D1804" s="52" t="s">
        <v>1612</v>
      </c>
      <c r="E1804" s="52" t="s">
        <v>2134</v>
      </c>
      <c r="F1804" s="52" t="s">
        <v>259</v>
      </c>
      <c r="G1804" s="52" t="s">
        <v>2148</v>
      </c>
      <c r="H1804" s="52" t="n">
        <v>1</v>
      </c>
    </row>
    <row r="1805" customFormat="false" ht="15" hidden="false" customHeight="true" outlineLevel="0" collapsed="false">
      <c r="A1805" s="52" t="n">
        <v>1804</v>
      </c>
      <c r="B1805" s="52" t="s">
        <v>399</v>
      </c>
      <c r="C1805" s="52" t="s">
        <v>624</v>
      </c>
      <c r="D1805" s="52" t="s">
        <v>1612</v>
      </c>
      <c r="E1805" s="52" t="s">
        <v>2134</v>
      </c>
      <c r="F1805" s="52" t="s">
        <v>259</v>
      </c>
      <c r="G1805" s="52" t="s">
        <v>2149</v>
      </c>
      <c r="H1805" s="52" t="n">
        <v>1</v>
      </c>
    </row>
    <row r="1806" customFormat="false" ht="15" hidden="false" customHeight="true" outlineLevel="0" collapsed="false">
      <c r="A1806" s="52" t="n">
        <v>1805</v>
      </c>
      <c r="B1806" s="52" t="s">
        <v>399</v>
      </c>
      <c r="C1806" s="52" t="s">
        <v>624</v>
      </c>
      <c r="D1806" s="52" t="s">
        <v>1612</v>
      </c>
      <c r="E1806" s="52" t="s">
        <v>2134</v>
      </c>
      <c r="F1806" s="52" t="s">
        <v>259</v>
      </c>
      <c r="G1806" s="52" t="s">
        <v>2150</v>
      </c>
      <c r="H1806" s="52" t="n">
        <v>1</v>
      </c>
    </row>
    <row r="1807" customFormat="false" ht="15" hidden="false" customHeight="true" outlineLevel="0" collapsed="false">
      <c r="A1807" s="52" t="n">
        <v>1806</v>
      </c>
      <c r="B1807" s="52" t="s">
        <v>399</v>
      </c>
      <c r="C1807" s="52" t="s">
        <v>624</v>
      </c>
      <c r="D1807" s="52" t="s">
        <v>1612</v>
      </c>
      <c r="E1807" s="52" t="s">
        <v>2134</v>
      </c>
      <c r="F1807" s="52" t="s">
        <v>52</v>
      </c>
      <c r="G1807" s="52" t="s">
        <v>2151</v>
      </c>
      <c r="H1807" s="52" t="n">
        <v>1</v>
      </c>
    </row>
    <row r="1808" customFormat="false" ht="15" hidden="false" customHeight="true" outlineLevel="0" collapsed="false">
      <c r="A1808" s="52" t="n">
        <v>1807</v>
      </c>
      <c r="B1808" s="52" t="s">
        <v>399</v>
      </c>
      <c r="C1808" s="52" t="s">
        <v>624</v>
      </c>
      <c r="D1808" s="52" t="s">
        <v>1612</v>
      </c>
      <c r="E1808" s="52" t="s">
        <v>2134</v>
      </c>
      <c r="F1808" s="52" t="s">
        <v>52</v>
      </c>
      <c r="G1808" s="52" t="s">
        <v>2152</v>
      </c>
      <c r="H1808" s="52" t="n">
        <v>1</v>
      </c>
    </row>
    <row r="1809" customFormat="false" ht="15" hidden="false" customHeight="true" outlineLevel="0" collapsed="false">
      <c r="A1809" s="52" t="n">
        <v>1808</v>
      </c>
      <c r="B1809" s="52" t="s">
        <v>399</v>
      </c>
      <c r="C1809" s="52" t="s">
        <v>624</v>
      </c>
      <c r="D1809" s="52" t="s">
        <v>1612</v>
      </c>
      <c r="E1809" s="52" t="s">
        <v>2134</v>
      </c>
      <c r="F1809" s="52" t="s">
        <v>52</v>
      </c>
      <c r="G1809" s="52" t="s">
        <v>2153</v>
      </c>
      <c r="H1809" s="52" t="n">
        <v>1</v>
      </c>
    </row>
    <row r="1810" customFormat="false" ht="15" hidden="false" customHeight="true" outlineLevel="0" collapsed="false">
      <c r="A1810" s="52" t="n">
        <v>1809</v>
      </c>
      <c r="B1810" s="52" t="s">
        <v>399</v>
      </c>
      <c r="C1810" s="52" t="s">
        <v>624</v>
      </c>
      <c r="D1810" s="52" t="s">
        <v>1612</v>
      </c>
      <c r="E1810" s="52" t="s">
        <v>2134</v>
      </c>
      <c r="F1810" s="52" t="s">
        <v>52</v>
      </c>
      <c r="G1810" s="52" t="s">
        <v>2154</v>
      </c>
      <c r="H1810" s="52" t="n">
        <v>1</v>
      </c>
    </row>
    <row r="1811" customFormat="false" ht="15" hidden="false" customHeight="true" outlineLevel="0" collapsed="false">
      <c r="A1811" s="52" t="n">
        <v>1810</v>
      </c>
      <c r="B1811" s="52" t="s">
        <v>399</v>
      </c>
      <c r="C1811" s="52" t="s">
        <v>624</v>
      </c>
      <c r="D1811" s="52" t="s">
        <v>1612</v>
      </c>
      <c r="E1811" s="52" t="s">
        <v>2134</v>
      </c>
      <c r="F1811" s="52" t="s">
        <v>21</v>
      </c>
      <c r="G1811" s="52" t="s">
        <v>2155</v>
      </c>
      <c r="H1811" s="52" t="n">
        <v>1</v>
      </c>
    </row>
    <row r="1812" customFormat="false" ht="15" hidden="false" customHeight="true" outlineLevel="0" collapsed="false">
      <c r="A1812" s="52" t="n">
        <v>1811</v>
      </c>
      <c r="B1812" s="52" t="s">
        <v>399</v>
      </c>
      <c r="C1812" s="52" t="s">
        <v>624</v>
      </c>
      <c r="D1812" s="52" t="s">
        <v>1612</v>
      </c>
      <c r="E1812" s="52" t="s">
        <v>2134</v>
      </c>
      <c r="F1812" s="52" t="s">
        <v>21</v>
      </c>
      <c r="G1812" s="52" t="s">
        <v>2156</v>
      </c>
      <c r="H1812" s="52" t="n">
        <v>1</v>
      </c>
    </row>
    <row r="1813" customFormat="false" ht="15" hidden="false" customHeight="true" outlineLevel="0" collapsed="false">
      <c r="A1813" s="52" t="n">
        <v>1812</v>
      </c>
      <c r="B1813" s="52" t="s">
        <v>399</v>
      </c>
      <c r="C1813" s="52" t="s">
        <v>624</v>
      </c>
      <c r="D1813" s="52" t="s">
        <v>1612</v>
      </c>
      <c r="E1813" s="52" t="s">
        <v>2134</v>
      </c>
      <c r="F1813" s="52" t="s">
        <v>21</v>
      </c>
      <c r="G1813" s="52" t="s">
        <v>2157</v>
      </c>
      <c r="H1813" s="52" t="n">
        <v>1</v>
      </c>
    </row>
    <row r="1814" customFormat="false" ht="15" hidden="false" customHeight="true" outlineLevel="0" collapsed="false">
      <c r="A1814" s="52" t="n">
        <v>1813</v>
      </c>
      <c r="B1814" s="52" t="s">
        <v>399</v>
      </c>
      <c r="C1814" s="52" t="s">
        <v>624</v>
      </c>
      <c r="D1814" s="52" t="s">
        <v>1612</v>
      </c>
      <c r="E1814" s="52" t="s">
        <v>2134</v>
      </c>
      <c r="F1814" s="52" t="s">
        <v>123</v>
      </c>
      <c r="G1814" s="52" t="s">
        <v>2158</v>
      </c>
      <c r="H1814" s="52" t="n">
        <v>1</v>
      </c>
    </row>
    <row r="1815" customFormat="false" ht="15" hidden="false" customHeight="true" outlineLevel="0" collapsed="false">
      <c r="A1815" s="52" t="n">
        <v>1814</v>
      </c>
      <c r="B1815" s="52" t="s">
        <v>399</v>
      </c>
      <c r="C1815" s="52" t="s">
        <v>624</v>
      </c>
      <c r="D1815" s="52" t="s">
        <v>1612</v>
      </c>
      <c r="E1815" s="52" t="s">
        <v>2134</v>
      </c>
      <c r="F1815" s="52" t="s">
        <v>13</v>
      </c>
      <c r="G1815" s="52" t="s">
        <v>2159</v>
      </c>
      <c r="H1815" s="52" t="n">
        <v>1</v>
      </c>
    </row>
    <row r="1816" customFormat="false" ht="15" hidden="false" customHeight="true" outlineLevel="0" collapsed="false">
      <c r="A1816" s="52" t="n">
        <v>1815</v>
      </c>
      <c r="B1816" s="52" t="s">
        <v>399</v>
      </c>
      <c r="C1816" s="52" t="s">
        <v>624</v>
      </c>
      <c r="D1816" s="52" t="s">
        <v>1612</v>
      </c>
      <c r="E1816" s="52" t="s">
        <v>2134</v>
      </c>
      <c r="F1816" s="52" t="s">
        <v>101</v>
      </c>
      <c r="G1816" s="52" t="s">
        <v>2160</v>
      </c>
      <c r="H1816" s="52" t="n">
        <v>1</v>
      </c>
    </row>
    <row r="1817" customFormat="false" ht="15" hidden="false" customHeight="true" outlineLevel="0" collapsed="false">
      <c r="A1817" s="52" t="n">
        <v>1816</v>
      </c>
      <c r="B1817" s="52" t="s">
        <v>399</v>
      </c>
      <c r="C1817" s="52" t="s">
        <v>624</v>
      </c>
      <c r="D1817" s="52" t="s">
        <v>1612</v>
      </c>
      <c r="E1817" s="52" t="s">
        <v>2161</v>
      </c>
      <c r="F1817" s="52" t="s">
        <v>331</v>
      </c>
      <c r="G1817" s="52" t="s">
        <v>463</v>
      </c>
      <c r="H1817" s="52" t="n">
        <v>0</v>
      </c>
    </row>
    <row r="1818" customFormat="false" ht="15" hidden="false" customHeight="true" outlineLevel="0" collapsed="false">
      <c r="A1818" s="52" t="n">
        <v>1817</v>
      </c>
      <c r="B1818" s="52" t="s">
        <v>399</v>
      </c>
      <c r="C1818" s="52" t="s">
        <v>624</v>
      </c>
      <c r="D1818" s="52" t="s">
        <v>1612</v>
      </c>
      <c r="E1818" s="52" t="s">
        <v>2161</v>
      </c>
      <c r="F1818" s="52" t="s">
        <v>74</v>
      </c>
      <c r="G1818" s="52" t="s">
        <v>2162</v>
      </c>
      <c r="H1818" s="52" t="n">
        <v>1</v>
      </c>
    </row>
    <row r="1819" customFormat="false" ht="15" hidden="false" customHeight="true" outlineLevel="0" collapsed="false">
      <c r="A1819" s="52" t="n">
        <v>1818</v>
      </c>
      <c r="B1819" s="52" t="s">
        <v>399</v>
      </c>
      <c r="C1819" s="52" t="s">
        <v>624</v>
      </c>
      <c r="D1819" s="52" t="s">
        <v>1612</v>
      </c>
      <c r="E1819" s="52" t="s">
        <v>2161</v>
      </c>
      <c r="F1819" s="52" t="s">
        <v>74</v>
      </c>
      <c r="G1819" s="52" t="s">
        <v>2163</v>
      </c>
      <c r="H1819" s="52" t="n">
        <v>1</v>
      </c>
    </row>
    <row r="1820" customFormat="false" ht="15" hidden="false" customHeight="true" outlineLevel="0" collapsed="false">
      <c r="A1820" s="52" t="n">
        <v>1819</v>
      </c>
      <c r="B1820" s="52" t="s">
        <v>399</v>
      </c>
      <c r="C1820" s="52" t="s">
        <v>624</v>
      </c>
      <c r="D1820" s="52" t="s">
        <v>1612</v>
      </c>
      <c r="E1820" s="52" t="s">
        <v>2161</v>
      </c>
      <c r="F1820" s="52" t="s">
        <v>74</v>
      </c>
      <c r="G1820" s="52" t="s">
        <v>2164</v>
      </c>
      <c r="H1820" s="52" t="n">
        <v>1</v>
      </c>
    </row>
    <row r="1821" customFormat="false" ht="15" hidden="false" customHeight="true" outlineLevel="0" collapsed="false">
      <c r="A1821" s="52" t="n">
        <v>1820</v>
      </c>
      <c r="B1821" s="52" t="s">
        <v>399</v>
      </c>
      <c r="C1821" s="52" t="s">
        <v>624</v>
      </c>
      <c r="D1821" s="52" t="s">
        <v>1612</v>
      </c>
      <c r="E1821" s="52" t="s">
        <v>2161</v>
      </c>
      <c r="F1821" s="52" t="s">
        <v>36</v>
      </c>
      <c r="G1821" s="52" t="s">
        <v>2165</v>
      </c>
      <c r="H1821" s="52" t="n">
        <v>1</v>
      </c>
    </row>
    <row r="1822" customFormat="false" ht="15" hidden="false" customHeight="true" outlineLevel="0" collapsed="false">
      <c r="A1822" s="52" t="n">
        <v>1821</v>
      </c>
      <c r="B1822" s="52" t="s">
        <v>399</v>
      </c>
      <c r="C1822" s="52" t="s">
        <v>624</v>
      </c>
      <c r="D1822" s="52" t="s">
        <v>1612</v>
      </c>
      <c r="E1822" s="52" t="s">
        <v>2161</v>
      </c>
      <c r="F1822" s="52" t="s">
        <v>36</v>
      </c>
      <c r="G1822" s="52" t="s">
        <v>2166</v>
      </c>
      <c r="H1822" s="52" t="n">
        <v>1</v>
      </c>
    </row>
    <row r="1823" customFormat="false" ht="15" hidden="false" customHeight="true" outlineLevel="0" collapsed="false">
      <c r="A1823" s="52" t="n">
        <v>1822</v>
      </c>
      <c r="B1823" s="52" t="s">
        <v>399</v>
      </c>
      <c r="C1823" s="52" t="s">
        <v>624</v>
      </c>
      <c r="D1823" s="52" t="s">
        <v>1612</v>
      </c>
      <c r="E1823" s="52" t="s">
        <v>2161</v>
      </c>
      <c r="F1823" s="52" t="s">
        <v>36</v>
      </c>
      <c r="G1823" s="52" t="s">
        <v>2167</v>
      </c>
      <c r="H1823" s="52" t="n">
        <v>1</v>
      </c>
    </row>
    <row r="1824" customFormat="false" ht="15" hidden="false" customHeight="true" outlineLevel="0" collapsed="false">
      <c r="A1824" s="52" t="n">
        <v>1823</v>
      </c>
      <c r="B1824" s="52" t="s">
        <v>399</v>
      </c>
      <c r="C1824" s="52" t="s">
        <v>624</v>
      </c>
      <c r="D1824" s="52" t="s">
        <v>1612</v>
      </c>
      <c r="E1824" s="52" t="s">
        <v>2161</v>
      </c>
      <c r="F1824" s="52" t="s">
        <v>259</v>
      </c>
      <c r="G1824" s="52" t="s">
        <v>2168</v>
      </c>
      <c r="H1824" s="52" t="n">
        <v>1</v>
      </c>
    </row>
    <row r="1825" customFormat="false" ht="15" hidden="false" customHeight="true" outlineLevel="0" collapsed="false">
      <c r="A1825" s="52" t="n">
        <v>1824</v>
      </c>
      <c r="B1825" s="52" t="s">
        <v>399</v>
      </c>
      <c r="C1825" s="52" t="s">
        <v>624</v>
      </c>
      <c r="D1825" s="52" t="s">
        <v>1612</v>
      </c>
      <c r="E1825" s="52" t="s">
        <v>2161</v>
      </c>
      <c r="F1825" s="52" t="s">
        <v>259</v>
      </c>
      <c r="G1825" s="52" t="s">
        <v>2169</v>
      </c>
      <c r="H1825" s="52" t="n">
        <v>1</v>
      </c>
    </row>
    <row r="1826" customFormat="false" ht="15" hidden="false" customHeight="true" outlineLevel="0" collapsed="false">
      <c r="A1826" s="52" t="n">
        <v>1825</v>
      </c>
      <c r="B1826" s="52" t="s">
        <v>399</v>
      </c>
      <c r="C1826" s="52" t="s">
        <v>624</v>
      </c>
      <c r="D1826" s="52" t="s">
        <v>1612</v>
      </c>
      <c r="E1826" s="52" t="s">
        <v>2161</v>
      </c>
      <c r="F1826" s="52" t="s">
        <v>259</v>
      </c>
      <c r="G1826" s="52" t="s">
        <v>2170</v>
      </c>
      <c r="H1826" s="52" t="n">
        <v>1</v>
      </c>
    </row>
    <row r="1827" customFormat="false" ht="15" hidden="false" customHeight="true" outlineLevel="0" collapsed="false">
      <c r="A1827" s="52" t="n">
        <v>1826</v>
      </c>
      <c r="B1827" s="52" t="s">
        <v>399</v>
      </c>
      <c r="C1827" s="52" t="s">
        <v>624</v>
      </c>
      <c r="D1827" s="52" t="s">
        <v>1612</v>
      </c>
      <c r="E1827" s="52" t="s">
        <v>2161</v>
      </c>
      <c r="F1827" s="52" t="s">
        <v>259</v>
      </c>
      <c r="G1827" s="52" t="s">
        <v>2171</v>
      </c>
      <c r="H1827" s="52" t="n">
        <v>1</v>
      </c>
    </row>
    <row r="1828" customFormat="false" ht="15" hidden="false" customHeight="true" outlineLevel="0" collapsed="false">
      <c r="A1828" s="52" t="n">
        <v>1827</v>
      </c>
      <c r="B1828" s="52" t="s">
        <v>399</v>
      </c>
      <c r="C1828" s="52" t="s">
        <v>624</v>
      </c>
      <c r="D1828" s="52" t="s">
        <v>1612</v>
      </c>
      <c r="E1828" s="52" t="s">
        <v>2161</v>
      </c>
      <c r="F1828" s="52" t="s">
        <v>52</v>
      </c>
      <c r="G1828" s="52" t="s">
        <v>2172</v>
      </c>
      <c r="H1828" s="52" t="n">
        <v>1</v>
      </c>
    </row>
    <row r="1829" customFormat="false" ht="15" hidden="false" customHeight="true" outlineLevel="0" collapsed="false">
      <c r="A1829" s="52" t="n">
        <v>1828</v>
      </c>
      <c r="B1829" s="52" t="s">
        <v>399</v>
      </c>
      <c r="C1829" s="52" t="s">
        <v>624</v>
      </c>
      <c r="D1829" s="52" t="s">
        <v>1612</v>
      </c>
      <c r="E1829" s="52" t="s">
        <v>2161</v>
      </c>
      <c r="F1829" s="52" t="s">
        <v>21</v>
      </c>
      <c r="G1829" s="52" t="s">
        <v>2173</v>
      </c>
      <c r="H1829" s="52" t="n">
        <v>1</v>
      </c>
    </row>
    <row r="1830" customFormat="false" ht="15" hidden="false" customHeight="true" outlineLevel="0" collapsed="false">
      <c r="A1830" s="52" t="n">
        <v>1829</v>
      </c>
      <c r="B1830" s="52" t="s">
        <v>399</v>
      </c>
      <c r="C1830" s="52" t="s">
        <v>624</v>
      </c>
      <c r="D1830" s="52" t="s">
        <v>1612</v>
      </c>
      <c r="E1830" s="52" t="s">
        <v>2161</v>
      </c>
      <c r="F1830" s="52" t="s">
        <v>21</v>
      </c>
      <c r="G1830" s="52" t="s">
        <v>2174</v>
      </c>
      <c r="H1830" s="52" t="n">
        <v>1</v>
      </c>
    </row>
    <row r="1831" customFormat="false" ht="15" hidden="false" customHeight="true" outlineLevel="0" collapsed="false">
      <c r="A1831" s="52" t="n">
        <v>1830</v>
      </c>
      <c r="B1831" s="52" t="s">
        <v>399</v>
      </c>
      <c r="C1831" s="52" t="s">
        <v>624</v>
      </c>
      <c r="D1831" s="52" t="s">
        <v>1612</v>
      </c>
      <c r="E1831" s="52" t="s">
        <v>2161</v>
      </c>
      <c r="F1831" s="52" t="s">
        <v>123</v>
      </c>
      <c r="G1831" s="52" t="s">
        <v>2175</v>
      </c>
      <c r="H1831" s="52" t="n">
        <v>1</v>
      </c>
    </row>
    <row r="1832" customFormat="false" ht="15" hidden="false" customHeight="true" outlineLevel="0" collapsed="false">
      <c r="A1832" s="52" t="n">
        <v>1831</v>
      </c>
      <c r="B1832" s="52" t="s">
        <v>399</v>
      </c>
      <c r="C1832" s="52" t="s">
        <v>624</v>
      </c>
      <c r="D1832" s="52" t="s">
        <v>1612</v>
      </c>
      <c r="E1832" s="52" t="s">
        <v>2161</v>
      </c>
      <c r="F1832" s="52" t="s">
        <v>13</v>
      </c>
      <c r="G1832" s="52" t="s">
        <v>2176</v>
      </c>
      <c r="H1832" s="52" t="n">
        <v>1</v>
      </c>
    </row>
    <row r="1833" customFormat="false" ht="15" hidden="false" customHeight="true" outlineLevel="0" collapsed="false">
      <c r="A1833" s="52" t="n">
        <v>1832</v>
      </c>
      <c r="B1833" s="52" t="s">
        <v>399</v>
      </c>
      <c r="C1833" s="52" t="s">
        <v>624</v>
      </c>
      <c r="D1833" s="52" t="s">
        <v>1612</v>
      </c>
      <c r="E1833" s="52" t="s">
        <v>2161</v>
      </c>
      <c r="F1833" s="52" t="s">
        <v>101</v>
      </c>
      <c r="G1833" s="52" t="s">
        <v>442</v>
      </c>
      <c r="H1833" s="5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4"/>
    <col collapsed="false" customWidth="true" hidden="false" outlineLevel="0" max="3" min="3" style="1" width="40"/>
    <col collapsed="false" customWidth="true" hidden="false" outlineLevel="0" max="4" min="4" style="1" width="44"/>
    <col collapsed="false" customWidth="true" hidden="false" outlineLevel="0" max="5" min="5" style="1" width="6"/>
    <col collapsed="false" customWidth="true" hidden="false" outlineLevel="0" max="6" min="6" style="1" width="32"/>
  </cols>
  <sheetData>
    <row r="1" customFormat="false" ht="15" hidden="false" customHeight="true" outlineLevel="0" collapsed="false">
      <c r="A1" s="4" t="s">
        <v>2177</v>
      </c>
      <c r="B1" s="5" t="s">
        <v>2178</v>
      </c>
      <c r="C1" s="4" t="s">
        <v>2179</v>
      </c>
      <c r="D1" s="4" t="s">
        <v>2180</v>
      </c>
      <c r="E1" s="4" t="s">
        <v>2181</v>
      </c>
      <c r="F1" s="4" t="s">
        <v>2182</v>
      </c>
    </row>
    <row r="2" customFormat="false" ht="15" hidden="false" customHeight="true" outlineLevel="0" collapsed="false">
      <c r="A2" s="53" t="s">
        <v>2183</v>
      </c>
      <c r="B2" s="54" t="s">
        <v>400</v>
      </c>
      <c r="C2" s="53" t="s">
        <v>2184</v>
      </c>
      <c r="D2" s="53" t="s">
        <v>2184</v>
      </c>
      <c r="E2" s="53" t="str">
        <f aca="false">IF($C2=$D2,"○","≠")</f>
        <v>○</v>
      </c>
      <c r="F2" s="53"/>
    </row>
    <row r="3" customFormat="false" ht="15" hidden="false" customHeight="true" outlineLevel="0" collapsed="false">
      <c r="A3" s="53" t="s">
        <v>2183</v>
      </c>
      <c r="B3" s="54" t="s">
        <v>2185</v>
      </c>
      <c r="C3" s="53" t="s">
        <v>2186</v>
      </c>
      <c r="D3" s="54" t="s">
        <v>2187</v>
      </c>
      <c r="E3" s="53" t="str">
        <f aca="false">IF($C3=$D3,"○","≠")</f>
        <v>≠</v>
      </c>
      <c r="F3" s="53"/>
    </row>
    <row r="4" customFormat="false" ht="15" hidden="false" customHeight="true" outlineLevel="0" collapsed="false">
      <c r="A4" s="53" t="s">
        <v>2183</v>
      </c>
      <c r="B4" s="55" t="s">
        <v>2188</v>
      </c>
      <c r="C4" s="53" t="s">
        <v>2189</v>
      </c>
      <c r="D4" s="53" t="s">
        <v>2190</v>
      </c>
      <c r="E4" s="53" t="str">
        <f aca="false">IF($C4=$D4,"○","≠")</f>
        <v>≠</v>
      </c>
      <c r="F4" s="53"/>
    </row>
    <row r="5" customFormat="false" ht="15" hidden="false" customHeight="true" outlineLevel="0" collapsed="false">
      <c r="A5" s="53" t="s">
        <v>2183</v>
      </c>
      <c r="B5" s="54" t="s">
        <v>2191</v>
      </c>
      <c r="C5" s="53" t="s">
        <v>2192</v>
      </c>
      <c r="D5" s="53" t="s">
        <v>2193</v>
      </c>
      <c r="E5" s="53" t="str">
        <f aca="false">IF($C5=$D5,"○","≠")</f>
        <v>≠</v>
      </c>
      <c r="F5" s="53"/>
    </row>
    <row r="6" customFormat="false" ht="15" hidden="false" customHeight="true" outlineLevel="0" collapsed="false">
      <c r="A6" s="53" t="s">
        <v>2183</v>
      </c>
      <c r="B6" s="54" t="s">
        <v>404</v>
      </c>
      <c r="C6" s="53" t="s">
        <v>2194</v>
      </c>
      <c r="D6" s="53" t="s">
        <v>2195</v>
      </c>
      <c r="E6" s="53" t="str">
        <f aca="false">IF($C6=$D6,"○","≠")</f>
        <v>≠</v>
      </c>
      <c r="F6" s="53"/>
    </row>
    <row r="7" customFormat="false" ht="15" hidden="false" customHeight="true" outlineLevel="0" collapsed="false">
      <c r="A7" s="53" t="s">
        <v>2183</v>
      </c>
      <c r="B7" s="54" t="s">
        <v>405</v>
      </c>
      <c r="C7" s="53" t="s">
        <v>3</v>
      </c>
      <c r="D7" s="53" t="s">
        <v>3</v>
      </c>
      <c r="E7" s="53" t="str">
        <f aca="false">IF($C7=$D7,"○","≠")</f>
        <v>○</v>
      </c>
      <c r="F7" s="53"/>
    </row>
    <row r="8" customFormat="false" ht="15" hidden="false" customHeight="true" outlineLevel="0" collapsed="false">
      <c r="A8" s="53" t="s">
        <v>2183</v>
      </c>
      <c r="B8" s="54" t="s">
        <v>406</v>
      </c>
      <c r="C8" s="53" t="s">
        <v>2196</v>
      </c>
      <c r="D8" s="53" t="s">
        <v>2197</v>
      </c>
      <c r="E8" s="53" t="str">
        <f aca="false">IF($C8=$D8,"○","≠")</f>
        <v>≠</v>
      </c>
      <c r="F8" s="53"/>
    </row>
    <row r="9" customFormat="false" ht="15" hidden="false" customHeight="true" outlineLevel="0" collapsed="false">
      <c r="A9" s="56" t="s">
        <v>392</v>
      </c>
      <c r="B9" s="57" t="s">
        <v>395</v>
      </c>
      <c r="C9" s="56" t="s">
        <v>2198</v>
      </c>
      <c r="D9" s="56" t="s">
        <v>2198</v>
      </c>
      <c r="E9" s="56" t="str">
        <f aca="false">IF($C9=$D9,"○","≠")</f>
        <v>○</v>
      </c>
      <c r="F9" s="56" t="s">
        <v>2199</v>
      </c>
    </row>
    <row r="10" customFormat="false" ht="15" hidden="false" customHeight="true" outlineLevel="0" collapsed="false">
      <c r="A10" s="56" t="s">
        <v>392</v>
      </c>
      <c r="B10" s="57" t="s">
        <v>396</v>
      </c>
      <c r="C10" s="56" t="s">
        <v>2200</v>
      </c>
      <c r="D10" s="56" t="s">
        <v>2201</v>
      </c>
      <c r="E10" s="56" t="str">
        <f aca="false">IF($C10=$D10,"○","≠")</f>
        <v>≠</v>
      </c>
      <c r="F10" s="56" t="s">
        <v>2202</v>
      </c>
    </row>
    <row r="11" customFormat="false" ht="15" hidden="false" customHeight="true" outlineLevel="0" collapsed="false">
      <c r="A11" s="56" t="s">
        <v>392</v>
      </c>
      <c r="B11" s="57" t="s">
        <v>397</v>
      </c>
      <c r="C11" s="56" t="s">
        <v>2203</v>
      </c>
      <c r="D11" s="56" t="s">
        <v>2204</v>
      </c>
      <c r="E11" s="56" t="str">
        <f aca="false">IF($C11=$D11,"○","≠")</f>
        <v>≠</v>
      </c>
      <c r="F11" s="56" t="s">
        <v>2205</v>
      </c>
    </row>
    <row r="12" customFormat="false" ht="15" hidden="false" customHeight="true" outlineLevel="0" collapsed="false">
      <c r="A12" s="56" t="s">
        <v>392</v>
      </c>
      <c r="B12" s="57" t="s">
        <v>398</v>
      </c>
      <c r="C12" s="56" t="s">
        <v>2206</v>
      </c>
      <c r="D12" s="56" t="s">
        <v>2207</v>
      </c>
      <c r="E12" s="56" t="str">
        <f aca="false">IF($C12=$D12,"○","≠")</f>
        <v>≠</v>
      </c>
      <c r="F12" s="56"/>
    </row>
    <row r="13" customFormat="false" ht="15" hidden="false" customHeight="true" outlineLevel="0" collapsed="false">
      <c r="A13" s="56" t="s">
        <v>392</v>
      </c>
      <c r="B13" s="57" t="s">
        <v>399</v>
      </c>
      <c r="C13" s="56" t="s">
        <v>2208</v>
      </c>
      <c r="D13" s="56" t="s">
        <v>2208</v>
      </c>
      <c r="E13" s="56" t="str">
        <f aca="false">IF($C13=$D13,"○","≠")</f>
        <v>○</v>
      </c>
      <c r="F13" s="56" t="s">
        <v>2209</v>
      </c>
    </row>
    <row r="14" customFormat="false" ht="15" hidden="false" customHeight="true" outlineLevel="0" collapsed="false">
      <c r="A14" s="58" t="s">
        <v>2</v>
      </c>
      <c r="B14" s="59" t="s">
        <v>408</v>
      </c>
      <c r="C14" s="58" t="s">
        <v>2210</v>
      </c>
      <c r="D14" s="58" t="s">
        <v>2210</v>
      </c>
      <c r="E14" s="58" t="str">
        <f aca="false">IF($C14=$D14,"○","≠")</f>
        <v>○</v>
      </c>
      <c r="F14" s="58" t="s">
        <v>2211</v>
      </c>
    </row>
    <row r="15" customFormat="false" ht="15" hidden="false" customHeight="true" outlineLevel="0" collapsed="false">
      <c r="A15" s="58" t="s">
        <v>2</v>
      </c>
      <c r="B15" s="59" t="s">
        <v>644</v>
      </c>
      <c r="C15" s="58" t="s">
        <v>2212</v>
      </c>
      <c r="D15" s="58" t="s">
        <v>2212</v>
      </c>
      <c r="E15" s="58" t="str">
        <f aca="false">IF($C15=$D15,"○","≠")</f>
        <v>○</v>
      </c>
      <c r="F15" s="58" t="s">
        <v>2213</v>
      </c>
    </row>
    <row r="16" customFormat="false" ht="15" hidden="false" customHeight="true" outlineLevel="0" collapsed="false">
      <c r="A16" s="58" t="s">
        <v>2</v>
      </c>
      <c r="B16" s="59" t="s">
        <v>817</v>
      </c>
      <c r="C16" s="58" t="s">
        <v>2214</v>
      </c>
      <c r="D16" s="58" t="s">
        <v>2215</v>
      </c>
      <c r="E16" s="58" t="str">
        <f aca="false">IF($C16=$D16,"○","≠")</f>
        <v>≠</v>
      </c>
      <c r="F16" s="58" t="s">
        <v>2216</v>
      </c>
    </row>
    <row r="17" customFormat="false" ht="15" hidden="false" customHeight="true" outlineLevel="0" collapsed="false">
      <c r="A17" s="58" t="s">
        <v>2</v>
      </c>
      <c r="B17" s="59" t="s">
        <v>1123</v>
      </c>
      <c r="C17" s="58" t="s">
        <v>2217</v>
      </c>
      <c r="D17" s="58" t="s">
        <v>2217</v>
      </c>
      <c r="E17" s="58" t="str">
        <f aca="false">IF($C17=$D17,"○","≠")</f>
        <v>○</v>
      </c>
      <c r="F17" s="58" t="s">
        <v>2218</v>
      </c>
    </row>
    <row r="18" customFormat="false" ht="15" hidden="false" customHeight="true" outlineLevel="0" collapsed="false">
      <c r="A18" s="60" t="s">
        <v>2192</v>
      </c>
      <c r="B18" s="61" t="s">
        <v>409</v>
      </c>
      <c r="C18" s="60" t="s">
        <v>2219</v>
      </c>
      <c r="D18" s="60" t="s">
        <v>2220</v>
      </c>
      <c r="E18" s="60" t="str">
        <f aca="false">IF($C18=$D18,"○","≠")</f>
        <v>≠</v>
      </c>
      <c r="F18" s="60"/>
    </row>
    <row r="19" customFormat="false" ht="15" hidden="false" customHeight="true" outlineLevel="0" collapsed="false">
      <c r="A19" s="60" t="s">
        <v>2192</v>
      </c>
      <c r="B19" s="61" t="s">
        <v>494</v>
      </c>
      <c r="C19" s="60" t="s">
        <v>2221</v>
      </c>
      <c r="D19" s="60" t="s">
        <v>2222</v>
      </c>
      <c r="E19" s="60" t="str">
        <f aca="false">IF($C19=$D19,"○","≠")</f>
        <v>≠</v>
      </c>
      <c r="F19" s="60"/>
    </row>
    <row r="20" customFormat="false" ht="15" hidden="false" customHeight="true" outlineLevel="0" collapsed="false">
      <c r="A20" s="60" t="s">
        <v>2192</v>
      </c>
      <c r="B20" s="61" t="s">
        <v>510</v>
      </c>
      <c r="C20" s="60" t="s">
        <v>2223</v>
      </c>
      <c r="D20" s="60" t="s">
        <v>2224</v>
      </c>
      <c r="E20" s="60" t="str">
        <f aca="false">IF($C20=$D20,"○","≠")</f>
        <v>≠</v>
      </c>
      <c r="F20" s="60"/>
    </row>
    <row r="21" customFormat="false" ht="15" hidden="false" customHeight="true" outlineLevel="0" collapsed="false">
      <c r="A21" s="60" t="s">
        <v>2192</v>
      </c>
      <c r="B21" s="61" t="s">
        <v>645</v>
      </c>
      <c r="C21" s="60" t="s">
        <v>2225</v>
      </c>
      <c r="D21" s="60" t="s">
        <v>2226</v>
      </c>
      <c r="E21" s="60" t="str">
        <f aca="false">IF($C21=$D21,"○","≠")</f>
        <v>≠</v>
      </c>
      <c r="F21" s="60"/>
    </row>
    <row r="22" customFormat="false" ht="15" hidden="false" customHeight="true" outlineLevel="0" collapsed="false">
      <c r="A22" s="60" t="s">
        <v>2192</v>
      </c>
      <c r="B22" s="61" t="s">
        <v>733</v>
      </c>
      <c r="C22" s="60" t="s">
        <v>2227</v>
      </c>
      <c r="D22" s="60" t="s">
        <v>2228</v>
      </c>
      <c r="E22" s="60" t="str">
        <f aca="false">IF($C22=$D22,"○","≠")</f>
        <v>≠</v>
      </c>
      <c r="F22" s="60"/>
    </row>
    <row r="23" customFormat="false" ht="15" hidden="false" customHeight="true" outlineLevel="0" collapsed="false">
      <c r="A23" s="60" t="s">
        <v>2192</v>
      </c>
      <c r="B23" s="61" t="s">
        <v>818</v>
      </c>
      <c r="C23" s="60" t="s">
        <v>2229</v>
      </c>
      <c r="D23" s="60" t="s">
        <v>2230</v>
      </c>
      <c r="E23" s="60" t="str">
        <f aca="false">IF($C23=$D23,"○","≠")</f>
        <v>≠</v>
      </c>
      <c r="F23" s="60"/>
    </row>
    <row r="24" customFormat="false" ht="15" hidden="false" customHeight="true" outlineLevel="0" collapsed="false">
      <c r="A24" s="60" t="s">
        <v>2192</v>
      </c>
      <c r="B24" s="61" t="s">
        <v>1000</v>
      </c>
      <c r="C24" s="60" t="s">
        <v>2231</v>
      </c>
      <c r="D24" s="60" t="s">
        <v>2232</v>
      </c>
      <c r="E24" s="60" t="str">
        <f aca="false">IF($C24=$D24,"○","≠")</f>
        <v>≠</v>
      </c>
      <c r="F24" s="60"/>
    </row>
    <row r="25" customFormat="false" ht="15" hidden="false" customHeight="true" outlineLevel="0" collapsed="false">
      <c r="A25" s="60" t="s">
        <v>2192</v>
      </c>
      <c r="B25" s="61" t="s">
        <v>1043</v>
      </c>
      <c r="C25" s="60" t="s">
        <v>2233</v>
      </c>
      <c r="D25" s="60" t="s">
        <v>2234</v>
      </c>
      <c r="E25" s="60" t="str">
        <f aca="false">IF($C25=$D25,"○","≠")</f>
        <v>≠</v>
      </c>
      <c r="F25" s="60"/>
    </row>
    <row r="26" customFormat="false" ht="15" hidden="false" customHeight="true" outlineLevel="0" collapsed="false">
      <c r="A26" s="60" t="s">
        <v>2192</v>
      </c>
      <c r="B26" s="61" t="s">
        <v>1134</v>
      </c>
      <c r="C26" s="60" t="s">
        <v>2235</v>
      </c>
      <c r="D26" s="60" t="s">
        <v>2236</v>
      </c>
      <c r="E26" s="60" t="str">
        <f aca="false">IF($C26=$D26,"○","≠")</f>
        <v>≠</v>
      </c>
      <c r="F26" s="60"/>
    </row>
    <row r="27" customFormat="false" ht="15" hidden="false" customHeight="true" outlineLevel="0" collapsed="false">
      <c r="A27" s="60" t="s">
        <v>2192</v>
      </c>
      <c r="B27" s="61" t="s">
        <v>1289</v>
      </c>
      <c r="C27" s="60" t="s">
        <v>2237</v>
      </c>
      <c r="D27" s="60" t="s">
        <v>2238</v>
      </c>
      <c r="E27" s="60" t="str">
        <f aca="false">IF($C27=$D27,"○","≠")</f>
        <v>≠</v>
      </c>
      <c r="F27" s="60"/>
    </row>
    <row r="28" customFormat="false" ht="15" hidden="false" customHeight="true" outlineLevel="0" collapsed="false">
      <c r="A28" s="60" t="s">
        <v>2192</v>
      </c>
      <c r="B28" s="61" t="s">
        <v>1352</v>
      </c>
      <c r="C28" s="60" t="s">
        <v>2239</v>
      </c>
      <c r="D28" s="60" t="s">
        <v>2239</v>
      </c>
      <c r="E28" s="60" t="str">
        <f aca="false">IF($C28=$D28,"○","≠")</f>
        <v>○</v>
      </c>
      <c r="F28" s="60"/>
    </row>
    <row r="29" customFormat="false" ht="15" hidden="false" customHeight="true" outlineLevel="0" collapsed="false">
      <c r="A29" s="60" t="s">
        <v>2192</v>
      </c>
      <c r="B29" s="61" t="s">
        <v>1397</v>
      </c>
      <c r="C29" s="60" t="s">
        <v>2240</v>
      </c>
      <c r="D29" s="60" t="s">
        <v>2241</v>
      </c>
      <c r="E29" s="60" t="str">
        <f aca="false">IF($C29=$D29,"○","≠")</f>
        <v>≠</v>
      </c>
      <c r="F29" s="60"/>
    </row>
    <row r="30" customFormat="false" ht="15" hidden="false" customHeight="true" outlineLevel="0" collapsed="false">
      <c r="A30" s="60" t="s">
        <v>2192</v>
      </c>
      <c r="B30" s="61" t="s">
        <v>1424</v>
      </c>
      <c r="C30" s="60" t="s">
        <v>2242</v>
      </c>
      <c r="D30" s="60" t="s">
        <v>2243</v>
      </c>
      <c r="E30" s="60" t="str">
        <f aca="false">IF($C30=$D30,"○","≠")</f>
        <v>≠</v>
      </c>
      <c r="F30" s="60"/>
    </row>
    <row r="31" customFormat="false" ht="15" hidden="false" customHeight="true" outlineLevel="0" collapsed="false">
      <c r="A31" s="60" t="s">
        <v>2192</v>
      </c>
      <c r="B31" s="61" t="s">
        <v>1497</v>
      </c>
      <c r="C31" s="60" t="s">
        <v>2244</v>
      </c>
      <c r="D31" s="60" t="s">
        <v>2244</v>
      </c>
      <c r="E31" s="60" t="str">
        <f aca="false">IF($C31=$D31,"○","≠")</f>
        <v>○</v>
      </c>
      <c r="F31" s="60"/>
    </row>
    <row r="32" customFormat="false" ht="15" hidden="false" customHeight="true" outlineLevel="0" collapsed="false">
      <c r="A32" s="60" t="s">
        <v>2192</v>
      </c>
      <c r="B32" s="61" t="s">
        <v>1588</v>
      </c>
      <c r="C32" s="60" t="s">
        <v>2245</v>
      </c>
      <c r="D32" s="60" t="s">
        <v>2246</v>
      </c>
      <c r="E32" s="60" t="str">
        <f aca="false">IF($C32=$D32,"○","≠")</f>
        <v>≠</v>
      </c>
      <c r="F32" s="60"/>
    </row>
    <row r="33" customFormat="false" ht="15" hidden="false" customHeight="true" outlineLevel="0" collapsed="false">
      <c r="A33" s="60" t="s">
        <v>2192</v>
      </c>
      <c r="B33" s="61" t="s">
        <v>1612</v>
      </c>
      <c r="C33" s="60" t="s">
        <v>2247</v>
      </c>
      <c r="D33" s="60" t="s">
        <v>2248</v>
      </c>
      <c r="E33" s="60" t="str">
        <f aca="false">IF($C33=$D33,"○","≠")</f>
        <v>≠</v>
      </c>
      <c r="F33" s="60"/>
    </row>
    <row r="34" customFormat="false" ht="15" hidden="false" customHeight="true" outlineLevel="0" collapsed="false">
      <c r="A34" s="62" t="s">
        <v>3</v>
      </c>
      <c r="B34" s="63" t="s">
        <v>86</v>
      </c>
      <c r="C34" s="63" t="s">
        <v>86</v>
      </c>
      <c r="D34" s="63" t="s">
        <v>86</v>
      </c>
      <c r="E34" s="62" t="str">
        <f aca="false">IF($C34=$D34,"○","≠")</f>
        <v>○</v>
      </c>
      <c r="F34" s="63" t="s">
        <v>2249</v>
      </c>
    </row>
    <row r="35" customFormat="false" ht="15" hidden="false" customHeight="true" outlineLevel="0" collapsed="false">
      <c r="A35" s="62" t="s">
        <v>3</v>
      </c>
      <c r="B35" s="63" t="s">
        <v>101</v>
      </c>
      <c r="C35" s="63" t="s">
        <v>101</v>
      </c>
      <c r="D35" s="63" t="s">
        <v>101</v>
      </c>
      <c r="E35" s="62" t="str">
        <f aca="false">IF($C35=$D35,"○","≠")</f>
        <v>○</v>
      </c>
      <c r="F35" s="62"/>
    </row>
    <row r="36" customFormat="false" ht="15" hidden="false" customHeight="true" outlineLevel="0" collapsed="false">
      <c r="A36" s="62" t="s">
        <v>3</v>
      </c>
      <c r="B36" s="63" t="s">
        <v>13</v>
      </c>
      <c r="C36" s="63" t="s">
        <v>13</v>
      </c>
      <c r="D36" s="63" t="s">
        <v>13</v>
      </c>
      <c r="E36" s="62" t="str">
        <f aca="false">IF($C36=$D36,"○","≠")</f>
        <v>○</v>
      </c>
      <c r="F36" s="62"/>
    </row>
    <row r="37" customFormat="false" ht="15" hidden="false" customHeight="true" outlineLevel="0" collapsed="false">
      <c r="A37" s="62" t="s">
        <v>3</v>
      </c>
      <c r="B37" s="63" t="s">
        <v>123</v>
      </c>
      <c r="C37" s="63" t="s">
        <v>123</v>
      </c>
      <c r="D37" s="63" t="s">
        <v>123</v>
      </c>
      <c r="E37" s="62" t="str">
        <f aca="false">IF($C37=$D37,"○","≠")</f>
        <v>○</v>
      </c>
      <c r="F37" s="62" t="s">
        <v>2250</v>
      </c>
    </row>
    <row r="38" customFormat="false" ht="15" hidden="false" customHeight="true" outlineLevel="0" collapsed="false">
      <c r="A38" s="62" t="s">
        <v>3</v>
      </c>
      <c r="B38" s="63" t="s">
        <v>21</v>
      </c>
      <c r="C38" s="63" t="s">
        <v>21</v>
      </c>
      <c r="D38" s="63" t="s">
        <v>21</v>
      </c>
      <c r="E38" s="62" t="str">
        <f aca="false">IF($C38=$D38,"○","≠")</f>
        <v>○</v>
      </c>
      <c r="F38" s="62"/>
    </row>
    <row r="39" customFormat="false" ht="15" hidden="false" customHeight="true" outlineLevel="0" collapsed="false">
      <c r="A39" s="62" t="s">
        <v>3</v>
      </c>
      <c r="B39" s="63" t="s">
        <v>52</v>
      </c>
      <c r="C39" s="63" t="s">
        <v>52</v>
      </c>
      <c r="D39" s="63" t="s">
        <v>52</v>
      </c>
      <c r="E39" s="62" t="str">
        <f aca="false">IF($C39=$D39,"○","≠")</f>
        <v>○</v>
      </c>
      <c r="F39" s="62" t="s">
        <v>2251</v>
      </c>
    </row>
    <row r="40" customFormat="false" ht="15" hidden="false" customHeight="true" outlineLevel="0" collapsed="false">
      <c r="A40" s="62" t="s">
        <v>3</v>
      </c>
      <c r="B40" s="63" t="s">
        <v>259</v>
      </c>
      <c r="C40" s="63" t="s">
        <v>259</v>
      </c>
      <c r="D40" s="63" t="s">
        <v>259</v>
      </c>
      <c r="E40" s="62" t="str">
        <f aca="false">IF($C40=$D40,"○","≠")</f>
        <v>○</v>
      </c>
      <c r="F40" s="62"/>
    </row>
    <row r="41" customFormat="false" ht="15" hidden="false" customHeight="true" outlineLevel="0" collapsed="false">
      <c r="A41" s="62" t="s">
        <v>3</v>
      </c>
      <c r="B41" s="63" t="s">
        <v>36</v>
      </c>
      <c r="C41" s="63" t="s">
        <v>36</v>
      </c>
      <c r="D41" s="63" t="s">
        <v>36</v>
      </c>
      <c r="E41" s="62" t="str">
        <f aca="false">IF($C41=$D41,"○","≠")</f>
        <v>○</v>
      </c>
      <c r="F41" s="62" t="s">
        <v>2251</v>
      </c>
    </row>
    <row r="42" customFormat="false" ht="15" hidden="false" customHeight="true" outlineLevel="0" collapsed="false">
      <c r="A42" s="62" t="s">
        <v>3</v>
      </c>
      <c r="B42" s="63" t="s">
        <v>74</v>
      </c>
      <c r="C42" s="63" t="s">
        <v>74</v>
      </c>
      <c r="D42" s="63" t="s">
        <v>74</v>
      </c>
      <c r="E42" s="62" t="str">
        <f aca="false">IF($C42=$D42,"○","≠")</f>
        <v>○</v>
      </c>
      <c r="F42" s="62"/>
    </row>
    <row r="43" customFormat="false" ht="15" hidden="false" customHeight="true" outlineLevel="0" collapsed="false">
      <c r="A43" s="62" t="s">
        <v>3</v>
      </c>
      <c r="B43" s="63" t="s">
        <v>331</v>
      </c>
      <c r="C43" s="63" t="s">
        <v>331</v>
      </c>
      <c r="D43" s="63" t="s">
        <v>331</v>
      </c>
      <c r="E43" s="62" t="str">
        <f aca="false">IF($C43=$D43,"○","≠")</f>
        <v>○</v>
      </c>
      <c r="F43" s="62"/>
    </row>
    <row r="44" customFormat="false" ht="15" hidden="false" customHeight="true" outlineLevel="0" collapsed="false">
      <c r="A44" s="49" t="s">
        <v>2252</v>
      </c>
      <c r="B44" s="50" t="s">
        <v>1370</v>
      </c>
      <c r="C44" s="49" t="s">
        <v>2253</v>
      </c>
      <c r="D44" s="49" t="s">
        <v>2254</v>
      </c>
      <c r="E44" s="49" t="str">
        <f aca="false">IF($C44=$D44,"○","≠")</f>
        <v>≠</v>
      </c>
      <c r="F44" s="49"/>
    </row>
    <row r="45" customFormat="false" ht="15" hidden="false" customHeight="true" outlineLevel="0" collapsed="false">
      <c r="A45" s="49" t="s">
        <v>2252</v>
      </c>
      <c r="B45" s="50" t="s">
        <v>1406</v>
      </c>
      <c r="C45" s="49" t="s">
        <v>2255</v>
      </c>
      <c r="D45" s="49" t="s">
        <v>2256</v>
      </c>
      <c r="E45" s="49" t="str">
        <f aca="false">IF($C45=$D45,"○","≠")</f>
        <v>≠</v>
      </c>
      <c r="F45" s="49"/>
    </row>
    <row r="46" customFormat="false" ht="15" hidden="false" customHeight="true" outlineLevel="0" collapsed="false">
      <c r="A46" s="49" t="s">
        <v>2252</v>
      </c>
      <c r="B46" s="50" t="s">
        <v>714</v>
      </c>
      <c r="C46" s="49" t="s">
        <v>2257</v>
      </c>
      <c r="D46" s="49" t="s">
        <v>2258</v>
      </c>
      <c r="E46" s="49" t="str">
        <f aca="false">IF($C46=$D46,"○","≠")</f>
        <v>≠</v>
      </c>
      <c r="F46" s="49"/>
    </row>
    <row r="47" customFormat="false" ht="15" hidden="false" customHeight="true" outlineLevel="0" collapsed="false">
      <c r="A47" s="49" t="s">
        <v>2252</v>
      </c>
      <c r="B47" s="50" t="s">
        <v>1425</v>
      </c>
      <c r="C47" s="49" t="s">
        <v>2259</v>
      </c>
      <c r="D47" s="49" t="s">
        <v>2260</v>
      </c>
      <c r="E47" s="49" t="str">
        <f aca="false">IF($C47=$D47,"○","≠")</f>
        <v>≠</v>
      </c>
      <c r="F47" s="49"/>
    </row>
    <row r="48" customFormat="false" ht="15" hidden="false" customHeight="true" outlineLevel="0" collapsed="false">
      <c r="A48" s="49" t="s">
        <v>2252</v>
      </c>
      <c r="B48" s="50" t="s">
        <v>1274</v>
      </c>
      <c r="C48" s="49" t="s">
        <v>2261</v>
      </c>
      <c r="D48" s="49" t="s">
        <v>2262</v>
      </c>
      <c r="E48" s="49" t="str">
        <f aca="false">IF($C48=$D48,"○","≠")</f>
        <v>≠</v>
      </c>
      <c r="F48" s="49"/>
    </row>
    <row r="49" customFormat="false" ht="15" hidden="false" customHeight="true" outlineLevel="0" collapsed="false">
      <c r="A49" s="49" t="s">
        <v>2252</v>
      </c>
      <c r="B49" s="50" t="s">
        <v>1110</v>
      </c>
      <c r="C49" s="49" t="s">
        <v>2263</v>
      </c>
      <c r="D49" s="49" t="s">
        <v>2264</v>
      </c>
      <c r="E49" s="49" t="str">
        <f aca="false">IF($C49=$D49,"○","≠")</f>
        <v>≠</v>
      </c>
      <c r="F49" s="49"/>
    </row>
    <row r="50" customFormat="false" ht="15" hidden="false" customHeight="true" outlineLevel="0" collapsed="false">
      <c r="A50" s="49" t="s">
        <v>2252</v>
      </c>
      <c r="B50" s="50" t="s">
        <v>1417</v>
      </c>
      <c r="C50" s="49" t="s">
        <v>2265</v>
      </c>
      <c r="D50" s="49" t="s">
        <v>2266</v>
      </c>
      <c r="E50" s="49" t="str">
        <f aca="false">IF($C50=$D50,"○","≠")</f>
        <v>≠</v>
      </c>
      <c r="F50" s="49"/>
    </row>
    <row r="51" customFormat="false" ht="15" hidden="false" customHeight="true" outlineLevel="0" collapsed="false">
      <c r="A51" s="49" t="s">
        <v>2252</v>
      </c>
      <c r="B51" s="50" t="s">
        <v>1442</v>
      </c>
      <c r="C51" s="49" t="s">
        <v>2267</v>
      </c>
      <c r="D51" s="49" t="s">
        <v>2268</v>
      </c>
      <c r="E51" s="49" t="str">
        <f aca="false">IF($C51=$D51,"○","≠")</f>
        <v>≠</v>
      </c>
      <c r="F51" s="49"/>
    </row>
    <row r="52" customFormat="false" ht="15" hidden="false" customHeight="true" outlineLevel="0" collapsed="false">
      <c r="A52" s="49" t="s">
        <v>2252</v>
      </c>
      <c r="B52" s="50" t="s">
        <v>1478</v>
      </c>
      <c r="C52" s="49" t="s">
        <v>2269</v>
      </c>
      <c r="D52" s="49" t="s">
        <v>2270</v>
      </c>
      <c r="E52" s="49" t="str">
        <f aca="false">IF($C52=$D52,"○","≠")</f>
        <v>≠</v>
      </c>
      <c r="F52" s="49"/>
    </row>
    <row r="53" customFormat="false" ht="15" hidden="false" customHeight="true" outlineLevel="0" collapsed="false">
      <c r="A53" s="49" t="s">
        <v>2252</v>
      </c>
      <c r="B53" s="50" t="s">
        <v>1098</v>
      </c>
      <c r="C53" s="49" t="s">
        <v>2271</v>
      </c>
      <c r="D53" s="49" t="s">
        <v>2272</v>
      </c>
      <c r="E53" s="49" t="str">
        <f aca="false">IF($C53=$D53,"○","≠")</f>
        <v>≠</v>
      </c>
      <c r="F53" s="49"/>
    </row>
    <row r="54" customFormat="false" ht="15" hidden="false" customHeight="true" outlineLevel="0" collapsed="false">
      <c r="A54" s="49" t="s">
        <v>2252</v>
      </c>
      <c r="B54" s="50" t="s">
        <v>1640</v>
      </c>
      <c r="C54" s="49" t="s">
        <v>2273</v>
      </c>
      <c r="D54" s="49" t="s">
        <v>2273</v>
      </c>
      <c r="E54" s="49" t="str">
        <f aca="false">IF($C54=$D54,"○","≠")</f>
        <v>○</v>
      </c>
      <c r="F54" s="49"/>
    </row>
    <row r="55" customFormat="false" ht="15" hidden="false" customHeight="true" outlineLevel="0" collapsed="false">
      <c r="A55" s="49" t="s">
        <v>2252</v>
      </c>
      <c r="B55" s="50" t="s">
        <v>1305</v>
      </c>
      <c r="C55" s="49" t="s">
        <v>2274</v>
      </c>
      <c r="D55" s="49" t="s">
        <v>2275</v>
      </c>
      <c r="E55" s="49" t="str">
        <f aca="false">IF($C55=$D55,"○","≠")</f>
        <v>≠</v>
      </c>
      <c r="F55" s="49"/>
    </row>
    <row r="56" customFormat="false" ht="15" hidden="false" customHeight="true" outlineLevel="0" collapsed="false">
      <c r="A56" s="49" t="s">
        <v>2252</v>
      </c>
      <c r="B56" s="50" t="s">
        <v>794</v>
      </c>
      <c r="C56" s="49" t="s">
        <v>2276</v>
      </c>
      <c r="D56" s="49" t="s">
        <v>2277</v>
      </c>
      <c r="E56" s="49" t="str">
        <f aca="false">IF($C56=$D56,"○","≠")</f>
        <v>≠</v>
      </c>
      <c r="F56" s="49"/>
    </row>
    <row r="57" customFormat="false" ht="15" hidden="false" customHeight="true" outlineLevel="0" collapsed="false">
      <c r="A57" s="49" t="s">
        <v>2252</v>
      </c>
      <c r="B57" s="50" t="s">
        <v>843</v>
      </c>
      <c r="C57" s="49" t="s">
        <v>2278</v>
      </c>
      <c r="D57" s="49" t="s">
        <v>2279</v>
      </c>
      <c r="E57" s="49" t="str">
        <f aca="false">IF($C57=$D57,"○","≠")</f>
        <v>≠</v>
      </c>
      <c r="F57" s="49"/>
    </row>
    <row r="58" customFormat="false" ht="15" hidden="false" customHeight="true" outlineLevel="0" collapsed="false">
      <c r="A58" s="49" t="s">
        <v>2252</v>
      </c>
      <c r="B58" s="50" t="s">
        <v>1010</v>
      </c>
      <c r="C58" s="49" t="s">
        <v>2280</v>
      </c>
      <c r="D58" s="49" t="s">
        <v>2281</v>
      </c>
      <c r="E58" s="49" t="str">
        <f aca="false">IF($C58=$D58,"○","≠")</f>
        <v>≠</v>
      </c>
      <c r="F58" s="49"/>
    </row>
    <row r="59" customFormat="false" ht="15" hidden="false" customHeight="true" outlineLevel="0" collapsed="false">
      <c r="A59" s="49" t="s">
        <v>2252</v>
      </c>
      <c r="B59" s="50" t="s">
        <v>744</v>
      </c>
      <c r="C59" s="49" t="s">
        <v>2282</v>
      </c>
      <c r="D59" s="49" t="s">
        <v>2283</v>
      </c>
      <c r="E59" s="49" t="str">
        <f aca="false">IF($C59=$D59,"○","≠")</f>
        <v>≠</v>
      </c>
      <c r="F59" s="49"/>
    </row>
    <row r="60" customFormat="false" ht="15" hidden="false" customHeight="true" outlineLevel="0" collapsed="false">
      <c r="A60" s="49" t="s">
        <v>2252</v>
      </c>
      <c r="B60" s="50" t="s">
        <v>1778</v>
      </c>
      <c r="C60" s="49" t="s">
        <v>2284</v>
      </c>
      <c r="D60" s="49" t="s">
        <v>2285</v>
      </c>
      <c r="E60" s="49" t="str">
        <f aca="false">IF($C60=$D60,"○","≠")</f>
        <v>≠</v>
      </c>
      <c r="F60" s="49" t="s">
        <v>2286</v>
      </c>
    </row>
    <row r="61" customFormat="false" ht="15" hidden="false" customHeight="true" outlineLevel="0" collapsed="false">
      <c r="A61" s="49" t="s">
        <v>2252</v>
      </c>
      <c r="B61" s="50" t="s">
        <v>1338</v>
      </c>
      <c r="C61" s="49" t="s">
        <v>2287</v>
      </c>
      <c r="D61" s="49" t="s">
        <v>2288</v>
      </c>
      <c r="E61" s="49" t="str">
        <f aca="false">IF($C61=$D61,"○","≠")</f>
        <v>≠</v>
      </c>
      <c r="F61" s="49"/>
    </row>
    <row r="62" customFormat="false" ht="15" hidden="false" customHeight="true" outlineLevel="0" collapsed="false">
      <c r="A62" s="49" t="s">
        <v>2252</v>
      </c>
      <c r="B62" s="50" t="s">
        <v>1163</v>
      </c>
      <c r="C62" s="49" t="s">
        <v>2289</v>
      </c>
      <c r="D62" s="49" t="s">
        <v>2290</v>
      </c>
      <c r="E62" s="49" t="str">
        <f aca="false">IF($C62=$D62,"○","≠")</f>
        <v>≠</v>
      </c>
      <c r="F62" s="49" t="s">
        <v>2291</v>
      </c>
    </row>
    <row r="63" customFormat="false" ht="15" hidden="false" customHeight="true" outlineLevel="0" collapsed="false">
      <c r="A63" s="49" t="s">
        <v>2252</v>
      </c>
      <c r="B63" s="50" t="s">
        <v>1170</v>
      </c>
      <c r="C63" s="49" t="s">
        <v>2292</v>
      </c>
      <c r="D63" s="49" t="s">
        <v>2293</v>
      </c>
      <c r="E63" s="49" t="str">
        <f aca="false">IF($C63=$D63,"○","≠")</f>
        <v>≠</v>
      </c>
      <c r="F63" s="49" t="s">
        <v>2291</v>
      </c>
    </row>
    <row r="64" customFormat="false" ht="15" hidden="false" customHeight="true" outlineLevel="0" collapsed="false">
      <c r="A64" s="49" t="s">
        <v>2252</v>
      </c>
      <c r="B64" s="50" t="s">
        <v>1255</v>
      </c>
      <c r="C64" s="49" t="s">
        <v>2294</v>
      </c>
      <c r="D64" s="49" t="s">
        <v>2295</v>
      </c>
      <c r="E64" s="49" t="str">
        <f aca="false">IF($C64=$D64,"○","≠")</f>
        <v>≠</v>
      </c>
      <c r="F64" s="49"/>
    </row>
    <row r="65" customFormat="false" ht="15" hidden="false" customHeight="true" outlineLevel="0" collapsed="false">
      <c r="A65" s="49" t="s">
        <v>2252</v>
      </c>
      <c r="B65" s="50" t="s">
        <v>1290</v>
      </c>
      <c r="C65" s="49" t="s">
        <v>2296</v>
      </c>
      <c r="D65" s="49" t="s">
        <v>2297</v>
      </c>
      <c r="E65" s="49" t="str">
        <f aca="false">IF($C65=$D65,"○","≠")</f>
        <v>≠</v>
      </c>
      <c r="F65" s="49" t="s">
        <v>2298</v>
      </c>
    </row>
    <row r="66" customFormat="false" ht="15" hidden="false" customHeight="true" outlineLevel="0" collapsed="false">
      <c r="A66" s="49" t="s">
        <v>2252</v>
      </c>
      <c r="B66" s="50" t="s">
        <v>1381</v>
      </c>
      <c r="C66" s="49" t="s">
        <v>2299</v>
      </c>
      <c r="D66" s="49" t="s">
        <v>2300</v>
      </c>
      <c r="E66" s="49" t="str">
        <f aca="false">IF($C66=$D66,"○","≠")</f>
        <v>≠</v>
      </c>
      <c r="F66" s="49"/>
    </row>
    <row r="67" customFormat="false" ht="15" hidden="false" customHeight="true" outlineLevel="0" collapsed="false">
      <c r="A67" s="49" t="s">
        <v>2252</v>
      </c>
      <c r="B67" s="50" t="s">
        <v>1353</v>
      </c>
      <c r="C67" s="49" t="s">
        <v>2301</v>
      </c>
      <c r="D67" s="49" t="s">
        <v>2302</v>
      </c>
      <c r="E67" s="49" t="str">
        <f aca="false">IF($C67=$D67,"○","≠")</f>
        <v>≠</v>
      </c>
      <c r="F67" s="49"/>
    </row>
    <row r="68" customFormat="false" ht="15" hidden="false" customHeight="true" outlineLevel="0" collapsed="false">
      <c r="A68" s="49" t="s">
        <v>2252</v>
      </c>
      <c r="B68" s="50" t="s">
        <v>1613</v>
      </c>
      <c r="C68" s="49" t="s">
        <v>2303</v>
      </c>
      <c r="D68" s="49" t="s">
        <v>2304</v>
      </c>
      <c r="E68" s="49" t="str">
        <f aca="false">IF($C68=$D68,"○","≠")</f>
        <v>≠</v>
      </c>
      <c r="F68" s="49"/>
    </row>
    <row r="69" customFormat="false" ht="15" hidden="false" customHeight="true" outlineLevel="0" collapsed="false">
      <c r="A69" s="49" t="s">
        <v>2252</v>
      </c>
      <c r="B69" s="50" t="s">
        <v>1666</v>
      </c>
      <c r="C69" s="49" t="s">
        <v>2305</v>
      </c>
      <c r="D69" s="49" t="s">
        <v>2305</v>
      </c>
      <c r="E69" s="49" t="str">
        <f aca="false">IF($C69=$D69,"○","≠")</f>
        <v>○</v>
      </c>
      <c r="F69" s="49"/>
    </row>
    <row r="70" customFormat="false" ht="15" hidden="false" customHeight="true" outlineLevel="0" collapsed="false">
      <c r="A70" s="49" t="s">
        <v>2252</v>
      </c>
      <c r="B70" s="50" t="s">
        <v>889</v>
      </c>
      <c r="C70" s="49" t="s">
        <v>2306</v>
      </c>
      <c r="D70" s="49" t="s">
        <v>2307</v>
      </c>
      <c r="E70" s="49" t="str">
        <f aca="false">IF($C70=$D70,"○","≠")</f>
        <v>≠</v>
      </c>
      <c r="F70" s="49"/>
    </row>
    <row r="71" customFormat="false" ht="15" hidden="false" customHeight="true" outlineLevel="0" collapsed="false">
      <c r="A71" s="49" t="s">
        <v>2252</v>
      </c>
      <c r="B71" s="50" t="s">
        <v>1498</v>
      </c>
      <c r="C71" s="49" t="s">
        <v>2308</v>
      </c>
      <c r="D71" s="49" t="s">
        <v>2309</v>
      </c>
      <c r="E71" s="49" t="str">
        <f aca="false">IF($C71=$D71,"○","≠")</f>
        <v>≠</v>
      </c>
      <c r="F71" s="49"/>
    </row>
    <row r="72" customFormat="false" ht="15" hidden="false" customHeight="true" outlineLevel="0" collapsed="false">
      <c r="A72" s="49" t="s">
        <v>2252</v>
      </c>
      <c r="B72" s="50" t="s">
        <v>910</v>
      </c>
      <c r="C72" s="49" t="s">
        <v>2310</v>
      </c>
      <c r="D72" s="49" t="s">
        <v>2311</v>
      </c>
      <c r="E72" s="49" t="str">
        <f aca="false">IF($C72=$D72,"○","≠")</f>
        <v>≠</v>
      </c>
      <c r="F72" s="49"/>
    </row>
    <row r="73" customFormat="false" ht="15" hidden="false" customHeight="true" outlineLevel="0" collapsed="false">
      <c r="A73" s="49" t="s">
        <v>2252</v>
      </c>
      <c r="B73" s="50" t="s">
        <v>1064</v>
      </c>
      <c r="C73" s="49" t="s">
        <v>2312</v>
      </c>
      <c r="D73" s="49" t="s">
        <v>2313</v>
      </c>
      <c r="E73" s="49" t="str">
        <f aca="false">IF($C73=$D73,"○","≠")</f>
        <v>≠</v>
      </c>
      <c r="F73" s="49"/>
    </row>
    <row r="74" customFormat="false" ht="15" hidden="false" customHeight="true" outlineLevel="0" collapsed="false">
      <c r="A74" s="49" t="s">
        <v>2252</v>
      </c>
      <c r="B74" s="50" t="s">
        <v>1530</v>
      </c>
      <c r="C74" s="49" t="s">
        <v>319</v>
      </c>
      <c r="D74" s="49" t="s">
        <v>319</v>
      </c>
      <c r="E74" s="49" t="str">
        <f aca="false">IF($C74=$D74,"○","≠")</f>
        <v>○</v>
      </c>
      <c r="F74" s="49"/>
    </row>
    <row r="75" customFormat="false" ht="15" hidden="false" customHeight="true" outlineLevel="0" collapsed="false">
      <c r="A75" s="49" t="s">
        <v>2252</v>
      </c>
      <c r="B75" s="50" t="s">
        <v>625</v>
      </c>
      <c r="C75" s="49" t="s">
        <v>2314</v>
      </c>
      <c r="D75" s="49" t="s">
        <v>2315</v>
      </c>
      <c r="E75" s="49" t="str">
        <f aca="false">IF($C75=$D75,"○","≠")</f>
        <v>≠</v>
      </c>
      <c r="F75" s="49"/>
    </row>
    <row r="76" customFormat="false" ht="15" hidden="false" customHeight="true" outlineLevel="0" collapsed="false">
      <c r="A76" s="49" t="s">
        <v>2252</v>
      </c>
      <c r="B76" s="50" t="s">
        <v>869</v>
      </c>
      <c r="C76" s="49" t="s">
        <v>2316</v>
      </c>
      <c r="D76" s="49" t="s">
        <v>2317</v>
      </c>
      <c r="E76" s="49" t="str">
        <f aca="false">IF($C76=$D76,"○","≠")</f>
        <v>≠</v>
      </c>
      <c r="F76" s="49" t="s">
        <v>2298</v>
      </c>
    </row>
    <row r="77" customFormat="false" ht="15" hidden="false" customHeight="true" outlineLevel="0" collapsed="false">
      <c r="A77" s="49" t="s">
        <v>2252</v>
      </c>
      <c r="B77" s="50" t="s">
        <v>947</v>
      </c>
      <c r="C77" s="49" t="s">
        <v>2318</v>
      </c>
      <c r="D77" s="49" t="s">
        <v>2319</v>
      </c>
      <c r="E77" s="49" t="str">
        <f aca="false">IF($C77=$D77,"○","≠")</f>
        <v>≠</v>
      </c>
      <c r="F77" s="49"/>
    </row>
    <row r="78" customFormat="false" ht="15" hidden="false" customHeight="true" outlineLevel="0" collapsed="false">
      <c r="A78" s="49" t="s">
        <v>2252</v>
      </c>
      <c r="B78" s="50" t="s">
        <v>972</v>
      </c>
      <c r="C78" s="49" t="s">
        <v>2320</v>
      </c>
      <c r="D78" s="49" t="s">
        <v>2321</v>
      </c>
      <c r="E78" s="49" t="str">
        <f aca="false">IF($C78=$D78,"○","≠")</f>
        <v>≠</v>
      </c>
      <c r="F78" s="49"/>
    </row>
    <row r="79" customFormat="false" ht="15" hidden="false" customHeight="true" outlineLevel="0" collapsed="false">
      <c r="A79" s="49" t="s">
        <v>2252</v>
      </c>
      <c r="B79" s="50" t="s">
        <v>2046</v>
      </c>
      <c r="C79" s="49" t="s">
        <v>2322</v>
      </c>
      <c r="D79" s="49" t="s">
        <v>2323</v>
      </c>
      <c r="E79" s="49" t="str">
        <f aca="false">IF($C79=$D79,"○","≠")</f>
        <v>≠</v>
      </c>
      <c r="F79" s="49" t="s">
        <v>2286</v>
      </c>
    </row>
    <row r="80" customFormat="false" ht="15" hidden="false" customHeight="true" outlineLevel="0" collapsed="false">
      <c r="A80" s="49" t="s">
        <v>2252</v>
      </c>
      <c r="B80" s="50" t="s">
        <v>1398</v>
      </c>
      <c r="C80" s="49" t="s">
        <v>2324</v>
      </c>
      <c r="D80" s="49" t="s">
        <v>2325</v>
      </c>
      <c r="E80" s="49" t="str">
        <f aca="false">IF($C80=$D80,"○","≠")</f>
        <v>≠</v>
      </c>
      <c r="F80" s="49"/>
    </row>
    <row r="81" customFormat="false" ht="15" hidden="false" customHeight="true" outlineLevel="0" collapsed="false">
      <c r="A81" s="49" t="s">
        <v>2252</v>
      </c>
      <c r="B81" s="50" t="s">
        <v>1324</v>
      </c>
      <c r="C81" s="49" t="s">
        <v>2326</v>
      </c>
      <c r="D81" s="49" t="s">
        <v>2327</v>
      </c>
      <c r="E81" s="49" t="str">
        <f aca="false">IF($C81=$D81,"○","≠")</f>
        <v>≠</v>
      </c>
      <c r="F81" s="49"/>
    </row>
    <row r="82" customFormat="false" ht="15" hidden="false" customHeight="true" outlineLevel="0" collapsed="false">
      <c r="A82" s="49" t="s">
        <v>2252</v>
      </c>
      <c r="B82" s="50" t="s">
        <v>807</v>
      </c>
      <c r="C82" s="49" t="s">
        <v>2328</v>
      </c>
      <c r="D82" s="49" t="s">
        <v>2329</v>
      </c>
      <c r="E82" s="49" t="str">
        <f aca="false">IF($C82=$D82,"○","≠")</f>
        <v>≠</v>
      </c>
      <c r="F82" s="49"/>
    </row>
    <row r="83" customFormat="false" ht="15" hidden="false" customHeight="true" outlineLevel="0" collapsed="false">
      <c r="A83" s="49" t="s">
        <v>2252</v>
      </c>
      <c r="B83" s="50" t="s">
        <v>1242</v>
      </c>
      <c r="C83" s="49" t="s">
        <v>2330</v>
      </c>
      <c r="D83" s="49" t="s">
        <v>2331</v>
      </c>
      <c r="E83" s="49" t="str">
        <f aca="false">IF($C83=$D83,"○","≠")</f>
        <v>≠</v>
      </c>
      <c r="F83" s="49"/>
    </row>
    <row r="84" customFormat="false" ht="15" hidden="false" customHeight="true" outlineLevel="0" collapsed="false">
      <c r="A84" s="49" t="s">
        <v>2252</v>
      </c>
      <c r="B84" s="50" t="s">
        <v>1031</v>
      </c>
      <c r="C84" s="49" t="s">
        <v>2332</v>
      </c>
      <c r="D84" s="49" t="s">
        <v>2333</v>
      </c>
      <c r="E84" s="49" t="str">
        <f aca="false">IF($C84=$D84,"○","≠")</f>
        <v>≠</v>
      </c>
      <c r="F84" s="49"/>
    </row>
    <row r="85" customFormat="false" ht="15" hidden="false" customHeight="true" outlineLevel="0" collapsed="false">
      <c r="A85" s="49" t="s">
        <v>2252</v>
      </c>
      <c r="B85" s="50" t="s">
        <v>926</v>
      </c>
      <c r="C85" s="49" t="s">
        <v>2334</v>
      </c>
      <c r="D85" s="49" t="s">
        <v>2335</v>
      </c>
      <c r="E85" s="49" t="str">
        <f aca="false">IF($C85=$D85,"○","≠")</f>
        <v>≠</v>
      </c>
      <c r="F85" s="49" t="s">
        <v>2336</v>
      </c>
    </row>
    <row r="86" customFormat="false" ht="15" hidden="false" customHeight="true" outlineLevel="0" collapsed="false">
      <c r="A86" s="49" t="s">
        <v>2252</v>
      </c>
      <c r="B86" s="50" t="s">
        <v>1044</v>
      </c>
      <c r="C86" s="49" t="s">
        <v>2337</v>
      </c>
      <c r="D86" s="49" t="s">
        <v>2338</v>
      </c>
      <c r="E86" s="49" t="str">
        <f aca="false">IF($C86=$D86,"○","≠")</f>
        <v>≠</v>
      </c>
      <c r="F86" s="49"/>
    </row>
    <row r="87" customFormat="false" ht="15" hidden="false" customHeight="true" outlineLevel="0" collapsed="false">
      <c r="A87" s="49" t="s">
        <v>2252</v>
      </c>
      <c r="B87" s="50" t="s">
        <v>1575</v>
      </c>
      <c r="C87" s="49" t="s">
        <v>2339</v>
      </c>
      <c r="D87" s="49" t="s">
        <v>2340</v>
      </c>
      <c r="E87" s="49" t="str">
        <f aca="false">IF($C87=$D87,"○","≠")</f>
        <v>≠</v>
      </c>
      <c r="F87" s="49"/>
    </row>
    <row r="88" customFormat="false" ht="15" hidden="false" customHeight="true" outlineLevel="0" collapsed="false">
      <c r="A88" s="49" t="s">
        <v>2252</v>
      </c>
      <c r="B88" s="50" t="s">
        <v>1124</v>
      </c>
      <c r="C88" s="49" t="s">
        <v>2341</v>
      </c>
      <c r="D88" s="49" t="s">
        <v>2342</v>
      </c>
      <c r="E88" s="49" t="str">
        <f aca="false">IF($C88=$D88,"○","≠")</f>
        <v>≠</v>
      </c>
      <c r="F88" s="49"/>
    </row>
    <row r="89" customFormat="false" ht="15" hidden="false" customHeight="true" outlineLevel="0" collapsed="false">
      <c r="A89" s="49" t="s">
        <v>2252</v>
      </c>
      <c r="B89" s="50" t="s">
        <v>410</v>
      </c>
      <c r="C89" s="49" t="s">
        <v>2343</v>
      </c>
      <c r="D89" s="49" t="s">
        <v>2344</v>
      </c>
      <c r="E89" s="49" t="str">
        <f aca="false">IF($C89=$D89,"○","≠")</f>
        <v>≠</v>
      </c>
      <c r="F89" s="49"/>
    </row>
    <row r="90" customFormat="false" ht="15" hidden="false" customHeight="true" outlineLevel="0" collapsed="false">
      <c r="A90" s="49" t="s">
        <v>2252</v>
      </c>
      <c r="B90" s="50" t="s">
        <v>819</v>
      </c>
      <c r="C90" s="49" t="s">
        <v>2345</v>
      </c>
      <c r="D90" s="49" t="s">
        <v>2346</v>
      </c>
      <c r="E90" s="49" t="str">
        <f aca="false">IF($C90=$D90,"○","≠")</f>
        <v>≠</v>
      </c>
      <c r="F90" s="49"/>
    </row>
    <row r="91" customFormat="false" ht="15" hidden="false" customHeight="true" outlineLevel="0" collapsed="false">
      <c r="A91" s="49" t="s">
        <v>2252</v>
      </c>
      <c r="B91" s="50" t="s">
        <v>646</v>
      </c>
      <c r="C91" s="49" t="s">
        <v>2347</v>
      </c>
      <c r="D91" s="49" t="s">
        <v>2348</v>
      </c>
      <c r="E91" s="49" t="str">
        <f aca="false">IF($C91=$D91,"○","≠")</f>
        <v>≠</v>
      </c>
      <c r="F91" s="49"/>
    </row>
    <row r="92" customFormat="false" ht="15" hidden="false" customHeight="true" outlineLevel="0" collapsed="false">
      <c r="A92" s="49" t="s">
        <v>2252</v>
      </c>
      <c r="B92" s="50" t="s">
        <v>1549</v>
      </c>
      <c r="C92" s="49" t="s">
        <v>2349</v>
      </c>
      <c r="D92" s="49" t="s">
        <v>2350</v>
      </c>
      <c r="E92" s="49" t="str">
        <f aca="false">IF($C92=$D92,"○","≠")</f>
        <v>≠</v>
      </c>
      <c r="F92" s="49" t="s">
        <v>2351</v>
      </c>
    </row>
    <row r="93" customFormat="false" ht="15" hidden="false" customHeight="true" outlineLevel="0" collapsed="false">
      <c r="A93" s="49" t="s">
        <v>2252</v>
      </c>
      <c r="B93" s="50" t="s">
        <v>511</v>
      </c>
      <c r="C93" s="49" t="s">
        <v>2352</v>
      </c>
      <c r="D93" s="49" t="s">
        <v>2353</v>
      </c>
      <c r="E93" s="49" t="str">
        <f aca="false">IF($C93=$D93,"○","≠")</f>
        <v>≠</v>
      </c>
      <c r="F93" s="49"/>
    </row>
    <row r="94" customFormat="false" ht="15" hidden="false" customHeight="true" outlineLevel="0" collapsed="false">
      <c r="A94" s="49" t="s">
        <v>2252</v>
      </c>
      <c r="B94" s="50" t="s">
        <v>1001</v>
      </c>
      <c r="C94" s="49" t="s">
        <v>2354</v>
      </c>
      <c r="D94" s="49" t="s">
        <v>2355</v>
      </c>
      <c r="E94" s="49" t="str">
        <f aca="false">IF($C94=$D94,"○","≠")</f>
        <v>≠</v>
      </c>
      <c r="F94" s="49"/>
    </row>
    <row r="95" customFormat="false" ht="15" hidden="false" customHeight="true" outlineLevel="0" collapsed="false">
      <c r="A95" s="49" t="s">
        <v>2252</v>
      </c>
      <c r="B95" s="50" t="s">
        <v>734</v>
      </c>
      <c r="C95" s="49" t="s">
        <v>2356</v>
      </c>
      <c r="D95" s="49" t="s">
        <v>2357</v>
      </c>
      <c r="E95" s="49" t="str">
        <f aca="false">IF($C95=$D95,"○","≠")</f>
        <v>≠</v>
      </c>
      <c r="F95" s="49"/>
    </row>
    <row r="96" customFormat="false" ht="15" hidden="false" customHeight="true" outlineLevel="0" collapsed="false">
      <c r="A96" s="49" t="s">
        <v>2252</v>
      </c>
      <c r="B96" s="50" t="s">
        <v>787</v>
      </c>
      <c r="C96" s="49" t="s">
        <v>2358</v>
      </c>
      <c r="D96" s="49" t="s">
        <v>2359</v>
      </c>
      <c r="E96" s="49" t="str">
        <f aca="false">IF($C96=$D96,"○","≠")</f>
        <v>≠</v>
      </c>
      <c r="F96" s="49"/>
    </row>
    <row r="97" customFormat="false" ht="15" hidden="false" customHeight="true" outlineLevel="0" collapsed="false">
      <c r="A97" s="49" t="s">
        <v>2252</v>
      </c>
      <c r="B97" s="50" t="s">
        <v>1466</v>
      </c>
      <c r="C97" s="49" t="s">
        <v>2360</v>
      </c>
      <c r="D97" s="49" t="s">
        <v>2361</v>
      </c>
      <c r="E97" s="49" t="str">
        <f aca="false">IF($C97=$D97,"○","≠")</f>
        <v>≠</v>
      </c>
      <c r="F97" s="49"/>
    </row>
    <row r="98" customFormat="false" ht="15" hidden="false" customHeight="true" outlineLevel="0" collapsed="false">
      <c r="A98" s="49" t="s">
        <v>2252</v>
      </c>
      <c r="B98" s="50" t="s">
        <v>2100</v>
      </c>
      <c r="C98" s="49" t="s">
        <v>2362</v>
      </c>
      <c r="D98" s="49" t="s">
        <v>2363</v>
      </c>
      <c r="E98" s="49" t="str">
        <f aca="false">IF($C98=$D98,"○","≠")</f>
        <v>≠</v>
      </c>
      <c r="F98" s="49" t="s">
        <v>2286</v>
      </c>
    </row>
    <row r="99" customFormat="false" ht="15" hidden="false" customHeight="true" outlineLevel="0" collapsed="false">
      <c r="A99" s="49" t="s">
        <v>2252</v>
      </c>
      <c r="B99" s="50" t="s">
        <v>2134</v>
      </c>
      <c r="C99" s="49" t="s">
        <v>2364</v>
      </c>
      <c r="D99" s="49" t="s">
        <v>2365</v>
      </c>
      <c r="E99" s="49" t="str">
        <f aca="false">IF($C99=$D99,"○","≠")</f>
        <v>≠</v>
      </c>
      <c r="F99" s="49" t="s">
        <v>2286</v>
      </c>
    </row>
    <row r="100" customFormat="false" ht="15" hidden="false" customHeight="true" outlineLevel="0" collapsed="false">
      <c r="A100" s="49" t="s">
        <v>2252</v>
      </c>
      <c r="B100" s="50" t="s">
        <v>1176</v>
      </c>
      <c r="C100" s="49" t="s">
        <v>2366</v>
      </c>
      <c r="D100" s="49" t="s">
        <v>2367</v>
      </c>
      <c r="E100" s="49" t="str">
        <f aca="false">IF($C100=$D100,"○","≠")</f>
        <v>≠</v>
      </c>
      <c r="F100" s="49"/>
    </row>
    <row r="101" customFormat="false" ht="15" hidden="false" customHeight="true" outlineLevel="0" collapsed="false">
      <c r="A101" s="49" t="s">
        <v>2252</v>
      </c>
      <c r="B101" s="50" t="s">
        <v>1205</v>
      </c>
      <c r="C101" s="49" t="s">
        <v>2368</v>
      </c>
      <c r="D101" s="49" t="s">
        <v>2369</v>
      </c>
      <c r="E101" s="49" t="str">
        <f aca="false">IF($C101=$D101,"○","≠")</f>
        <v>≠</v>
      </c>
      <c r="F101" s="49"/>
    </row>
    <row r="102" customFormat="false" ht="15" hidden="false" customHeight="true" outlineLevel="0" collapsed="false">
      <c r="A102" s="49" t="s">
        <v>2252</v>
      </c>
      <c r="B102" s="50" t="s">
        <v>1655</v>
      </c>
      <c r="C102" s="49" t="s">
        <v>2370</v>
      </c>
      <c r="D102" s="49" t="s">
        <v>2371</v>
      </c>
      <c r="E102" s="49" t="str">
        <f aca="false">IF($C102=$D102,"○","≠")</f>
        <v>≠</v>
      </c>
      <c r="F102" s="49"/>
    </row>
    <row r="103" customFormat="false" ht="15" hidden="false" customHeight="true" outlineLevel="0" collapsed="false">
      <c r="A103" s="49" t="s">
        <v>2252</v>
      </c>
      <c r="B103" s="50" t="s">
        <v>1566</v>
      </c>
      <c r="C103" s="49" t="s">
        <v>2372</v>
      </c>
      <c r="D103" s="49" t="s">
        <v>2373</v>
      </c>
      <c r="E103" s="49" t="str">
        <f aca="false">IF($C103=$D103,"○","≠")</f>
        <v>≠</v>
      </c>
      <c r="F103" s="49" t="s">
        <v>2298</v>
      </c>
    </row>
    <row r="104" customFormat="false" ht="15" hidden="false" customHeight="true" outlineLevel="0" collapsed="false">
      <c r="A104" s="49" t="s">
        <v>2252</v>
      </c>
      <c r="B104" s="50" t="s">
        <v>709</v>
      </c>
      <c r="C104" s="49" t="s">
        <v>2374</v>
      </c>
      <c r="D104" s="49" t="s">
        <v>2375</v>
      </c>
      <c r="E104" s="49" t="str">
        <f aca="false">IF($C104=$D104,"○","≠")</f>
        <v>≠</v>
      </c>
      <c r="F104" s="49"/>
    </row>
    <row r="105" customFormat="false" ht="15" hidden="false" customHeight="true" outlineLevel="0" collapsed="false">
      <c r="A105" s="49" t="s">
        <v>2252</v>
      </c>
      <c r="B105" s="50" t="s">
        <v>605</v>
      </c>
      <c r="C105" s="49" t="s">
        <v>2376</v>
      </c>
      <c r="D105" s="49" t="s">
        <v>2377</v>
      </c>
      <c r="E105" s="49" t="str">
        <f aca="false">IF($C105=$D105,"○","≠")</f>
        <v>≠</v>
      </c>
      <c r="F105" s="49"/>
    </row>
    <row r="106" customFormat="false" ht="15" hidden="false" customHeight="true" outlineLevel="0" collapsed="false">
      <c r="A106" s="49" t="s">
        <v>2252</v>
      </c>
      <c r="B106" s="50" t="s">
        <v>522</v>
      </c>
      <c r="C106" s="49" t="s">
        <v>2378</v>
      </c>
      <c r="D106" s="49" t="s">
        <v>2379</v>
      </c>
      <c r="E106" s="49" t="str">
        <f aca="false">IF($C106=$D106,"○","≠")</f>
        <v>≠</v>
      </c>
      <c r="F106" s="49"/>
    </row>
    <row r="107" customFormat="false" ht="15" hidden="false" customHeight="true" outlineLevel="0" collapsed="false">
      <c r="A107" s="49" t="s">
        <v>2252</v>
      </c>
      <c r="B107" s="50" t="s">
        <v>563</v>
      </c>
      <c r="C107" s="49" t="s">
        <v>2380</v>
      </c>
      <c r="D107" s="49" t="s">
        <v>2381</v>
      </c>
      <c r="E107" s="49" t="str">
        <f aca="false">IF($C107=$D107,"○","≠")</f>
        <v>≠</v>
      </c>
      <c r="F107" s="49"/>
    </row>
    <row r="108" customFormat="false" ht="15" hidden="false" customHeight="true" outlineLevel="0" collapsed="false">
      <c r="A108" s="49" t="s">
        <v>2252</v>
      </c>
      <c r="B108" s="50" t="s">
        <v>541</v>
      </c>
      <c r="C108" s="49" t="s">
        <v>2382</v>
      </c>
      <c r="D108" s="49" t="s">
        <v>2383</v>
      </c>
      <c r="E108" s="49" t="str">
        <f aca="false">IF($C108=$D108,"○","≠")</f>
        <v>≠</v>
      </c>
      <c r="F108" s="49"/>
    </row>
    <row r="109" customFormat="false" ht="15" hidden="false" customHeight="true" outlineLevel="0" collapsed="false">
      <c r="A109" s="49" t="s">
        <v>2252</v>
      </c>
      <c r="B109" s="50" t="s">
        <v>590</v>
      </c>
      <c r="C109" s="49" t="s">
        <v>2384</v>
      </c>
      <c r="D109" s="49" t="s">
        <v>2385</v>
      </c>
      <c r="E109" s="49" t="str">
        <f aca="false">IF($C109=$D109,"○","≠")</f>
        <v>≠</v>
      </c>
      <c r="F109" s="49"/>
    </row>
    <row r="110" customFormat="false" ht="15" hidden="false" customHeight="true" outlineLevel="0" collapsed="false">
      <c r="A110" s="49" t="s">
        <v>2252</v>
      </c>
      <c r="B110" s="50" t="s">
        <v>1135</v>
      </c>
      <c r="C110" s="49" t="s">
        <v>2386</v>
      </c>
      <c r="D110" s="49" t="s">
        <v>2387</v>
      </c>
      <c r="E110" s="49" t="str">
        <f aca="false">IF($C110=$D110,"○","≠")</f>
        <v>≠</v>
      </c>
      <c r="F110" s="49"/>
    </row>
    <row r="111" customFormat="false" ht="15" hidden="false" customHeight="true" outlineLevel="0" collapsed="false">
      <c r="A111" s="49" t="s">
        <v>2252</v>
      </c>
      <c r="B111" s="50" t="s">
        <v>1149</v>
      </c>
      <c r="C111" s="49" t="s">
        <v>2388</v>
      </c>
      <c r="D111" s="49" t="s">
        <v>2389</v>
      </c>
      <c r="E111" s="49" t="str">
        <f aca="false">IF($C111=$D111,"○","≠")</f>
        <v>≠</v>
      </c>
      <c r="F111" s="49"/>
    </row>
    <row r="112" customFormat="false" ht="15" hidden="false" customHeight="true" outlineLevel="0" collapsed="false">
      <c r="A112" s="49" t="s">
        <v>2252</v>
      </c>
      <c r="B112" s="50" t="s">
        <v>768</v>
      </c>
      <c r="C112" s="49" t="s">
        <v>2390</v>
      </c>
      <c r="D112" s="49" t="s">
        <v>2391</v>
      </c>
      <c r="E112" s="49" t="str">
        <f aca="false">IF($C112=$D112,"○","≠")</f>
        <v>≠</v>
      </c>
      <c r="F112" s="49"/>
    </row>
    <row r="113" customFormat="false" ht="15" hidden="false" customHeight="true" outlineLevel="0" collapsed="false">
      <c r="A113" s="49" t="s">
        <v>2252</v>
      </c>
      <c r="B113" s="50" t="s">
        <v>2000</v>
      </c>
      <c r="C113" s="49" t="s">
        <v>2392</v>
      </c>
      <c r="D113" s="49" t="s">
        <v>2393</v>
      </c>
      <c r="E113" s="49" t="str">
        <f aca="false">IF($C113=$D113,"○","≠")</f>
        <v>≠</v>
      </c>
      <c r="F113" s="49" t="s">
        <v>2286</v>
      </c>
    </row>
    <row r="114" customFormat="false" ht="15" hidden="false" customHeight="true" outlineLevel="0" collapsed="false">
      <c r="A114" s="49" t="s">
        <v>2252</v>
      </c>
      <c r="B114" s="50" t="s">
        <v>1678</v>
      </c>
      <c r="C114" s="49" t="s">
        <v>2394</v>
      </c>
      <c r="D114" s="49" t="s">
        <v>2395</v>
      </c>
      <c r="E114" s="49" t="str">
        <f aca="false">IF($C114=$D114,"○","≠")</f>
        <v>≠</v>
      </c>
      <c r="F114" s="49" t="s">
        <v>2286</v>
      </c>
    </row>
    <row r="115" customFormat="false" ht="15" hidden="false" customHeight="true" outlineLevel="0" collapsed="false">
      <c r="A115" s="49" t="s">
        <v>2252</v>
      </c>
      <c r="B115" s="50" t="s">
        <v>1916</v>
      </c>
      <c r="C115" s="49" t="s">
        <v>2396</v>
      </c>
      <c r="D115" s="49" t="s">
        <v>2397</v>
      </c>
      <c r="E115" s="49" t="str">
        <f aca="false">IF($C115=$D115,"○","≠")</f>
        <v>≠</v>
      </c>
      <c r="F115" s="49" t="s">
        <v>2286</v>
      </c>
    </row>
    <row r="116" customFormat="false" ht="15" hidden="false" customHeight="true" outlineLevel="0" collapsed="false">
      <c r="A116" s="49" t="s">
        <v>2252</v>
      </c>
      <c r="B116" s="50" t="s">
        <v>2161</v>
      </c>
      <c r="C116" s="49" t="s">
        <v>2398</v>
      </c>
      <c r="D116" s="49" t="s">
        <v>2398</v>
      </c>
      <c r="E116" s="49" t="str">
        <f aca="false">IF($C116=$D116,"○","≠")</f>
        <v>○</v>
      </c>
      <c r="F116" s="49" t="s">
        <v>2286</v>
      </c>
    </row>
    <row r="117" customFormat="false" ht="15" hidden="false" customHeight="true" outlineLevel="0" collapsed="false">
      <c r="A117" s="49" t="s">
        <v>2252</v>
      </c>
      <c r="B117" s="50" t="s">
        <v>1589</v>
      </c>
      <c r="C117" s="49" t="s">
        <v>2399</v>
      </c>
      <c r="D117" s="49" t="s">
        <v>2400</v>
      </c>
      <c r="E117" s="49" t="str">
        <f aca="false">IF($C117=$D117,"○","≠")</f>
        <v>≠</v>
      </c>
      <c r="F117" s="49" t="s">
        <v>2401</v>
      </c>
    </row>
    <row r="118" customFormat="false" ht="15" hidden="false" customHeight="true" outlineLevel="0" collapsed="false">
      <c r="A118" s="49" t="s">
        <v>2252</v>
      </c>
      <c r="B118" s="50" t="s">
        <v>1858</v>
      </c>
      <c r="C118" s="49" t="s">
        <v>2402</v>
      </c>
      <c r="D118" s="49" t="s">
        <v>2403</v>
      </c>
      <c r="E118" s="49" t="str">
        <f aca="false">IF($C118=$D118,"○","≠")</f>
        <v>≠</v>
      </c>
      <c r="F118" s="49" t="s">
        <v>2286</v>
      </c>
    </row>
    <row r="119" customFormat="false" ht="15" hidden="false" customHeight="true" outlineLevel="0" collapsed="false">
      <c r="A119" s="49" t="s">
        <v>2252</v>
      </c>
      <c r="B119" s="50" t="s">
        <v>1556</v>
      </c>
      <c r="C119" s="49" t="s">
        <v>2404</v>
      </c>
      <c r="D119" s="49" t="s">
        <v>2405</v>
      </c>
      <c r="E119" s="49" t="str">
        <f aca="false">IF($C119=$D119,"○","≠")</f>
        <v>≠</v>
      </c>
      <c r="F119" s="49" t="s">
        <v>2298</v>
      </c>
    </row>
    <row r="120" customFormat="false" ht="15" hidden="false" customHeight="true" outlineLevel="0" collapsed="false">
      <c r="A120" s="49" t="s">
        <v>2252</v>
      </c>
      <c r="B120" s="50" t="s">
        <v>1434</v>
      </c>
      <c r="C120" s="49" t="s">
        <v>2406</v>
      </c>
      <c r="D120" s="49" t="s">
        <v>2407</v>
      </c>
      <c r="E120" s="49" t="str">
        <f aca="false">IF($C120=$D120,"○","≠")</f>
        <v>≠</v>
      </c>
      <c r="F120" s="49"/>
    </row>
    <row r="121" customFormat="false" ht="15" hidden="false" customHeight="true" outlineLevel="0" collapsed="false">
      <c r="A121" s="49" t="s">
        <v>2252</v>
      </c>
      <c r="B121" s="50" t="s">
        <v>655</v>
      </c>
      <c r="C121" s="49" t="s">
        <v>2408</v>
      </c>
      <c r="D121" s="49" t="s">
        <v>2409</v>
      </c>
      <c r="E121" s="49" t="str">
        <f aca="false">IF($C121=$D121,"○","≠")</f>
        <v>≠</v>
      </c>
      <c r="F121" s="49"/>
    </row>
    <row r="122" customFormat="false" ht="15" hidden="false" customHeight="true" outlineLevel="0" collapsed="false">
      <c r="A122" s="49" t="s">
        <v>2252</v>
      </c>
      <c r="B122" s="50" t="s">
        <v>684</v>
      </c>
      <c r="C122" s="49" t="s">
        <v>2410</v>
      </c>
      <c r="D122" s="49" t="s">
        <v>2411</v>
      </c>
      <c r="E122" s="49" t="str">
        <f aca="false">IF($C122=$D122,"○","≠")</f>
        <v>≠</v>
      </c>
      <c r="F122" s="49"/>
    </row>
    <row r="123" customFormat="false" ht="15" hidden="false" customHeight="true" outlineLevel="0" collapsed="false">
      <c r="A123" s="49" t="s">
        <v>2252</v>
      </c>
      <c r="B123" s="50" t="s">
        <v>695</v>
      </c>
      <c r="C123" s="49" t="s">
        <v>2412</v>
      </c>
      <c r="D123" s="49" t="s">
        <v>2413</v>
      </c>
      <c r="E123" s="49" t="str">
        <f aca="false">IF($C123=$D123,"○","≠")</f>
        <v>≠</v>
      </c>
      <c r="F123" s="49"/>
    </row>
    <row r="124" customFormat="false" ht="15" hidden="false" customHeight="true" outlineLevel="0" collapsed="false">
      <c r="A124" s="49" t="s">
        <v>2252</v>
      </c>
      <c r="B124" s="50" t="s">
        <v>1627</v>
      </c>
      <c r="C124" s="49" t="s">
        <v>2414</v>
      </c>
      <c r="D124" s="49" t="s">
        <v>2415</v>
      </c>
      <c r="E124" s="49" t="str">
        <f aca="false">IF($C124=$D124,"○","≠")</f>
        <v>≠</v>
      </c>
      <c r="F124" s="49"/>
    </row>
    <row r="125" customFormat="false" ht="15" hidden="false" customHeight="true" outlineLevel="0" collapsed="false">
      <c r="A125" s="49" t="s">
        <v>2252</v>
      </c>
      <c r="B125" s="50" t="s">
        <v>1223</v>
      </c>
      <c r="C125" s="49" t="s">
        <v>2416</v>
      </c>
      <c r="D125" s="49" t="s">
        <v>2417</v>
      </c>
      <c r="E125" s="49" t="str">
        <f aca="false">IF($C125=$D125,"○","≠")</f>
        <v>≠</v>
      </c>
      <c r="F125" s="49"/>
    </row>
    <row r="126" customFormat="false" ht="15" hidden="false" customHeight="true" outlineLevel="0" collapsed="false">
      <c r="A126" s="49" t="s">
        <v>2252</v>
      </c>
      <c r="B126" s="50" t="s">
        <v>1233</v>
      </c>
      <c r="C126" s="49" t="s">
        <v>2418</v>
      </c>
      <c r="D126" s="49" t="s">
        <v>2419</v>
      </c>
      <c r="E126" s="49" t="str">
        <f aca="false">IF($C126=$D126,"○","≠")</f>
        <v>≠</v>
      </c>
      <c r="F126" s="49"/>
    </row>
    <row r="127" customFormat="false" ht="15" hidden="false" customHeight="true" outlineLevel="0" collapsed="false">
      <c r="A127" s="49" t="s">
        <v>2252</v>
      </c>
      <c r="B127" s="50" t="s">
        <v>1087</v>
      </c>
      <c r="C127" s="49" t="s">
        <v>2420</v>
      </c>
      <c r="D127" s="49" t="s">
        <v>2421</v>
      </c>
      <c r="E127" s="49" t="str">
        <f aca="false">IF($C127=$D127,"○","≠")</f>
        <v>≠</v>
      </c>
      <c r="F127" s="49" t="s">
        <v>2422</v>
      </c>
    </row>
    <row r="128" customFormat="false" ht="15" hidden="false" customHeight="true" outlineLevel="0" collapsed="false">
      <c r="A128" s="49" t="s">
        <v>2252</v>
      </c>
      <c r="B128" s="50" t="s">
        <v>830</v>
      </c>
      <c r="C128" s="49" t="s">
        <v>2423</v>
      </c>
      <c r="D128" s="49" t="s">
        <v>2424</v>
      </c>
      <c r="E128" s="49" t="str">
        <f aca="false">IF($C128=$D128,"○","≠")</f>
        <v>≠</v>
      </c>
      <c r="F128" s="49"/>
    </row>
    <row r="129" customFormat="false" ht="15" hidden="false" customHeight="true" outlineLevel="0" collapsed="false">
      <c r="A129" s="49" t="s">
        <v>2252</v>
      </c>
      <c r="B129" s="50" t="s">
        <v>462</v>
      </c>
      <c r="C129" s="49" t="s">
        <v>2425</v>
      </c>
      <c r="D129" s="49" t="s">
        <v>2426</v>
      </c>
      <c r="E129" s="49" t="str">
        <f aca="false">IF($C129=$D129,"○","≠")</f>
        <v>≠</v>
      </c>
      <c r="F129" s="49"/>
    </row>
    <row r="130" customFormat="false" ht="15" hidden="false" customHeight="true" outlineLevel="0" collapsed="false">
      <c r="A130" s="49" t="s">
        <v>2252</v>
      </c>
      <c r="B130" s="50" t="s">
        <v>443</v>
      </c>
      <c r="C130" s="49" t="s">
        <v>2427</v>
      </c>
      <c r="D130" s="49" t="s">
        <v>2428</v>
      </c>
      <c r="E130" s="49" t="str">
        <f aca="false">IF($C130=$D130,"○","≠")</f>
        <v>≠</v>
      </c>
      <c r="F130" s="49"/>
    </row>
    <row r="131" customFormat="false" ht="15" hidden="false" customHeight="true" outlineLevel="0" collapsed="false">
      <c r="A131" s="49" t="s">
        <v>2252</v>
      </c>
      <c r="B131" s="50" t="s">
        <v>480</v>
      </c>
      <c r="C131" s="49" t="s">
        <v>2429</v>
      </c>
      <c r="D131" s="49" t="s">
        <v>2430</v>
      </c>
      <c r="E131" s="49" t="str">
        <f aca="false">IF($C131=$D131,"○","≠")</f>
        <v>≠</v>
      </c>
      <c r="F131" s="49"/>
    </row>
    <row r="132" customFormat="false" ht="15" hidden="false" customHeight="true" outlineLevel="0" collapsed="false">
      <c r="A132" s="49" t="s">
        <v>2252</v>
      </c>
      <c r="B132" s="50" t="s">
        <v>427</v>
      </c>
      <c r="C132" s="49" t="s">
        <v>2431</v>
      </c>
      <c r="D132" s="49" t="s">
        <v>2432</v>
      </c>
      <c r="E132" s="49" t="str">
        <f aca="false">IF($C132=$D132,"○","≠")</f>
        <v>≠</v>
      </c>
      <c r="F132" s="49"/>
    </row>
    <row r="133" customFormat="false" ht="15" hidden="false" customHeight="true" outlineLevel="0" collapsed="false">
      <c r="A133" s="49" t="s">
        <v>2252</v>
      </c>
      <c r="B133" s="50" t="s">
        <v>988</v>
      </c>
      <c r="C133" s="49" t="s">
        <v>2433</v>
      </c>
      <c r="D133" s="49" t="s">
        <v>2434</v>
      </c>
      <c r="E133" s="49" t="str">
        <f aca="false">IF($C133=$D133,"○","≠")</f>
        <v>≠</v>
      </c>
      <c r="F133" s="49"/>
    </row>
    <row r="134" customFormat="false" ht="15" hidden="false" customHeight="true" outlineLevel="0" collapsed="false">
      <c r="A134" s="49" t="s">
        <v>2252</v>
      </c>
      <c r="B134" s="50" t="s">
        <v>1541</v>
      </c>
      <c r="C134" s="49" t="s">
        <v>2435</v>
      </c>
      <c r="D134" s="49" t="s">
        <v>2436</v>
      </c>
      <c r="E134" s="49" t="str">
        <f aca="false">IF($C134=$D134,"○","≠")</f>
        <v>≠</v>
      </c>
      <c r="F134" s="49"/>
    </row>
    <row r="135" customFormat="false" ht="15" hidden="false" customHeight="true" outlineLevel="0" collapsed="false">
      <c r="A135" s="49" t="s">
        <v>2252</v>
      </c>
      <c r="B135" s="50" t="s">
        <v>1513</v>
      </c>
      <c r="C135" s="49" t="s">
        <v>2437</v>
      </c>
      <c r="D135" s="49" t="s">
        <v>2438</v>
      </c>
      <c r="E135" s="49" t="str">
        <f aca="false">IF($C135=$D135,"○","≠")</f>
        <v>≠</v>
      </c>
      <c r="F135" s="49"/>
    </row>
    <row r="136" customFormat="false" ht="15" hidden="false" customHeight="true" outlineLevel="0" collapsed="false">
      <c r="A136" s="49" t="s">
        <v>2252</v>
      </c>
      <c r="B136" s="50" t="s">
        <v>495</v>
      </c>
      <c r="C136" s="49" t="s">
        <v>2439</v>
      </c>
      <c r="D136" s="49" t="s">
        <v>2440</v>
      </c>
      <c r="E136" s="49" t="str">
        <f aca="false">IF($C136=$D136,"○","≠")</f>
        <v>≠</v>
      </c>
      <c r="F136" s="49"/>
    </row>
    <row r="138" customFormat="false" ht="15" hidden="false" customHeight="true" outlineLevel="0" collapsed="false">
      <c r="A138" s="43" t="s">
        <v>2441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
    <col collapsed="false" customWidth="true" hidden="false" outlineLevel="0" max="3" min="3" style="1" width="24"/>
    <col collapsed="false" customWidth="true" hidden="false" outlineLevel="0" max="4" min="4" style="1" width="36"/>
    <col collapsed="false" customWidth="true" hidden="false" outlineLevel="0" max="5" min="5" style="1" width="34"/>
    <col collapsed="false" customWidth="true" hidden="false" outlineLevel="0" max="15" min="6" style="1" width="6"/>
    <col collapsed="false" customWidth="true" hidden="false" outlineLevel="0" max="16" min="16" style="1" width="7"/>
    <col collapsed="false" customWidth="true" hidden="true" outlineLevel="0" max="19" min="17" style="1" width="13"/>
  </cols>
  <sheetData>
    <row r="1" customFormat="false" ht="23.25" hidden="false" customHeight="true" outlineLevel="0" collapsed="false">
      <c r="A1" s="4" t="s">
        <v>392</v>
      </c>
      <c r="B1" s="4" t="s">
        <v>2</v>
      </c>
      <c r="C1" s="4" t="s">
        <v>2192</v>
      </c>
      <c r="D1" s="4" t="s">
        <v>2442</v>
      </c>
      <c r="E1" s="5" t="s">
        <v>2443</v>
      </c>
      <c r="F1" s="5" t="s">
        <v>86</v>
      </c>
      <c r="G1" s="5" t="s">
        <v>101</v>
      </c>
      <c r="H1" s="5" t="s">
        <v>13</v>
      </c>
      <c r="I1" s="5" t="s">
        <v>123</v>
      </c>
      <c r="J1" s="5" t="s">
        <v>21</v>
      </c>
      <c r="K1" s="5" t="s">
        <v>52</v>
      </c>
      <c r="L1" s="5" t="s">
        <v>259</v>
      </c>
      <c r="M1" s="5" t="s">
        <v>36</v>
      </c>
      <c r="N1" s="5" t="s">
        <v>74</v>
      </c>
      <c r="O1" s="5" t="s">
        <v>331</v>
      </c>
      <c r="P1" s="4" t="s">
        <v>393</v>
      </c>
      <c r="Q1" s="5" t="s">
        <v>394</v>
      </c>
      <c r="R1" s="5" t="s">
        <v>2444</v>
      </c>
      <c r="S1" s="5" t="s">
        <v>2445</v>
      </c>
    </row>
    <row r="2" customFormat="false" ht="15" hidden="false" customHeight="true" outlineLevel="0" collapsed="false">
      <c r="A2" s="49" t="str">
        <f aca="false">IFERROR(INDEX(対訳マスタ!$C$2:$C$136,MATCH($Q2,対訳マスタ!$B$2:$B$136,0)),$Q2)</f>
        <v>コミュニケーション言語活動</v>
      </c>
      <c r="B2" s="49" t="str">
        <f aca="false">IF($R2="—","—",IFERROR(INDEX(対訳マスタ!$C$2:$C$136,MATCH($R2,対訳マスタ!$B$2:$B$136,0)),$R2))</f>
        <v>受容</v>
      </c>
      <c r="C2" s="49" t="str">
        <f aca="false">IF($S2="—","—",IFERROR(INDEX(対訳マスタ!$C$2:$C$136,MATCH($S2,対訳マスタ!$B$2:$B$136,0)),$S2))</f>
        <v>口頭理解（聞くこと）</v>
      </c>
      <c r="D2" s="49" t="str">
        <f aca="false">IFERROR(INDEX(対訳マスタ!$C$2:$C$136,MATCH($E2,対訳マスタ!$B$2:$B$136,0)),$E2)</f>
        <v>口頭理解（総合）</v>
      </c>
      <c r="E2" s="50" t="s">
        <v>410</v>
      </c>
      <c r="F2" s="49" t="n">
        <f aca="false">COUNTIFS(Data!$B$2:$B$1833,$Q2,Data!$C$2:$C$1833,$R2,Data!$D$2:$D$1833,$S2,Data!$E$2:$E$1833,$E2,Data!$F$2:$F$1833,F$1,Data!$H$2:$H$1833,1)</f>
        <v>3</v>
      </c>
      <c r="G2" s="49" t="n">
        <f aca="false">COUNTIFS(Data!$B$2:$B$1833,$Q2,Data!$C$2:$C$1833,$R2,Data!$D$2:$D$1833,$S2,Data!$E$2:$E$1833,$E2,Data!$F$2:$F$1833,G$1,Data!$H$2:$H$1833,1)</f>
        <v>2</v>
      </c>
      <c r="H2" s="49" t="n">
        <f aca="false">COUNTIFS(Data!$B$2:$B$1833,$Q2,Data!$C$2:$C$1833,$R2,Data!$D$2:$D$1833,$S2,Data!$E$2:$E$1833,$E2,Data!$F$2:$F$1833,H$1,Data!$H$2:$H$1833,1)</f>
        <v>1</v>
      </c>
      <c r="I2" s="49" t="n">
        <f aca="false">COUNTIFS(Data!$B$2:$B$1833,$Q2,Data!$C$2:$C$1833,$R2,Data!$D$2:$D$1833,$S2,Data!$E$2:$E$1833,$E2,Data!$F$2:$F$1833,I$1,Data!$H$2:$H$1833,1)</f>
        <v>1</v>
      </c>
      <c r="J2" s="49" t="n">
        <f aca="false">COUNTIFS(Data!$B$2:$B$1833,$Q2,Data!$C$2:$C$1833,$R2,Data!$D$2:$D$1833,$S2,Data!$E$2:$E$1833,$E2,Data!$F$2:$F$1833,J$1,Data!$H$2:$H$1833,1)</f>
        <v>1</v>
      </c>
      <c r="K2" s="49" t="n">
        <f aca="false">COUNTIFS(Data!$B$2:$B$1833,$Q2,Data!$C$2:$C$1833,$R2,Data!$D$2:$D$1833,$S2,Data!$E$2:$E$1833,$E2,Data!$F$2:$F$1833,K$1,Data!$H$2:$H$1833,1)</f>
        <v>1</v>
      </c>
      <c r="L2" s="49" t="n">
        <f aca="false">COUNTIFS(Data!$B$2:$B$1833,$Q2,Data!$C$2:$C$1833,$R2,Data!$D$2:$D$1833,$S2,Data!$E$2:$E$1833,$E2,Data!$F$2:$F$1833,L$1,Data!$H$2:$H$1833,1)</f>
        <v>2</v>
      </c>
      <c r="M2" s="49" t="n">
        <f aca="false">COUNTIFS(Data!$B$2:$B$1833,$Q2,Data!$C$2:$C$1833,$R2,Data!$D$2:$D$1833,$S2,Data!$E$2:$E$1833,$E2,Data!$F$2:$F$1833,M$1,Data!$H$2:$H$1833,1)</f>
        <v>1</v>
      </c>
      <c r="N2" s="49" t="n">
        <f aca="false">COUNTIFS(Data!$B$2:$B$1833,$Q2,Data!$C$2:$C$1833,$R2,Data!$D$2:$D$1833,$S2,Data!$E$2:$E$1833,$E2,Data!$F$2:$F$1833,N$1,Data!$H$2:$H$1833,1)</f>
        <v>3</v>
      </c>
      <c r="O2" s="49" t="n">
        <f aca="false">COUNTIFS(Data!$B$2:$B$1833,$Q2,Data!$C$2:$C$1833,$R2,Data!$D$2:$D$1833,$S2,Data!$E$2:$E$1833,$E2,Data!$F$2:$F$1833,O$1,Data!$H$2:$H$1833,1)</f>
        <v>1</v>
      </c>
      <c r="P2" s="49" t="n">
        <f aca="false">SUM(F2:O2)</f>
        <v>16</v>
      </c>
      <c r="Q2" s="50" t="s">
        <v>395</v>
      </c>
      <c r="R2" s="50" t="s">
        <v>408</v>
      </c>
      <c r="S2" s="50" t="s">
        <v>409</v>
      </c>
    </row>
    <row r="3" customFormat="false" ht="15" hidden="false" customHeight="true" outlineLevel="0" collapsed="false">
      <c r="A3" s="49" t="str">
        <f aca="false">IFERROR(INDEX(対訳マスタ!$C$2:$C$136,MATCH($Q3,対訳マスタ!$B$2:$B$136,0)),$Q3)</f>
        <v>コミュニケーション言語活動</v>
      </c>
      <c r="B3" s="49" t="str">
        <f aca="false">IF($R3="—","—",IFERROR(INDEX(対訳マスタ!$C$2:$C$136,MATCH($R3,対訳マスタ!$B$2:$B$136,0)),$R3))</f>
        <v>受容</v>
      </c>
      <c r="C3" s="49" t="str">
        <f aca="false">IF($S3="—","—",IFERROR(INDEX(対訳マスタ!$C$2:$C$136,MATCH($S3,対訳マスタ!$B$2:$B$136,0)),$S3))</f>
        <v>口頭理解（聞くこと）</v>
      </c>
      <c r="D3" s="49" t="str">
        <f aca="false">IFERROR(INDEX(対訳マスタ!$C$2:$C$136,MATCH($E3,対訳マスタ!$B$2:$B$136,0)),$E3)</f>
        <v>第三者どうしの会話の聞き取り</v>
      </c>
      <c r="E3" s="50" t="s">
        <v>427</v>
      </c>
      <c r="F3" s="49" t="n">
        <f aca="false">COUNTIFS(Data!$B$2:$B$1833,$Q3,Data!$C$2:$C$1833,$R3,Data!$D$2:$D$1833,$S3,Data!$E$2:$E$1833,$E3,Data!$F$2:$F$1833,F$1,Data!$H$2:$H$1833,1)</f>
        <v>0</v>
      </c>
      <c r="G3" s="49" t="n">
        <f aca="false">COUNTIFS(Data!$B$2:$B$1833,$Q3,Data!$C$2:$C$1833,$R3,Data!$D$2:$D$1833,$S3,Data!$E$2:$E$1833,$E3,Data!$F$2:$F$1833,G$1,Data!$H$2:$H$1833,1)</f>
        <v>2</v>
      </c>
      <c r="H3" s="49" t="n">
        <f aca="false">COUNTIFS(Data!$B$2:$B$1833,$Q3,Data!$C$2:$C$1833,$R3,Data!$D$2:$D$1833,$S3,Data!$E$2:$E$1833,$E3,Data!$F$2:$F$1833,H$1,Data!$H$2:$H$1833,1)</f>
        <v>1</v>
      </c>
      <c r="I3" s="49" t="n">
        <f aca="false">COUNTIFS(Data!$B$2:$B$1833,$Q3,Data!$C$2:$C$1833,$R3,Data!$D$2:$D$1833,$S3,Data!$E$2:$E$1833,$E3,Data!$F$2:$F$1833,I$1,Data!$H$2:$H$1833,1)</f>
        <v>2</v>
      </c>
      <c r="J3" s="49" t="n">
        <f aca="false">COUNTIFS(Data!$B$2:$B$1833,$Q3,Data!$C$2:$C$1833,$R3,Data!$D$2:$D$1833,$S3,Data!$E$2:$E$1833,$E3,Data!$F$2:$F$1833,J$1,Data!$H$2:$H$1833,1)</f>
        <v>1</v>
      </c>
      <c r="K3" s="49" t="n">
        <f aca="false">COUNTIFS(Data!$B$2:$B$1833,$Q3,Data!$C$2:$C$1833,$R3,Data!$D$2:$D$1833,$S3,Data!$E$2:$E$1833,$E3,Data!$F$2:$F$1833,K$1,Data!$H$2:$H$1833,1)</f>
        <v>1</v>
      </c>
      <c r="L3" s="49" t="n">
        <f aca="false">COUNTIFS(Data!$B$2:$B$1833,$Q3,Data!$C$2:$C$1833,$R3,Data!$D$2:$D$1833,$S3,Data!$E$2:$E$1833,$E3,Data!$F$2:$F$1833,L$1,Data!$H$2:$H$1833,1)</f>
        <v>3</v>
      </c>
      <c r="M3" s="49" t="n">
        <f aca="false">COUNTIFS(Data!$B$2:$B$1833,$Q3,Data!$C$2:$C$1833,$R3,Data!$D$2:$D$1833,$S3,Data!$E$2:$E$1833,$E3,Data!$F$2:$F$1833,M$1,Data!$H$2:$H$1833,1)</f>
        <v>1</v>
      </c>
      <c r="N3" s="49" t="n">
        <f aca="false">COUNTIFS(Data!$B$2:$B$1833,$Q3,Data!$C$2:$C$1833,$R3,Data!$D$2:$D$1833,$S3,Data!$E$2:$E$1833,$E3,Data!$F$2:$F$1833,N$1,Data!$H$2:$H$1833,1)</f>
        <v>2</v>
      </c>
      <c r="O3" s="49" t="n">
        <f aca="false">COUNTIFS(Data!$B$2:$B$1833,$Q3,Data!$C$2:$C$1833,$R3,Data!$D$2:$D$1833,$S3,Data!$E$2:$E$1833,$E3,Data!$F$2:$F$1833,O$1,Data!$H$2:$H$1833,1)</f>
        <v>1</v>
      </c>
      <c r="P3" s="49" t="n">
        <f aca="false">SUM(F3:O3)</f>
        <v>14</v>
      </c>
      <c r="Q3" s="50" t="s">
        <v>395</v>
      </c>
      <c r="R3" s="50" t="s">
        <v>408</v>
      </c>
      <c r="S3" s="50" t="s">
        <v>409</v>
      </c>
    </row>
    <row r="4" customFormat="false" ht="15" hidden="false" customHeight="true" outlineLevel="0" collapsed="false">
      <c r="A4" s="49" t="str">
        <f aca="false">IFERROR(INDEX(対訳マスタ!$C$2:$C$136,MATCH($Q4,対訳マスタ!$B$2:$B$136,0)),$Q4)</f>
        <v>コミュニケーション言語活動</v>
      </c>
      <c r="B4" s="49" t="str">
        <f aca="false">IF($R4="—","—",IFERROR(INDEX(対訳マスタ!$C$2:$C$136,MATCH($R4,対訳マスタ!$B$2:$B$136,0)),$R4))</f>
        <v>受容</v>
      </c>
      <c r="C4" s="49" t="str">
        <f aca="false">IF($S4="—","—",IFERROR(INDEX(対訳マスタ!$C$2:$C$136,MATCH($S4,対訳マスタ!$B$2:$B$136,0)),$S4))</f>
        <v>口頭理解（聞くこと）</v>
      </c>
      <c r="D4" s="49" t="str">
        <f aca="false">IFERROR(INDEX(対訳マスタ!$C$2:$C$136,MATCH($E4,対訳マスタ!$B$2:$B$136,0)),$E4)</f>
        <v>聴衆としての聞き取り（講演など）</v>
      </c>
      <c r="E4" s="50" t="s">
        <v>443</v>
      </c>
      <c r="F4" s="49" t="n">
        <f aca="false">COUNTIFS(Data!$B$2:$B$1833,$Q4,Data!$C$2:$C$1833,$R4,Data!$D$2:$D$1833,$S4,Data!$E$2:$E$1833,$E4,Data!$F$2:$F$1833,F$1,Data!$H$2:$H$1833,1)</f>
        <v>0</v>
      </c>
      <c r="G4" s="49" t="n">
        <f aca="false">COUNTIFS(Data!$B$2:$B$1833,$Q4,Data!$C$2:$C$1833,$R4,Data!$D$2:$D$1833,$S4,Data!$E$2:$E$1833,$E4,Data!$F$2:$F$1833,G$1,Data!$H$2:$H$1833,1)</f>
        <v>1</v>
      </c>
      <c r="H4" s="49" t="n">
        <f aca="false">COUNTIFS(Data!$B$2:$B$1833,$Q4,Data!$C$2:$C$1833,$R4,Data!$D$2:$D$1833,$S4,Data!$E$2:$E$1833,$E4,Data!$F$2:$F$1833,H$1,Data!$H$2:$H$1833,1)</f>
        <v>2</v>
      </c>
      <c r="I4" s="49" t="n">
        <f aca="false">COUNTIFS(Data!$B$2:$B$1833,$Q4,Data!$C$2:$C$1833,$R4,Data!$D$2:$D$1833,$S4,Data!$E$2:$E$1833,$E4,Data!$F$2:$F$1833,I$1,Data!$H$2:$H$1833,1)</f>
        <v>1</v>
      </c>
      <c r="J4" s="49" t="n">
        <f aca="false">COUNTIFS(Data!$B$2:$B$1833,$Q4,Data!$C$2:$C$1833,$R4,Data!$D$2:$D$1833,$S4,Data!$E$2:$E$1833,$E4,Data!$F$2:$F$1833,J$1,Data!$H$2:$H$1833,1)</f>
        <v>3</v>
      </c>
      <c r="K4" s="49" t="n">
        <f aca="false">COUNTIFS(Data!$B$2:$B$1833,$Q4,Data!$C$2:$C$1833,$R4,Data!$D$2:$D$1833,$S4,Data!$E$2:$E$1833,$E4,Data!$F$2:$F$1833,K$1,Data!$H$2:$H$1833,1)</f>
        <v>2</v>
      </c>
      <c r="L4" s="49" t="n">
        <f aca="false">COUNTIFS(Data!$B$2:$B$1833,$Q4,Data!$C$2:$C$1833,$R4,Data!$D$2:$D$1833,$S4,Data!$E$2:$E$1833,$E4,Data!$F$2:$F$1833,L$1,Data!$H$2:$H$1833,1)</f>
        <v>3</v>
      </c>
      <c r="M4" s="49" t="n">
        <f aca="false">COUNTIFS(Data!$B$2:$B$1833,$Q4,Data!$C$2:$C$1833,$R4,Data!$D$2:$D$1833,$S4,Data!$E$2:$E$1833,$E4,Data!$F$2:$F$1833,M$1,Data!$H$2:$H$1833,1)</f>
        <v>2</v>
      </c>
      <c r="N4" s="49" t="n">
        <f aca="false">COUNTIFS(Data!$B$2:$B$1833,$Q4,Data!$C$2:$C$1833,$R4,Data!$D$2:$D$1833,$S4,Data!$E$2:$E$1833,$E4,Data!$F$2:$F$1833,N$1,Data!$H$2:$H$1833,1)</f>
        <v>1</v>
      </c>
      <c r="O4" s="49" t="n">
        <f aca="false">COUNTIFS(Data!$B$2:$B$1833,$Q4,Data!$C$2:$C$1833,$R4,Data!$D$2:$D$1833,$S4,Data!$E$2:$E$1833,$E4,Data!$F$2:$F$1833,O$1,Data!$H$2:$H$1833,1)</f>
        <v>3</v>
      </c>
      <c r="P4" s="49" t="n">
        <f aca="false">SUM(F4:O4)</f>
        <v>18</v>
      </c>
      <c r="Q4" s="50" t="s">
        <v>395</v>
      </c>
      <c r="R4" s="50" t="s">
        <v>408</v>
      </c>
      <c r="S4" s="50" t="s">
        <v>409</v>
      </c>
    </row>
    <row r="5" customFormat="false" ht="15" hidden="false" customHeight="true" outlineLevel="0" collapsed="false">
      <c r="A5" s="49" t="str">
        <f aca="false">IFERROR(INDEX(対訳マスタ!$C$2:$C$136,MATCH($Q5,対訳マスタ!$B$2:$B$136,0)),$Q5)</f>
        <v>コミュニケーション言語活動</v>
      </c>
      <c r="B5" s="49" t="str">
        <f aca="false">IF($R5="—","—",IFERROR(INDEX(対訳マスタ!$C$2:$C$136,MATCH($R5,対訳マスタ!$B$2:$B$136,0)),$R5))</f>
        <v>受容</v>
      </c>
      <c r="C5" s="49" t="str">
        <f aca="false">IF($S5="—","—",IFERROR(INDEX(対訳マスタ!$C$2:$C$136,MATCH($S5,対訳マスタ!$B$2:$B$136,0)),$S5))</f>
        <v>口頭理解（聞くこと）</v>
      </c>
      <c r="D5" s="49" t="str">
        <f aca="false">IFERROR(INDEX(対訳マスタ!$C$2:$C$136,MATCH($E5,対訳マスタ!$B$2:$B$136,0)),$E5)</f>
        <v>アナウンス・指示の聞き取り</v>
      </c>
      <c r="E5" s="50" t="s">
        <v>462</v>
      </c>
      <c r="F5" s="49" t="n">
        <f aca="false">COUNTIFS(Data!$B$2:$B$1833,$Q5,Data!$C$2:$C$1833,$R5,Data!$D$2:$D$1833,$S5,Data!$E$2:$E$1833,$E5,Data!$F$2:$F$1833,F$1,Data!$H$2:$H$1833,1)</f>
        <v>1</v>
      </c>
      <c r="G5" s="49" t="n">
        <f aca="false">COUNTIFS(Data!$B$2:$B$1833,$Q5,Data!$C$2:$C$1833,$R5,Data!$D$2:$D$1833,$S5,Data!$E$2:$E$1833,$E5,Data!$F$2:$F$1833,G$1,Data!$H$2:$H$1833,1)</f>
        <v>3</v>
      </c>
      <c r="H5" s="49" t="n">
        <f aca="false">COUNTIFS(Data!$B$2:$B$1833,$Q5,Data!$C$2:$C$1833,$R5,Data!$D$2:$D$1833,$S5,Data!$E$2:$E$1833,$E5,Data!$F$2:$F$1833,H$1,Data!$H$2:$H$1833,1)</f>
        <v>3</v>
      </c>
      <c r="I5" s="49" t="n">
        <f aca="false">COUNTIFS(Data!$B$2:$B$1833,$Q5,Data!$C$2:$C$1833,$R5,Data!$D$2:$D$1833,$S5,Data!$E$2:$E$1833,$E5,Data!$F$2:$F$1833,I$1,Data!$H$2:$H$1833,1)</f>
        <v>2</v>
      </c>
      <c r="J5" s="49" t="n">
        <f aca="false">COUNTIFS(Data!$B$2:$B$1833,$Q5,Data!$C$2:$C$1833,$R5,Data!$D$2:$D$1833,$S5,Data!$E$2:$E$1833,$E5,Data!$F$2:$F$1833,J$1,Data!$H$2:$H$1833,1)</f>
        <v>3</v>
      </c>
      <c r="K5" s="49" t="n">
        <f aca="false">COUNTIFS(Data!$B$2:$B$1833,$Q5,Data!$C$2:$C$1833,$R5,Data!$D$2:$D$1833,$S5,Data!$E$2:$E$1833,$E5,Data!$F$2:$F$1833,K$1,Data!$H$2:$H$1833,1)</f>
        <v>0</v>
      </c>
      <c r="L5" s="49" t="n">
        <f aca="false">COUNTIFS(Data!$B$2:$B$1833,$Q5,Data!$C$2:$C$1833,$R5,Data!$D$2:$D$1833,$S5,Data!$E$2:$E$1833,$E5,Data!$F$2:$F$1833,L$1,Data!$H$2:$H$1833,1)</f>
        <v>2</v>
      </c>
      <c r="M5" s="49" t="n">
        <f aca="false">COUNTIFS(Data!$B$2:$B$1833,$Q5,Data!$C$2:$C$1833,$R5,Data!$D$2:$D$1833,$S5,Data!$E$2:$E$1833,$E5,Data!$F$2:$F$1833,M$1,Data!$H$2:$H$1833,1)</f>
        <v>0</v>
      </c>
      <c r="N5" s="49" t="n">
        <f aca="false">COUNTIFS(Data!$B$2:$B$1833,$Q5,Data!$C$2:$C$1833,$R5,Data!$D$2:$D$1833,$S5,Data!$E$2:$E$1833,$E5,Data!$F$2:$F$1833,N$1,Data!$H$2:$H$1833,1)</f>
        <v>2</v>
      </c>
      <c r="O5" s="49" t="n">
        <f aca="false">COUNTIFS(Data!$B$2:$B$1833,$Q5,Data!$C$2:$C$1833,$R5,Data!$D$2:$D$1833,$S5,Data!$E$2:$E$1833,$E5,Data!$F$2:$F$1833,O$1,Data!$H$2:$H$1833,1)</f>
        <v>0</v>
      </c>
      <c r="P5" s="49" t="n">
        <f aca="false">SUM(F5:O5)</f>
        <v>16</v>
      </c>
      <c r="Q5" s="50" t="s">
        <v>395</v>
      </c>
      <c r="R5" s="50" t="s">
        <v>408</v>
      </c>
      <c r="S5" s="50" t="s">
        <v>409</v>
      </c>
    </row>
    <row r="6" customFormat="false" ht="15" hidden="false" customHeight="true" outlineLevel="0" collapsed="false">
      <c r="A6" s="49" t="str">
        <f aca="false">IFERROR(INDEX(対訳マスタ!$C$2:$C$136,MATCH($Q6,対訳マスタ!$B$2:$B$136,0)),$Q6)</f>
        <v>コミュニケーション言語活動</v>
      </c>
      <c r="B6" s="49" t="str">
        <f aca="false">IF($R6="—","—",IFERROR(INDEX(対訳マスタ!$C$2:$C$136,MATCH($R6,対訳マスタ!$B$2:$B$136,0)),$R6))</f>
        <v>受容</v>
      </c>
      <c r="C6" s="49" t="str">
        <f aca="false">IF($S6="—","—",IFERROR(INDEX(対訳マスタ!$C$2:$C$136,MATCH($S6,対訳マスタ!$B$2:$B$136,0)),$S6))</f>
        <v>口頭理解（聞くこと）</v>
      </c>
      <c r="D6" s="49" t="str">
        <f aca="false">IFERROR(INDEX(対訳マスタ!$C$2:$C$136,MATCH($E6,対訳マスタ!$B$2:$B$136,0)),$E6)</f>
        <v>音声メディア・録音の聞き取り</v>
      </c>
      <c r="E6" s="50" t="s">
        <v>480</v>
      </c>
      <c r="F6" s="49" t="n">
        <f aca="false">COUNTIFS(Data!$B$2:$B$1833,$Q6,Data!$C$2:$C$1833,$R6,Data!$D$2:$D$1833,$S6,Data!$E$2:$E$1833,$E6,Data!$F$2:$F$1833,F$1,Data!$H$2:$H$1833,1)</f>
        <v>1</v>
      </c>
      <c r="G6" s="49" t="n">
        <f aca="false">COUNTIFS(Data!$B$2:$B$1833,$Q6,Data!$C$2:$C$1833,$R6,Data!$D$2:$D$1833,$S6,Data!$E$2:$E$1833,$E6,Data!$F$2:$F$1833,G$1,Data!$H$2:$H$1833,1)</f>
        <v>1</v>
      </c>
      <c r="H6" s="49" t="n">
        <f aca="false">COUNTIFS(Data!$B$2:$B$1833,$Q6,Data!$C$2:$C$1833,$R6,Data!$D$2:$D$1833,$S6,Data!$E$2:$E$1833,$E6,Data!$F$2:$F$1833,H$1,Data!$H$2:$H$1833,1)</f>
        <v>3</v>
      </c>
      <c r="I6" s="49" t="n">
        <f aca="false">COUNTIFS(Data!$B$2:$B$1833,$Q6,Data!$C$2:$C$1833,$R6,Data!$D$2:$D$1833,$S6,Data!$E$2:$E$1833,$E6,Data!$F$2:$F$1833,I$1,Data!$H$2:$H$1833,1)</f>
        <v>2</v>
      </c>
      <c r="J6" s="49" t="n">
        <f aca="false">COUNTIFS(Data!$B$2:$B$1833,$Q6,Data!$C$2:$C$1833,$R6,Data!$D$2:$D$1833,$S6,Data!$E$2:$E$1833,$E6,Data!$F$2:$F$1833,J$1,Data!$H$2:$H$1833,1)</f>
        <v>2</v>
      </c>
      <c r="K6" s="49" t="n">
        <f aca="false">COUNTIFS(Data!$B$2:$B$1833,$Q6,Data!$C$2:$C$1833,$R6,Data!$D$2:$D$1833,$S6,Data!$E$2:$E$1833,$E6,Data!$F$2:$F$1833,K$1,Data!$H$2:$H$1833,1)</f>
        <v>1</v>
      </c>
      <c r="L6" s="49" t="n">
        <f aca="false">COUNTIFS(Data!$B$2:$B$1833,$Q6,Data!$C$2:$C$1833,$R6,Data!$D$2:$D$1833,$S6,Data!$E$2:$E$1833,$E6,Data!$F$2:$F$1833,L$1,Data!$H$2:$H$1833,1)</f>
        <v>1</v>
      </c>
      <c r="M6" s="49" t="n">
        <f aca="false">COUNTIFS(Data!$B$2:$B$1833,$Q6,Data!$C$2:$C$1833,$R6,Data!$D$2:$D$1833,$S6,Data!$E$2:$E$1833,$E6,Data!$F$2:$F$1833,M$1,Data!$H$2:$H$1833,1)</f>
        <v>1</v>
      </c>
      <c r="N6" s="49" t="n">
        <f aca="false">COUNTIFS(Data!$B$2:$B$1833,$Q6,Data!$C$2:$C$1833,$R6,Data!$D$2:$D$1833,$S6,Data!$E$2:$E$1833,$E6,Data!$F$2:$F$1833,N$1,Data!$H$2:$H$1833,1)</f>
        <v>1</v>
      </c>
      <c r="O6" s="49" t="n">
        <f aca="false">COUNTIFS(Data!$B$2:$B$1833,$Q6,Data!$C$2:$C$1833,$R6,Data!$D$2:$D$1833,$S6,Data!$E$2:$E$1833,$E6,Data!$F$2:$F$1833,O$1,Data!$H$2:$H$1833,1)</f>
        <v>0</v>
      </c>
      <c r="P6" s="49" t="n">
        <f aca="false">SUM(F6:O6)</f>
        <v>13</v>
      </c>
      <c r="Q6" s="50" t="s">
        <v>395</v>
      </c>
      <c r="R6" s="50" t="s">
        <v>408</v>
      </c>
      <c r="S6" s="50" t="s">
        <v>409</v>
      </c>
    </row>
    <row r="7" customFormat="false" ht="15" hidden="false" customHeight="true" outlineLevel="0" collapsed="false">
      <c r="A7" s="49" t="str">
        <f aca="false">IFERROR(INDEX(対訳マスタ!$C$2:$C$136,MATCH($Q7,対訳マスタ!$B$2:$B$136,0)),$Q7)</f>
        <v>コミュニケーション言語活動</v>
      </c>
      <c r="B7" s="49" t="str">
        <f aca="false">IF($R7="—","—",IFERROR(INDEX(対訳マスタ!$C$2:$C$136,MATCH($R7,対訳マスタ!$B$2:$B$136,0)),$R7))</f>
        <v>受容</v>
      </c>
      <c r="C7" s="49" t="str">
        <f aca="false">IF($S7="—","—",IFERROR(INDEX(対訳マスタ!$C$2:$C$136,MATCH($S7,対訳マスタ!$B$2:$B$136,0)),$S7))</f>
        <v>視聴覚理解</v>
      </c>
      <c r="D7" s="49" t="str">
        <f aca="false">IFERROR(INDEX(対訳マスタ!$C$2:$C$136,MATCH($E7,対訳マスタ!$B$2:$B$136,0)),$E7)</f>
        <v>テレビ・映画・動画の視聴</v>
      </c>
      <c r="E7" s="50" t="s">
        <v>495</v>
      </c>
      <c r="F7" s="49" t="n">
        <f aca="false">COUNTIFS(Data!$B$2:$B$1833,$Q7,Data!$C$2:$C$1833,$R7,Data!$D$2:$D$1833,$S7,Data!$E$2:$E$1833,$E7,Data!$F$2:$F$1833,F$1,Data!$H$2:$H$1833,1)</f>
        <v>1</v>
      </c>
      <c r="G7" s="49" t="n">
        <f aca="false">COUNTIFS(Data!$B$2:$B$1833,$Q7,Data!$C$2:$C$1833,$R7,Data!$D$2:$D$1833,$S7,Data!$E$2:$E$1833,$E7,Data!$F$2:$F$1833,G$1,Data!$H$2:$H$1833,1)</f>
        <v>1</v>
      </c>
      <c r="H7" s="49" t="n">
        <f aca="false">COUNTIFS(Data!$B$2:$B$1833,$Q7,Data!$C$2:$C$1833,$R7,Data!$D$2:$D$1833,$S7,Data!$E$2:$E$1833,$E7,Data!$F$2:$F$1833,H$1,Data!$H$2:$H$1833,1)</f>
        <v>1</v>
      </c>
      <c r="I7" s="49" t="n">
        <f aca="false">COUNTIFS(Data!$B$2:$B$1833,$Q7,Data!$C$2:$C$1833,$R7,Data!$D$2:$D$1833,$S7,Data!$E$2:$E$1833,$E7,Data!$F$2:$F$1833,I$1,Data!$H$2:$H$1833,1)</f>
        <v>2</v>
      </c>
      <c r="J7" s="49" t="n">
        <f aca="false">COUNTIFS(Data!$B$2:$B$1833,$Q7,Data!$C$2:$C$1833,$R7,Data!$D$2:$D$1833,$S7,Data!$E$2:$E$1833,$E7,Data!$F$2:$F$1833,J$1,Data!$H$2:$H$1833,1)</f>
        <v>2</v>
      </c>
      <c r="K7" s="49" t="n">
        <f aca="false">COUNTIFS(Data!$B$2:$B$1833,$Q7,Data!$C$2:$C$1833,$R7,Data!$D$2:$D$1833,$S7,Data!$E$2:$E$1833,$E7,Data!$F$2:$F$1833,K$1,Data!$H$2:$H$1833,1)</f>
        <v>1</v>
      </c>
      <c r="L7" s="49" t="n">
        <f aca="false">COUNTIFS(Data!$B$2:$B$1833,$Q7,Data!$C$2:$C$1833,$R7,Data!$D$2:$D$1833,$S7,Data!$E$2:$E$1833,$E7,Data!$F$2:$F$1833,L$1,Data!$H$2:$H$1833,1)</f>
        <v>2</v>
      </c>
      <c r="M7" s="49" t="n">
        <f aca="false">COUNTIFS(Data!$B$2:$B$1833,$Q7,Data!$C$2:$C$1833,$R7,Data!$D$2:$D$1833,$S7,Data!$E$2:$E$1833,$E7,Data!$F$2:$F$1833,M$1,Data!$H$2:$H$1833,1)</f>
        <v>1</v>
      </c>
      <c r="N7" s="49" t="n">
        <f aca="false">COUNTIFS(Data!$B$2:$B$1833,$Q7,Data!$C$2:$C$1833,$R7,Data!$D$2:$D$1833,$S7,Data!$E$2:$E$1833,$E7,Data!$F$2:$F$1833,N$1,Data!$H$2:$H$1833,1)</f>
        <v>3</v>
      </c>
      <c r="O7" s="49" t="n">
        <f aca="false">COUNTIFS(Data!$B$2:$B$1833,$Q7,Data!$C$2:$C$1833,$R7,Data!$D$2:$D$1833,$S7,Data!$E$2:$E$1833,$E7,Data!$F$2:$F$1833,O$1,Data!$H$2:$H$1833,1)</f>
        <v>0</v>
      </c>
      <c r="P7" s="49" t="n">
        <f aca="false">SUM(F7:O7)</f>
        <v>14</v>
      </c>
      <c r="Q7" s="50" t="s">
        <v>395</v>
      </c>
      <c r="R7" s="50" t="s">
        <v>408</v>
      </c>
      <c r="S7" s="50" t="s">
        <v>494</v>
      </c>
    </row>
    <row r="8" customFormat="false" ht="15" hidden="false" customHeight="true" outlineLevel="0" collapsed="false">
      <c r="A8" s="49" t="str">
        <f aca="false">IFERROR(INDEX(対訳マスタ!$C$2:$C$136,MATCH($Q8,対訳マスタ!$B$2:$B$136,0)),$Q8)</f>
        <v>コミュニケーション言語活動</v>
      </c>
      <c r="B8" s="49" t="str">
        <f aca="false">IF($R8="—","—",IFERROR(INDEX(対訳マスタ!$C$2:$C$136,MATCH($R8,対訳マスタ!$B$2:$B$136,0)),$R8))</f>
        <v>受容</v>
      </c>
      <c r="C8" s="49" t="str">
        <f aca="false">IF($S8="—","—",IFERROR(INDEX(対訳マスタ!$C$2:$C$136,MATCH($S8,対訳マスタ!$B$2:$B$136,0)),$S8))</f>
        <v>読解（読むこと）</v>
      </c>
      <c r="D8" s="49" t="str">
        <f aca="false">IFERROR(INDEX(対訳マスタ!$C$2:$C$136,MATCH($E8,対訳マスタ!$B$2:$B$136,0)),$E8)</f>
        <v>読解（総合）</v>
      </c>
      <c r="E8" s="50" t="s">
        <v>511</v>
      </c>
      <c r="F8" s="49" t="n">
        <f aca="false">COUNTIFS(Data!$B$2:$B$1833,$Q8,Data!$C$2:$C$1833,$R8,Data!$D$2:$D$1833,$S8,Data!$E$2:$E$1833,$E8,Data!$F$2:$F$1833,F$1,Data!$H$2:$H$1833,1)</f>
        <v>1</v>
      </c>
      <c r="G8" s="49" t="n">
        <f aca="false">COUNTIFS(Data!$B$2:$B$1833,$Q8,Data!$C$2:$C$1833,$R8,Data!$D$2:$D$1833,$S8,Data!$E$2:$E$1833,$E8,Data!$F$2:$F$1833,G$1,Data!$H$2:$H$1833,1)</f>
        <v>1</v>
      </c>
      <c r="H8" s="49" t="n">
        <f aca="false">COUNTIFS(Data!$B$2:$B$1833,$Q8,Data!$C$2:$C$1833,$R8,Data!$D$2:$D$1833,$S8,Data!$E$2:$E$1833,$E8,Data!$F$2:$F$1833,H$1,Data!$H$2:$H$1833,1)</f>
        <v>1</v>
      </c>
      <c r="I8" s="49" t="n">
        <f aca="false">COUNTIFS(Data!$B$2:$B$1833,$Q8,Data!$C$2:$C$1833,$R8,Data!$D$2:$D$1833,$S8,Data!$E$2:$E$1833,$E8,Data!$F$2:$F$1833,I$1,Data!$H$2:$H$1833,1)</f>
        <v>1</v>
      </c>
      <c r="J8" s="49" t="n">
        <f aca="false">COUNTIFS(Data!$B$2:$B$1833,$Q8,Data!$C$2:$C$1833,$R8,Data!$D$2:$D$1833,$S8,Data!$E$2:$E$1833,$E8,Data!$F$2:$F$1833,J$1,Data!$H$2:$H$1833,1)</f>
        <v>1</v>
      </c>
      <c r="K8" s="49" t="n">
        <f aca="false">COUNTIFS(Data!$B$2:$B$1833,$Q8,Data!$C$2:$C$1833,$R8,Data!$D$2:$D$1833,$S8,Data!$E$2:$E$1833,$E8,Data!$F$2:$F$1833,K$1,Data!$H$2:$H$1833,1)</f>
        <v>0</v>
      </c>
      <c r="L8" s="49" t="n">
        <f aca="false">COUNTIFS(Data!$B$2:$B$1833,$Q8,Data!$C$2:$C$1833,$R8,Data!$D$2:$D$1833,$S8,Data!$E$2:$E$1833,$E8,Data!$F$2:$F$1833,L$1,Data!$H$2:$H$1833,1)</f>
        <v>1</v>
      </c>
      <c r="M8" s="49" t="n">
        <f aca="false">COUNTIFS(Data!$B$2:$B$1833,$Q8,Data!$C$2:$C$1833,$R8,Data!$D$2:$D$1833,$S8,Data!$E$2:$E$1833,$E8,Data!$F$2:$F$1833,M$1,Data!$H$2:$H$1833,1)</f>
        <v>0</v>
      </c>
      <c r="N8" s="49" t="n">
        <f aca="false">COUNTIFS(Data!$B$2:$B$1833,$Q8,Data!$C$2:$C$1833,$R8,Data!$D$2:$D$1833,$S8,Data!$E$2:$E$1833,$E8,Data!$F$2:$F$1833,N$1,Data!$H$2:$H$1833,1)</f>
        <v>2</v>
      </c>
      <c r="O8" s="49" t="n">
        <f aca="false">COUNTIFS(Data!$B$2:$B$1833,$Q8,Data!$C$2:$C$1833,$R8,Data!$D$2:$D$1833,$S8,Data!$E$2:$E$1833,$E8,Data!$F$2:$F$1833,O$1,Data!$H$2:$H$1833,1)</f>
        <v>2</v>
      </c>
      <c r="P8" s="49" t="n">
        <f aca="false">SUM(F8:O8)</f>
        <v>10</v>
      </c>
      <c r="Q8" s="50" t="s">
        <v>395</v>
      </c>
      <c r="R8" s="50" t="s">
        <v>408</v>
      </c>
      <c r="S8" s="50" t="s">
        <v>510</v>
      </c>
    </row>
    <row r="9" customFormat="false" ht="15" hidden="false" customHeight="true" outlineLevel="0" collapsed="false">
      <c r="A9" s="49" t="str">
        <f aca="false">IFERROR(INDEX(対訳マスタ!$C$2:$C$136,MATCH($Q9,対訳マスタ!$B$2:$B$136,0)),$Q9)</f>
        <v>コミュニケーション言語活動</v>
      </c>
      <c r="B9" s="49" t="str">
        <f aca="false">IF($R9="—","—",IFERROR(INDEX(対訳マスタ!$C$2:$C$136,MATCH($R9,対訳マスタ!$B$2:$B$136,0)),$R9))</f>
        <v>受容</v>
      </c>
      <c r="C9" s="49" t="str">
        <f aca="false">IF($S9="—","—",IFERROR(INDEX(対訳マスタ!$C$2:$C$136,MATCH($S9,対訳マスタ!$B$2:$B$136,0)),$S9))</f>
        <v>読解（読むこと）</v>
      </c>
      <c r="D9" s="49" t="str">
        <f aca="false">IFERROR(INDEX(対訳マスタ!$C$2:$C$136,MATCH($E9,対訳マスタ!$B$2:$B$136,0)),$E9)</f>
        <v>手紙・メールを読む</v>
      </c>
      <c r="E9" s="50" t="s">
        <v>522</v>
      </c>
      <c r="F9" s="49" t="n">
        <f aca="false">COUNTIFS(Data!$B$2:$B$1833,$Q9,Data!$C$2:$C$1833,$R9,Data!$D$2:$D$1833,$S9,Data!$E$2:$E$1833,$E9,Data!$F$2:$F$1833,F$1,Data!$H$2:$H$1833,1)</f>
        <v>2</v>
      </c>
      <c r="G9" s="49" t="n">
        <f aca="false">COUNTIFS(Data!$B$2:$B$1833,$Q9,Data!$C$2:$C$1833,$R9,Data!$D$2:$D$1833,$S9,Data!$E$2:$E$1833,$E9,Data!$F$2:$F$1833,G$1,Data!$H$2:$H$1833,1)</f>
        <v>2</v>
      </c>
      <c r="H9" s="49" t="n">
        <f aca="false">COUNTIFS(Data!$B$2:$B$1833,$Q9,Data!$C$2:$C$1833,$R9,Data!$D$2:$D$1833,$S9,Data!$E$2:$E$1833,$E9,Data!$F$2:$F$1833,H$1,Data!$H$2:$H$1833,1)</f>
        <v>2</v>
      </c>
      <c r="I9" s="49" t="n">
        <f aca="false">COUNTIFS(Data!$B$2:$B$1833,$Q9,Data!$C$2:$C$1833,$R9,Data!$D$2:$D$1833,$S9,Data!$E$2:$E$1833,$E9,Data!$F$2:$F$1833,I$1,Data!$H$2:$H$1833,1)</f>
        <v>2</v>
      </c>
      <c r="J9" s="49" t="n">
        <f aca="false">COUNTIFS(Data!$B$2:$B$1833,$Q9,Data!$C$2:$C$1833,$R9,Data!$D$2:$D$1833,$S9,Data!$E$2:$E$1833,$E9,Data!$F$2:$F$1833,J$1,Data!$H$2:$H$1833,1)</f>
        <v>3</v>
      </c>
      <c r="K9" s="49" t="n">
        <f aca="false">COUNTIFS(Data!$B$2:$B$1833,$Q9,Data!$C$2:$C$1833,$R9,Data!$D$2:$D$1833,$S9,Data!$E$2:$E$1833,$E9,Data!$F$2:$F$1833,K$1,Data!$H$2:$H$1833,1)</f>
        <v>1</v>
      </c>
      <c r="L9" s="49" t="n">
        <f aca="false">COUNTIFS(Data!$B$2:$B$1833,$Q9,Data!$C$2:$C$1833,$R9,Data!$D$2:$D$1833,$S9,Data!$E$2:$E$1833,$E9,Data!$F$2:$F$1833,L$1,Data!$H$2:$H$1833,1)</f>
        <v>2</v>
      </c>
      <c r="M9" s="49" t="n">
        <f aca="false">COUNTIFS(Data!$B$2:$B$1833,$Q9,Data!$C$2:$C$1833,$R9,Data!$D$2:$D$1833,$S9,Data!$E$2:$E$1833,$E9,Data!$F$2:$F$1833,M$1,Data!$H$2:$H$1833,1)</f>
        <v>0</v>
      </c>
      <c r="N9" s="49" t="n">
        <f aca="false">COUNTIFS(Data!$B$2:$B$1833,$Q9,Data!$C$2:$C$1833,$R9,Data!$D$2:$D$1833,$S9,Data!$E$2:$E$1833,$E9,Data!$F$2:$F$1833,N$1,Data!$H$2:$H$1833,1)</f>
        <v>3</v>
      </c>
      <c r="O9" s="49" t="n">
        <f aca="false">COUNTIFS(Data!$B$2:$B$1833,$Q9,Data!$C$2:$C$1833,$R9,Data!$D$2:$D$1833,$S9,Data!$E$2:$E$1833,$E9,Data!$F$2:$F$1833,O$1,Data!$H$2:$H$1833,1)</f>
        <v>1</v>
      </c>
      <c r="P9" s="49" t="n">
        <f aca="false">SUM(F9:O9)</f>
        <v>18</v>
      </c>
      <c r="Q9" s="50" t="s">
        <v>395</v>
      </c>
      <c r="R9" s="50" t="s">
        <v>408</v>
      </c>
      <c r="S9" s="50" t="s">
        <v>510</v>
      </c>
    </row>
    <row r="10" customFormat="false" ht="15" hidden="false" customHeight="true" outlineLevel="0" collapsed="false">
      <c r="A10" s="49" t="str">
        <f aca="false">IFERROR(INDEX(対訳マスタ!$C$2:$C$136,MATCH($Q10,対訳マスタ!$B$2:$B$136,0)),$Q10)</f>
        <v>コミュニケーション言語活動</v>
      </c>
      <c r="B10" s="49" t="str">
        <f aca="false">IF($R10="—","—",IFERROR(INDEX(対訳マスタ!$C$2:$C$136,MATCH($R10,対訳マスタ!$B$2:$B$136,0)),$R10))</f>
        <v>受容</v>
      </c>
      <c r="C10" s="49" t="str">
        <f aca="false">IF($S10="—","—",IFERROR(INDEX(対訳マスタ!$C$2:$C$136,MATCH($S10,対訳マスタ!$B$2:$B$136,0)),$S10))</f>
        <v>読解（読むこと）</v>
      </c>
      <c r="D10" s="49" t="str">
        <f aca="false">IFERROR(INDEX(対訳マスタ!$C$2:$C$136,MATCH($E10,対訳マスタ!$B$2:$B$136,0)),$E10)</f>
        <v>目当ての情報を探す読み（拾い読み）</v>
      </c>
      <c r="E10" s="50" t="s">
        <v>541</v>
      </c>
      <c r="F10" s="49" t="n">
        <f aca="false">COUNTIFS(Data!$B$2:$B$1833,$Q10,Data!$C$2:$C$1833,$R10,Data!$D$2:$D$1833,$S10,Data!$E$2:$E$1833,$E10,Data!$F$2:$F$1833,F$1,Data!$H$2:$H$1833,1)</f>
        <v>2</v>
      </c>
      <c r="G10" s="49" t="n">
        <f aca="false">COUNTIFS(Data!$B$2:$B$1833,$Q10,Data!$C$2:$C$1833,$R10,Data!$D$2:$D$1833,$S10,Data!$E$2:$E$1833,$E10,Data!$F$2:$F$1833,G$1,Data!$H$2:$H$1833,1)</f>
        <v>4</v>
      </c>
      <c r="H10" s="49" t="n">
        <f aca="false">COUNTIFS(Data!$B$2:$B$1833,$Q10,Data!$C$2:$C$1833,$R10,Data!$D$2:$D$1833,$S10,Data!$E$2:$E$1833,$E10,Data!$F$2:$F$1833,H$1,Data!$H$2:$H$1833,1)</f>
        <v>3</v>
      </c>
      <c r="I10" s="49" t="n">
        <f aca="false">COUNTIFS(Data!$B$2:$B$1833,$Q10,Data!$C$2:$C$1833,$R10,Data!$D$2:$D$1833,$S10,Data!$E$2:$E$1833,$E10,Data!$F$2:$F$1833,I$1,Data!$H$2:$H$1833,1)</f>
        <v>2</v>
      </c>
      <c r="J10" s="49" t="n">
        <f aca="false">COUNTIFS(Data!$B$2:$B$1833,$Q10,Data!$C$2:$C$1833,$R10,Data!$D$2:$D$1833,$S10,Data!$E$2:$E$1833,$E10,Data!$F$2:$F$1833,J$1,Data!$H$2:$H$1833,1)</f>
        <v>4</v>
      </c>
      <c r="K10" s="49" t="n">
        <f aca="false">COUNTIFS(Data!$B$2:$B$1833,$Q10,Data!$C$2:$C$1833,$R10,Data!$D$2:$D$1833,$S10,Data!$E$2:$E$1833,$E10,Data!$F$2:$F$1833,K$1,Data!$H$2:$H$1833,1)</f>
        <v>2</v>
      </c>
      <c r="L10" s="49" t="n">
        <f aca="false">COUNTIFS(Data!$B$2:$B$1833,$Q10,Data!$C$2:$C$1833,$R10,Data!$D$2:$D$1833,$S10,Data!$E$2:$E$1833,$E10,Data!$F$2:$F$1833,L$1,Data!$H$2:$H$1833,1)</f>
        <v>2</v>
      </c>
      <c r="M10" s="49" t="n">
        <f aca="false">COUNTIFS(Data!$B$2:$B$1833,$Q10,Data!$C$2:$C$1833,$R10,Data!$D$2:$D$1833,$S10,Data!$E$2:$E$1833,$E10,Data!$F$2:$F$1833,M$1,Data!$H$2:$H$1833,1)</f>
        <v>1</v>
      </c>
      <c r="N10" s="49" t="n">
        <f aca="false">COUNTIFS(Data!$B$2:$B$1833,$Q10,Data!$C$2:$C$1833,$R10,Data!$D$2:$D$1833,$S10,Data!$E$2:$E$1833,$E10,Data!$F$2:$F$1833,N$1,Data!$H$2:$H$1833,1)</f>
        <v>0</v>
      </c>
      <c r="O10" s="49" t="n">
        <f aca="false">COUNTIFS(Data!$B$2:$B$1833,$Q10,Data!$C$2:$C$1833,$R10,Data!$D$2:$D$1833,$S10,Data!$E$2:$E$1833,$E10,Data!$F$2:$F$1833,O$1,Data!$H$2:$H$1833,1)</f>
        <v>0</v>
      </c>
      <c r="P10" s="49" t="n">
        <f aca="false">SUM(F10:O10)</f>
        <v>20</v>
      </c>
      <c r="Q10" s="50" t="s">
        <v>395</v>
      </c>
      <c r="R10" s="50" t="s">
        <v>408</v>
      </c>
      <c r="S10" s="50" t="s">
        <v>510</v>
      </c>
    </row>
    <row r="11" customFormat="false" ht="15" hidden="false" customHeight="true" outlineLevel="0" collapsed="false">
      <c r="A11" s="49" t="str">
        <f aca="false">IFERROR(INDEX(対訳マスタ!$C$2:$C$136,MATCH($Q11,対訳マスタ!$B$2:$B$136,0)),$Q11)</f>
        <v>コミュニケーション言語活動</v>
      </c>
      <c r="B11" s="49" t="str">
        <f aca="false">IF($R11="—","—",IFERROR(INDEX(対訳マスタ!$C$2:$C$136,MATCH($R11,対訳マスタ!$B$2:$B$136,0)),$R11))</f>
        <v>受容</v>
      </c>
      <c r="C11" s="49" t="str">
        <f aca="false">IF($S11="—","—",IFERROR(INDEX(対訳マスタ!$C$2:$C$136,MATCH($S11,対訳マスタ!$B$2:$B$136,0)),$S11))</f>
        <v>読解（読むこと）</v>
      </c>
      <c r="D11" s="49" t="str">
        <f aca="false">IFERROR(INDEX(対訳マスタ!$C$2:$C$136,MATCH($E11,対訳マスタ!$B$2:$B$136,0)),$E11)</f>
        <v>情報・論旨の読み取り</v>
      </c>
      <c r="E11" s="50" t="s">
        <v>563</v>
      </c>
      <c r="F11" s="49" t="n">
        <f aca="false">COUNTIFS(Data!$B$2:$B$1833,$Q11,Data!$C$2:$C$1833,$R11,Data!$D$2:$D$1833,$S11,Data!$E$2:$E$1833,$E11,Data!$F$2:$F$1833,F$1,Data!$H$2:$H$1833,1)</f>
        <v>1</v>
      </c>
      <c r="G11" s="49" t="n">
        <f aca="false">COUNTIFS(Data!$B$2:$B$1833,$Q11,Data!$C$2:$C$1833,$R11,Data!$D$2:$D$1833,$S11,Data!$E$2:$E$1833,$E11,Data!$F$2:$F$1833,G$1,Data!$H$2:$H$1833,1)</f>
        <v>2</v>
      </c>
      <c r="H11" s="49" t="n">
        <f aca="false">COUNTIFS(Data!$B$2:$B$1833,$Q11,Data!$C$2:$C$1833,$R11,Data!$D$2:$D$1833,$S11,Data!$E$2:$E$1833,$E11,Data!$F$2:$F$1833,H$1,Data!$H$2:$H$1833,1)</f>
        <v>5</v>
      </c>
      <c r="I11" s="49" t="n">
        <f aca="false">COUNTIFS(Data!$B$2:$B$1833,$Q11,Data!$C$2:$C$1833,$R11,Data!$D$2:$D$1833,$S11,Data!$E$2:$E$1833,$E11,Data!$F$2:$F$1833,I$1,Data!$H$2:$H$1833,1)</f>
        <v>4</v>
      </c>
      <c r="J11" s="49" t="n">
        <f aca="false">COUNTIFS(Data!$B$2:$B$1833,$Q11,Data!$C$2:$C$1833,$R11,Data!$D$2:$D$1833,$S11,Data!$E$2:$E$1833,$E11,Data!$F$2:$F$1833,J$1,Data!$H$2:$H$1833,1)</f>
        <v>3</v>
      </c>
      <c r="K11" s="49" t="n">
        <f aca="false">COUNTIFS(Data!$B$2:$B$1833,$Q11,Data!$C$2:$C$1833,$R11,Data!$D$2:$D$1833,$S11,Data!$E$2:$E$1833,$E11,Data!$F$2:$F$1833,K$1,Data!$H$2:$H$1833,1)</f>
        <v>4</v>
      </c>
      <c r="L11" s="49" t="n">
        <f aca="false">COUNTIFS(Data!$B$2:$B$1833,$Q11,Data!$C$2:$C$1833,$R11,Data!$D$2:$D$1833,$S11,Data!$E$2:$E$1833,$E11,Data!$F$2:$F$1833,L$1,Data!$H$2:$H$1833,1)</f>
        <v>3</v>
      </c>
      <c r="M11" s="49" t="n">
        <f aca="false">COUNTIFS(Data!$B$2:$B$1833,$Q11,Data!$C$2:$C$1833,$R11,Data!$D$2:$D$1833,$S11,Data!$E$2:$E$1833,$E11,Data!$F$2:$F$1833,M$1,Data!$H$2:$H$1833,1)</f>
        <v>2</v>
      </c>
      <c r="N11" s="49" t="n">
        <f aca="false">COUNTIFS(Data!$B$2:$B$1833,$Q11,Data!$C$2:$C$1833,$R11,Data!$D$2:$D$1833,$S11,Data!$E$2:$E$1833,$E11,Data!$F$2:$F$1833,N$1,Data!$H$2:$H$1833,1)</f>
        <v>1</v>
      </c>
      <c r="O11" s="49" t="n">
        <f aca="false">COUNTIFS(Data!$B$2:$B$1833,$Q11,Data!$C$2:$C$1833,$R11,Data!$D$2:$D$1833,$S11,Data!$E$2:$E$1833,$E11,Data!$F$2:$F$1833,O$1,Data!$H$2:$H$1833,1)</f>
        <v>1</v>
      </c>
      <c r="P11" s="49" t="n">
        <f aca="false">SUM(F11:O11)</f>
        <v>26</v>
      </c>
      <c r="Q11" s="50" t="s">
        <v>395</v>
      </c>
      <c r="R11" s="50" t="s">
        <v>408</v>
      </c>
      <c r="S11" s="50" t="s">
        <v>510</v>
      </c>
    </row>
    <row r="12" customFormat="false" ht="15" hidden="false" customHeight="true" outlineLevel="0" collapsed="false">
      <c r="A12" s="49" t="str">
        <f aca="false">IFERROR(INDEX(対訳マスタ!$C$2:$C$136,MATCH($Q12,対訳マスタ!$B$2:$B$136,0)),$Q12)</f>
        <v>コミュニケーション言語活動</v>
      </c>
      <c r="B12" s="49" t="str">
        <f aca="false">IF($R12="—","—",IFERROR(INDEX(対訳マスタ!$C$2:$C$136,MATCH($R12,対訳マスタ!$B$2:$B$136,0)),$R12))</f>
        <v>受容</v>
      </c>
      <c r="C12" s="49" t="str">
        <f aca="false">IF($S12="—","—",IFERROR(INDEX(対訳マスタ!$C$2:$C$136,MATCH($S12,対訳マスタ!$B$2:$B$136,0)),$S12))</f>
        <v>読解（読むこと）</v>
      </c>
      <c r="D12" s="49" t="str">
        <f aca="false">IFERROR(INDEX(対訳マスタ!$C$2:$C$136,MATCH($E12,対訳マスタ!$B$2:$B$136,0)),$E12)</f>
        <v>説明書・指示を読む</v>
      </c>
      <c r="E12" s="50" t="s">
        <v>590</v>
      </c>
      <c r="F12" s="49" t="n">
        <f aca="false">COUNTIFS(Data!$B$2:$B$1833,$Q12,Data!$C$2:$C$1833,$R12,Data!$D$2:$D$1833,$S12,Data!$E$2:$E$1833,$E12,Data!$F$2:$F$1833,F$1,Data!$H$2:$H$1833,1)</f>
        <v>1</v>
      </c>
      <c r="G12" s="49" t="n">
        <f aca="false">COUNTIFS(Data!$B$2:$B$1833,$Q12,Data!$C$2:$C$1833,$R12,Data!$D$2:$D$1833,$S12,Data!$E$2:$E$1833,$E12,Data!$F$2:$F$1833,G$1,Data!$H$2:$H$1833,1)</f>
        <v>1</v>
      </c>
      <c r="H12" s="49" t="n">
        <f aca="false">COUNTIFS(Data!$B$2:$B$1833,$Q12,Data!$C$2:$C$1833,$R12,Data!$D$2:$D$1833,$S12,Data!$E$2:$E$1833,$E12,Data!$F$2:$F$1833,H$1,Data!$H$2:$H$1833,1)</f>
        <v>4</v>
      </c>
      <c r="I12" s="49" t="n">
        <f aca="false">COUNTIFS(Data!$B$2:$B$1833,$Q12,Data!$C$2:$C$1833,$R12,Data!$D$2:$D$1833,$S12,Data!$E$2:$E$1833,$E12,Data!$F$2:$F$1833,I$1,Data!$H$2:$H$1833,1)</f>
        <v>2</v>
      </c>
      <c r="J12" s="49" t="n">
        <f aca="false">COUNTIFS(Data!$B$2:$B$1833,$Q12,Data!$C$2:$C$1833,$R12,Data!$D$2:$D$1833,$S12,Data!$E$2:$E$1833,$E12,Data!$F$2:$F$1833,J$1,Data!$H$2:$H$1833,1)</f>
        <v>3</v>
      </c>
      <c r="K12" s="49" t="n">
        <f aca="false">COUNTIFS(Data!$B$2:$B$1833,$Q12,Data!$C$2:$C$1833,$R12,Data!$D$2:$D$1833,$S12,Data!$E$2:$E$1833,$E12,Data!$F$2:$F$1833,K$1,Data!$H$2:$H$1833,1)</f>
        <v>1</v>
      </c>
      <c r="L12" s="49" t="n">
        <f aca="false">COUNTIFS(Data!$B$2:$B$1833,$Q12,Data!$C$2:$C$1833,$R12,Data!$D$2:$D$1833,$S12,Data!$E$2:$E$1833,$E12,Data!$F$2:$F$1833,L$1,Data!$H$2:$H$1833,1)</f>
        <v>1</v>
      </c>
      <c r="M12" s="49" t="n">
        <f aca="false">COUNTIFS(Data!$B$2:$B$1833,$Q12,Data!$C$2:$C$1833,$R12,Data!$D$2:$D$1833,$S12,Data!$E$2:$E$1833,$E12,Data!$F$2:$F$1833,M$1,Data!$H$2:$H$1833,1)</f>
        <v>0</v>
      </c>
      <c r="N12" s="49" t="n">
        <f aca="false">COUNTIFS(Data!$B$2:$B$1833,$Q12,Data!$C$2:$C$1833,$R12,Data!$D$2:$D$1833,$S12,Data!$E$2:$E$1833,$E12,Data!$F$2:$F$1833,N$1,Data!$H$2:$H$1833,1)</f>
        <v>1</v>
      </c>
      <c r="O12" s="49" t="n">
        <f aca="false">COUNTIFS(Data!$B$2:$B$1833,$Q12,Data!$C$2:$C$1833,$R12,Data!$D$2:$D$1833,$S12,Data!$E$2:$E$1833,$E12,Data!$F$2:$F$1833,O$1,Data!$H$2:$H$1833,1)</f>
        <v>0</v>
      </c>
      <c r="P12" s="49" t="n">
        <f aca="false">SUM(F12:O12)</f>
        <v>14</v>
      </c>
      <c r="Q12" s="50" t="s">
        <v>395</v>
      </c>
      <c r="R12" s="50" t="s">
        <v>408</v>
      </c>
      <c r="S12" s="50" t="s">
        <v>510</v>
      </c>
    </row>
    <row r="13" customFormat="false" ht="15" hidden="false" customHeight="true" outlineLevel="0" collapsed="false">
      <c r="A13" s="49" t="str">
        <f aca="false">IFERROR(INDEX(対訳マスタ!$C$2:$C$136,MATCH($Q13,対訳マスタ!$B$2:$B$136,0)),$Q13)</f>
        <v>コミュニケーション言語活動</v>
      </c>
      <c r="B13" s="49" t="str">
        <f aca="false">IF($R13="—","—",IFERROR(INDEX(対訳マスタ!$C$2:$C$136,MATCH($R13,対訳マスタ!$B$2:$B$136,0)),$R13))</f>
        <v>受容</v>
      </c>
      <c r="C13" s="49" t="str">
        <f aca="false">IF($S13="—","—",IFERROR(INDEX(対訳マスタ!$C$2:$C$136,MATCH($S13,対訳マスタ!$B$2:$B$136,0)),$S13))</f>
        <v>読解（読むこと）</v>
      </c>
      <c r="D13" s="49" t="str">
        <f aca="false">IFERROR(INDEX(対訳マスタ!$C$2:$C$136,MATCH($E13,対訳マスタ!$B$2:$B$136,0)),$E13)</f>
        <v>娯楽としての読書</v>
      </c>
      <c r="E13" s="50" t="s">
        <v>605</v>
      </c>
      <c r="F13" s="49" t="n">
        <f aca="false">COUNTIFS(Data!$B$2:$B$1833,$Q13,Data!$C$2:$C$1833,$R13,Data!$D$2:$D$1833,$S13,Data!$E$2:$E$1833,$E13,Data!$F$2:$F$1833,F$1,Data!$H$2:$H$1833,1)</f>
        <v>0</v>
      </c>
      <c r="G13" s="49" t="n">
        <f aca="false">COUNTIFS(Data!$B$2:$B$1833,$Q13,Data!$C$2:$C$1833,$R13,Data!$D$2:$D$1833,$S13,Data!$E$2:$E$1833,$E13,Data!$F$2:$F$1833,G$1,Data!$H$2:$H$1833,1)</f>
        <v>2</v>
      </c>
      <c r="H13" s="49" t="n">
        <f aca="false">COUNTIFS(Data!$B$2:$B$1833,$Q13,Data!$C$2:$C$1833,$R13,Data!$D$2:$D$1833,$S13,Data!$E$2:$E$1833,$E13,Data!$F$2:$F$1833,H$1,Data!$H$2:$H$1833,1)</f>
        <v>4</v>
      </c>
      <c r="I13" s="49" t="n">
        <f aca="false">COUNTIFS(Data!$B$2:$B$1833,$Q13,Data!$C$2:$C$1833,$R13,Data!$D$2:$D$1833,$S13,Data!$E$2:$E$1833,$E13,Data!$F$2:$F$1833,I$1,Data!$H$2:$H$1833,1)</f>
        <v>2</v>
      </c>
      <c r="J13" s="49" t="n">
        <f aca="false">COUNTIFS(Data!$B$2:$B$1833,$Q13,Data!$C$2:$C$1833,$R13,Data!$D$2:$D$1833,$S13,Data!$E$2:$E$1833,$E13,Data!$F$2:$F$1833,J$1,Data!$H$2:$H$1833,1)</f>
        <v>3</v>
      </c>
      <c r="K13" s="49" t="n">
        <f aca="false">COUNTIFS(Data!$B$2:$B$1833,$Q13,Data!$C$2:$C$1833,$R13,Data!$D$2:$D$1833,$S13,Data!$E$2:$E$1833,$E13,Data!$F$2:$F$1833,K$1,Data!$H$2:$H$1833,1)</f>
        <v>2</v>
      </c>
      <c r="L13" s="49" t="n">
        <f aca="false">COUNTIFS(Data!$B$2:$B$1833,$Q13,Data!$C$2:$C$1833,$R13,Data!$D$2:$D$1833,$S13,Data!$E$2:$E$1833,$E13,Data!$F$2:$F$1833,L$1,Data!$H$2:$H$1833,1)</f>
        <v>2</v>
      </c>
      <c r="M13" s="49" t="n">
        <f aca="false">COUNTIFS(Data!$B$2:$B$1833,$Q13,Data!$C$2:$C$1833,$R13,Data!$D$2:$D$1833,$S13,Data!$E$2:$E$1833,$E13,Data!$F$2:$F$1833,M$1,Data!$H$2:$H$1833,1)</f>
        <v>0</v>
      </c>
      <c r="N13" s="49" t="n">
        <f aca="false">COUNTIFS(Data!$B$2:$B$1833,$Q13,Data!$C$2:$C$1833,$R13,Data!$D$2:$D$1833,$S13,Data!$E$2:$E$1833,$E13,Data!$F$2:$F$1833,N$1,Data!$H$2:$H$1833,1)</f>
        <v>2</v>
      </c>
      <c r="O13" s="49" t="n">
        <f aca="false">COUNTIFS(Data!$B$2:$B$1833,$Q13,Data!$C$2:$C$1833,$R13,Data!$D$2:$D$1833,$S13,Data!$E$2:$E$1833,$E13,Data!$F$2:$F$1833,O$1,Data!$H$2:$H$1833,1)</f>
        <v>1</v>
      </c>
      <c r="P13" s="49" t="n">
        <f aca="false">SUM(F13:O13)</f>
        <v>18</v>
      </c>
      <c r="Q13" s="50" t="s">
        <v>395</v>
      </c>
      <c r="R13" s="50" t="s">
        <v>408</v>
      </c>
      <c r="S13" s="50" t="s">
        <v>510</v>
      </c>
    </row>
    <row r="14" customFormat="false" ht="15" hidden="false" customHeight="true" outlineLevel="0" collapsed="false">
      <c r="A14" s="49" t="str">
        <f aca="false">IFERROR(INDEX(対訳マスタ!$C$2:$C$136,MATCH($Q14,対訳マスタ!$B$2:$B$136,0)),$Q14)</f>
        <v>コミュニケーション言語方略</v>
      </c>
      <c r="B14" s="49" t="str">
        <f aca="false">IF($R14="—","—",IFERROR(INDEX(対訳マスタ!$C$2:$C$136,MATCH($R14,対訳マスタ!$B$2:$B$136,0)),$R14))</f>
        <v>受容</v>
      </c>
      <c r="C14" s="49" t="str">
        <f aca="false">IF($S14="—","—",IFERROR(INDEX(対訳マスタ!$C$2:$C$136,MATCH($S14,対訳マスタ!$B$2:$B$136,0)),$S14))</f>
        <v>—</v>
      </c>
      <c r="D14" s="49" t="str">
        <f aca="false">IFERROR(INDEX(対訳マスタ!$C$2:$C$136,MATCH($E14,対訳マスタ!$B$2:$B$136,0)),$E14)</f>
        <v>手がかりの特定と推論</v>
      </c>
      <c r="E14" s="50" t="s">
        <v>625</v>
      </c>
      <c r="F14" s="49" t="n">
        <f aca="false">COUNTIFS(Data!$B$2:$B$1833,$Q14,Data!$C$2:$C$1833,$R14,Data!$D$2:$D$1833,$S14,Data!$E$2:$E$1833,$E14,Data!$F$2:$F$1833,F$1,Data!$H$2:$H$1833,1)</f>
        <v>1</v>
      </c>
      <c r="G14" s="49" t="n">
        <f aca="false">COUNTIFS(Data!$B$2:$B$1833,$Q14,Data!$C$2:$C$1833,$R14,Data!$D$2:$D$1833,$S14,Data!$E$2:$E$1833,$E14,Data!$F$2:$F$1833,G$1,Data!$H$2:$H$1833,1)</f>
        <v>2</v>
      </c>
      <c r="H14" s="49" t="n">
        <f aca="false">COUNTIFS(Data!$B$2:$B$1833,$Q14,Data!$C$2:$C$1833,$R14,Data!$D$2:$D$1833,$S14,Data!$E$2:$E$1833,$E14,Data!$F$2:$F$1833,H$1,Data!$H$2:$H$1833,1)</f>
        <v>3</v>
      </c>
      <c r="I14" s="49" t="n">
        <f aca="false">COUNTIFS(Data!$B$2:$B$1833,$Q14,Data!$C$2:$C$1833,$R14,Data!$D$2:$D$1833,$S14,Data!$E$2:$E$1833,$E14,Data!$F$2:$F$1833,I$1,Data!$H$2:$H$1833,1)</f>
        <v>2</v>
      </c>
      <c r="J14" s="49" t="n">
        <f aca="false">COUNTIFS(Data!$B$2:$B$1833,$Q14,Data!$C$2:$C$1833,$R14,Data!$D$2:$D$1833,$S14,Data!$E$2:$E$1833,$E14,Data!$F$2:$F$1833,J$1,Data!$H$2:$H$1833,1)</f>
        <v>4</v>
      </c>
      <c r="K14" s="49" t="n">
        <f aca="false">COUNTIFS(Data!$B$2:$B$1833,$Q14,Data!$C$2:$C$1833,$R14,Data!$D$2:$D$1833,$S14,Data!$E$2:$E$1833,$E14,Data!$F$2:$F$1833,K$1,Data!$H$2:$H$1833,1)</f>
        <v>4</v>
      </c>
      <c r="L14" s="49" t="n">
        <f aca="false">COUNTIFS(Data!$B$2:$B$1833,$Q14,Data!$C$2:$C$1833,$R14,Data!$D$2:$D$1833,$S14,Data!$E$2:$E$1833,$E14,Data!$F$2:$F$1833,L$1,Data!$H$2:$H$1833,1)</f>
        <v>1</v>
      </c>
      <c r="M14" s="49" t="n">
        <f aca="false">COUNTIFS(Data!$B$2:$B$1833,$Q14,Data!$C$2:$C$1833,$R14,Data!$D$2:$D$1833,$S14,Data!$E$2:$E$1833,$E14,Data!$F$2:$F$1833,M$1,Data!$H$2:$H$1833,1)</f>
        <v>0</v>
      </c>
      <c r="N14" s="49" t="n">
        <f aca="false">COUNTIFS(Data!$B$2:$B$1833,$Q14,Data!$C$2:$C$1833,$R14,Data!$D$2:$D$1833,$S14,Data!$E$2:$E$1833,$E14,Data!$F$2:$F$1833,N$1,Data!$H$2:$H$1833,1)</f>
        <v>1</v>
      </c>
      <c r="O14" s="49" t="n">
        <f aca="false">COUNTIFS(Data!$B$2:$B$1833,$Q14,Data!$C$2:$C$1833,$R14,Data!$D$2:$D$1833,$S14,Data!$E$2:$E$1833,$E14,Data!$F$2:$F$1833,O$1,Data!$H$2:$H$1833,1)</f>
        <v>0</v>
      </c>
      <c r="P14" s="49" t="n">
        <f aca="false">SUM(F14:O14)</f>
        <v>18</v>
      </c>
      <c r="Q14" s="50" t="s">
        <v>396</v>
      </c>
      <c r="R14" s="50" t="s">
        <v>408</v>
      </c>
      <c r="S14" s="50" t="s">
        <v>624</v>
      </c>
    </row>
    <row r="15" customFormat="false" ht="15" hidden="false" customHeight="true" outlineLevel="0" collapsed="false">
      <c r="A15" s="49" t="str">
        <f aca="false">IFERROR(INDEX(対訳マスタ!$C$2:$C$136,MATCH($Q15,対訳マスタ!$B$2:$B$136,0)),$Q15)</f>
        <v>コミュニケーション言語活動</v>
      </c>
      <c r="B15" s="49" t="str">
        <f aca="false">IF($R15="—","—",IFERROR(INDEX(対訳マスタ!$C$2:$C$136,MATCH($R15,対訳マスタ!$B$2:$B$136,0)),$R15))</f>
        <v>産出</v>
      </c>
      <c r="C15" s="49" t="str">
        <f aca="false">IF($S15="—","—",IFERROR(INDEX(対訳マスタ!$C$2:$C$136,MATCH($S15,対訳マスタ!$B$2:$B$136,0)),$S15))</f>
        <v>口頭産出（話すこと）</v>
      </c>
      <c r="D15" s="49" t="str">
        <f aca="false">IFERROR(INDEX(対訳マスタ!$C$2:$C$136,MATCH($E15,対訳マスタ!$B$2:$B$136,0)),$E15)</f>
        <v>口頭産出（総合）</v>
      </c>
      <c r="E15" s="50" t="s">
        <v>646</v>
      </c>
      <c r="F15" s="49" t="n">
        <f aca="false">COUNTIFS(Data!$B$2:$B$1833,$Q15,Data!$C$2:$C$1833,$R15,Data!$D$2:$D$1833,$S15,Data!$E$2:$E$1833,$E15,Data!$F$2:$F$1833,F$1,Data!$H$2:$H$1833,1)</f>
        <v>1</v>
      </c>
      <c r="G15" s="49" t="n">
        <f aca="false">COUNTIFS(Data!$B$2:$B$1833,$Q15,Data!$C$2:$C$1833,$R15,Data!$D$2:$D$1833,$S15,Data!$E$2:$E$1833,$E15,Data!$F$2:$F$1833,G$1,Data!$H$2:$H$1833,1)</f>
        <v>1</v>
      </c>
      <c r="H15" s="49" t="n">
        <f aca="false">COUNTIFS(Data!$B$2:$B$1833,$Q15,Data!$C$2:$C$1833,$R15,Data!$D$2:$D$1833,$S15,Data!$E$2:$E$1833,$E15,Data!$F$2:$F$1833,H$1,Data!$H$2:$H$1833,1)</f>
        <v>1</v>
      </c>
      <c r="I15" s="49" t="n">
        <f aca="false">COUNTIFS(Data!$B$2:$B$1833,$Q15,Data!$C$2:$C$1833,$R15,Data!$D$2:$D$1833,$S15,Data!$E$2:$E$1833,$E15,Data!$F$2:$F$1833,I$1,Data!$H$2:$H$1833,1)</f>
        <v>0</v>
      </c>
      <c r="J15" s="49" t="n">
        <f aca="false">COUNTIFS(Data!$B$2:$B$1833,$Q15,Data!$C$2:$C$1833,$R15,Data!$D$2:$D$1833,$S15,Data!$E$2:$E$1833,$E15,Data!$F$2:$F$1833,J$1,Data!$H$2:$H$1833,1)</f>
        <v>1</v>
      </c>
      <c r="K15" s="49" t="n">
        <f aca="false">COUNTIFS(Data!$B$2:$B$1833,$Q15,Data!$C$2:$C$1833,$R15,Data!$D$2:$D$1833,$S15,Data!$E$2:$E$1833,$E15,Data!$F$2:$F$1833,K$1,Data!$H$2:$H$1833,1)</f>
        <v>0</v>
      </c>
      <c r="L15" s="49" t="n">
        <f aca="false">COUNTIFS(Data!$B$2:$B$1833,$Q15,Data!$C$2:$C$1833,$R15,Data!$D$2:$D$1833,$S15,Data!$E$2:$E$1833,$E15,Data!$F$2:$F$1833,L$1,Data!$H$2:$H$1833,1)</f>
        <v>1</v>
      </c>
      <c r="M15" s="49" t="n">
        <f aca="false">COUNTIFS(Data!$B$2:$B$1833,$Q15,Data!$C$2:$C$1833,$R15,Data!$D$2:$D$1833,$S15,Data!$E$2:$E$1833,$E15,Data!$F$2:$F$1833,M$1,Data!$H$2:$H$1833,1)</f>
        <v>1</v>
      </c>
      <c r="N15" s="49" t="n">
        <f aca="false">COUNTIFS(Data!$B$2:$B$1833,$Q15,Data!$C$2:$C$1833,$R15,Data!$D$2:$D$1833,$S15,Data!$E$2:$E$1833,$E15,Data!$F$2:$F$1833,N$1,Data!$H$2:$H$1833,1)</f>
        <v>1</v>
      </c>
      <c r="O15" s="49" t="n">
        <f aca="false">COUNTIFS(Data!$B$2:$B$1833,$Q15,Data!$C$2:$C$1833,$R15,Data!$D$2:$D$1833,$S15,Data!$E$2:$E$1833,$E15,Data!$F$2:$F$1833,O$1,Data!$H$2:$H$1833,1)</f>
        <v>1</v>
      </c>
      <c r="P15" s="49" t="n">
        <f aca="false">SUM(F15:O15)</f>
        <v>8</v>
      </c>
      <c r="Q15" s="50" t="s">
        <v>395</v>
      </c>
      <c r="R15" s="50" t="s">
        <v>644</v>
      </c>
      <c r="S15" s="50" t="s">
        <v>645</v>
      </c>
    </row>
    <row r="16" customFormat="false" ht="15" hidden="false" customHeight="true" outlineLevel="0" collapsed="false">
      <c r="A16" s="49" t="str">
        <f aca="false">IFERROR(INDEX(対訳マスタ!$C$2:$C$136,MATCH($Q16,対訳マスタ!$B$2:$B$136,0)),$Q16)</f>
        <v>コミュニケーション言語活動</v>
      </c>
      <c r="B16" s="49" t="str">
        <f aca="false">IF($R16="—","—",IFERROR(INDEX(対訳マスタ!$C$2:$C$136,MATCH($R16,対訳マスタ!$B$2:$B$136,0)),$R16))</f>
        <v>産出</v>
      </c>
      <c r="C16" s="49" t="str">
        <f aca="false">IF($S16="—","—",IFERROR(INDEX(対訳マスタ!$C$2:$C$136,MATCH($S16,対訳マスタ!$B$2:$B$136,0)),$S16))</f>
        <v>口頭産出（話すこと）</v>
      </c>
      <c r="D16" s="49" t="str">
        <f aca="false">IFERROR(INDEX(対訳マスタ!$C$2:$C$136,MATCH($E16,対訳マスタ!$B$2:$B$136,0)),$E16)</f>
        <v>長めの一人語り：経験の描写</v>
      </c>
      <c r="E16" s="50" t="s">
        <v>655</v>
      </c>
      <c r="F16" s="49" t="n">
        <f aca="false">COUNTIFS(Data!$B$2:$B$1833,$Q16,Data!$C$2:$C$1833,$R16,Data!$D$2:$D$1833,$S16,Data!$E$2:$E$1833,$E16,Data!$F$2:$F$1833,F$1,Data!$H$2:$H$1833,1)</f>
        <v>2</v>
      </c>
      <c r="G16" s="49" t="n">
        <f aca="false">COUNTIFS(Data!$B$2:$B$1833,$Q16,Data!$C$2:$C$1833,$R16,Data!$D$2:$D$1833,$S16,Data!$E$2:$E$1833,$E16,Data!$F$2:$F$1833,G$1,Data!$H$2:$H$1833,1)</f>
        <v>2</v>
      </c>
      <c r="H16" s="49" t="n">
        <f aca="false">COUNTIFS(Data!$B$2:$B$1833,$Q16,Data!$C$2:$C$1833,$R16,Data!$D$2:$D$1833,$S16,Data!$E$2:$E$1833,$E16,Data!$F$2:$F$1833,H$1,Data!$H$2:$H$1833,1)</f>
        <v>4</v>
      </c>
      <c r="I16" s="49" t="n">
        <f aca="false">COUNTIFS(Data!$B$2:$B$1833,$Q16,Data!$C$2:$C$1833,$R16,Data!$D$2:$D$1833,$S16,Data!$E$2:$E$1833,$E16,Data!$F$2:$F$1833,I$1,Data!$H$2:$H$1833,1)</f>
        <v>6</v>
      </c>
      <c r="J16" s="49" t="n">
        <f aca="false">COUNTIFS(Data!$B$2:$B$1833,$Q16,Data!$C$2:$C$1833,$R16,Data!$D$2:$D$1833,$S16,Data!$E$2:$E$1833,$E16,Data!$F$2:$F$1833,J$1,Data!$H$2:$H$1833,1)</f>
        <v>8</v>
      </c>
      <c r="K16" s="49" t="n">
        <f aca="false">COUNTIFS(Data!$B$2:$B$1833,$Q16,Data!$C$2:$C$1833,$R16,Data!$D$2:$D$1833,$S16,Data!$E$2:$E$1833,$E16,Data!$F$2:$F$1833,K$1,Data!$H$2:$H$1833,1)</f>
        <v>1</v>
      </c>
      <c r="L16" s="49" t="n">
        <f aca="false">COUNTIFS(Data!$B$2:$B$1833,$Q16,Data!$C$2:$C$1833,$R16,Data!$D$2:$D$1833,$S16,Data!$E$2:$E$1833,$E16,Data!$F$2:$F$1833,L$1,Data!$H$2:$H$1833,1)</f>
        <v>2</v>
      </c>
      <c r="M16" s="49" t="n">
        <f aca="false">COUNTIFS(Data!$B$2:$B$1833,$Q16,Data!$C$2:$C$1833,$R16,Data!$D$2:$D$1833,$S16,Data!$E$2:$E$1833,$E16,Data!$F$2:$F$1833,M$1,Data!$H$2:$H$1833,1)</f>
        <v>0</v>
      </c>
      <c r="N16" s="49" t="n">
        <f aca="false">COUNTIFS(Data!$B$2:$B$1833,$Q16,Data!$C$2:$C$1833,$R16,Data!$D$2:$D$1833,$S16,Data!$E$2:$E$1833,$E16,Data!$F$2:$F$1833,N$1,Data!$H$2:$H$1833,1)</f>
        <v>2</v>
      </c>
      <c r="O16" s="49" t="n">
        <f aca="false">COUNTIFS(Data!$B$2:$B$1833,$Q16,Data!$C$2:$C$1833,$R16,Data!$D$2:$D$1833,$S16,Data!$E$2:$E$1833,$E16,Data!$F$2:$F$1833,O$1,Data!$H$2:$H$1833,1)</f>
        <v>1</v>
      </c>
      <c r="P16" s="49" t="n">
        <f aca="false">SUM(F16:O16)</f>
        <v>28</v>
      </c>
      <c r="Q16" s="50" t="s">
        <v>395</v>
      </c>
      <c r="R16" s="50" t="s">
        <v>644</v>
      </c>
      <c r="S16" s="50" t="s">
        <v>645</v>
      </c>
    </row>
    <row r="17" customFormat="false" ht="15" hidden="false" customHeight="true" outlineLevel="0" collapsed="false">
      <c r="A17" s="49" t="str">
        <f aca="false">IFERROR(INDEX(対訳マスタ!$C$2:$C$136,MATCH($Q17,対訳マスタ!$B$2:$B$136,0)),$Q17)</f>
        <v>コミュニケーション言語活動</v>
      </c>
      <c r="B17" s="49" t="str">
        <f aca="false">IF($R17="—","—",IFERROR(INDEX(対訳マスタ!$C$2:$C$136,MATCH($R17,対訳マスタ!$B$2:$B$136,0)),$R17))</f>
        <v>産出</v>
      </c>
      <c r="C17" s="49" t="str">
        <f aca="false">IF($S17="—","—",IFERROR(INDEX(対訳マスタ!$C$2:$C$136,MATCH($S17,対訳マスタ!$B$2:$B$136,0)),$S17))</f>
        <v>口頭産出（話すこと）</v>
      </c>
      <c r="D17" s="49" t="str">
        <f aca="false">IFERROR(INDEX(対訳マスタ!$C$2:$C$136,MATCH($E17,対訳マスタ!$B$2:$B$136,0)),$E17)</f>
        <v>長めの一人語り：情報提供</v>
      </c>
      <c r="E17" s="50" t="s">
        <v>684</v>
      </c>
      <c r="F17" s="49" t="n">
        <f aca="false">COUNTIFS(Data!$B$2:$B$1833,$Q17,Data!$C$2:$C$1833,$R17,Data!$D$2:$D$1833,$S17,Data!$E$2:$E$1833,$E17,Data!$F$2:$F$1833,F$1,Data!$H$2:$H$1833,1)</f>
        <v>0</v>
      </c>
      <c r="G17" s="49" t="n">
        <f aca="false">COUNTIFS(Data!$B$2:$B$1833,$Q17,Data!$C$2:$C$1833,$R17,Data!$D$2:$D$1833,$S17,Data!$E$2:$E$1833,$E17,Data!$F$2:$F$1833,G$1,Data!$H$2:$H$1833,1)</f>
        <v>1</v>
      </c>
      <c r="H17" s="49" t="n">
        <f aca="false">COUNTIFS(Data!$B$2:$B$1833,$Q17,Data!$C$2:$C$1833,$R17,Data!$D$2:$D$1833,$S17,Data!$E$2:$E$1833,$E17,Data!$F$2:$F$1833,H$1,Data!$H$2:$H$1833,1)</f>
        <v>1</v>
      </c>
      <c r="I17" s="49" t="n">
        <f aca="false">COUNTIFS(Data!$B$2:$B$1833,$Q17,Data!$C$2:$C$1833,$R17,Data!$D$2:$D$1833,$S17,Data!$E$2:$E$1833,$E17,Data!$F$2:$F$1833,I$1,Data!$H$2:$H$1833,1)</f>
        <v>0</v>
      </c>
      <c r="J17" s="49" t="n">
        <f aca="false">COUNTIFS(Data!$B$2:$B$1833,$Q17,Data!$C$2:$C$1833,$R17,Data!$D$2:$D$1833,$S17,Data!$E$2:$E$1833,$E17,Data!$F$2:$F$1833,J$1,Data!$H$2:$H$1833,1)</f>
        <v>1</v>
      </c>
      <c r="K17" s="49" t="n">
        <f aca="false">COUNTIFS(Data!$B$2:$B$1833,$Q17,Data!$C$2:$C$1833,$R17,Data!$D$2:$D$1833,$S17,Data!$E$2:$E$1833,$E17,Data!$F$2:$F$1833,K$1,Data!$H$2:$H$1833,1)</f>
        <v>2</v>
      </c>
      <c r="L17" s="49" t="n">
        <f aca="false">COUNTIFS(Data!$B$2:$B$1833,$Q17,Data!$C$2:$C$1833,$R17,Data!$D$2:$D$1833,$S17,Data!$E$2:$E$1833,$E17,Data!$F$2:$F$1833,L$1,Data!$H$2:$H$1833,1)</f>
        <v>2</v>
      </c>
      <c r="M17" s="49" t="n">
        <f aca="false">COUNTIFS(Data!$B$2:$B$1833,$Q17,Data!$C$2:$C$1833,$R17,Data!$D$2:$D$1833,$S17,Data!$E$2:$E$1833,$E17,Data!$F$2:$F$1833,M$1,Data!$H$2:$H$1833,1)</f>
        <v>1</v>
      </c>
      <c r="N17" s="49" t="n">
        <f aca="false">COUNTIFS(Data!$B$2:$B$1833,$Q17,Data!$C$2:$C$1833,$R17,Data!$D$2:$D$1833,$S17,Data!$E$2:$E$1833,$E17,Data!$F$2:$F$1833,N$1,Data!$H$2:$H$1833,1)</f>
        <v>2</v>
      </c>
      <c r="O17" s="49" t="n">
        <f aca="false">COUNTIFS(Data!$B$2:$B$1833,$Q17,Data!$C$2:$C$1833,$R17,Data!$D$2:$D$1833,$S17,Data!$E$2:$E$1833,$E17,Data!$F$2:$F$1833,O$1,Data!$H$2:$H$1833,1)</f>
        <v>0</v>
      </c>
      <c r="P17" s="49" t="n">
        <f aca="false">SUM(F17:O17)</f>
        <v>10</v>
      </c>
      <c r="Q17" s="50" t="s">
        <v>395</v>
      </c>
      <c r="R17" s="50" t="s">
        <v>644</v>
      </c>
      <c r="S17" s="50" t="s">
        <v>645</v>
      </c>
    </row>
    <row r="18" customFormat="false" ht="15" hidden="false" customHeight="true" outlineLevel="0" collapsed="false">
      <c r="A18" s="49" t="str">
        <f aca="false">IFERROR(INDEX(対訳マスタ!$C$2:$C$136,MATCH($Q18,対訳マスタ!$B$2:$B$136,0)),$Q18)</f>
        <v>コミュニケーション言語活動</v>
      </c>
      <c r="B18" s="49" t="str">
        <f aca="false">IF($R18="—","—",IFERROR(INDEX(対訳マスタ!$C$2:$C$136,MATCH($R18,対訳マスタ!$B$2:$B$136,0)),$R18))</f>
        <v>産出</v>
      </c>
      <c r="C18" s="49" t="str">
        <f aca="false">IF($S18="—","—",IFERROR(INDEX(対訳マスタ!$C$2:$C$136,MATCH($S18,対訳マスタ!$B$2:$B$136,0)),$S18))</f>
        <v>口頭産出（話すこと）</v>
      </c>
      <c r="D18" s="49" t="str">
        <f aca="false">IFERROR(INDEX(対訳マスタ!$C$2:$C$136,MATCH($E18,対訳マスタ!$B$2:$B$136,0)),$E18)</f>
        <v>長めの一人語り：立論（討論など）</v>
      </c>
      <c r="E18" s="50" t="s">
        <v>695</v>
      </c>
      <c r="F18" s="49" t="n">
        <f aca="false">COUNTIFS(Data!$B$2:$B$1833,$Q18,Data!$C$2:$C$1833,$R18,Data!$D$2:$D$1833,$S18,Data!$E$2:$E$1833,$E18,Data!$F$2:$F$1833,F$1,Data!$H$2:$H$1833,1)</f>
        <v>0</v>
      </c>
      <c r="G18" s="49" t="n">
        <f aca="false">COUNTIFS(Data!$B$2:$B$1833,$Q18,Data!$C$2:$C$1833,$R18,Data!$D$2:$D$1833,$S18,Data!$E$2:$E$1833,$E18,Data!$F$2:$F$1833,G$1,Data!$H$2:$H$1833,1)</f>
        <v>0</v>
      </c>
      <c r="H18" s="49" t="n">
        <f aca="false">COUNTIFS(Data!$B$2:$B$1833,$Q18,Data!$C$2:$C$1833,$R18,Data!$D$2:$D$1833,$S18,Data!$E$2:$E$1833,$E18,Data!$F$2:$F$1833,H$1,Data!$H$2:$H$1833,1)</f>
        <v>1</v>
      </c>
      <c r="I18" s="49" t="n">
        <f aca="false">COUNTIFS(Data!$B$2:$B$1833,$Q18,Data!$C$2:$C$1833,$R18,Data!$D$2:$D$1833,$S18,Data!$E$2:$E$1833,$E18,Data!$F$2:$F$1833,I$1,Data!$H$2:$H$1833,1)</f>
        <v>1</v>
      </c>
      <c r="J18" s="49" t="n">
        <f aca="false">COUNTIFS(Data!$B$2:$B$1833,$Q18,Data!$C$2:$C$1833,$R18,Data!$D$2:$D$1833,$S18,Data!$E$2:$E$1833,$E18,Data!$F$2:$F$1833,J$1,Data!$H$2:$H$1833,1)</f>
        <v>3</v>
      </c>
      <c r="K18" s="49" t="n">
        <f aca="false">COUNTIFS(Data!$B$2:$B$1833,$Q18,Data!$C$2:$C$1833,$R18,Data!$D$2:$D$1833,$S18,Data!$E$2:$E$1833,$E18,Data!$F$2:$F$1833,K$1,Data!$H$2:$H$1833,1)</f>
        <v>2</v>
      </c>
      <c r="L18" s="49" t="n">
        <f aca="false">COUNTIFS(Data!$B$2:$B$1833,$Q18,Data!$C$2:$C$1833,$R18,Data!$D$2:$D$1833,$S18,Data!$E$2:$E$1833,$E18,Data!$F$2:$F$1833,L$1,Data!$H$2:$H$1833,1)</f>
        <v>3</v>
      </c>
      <c r="M18" s="49" t="n">
        <f aca="false">COUNTIFS(Data!$B$2:$B$1833,$Q18,Data!$C$2:$C$1833,$R18,Data!$D$2:$D$1833,$S18,Data!$E$2:$E$1833,$E18,Data!$F$2:$F$1833,M$1,Data!$H$2:$H$1833,1)</f>
        <v>1</v>
      </c>
      <c r="N18" s="49" t="n">
        <f aca="false">COUNTIFS(Data!$B$2:$B$1833,$Q18,Data!$C$2:$C$1833,$R18,Data!$D$2:$D$1833,$S18,Data!$E$2:$E$1833,$E18,Data!$F$2:$F$1833,N$1,Data!$H$2:$H$1833,1)</f>
        <v>2</v>
      </c>
      <c r="O18" s="49" t="n">
        <f aca="false">COUNTIFS(Data!$B$2:$B$1833,$Q18,Data!$C$2:$C$1833,$R18,Data!$D$2:$D$1833,$S18,Data!$E$2:$E$1833,$E18,Data!$F$2:$F$1833,O$1,Data!$H$2:$H$1833,1)</f>
        <v>0</v>
      </c>
      <c r="P18" s="49" t="n">
        <f aca="false">SUM(F18:O18)</f>
        <v>13</v>
      </c>
      <c r="Q18" s="50" t="s">
        <v>395</v>
      </c>
      <c r="R18" s="50" t="s">
        <v>644</v>
      </c>
      <c r="S18" s="50" t="s">
        <v>645</v>
      </c>
    </row>
    <row r="19" customFormat="false" ht="15" hidden="false" customHeight="true" outlineLevel="0" collapsed="false">
      <c r="A19" s="49" t="str">
        <f aca="false">IFERROR(INDEX(対訳マスタ!$C$2:$C$136,MATCH($Q19,対訳マスタ!$B$2:$B$136,0)),$Q19)</f>
        <v>コミュニケーション言語活動</v>
      </c>
      <c r="B19" s="49" t="str">
        <f aca="false">IF($R19="—","—",IFERROR(INDEX(対訳マスタ!$C$2:$C$136,MATCH($R19,対訳マスタ!$B$2:$B$136,0)),$R19))</f>
        <v>産出</v>
      </c>
      <c r="C19" s="49" t="str">
        <f aca="false">IF($S19="—","—",IFERROR(INDEX(対訳マスタ!$C$2:$C$136,MATCH($S19,対訳マスタ!$B$2:$B$136,0)),$S19))</f>
        <v>口頭産出（話すこと）</v>
      </c>
      <c r="D19" s="49" t="str">
        <f aca="false">IFERROR(INDEX(対訳マスタ!$C$2:$C$136,MATCH($E19,対訳マスタ!$B$2:$B$136,0)),$E19)</f>
        <v>公共のアナウンス</v>
      </c>
      <c r="E19" s="50" t="s">
        <v>709</v>
      </c>
      <c r="F19" s="49" t="n">
        <f aca="false">COUNTIFS(Data!$B$2:$B$1833,$Q19,Data!$C$2:$C$1833,$R19,Data!$D$2:$D$1833,$S19,Data!$E$2:$E$1833,$E19,Data!$F$2:$F$1833,F$1,Data!$H$2:$H$1833,1)</f>
        <v>0</v>
      </c>
      <c r="G19" s="49" t="n">
        <f aca="false">COUNTIFS(Data!$B$2:$B$1833,$Q19,Data!$C$2:$C$1833,$R19,Data!$D$2:$D$1833,$S19,Data!$E$2:$E$1833,$E19,Data!$F$2:$F$1833,G$1,Data!$H$2:$H$1833,1)</f>
        <v>0</v>
      </c>
      <c r="H19" s="49" t="n">
        <f aca="false">COUNTIFS(Data!$B$2:$B$1833,$Q19,Data!$C$2:$C$1833,$R19,Data!$D$2:$D$1833,$S19,Data!$E$2:$E$1833,$E19,Data!$F$2:$F$1833,H$1,Data!$H$2:$H$1833,1)</f>
        <v>1</v>
      </c>
      <c r="I19" s="49" t="n">
        <f aca="false">COUNTIFS(Data!$B$2:$B$1833,$Q19,Data!$C$2:$C$1833,$R19,Data!$D$2:$D$1833,$S19,Data!$E$2:$E$1833,$E19,Data!$F$2:$F$1833,I$1,Data!$H$2:$H$1833,1)</f>
        <v>0</v>
      </c>
      <c r="J19" s="49" t="n">
        <f aca="false">COUNTIFS(Data!$B$2:$B$1833,$Q19,Data!$C$2:$C$1833,$R19,Data!$D$2:$D$1833,$S19,Data!$E$2:$E$1833,$E19,Data!$F$2:$F$1833,J$1,Data!$H$2:$H$1833,1)</f>
        <v>1</v>
      </c>
      <c r="K19" s="49" t="n">
        <f aca="false">COUNTIFS(Data!$B$2:$B$1833,$Q19,Data!$C$2:$C$1833,$R19,Data!$D$2:$D$1833,$S19,Data!$E$2:$E$1833,$E19,Data!$F$2:$F$1833,K$1,Data!$H$2:$H$1833,1)</f>
        <v>0</v>
      </c>
      <c r="L19" s="49" t="n">
        <f aca="false">COUNTIFS(Data!$B$2:$B$1833,$Q19,Data!$C$2:$C$1833,$R19,Data!$D$2:$D$1833,$S19,Data!$E$2:$E$1833,$E19,Data!$F$2:$F$1833,L$1,Data!$H$2:$H$1833,1)</f>
        <v>1</v>
      </c>
      <c r="M19" s="49" t="n">
        <f aca="false">COUNTIFS(Data!$B$2:$B$1833,$Q19,Data!$C$2:$C$1833,$R19,Data!$D$2:$D$1833,$S19,Data!$E$2:$E$1833,$E19,Data!$F$2:$F$1833,M$1,Data!$H$2:$H$1833,1)</f>
        <v>0</v>
      </c>
      <c r="N19" s="49" t="n">
        <f aca="false">COUNTIFS(Data!$B$2:$B$1833,$Q19,Data!$C$2:$C$1833,$R19,Data!$D$2:$D$1833,$S19,Data!$E$2:$E$1833,$E19,Data!$F$2:$F$1833,N$1,Data!$H$2:$H$1833,1)</f>
        <v>1</v>
      </c>
      <c r="O19" s="49" t="n">
        <f aca="false">COUNTIFS(Data!$B$2:$B$1833,$Q19,Data!$C$2:$C$1833,$R19,Data!$D$2:$D$1833,$S19,Data!$E$2:$E$1833,$E19,Data!$F$2:$F$1833,O$1,Data!$H$2:$H$1833,1)</f>
        <v>0</v>
      </c>
      <c r="P19" s="49" t="n">
        <f aca="false">SUM(F19:O19)</f>
        <v>4</v>
      </c>
      <c r="Q19" s="50" t="s">
        <v>395</v>
      </c>
      <c r="R19" s="50" t="s">
        <v>644</v>
      </c>
      <c r="S19" s="50" t="s">
        <v>645</v>
      </c>
    </row>
    <row r="20" customFormat="false" ht="15" hidden="false" customHeight="true" outlineLevel="0" collapsed="false">
      <c r="A20" s="49" t="str">
        <f aca="false">IFERROR(INDEX(対訳マスタ!$C$2:$C$136,MATCH($Q20,対訳マスタ!$B$2:$B$136,0)),$Q20)</f>
        <v>コミュニケーション言語活動</v>
      </c>
      <c r="B20" s="49" t="str">
        <f aca="false">IF($R20="—","—",IFERROR(INDEX(対訳マスタ!$C$2:$C$136,MATCH($R20,対訳マスタ!$B$2:$B$136,0)),$R20))</f>
        <v>産出</v>
      </c>
      <c r="C20" s="49" t="str">
        <f aca="false">IF($S20="—","—",IFERROR(INDEX(対訳マスタ!$C$2:$C$136,MATCH($S20,対訳マスタ!$B$2:$B$136,0)),$S20))</f>
        <v>口頭産出（話すこと）</v>
      </c>
      <c r="D20" s="49" t="str">
        <f aca="false">IFERROR(INDEX(対訳マスタ!$C$2:$C$136,MATCH($E20,対訳マスタ!$B$2:$B$136,0)),$E20)</f>
        <v>聴衆への発表（スピーチ）</v>
      </c>
      <c r="E20" s="50" t="s">
        <v>714</v>
      </c>
      <c r="F20" s="49" t="n">
        <f aca="false">COUNTIFS(Data!$B$2:$B$1833,$Q20,Data!$C$2:$C$1833,$R20,Data!$D$2:$D$1833,$S20,Data!$E$2:$E$1833,$E20,Data!$F$2:$F$1833,F$1,Data!$H$2:$H$1833,1)</f>
        <v>0</v>
      </c>
      <c r="G20" s="49" t="n">
        <f aca="false">COUNTIFS(Data!$B$2:$B$1833,$Q20,Data!$C$2:$C$1833,$R20,Data!$D$2:$D$1833,$S20,Data!$E$2:$E$1833,$E20,Data!$F$2:$F$1833,G$1,Data!$H$2:$H$1833,1)</f>
        <v>1</v>
      </c>
      <c r="H20" s="49" t="n">
        <f aca="false">COUNTIFS(Data!$B$2:$B$1833,$Q20,Data!$C$2:$C$1833,$R20,Data!$D$2:$D$1833,$S20,Data!$E$2:$E$1833,$E20,Data!$F$2:$F$1833,H$1,Data!$H$2:$H$1833,1)</f>
        <v>2</v>
      </c>
      <c r="I20" s="49" t="n">
        <f aca="false">COUNTIFS(Data!$B$2:$B$1833,$Q20,Data!$C$2:$C$1833,$R20,Data!$D$2:$D$1833,$S20,Data!$E$2:$E$1833,$E20,Data!$F$2:$F$1833,I$1,Data!$H$2:$H$1833,1)</f>
        <v>2</v>
      </c>
      <c r="J20" s="49" t="n">
        <f aca="false">COUNTIFS(Data!$B$2:$B$1833,$Q20,Data!$C$2:$C$1833,$R20,Data!$D$2:$D$1833,$S20,Data!$E$2:$E$1833,$E20,Data!$F$2:$F$1833,J$1,Data!$H$2:$H$1833,1)</f>
        <v>2</v>
      </c>
      <c r="K20" s="49" t="n">
        <f aca="false">COUNTIFS(Data!$B$2:$B$1833,$Q20,Data!$C$2:$C$1833,$R20,Data!$D$2:$D$1833,$S20,Data!$E$2:$E$1833,$E20,Data!$F$2:$F$1833,K$1,Data!$H$2:$H$1833,1)</f>
        <v>1</v>
      </c>
      <c r="L20" s="49" t="n">
        <f aca="false">COUNTIFS(Data!$B$2:$B$1833,$Q20,Data!$C$2:$C$1833,$R20,Data!$D$2:$D$1833,$S20,Data!$E$2:$E$1833,$E20,Data!$F$2:$F$1833,L$1,Data!$H$2:$H$1833,1)</f>
        <v>2</v>
      </c>
      <c r="M20" s="49" t="n">
        <f aca="false">COUNTIFS(Data!$B$2:$B$1833,$Q20,Data!$C$2:$C$1833,$R20,Data!$D$2:$D$1833,$S20,Data!$E$2:$E$1833,$E20,Data!$F$2:$F$1833,M$1,Data!$H$2:$H$1833,1)</f>
        <v>2</v>
      </c>
      <c r="N20" s="49" t="n">
        <f aca="false">COUNTIFS(Data!$B$2:$B$1833,$Q20,Data!$C$2:$C$1833,$R20,Data!$D$2:$D$1833,$S20,Data!$E$2:$E$1833,$E20,Data!$F$2:$F$1833,N$1,Data!$H$2:$H$1833,1)</f>
        <v>4</v>
      </c>
      <c r="O20" s="49" t="n">
        <f aca="false">COUNTIFS(Data!$B$2:$B$1833,$Q20,Data!$C$2:$C$1833,$R20,Data!$D$2:$D$1833,$S20,Data!$E$2:$E$1833,$E20,Data!$F$2:$F$1833,O$1,Data!$H$2:$H$1833,1)</f>
        <v>2</v>
      </c>
      <c r="P20" s="49" t="n">
        <f aca="false">SUM(F20:O20)</f>
        <v>18</v>
      </c>
      <c r="Q20" s="50" t="s">
        <v>395</v>
      </c>
      <c r="R20" s="50" t="s">
        <v>644</v>
      </c>
      <c r="S20" s="50" t="s">
        <v>645</v>
      </c>
    </row>
    <row r="21" customFormat="false" ht="15" hidden="false" customHeight="true" outlineLevel="0" collapsed="false">
      <c r="A21" s="49" t="str">
        <f aca="false">IFERROR(INDEX(対訳マスタ!$C$2:$C$136,MATCH($Q21,対訳マスタ!$B$2:$B$136,0)),$Q21)</f>
        <v>コミュニケーション言語活動</v>
      </c>
      <c r="B21" s="49" t="str">
        <f aca="false">IF($R21="—","—",IFERROR(INDEX(対訳マスタ!$C$2:$C$136,MATCH($R21,対訳マスタ!$B$2:$B$136,0)),$R21))</f>
        <v>産出</v>
      </c>
      <c r="C21" s="49" t="str">
        <f aca="false">IF($S21="—","—",IFERROR(INDEX(対訳マスタ!$C$2:$C$136,MATCH($S21,対訳マスタ!$B$2:$B$136,0)),$S21))</f>
        <v>記述産出（書くこと）</v>
      </c>
      <c r="D21" s="49" t="str">
        <f aca="false">IFERROR(INDEX(対訳マスタ!$C$2:$C$136,MATCH($E21,対訳マスタ!$B$2:$B$136,0)),$E21)</f>
        <v>記述産出（総合）</v>
      </c>
      <c r="E21" s="50" t="s">
        <v>734</v>
      </c>
      <c r="F21" s="49" t="n">
        <f aca="false">COUNTIFS(Data!$B$2:$B$1833,$Q21,Data!$C$2:$C$1833,$R21,Data!$D$2:$D$1833,$S21,Data!$E$2:$E$1833,$E21,Data!$F$2:$F$1833,F$1,Data!$H$2:$H$1833,1)</f>
        <v>1</v>
      </c>
      <c r="G21" s="49" t="n">
        <f aca="false">COUNTIFS(Data!$B$2:$B$1833,$Q21,Data!$C$2:$C$1833,$R21,Data!$D$2:$D$1833,$S21,Data!$E$2:$E$1833,$E21,Data!$F$2:$F$1833,G$1,Data!$H$2:$H$1833,1)</f>
        <v>2</v>
      </c>
      <c r="H21" s="49" t="n">
        <f aca="false">COUNTIFS(Data!$B$2:$B$1833,$Q21,Data!$C$2:$C$1833,$R21,Data!$D$2:$D$1833,$S21,Data!$E$2:$E$1833,$E21,Data!$F$2:$F$1833,H$1,Data!$H$2:$H$1833,1)</f>
        <v>1</v>
      </c>
      <c r="I21" s="49" t="n">
        <f aca="false">COUNTIFS(Data!$B$2:$B$1833,$Q21,Data!$C$2:$C$1833,$R21,Data!$D$2:$D$1833,$S21,Data!$E$2:$E$1833,$E21,Data!$F$2:$F$1833,I$1,Data!$H$2:$H$1833,1)</f>
        <v>0</v>
      </c>
      <c r="J21" s="49" t="n">
        <f aca="false">COUNTIFS(Data!$B$2:$B$1833,$Q21,Data!$C$2:$C$1833,$R21,Data!$D$2:$D$1833,$S21,Data!$E$2:$E$1833,$E21,Data!$F$2:$F$1833,J$1,Data!$H$2:$H$1833,1)</f>
        <v>1</v>
      </c>
      <c r="K21" s="49" t="n">
        <f aca="false">COUNTIFS(Data!$B$2:$B$1833,$Q21,Data!$C$2:$C$1833,$R21,Data!$D$2:$D$1833,$S21,Data!$E$2:$E$1833,$E21,Data!$F$2:$F$1833,K$1,Data!$H$2:$H$1833,1)</f>
        <v>0</v>
      </c>
      <c r="L21" s="49" t="n">
        <f aca="false">COUNTIFS(Data!$B$2:$B$1833,$Q21,Data!$C$2:$C$1833,$R21,Data!$D$2:$D$1833,$S21,Data!$E$2:$E$1833,$E21,Data!$F$2:$F$1833,L$1,Data!$H$2:$H$1833,1)</f>
        <v>1</v>
      </c>
      <c r="M21" s="49" t="n">
        <f aca="false">COUNTIFS(Data!$B$2:$B$1833,$Q21,Data!$C$2:$C$1833,$R21,Data!$D$2:$D$1833,$S21,Data!$E$2:$E$1833,$E21,Data!$F$2:$F$1833,M$1,Data!$H$2:$H$1833,1)</f>
        <v>0</v>
      </c>
      <c r="N21" s="49" t="n">
        <f aca="false">COUNTIFS(Data!$B$2:$B$1833,$Q21,Data!$C$2:$C$1833,$R21,Data!$D$2:$D$1833,$S21,Data!$E$2:$E$1833,$E21,Data!$F$2:$F$1833,N$1,Data!$H$2:$H$1833,1)</f>
        <v>2</v>
      </c>
      <c r="O21" s="49" t="n">
        <f aca="false">COUNTIFS(Data!$B$2:$B$1833,$Q21,Data!$C$2:$C$1833,$R21,Data!$D$2:$D$1833,$S21,Data!$E$2:$E$1833,$E21,Data!$F$2:$F$1833,O$1,Data!$H$2:$H$1833,1)</f>
        <v>1</v>
      </c>
      <c r="P21" s="49" t="n">
        <f aca="false">SUM(F21:O21)</f>
        <v>9</v>
      </c>
      <c r="Q21" s="50" t="s">
        <v>395</v>
      </c>
      <c r="R21" s="50" t="s">
        <v>644</v>
      </c>
      <c r="S21" s="50" t="s">
        <v>733</v>
      </c>
    </row>
    <row r="22" customFormat="false" ht="15" hidden="false" customHeight="true" outlineLevel="0" collapsed="false">
      <c r="A22" s="49" t="str">
        <f aca="false">IFERROR(INDEX(対訳マスタ!$C$2:$C$136,MATCH($Q22,対訳マスタ!$B$2:$B$136,0)),$Q22)</f>
        <v>コミュニケーション言語活動</v>
      </c>
      <c r="B22" s="49" t="str">
        <f aca="false">IF($R22="—","—",IFERROR(INDEX(対訳マスタ!$C$2:$C$136,MATCH($R22,対訳マスタ!$B$2:$B$136,0)),$R22))</f>
        <v>産出</v>
      </c>
      <c r="C22" s="49" t="str">
        <f aca="false">IF($S22="—","—",IFERROR(INDEX(対訳マスタ!$C$2:$C$136,MATCH($S22,対訳マスタ!$B$2:$B$136,0)),$S22))</f>
        <v>記述産出（書くこと）</v>
      </c>
      <c r="D22" s="49" t="str">
        <f aca="false">IFERROR(INDEX(対訳マスタ!$C$2:$C$136,MATCH($E22,対訳マスタ!$B$2:$B$136,0)),$E22)</f>
        <v>創作の文章</v>
      </c>
      <c r="E22" s="50" t="s">
        <v>744</v>
      </c>
      <c r="F22" s="49" t="n">
        <f aca="false">COUNTIFS(Data!$B$2:$B$1833,$Q22,Data!$C$2:$C$1833,$R22,Data!$D$2:$D$1833,$S22,Data!$E$2:$E$1833,$E22,Data!$F$2:$F$1833,F$1,Data!$H$2:$H$1833,1)</f>
        <v>0</v>
      </c>
      <c r="G22" s="49" t="n">
        <f aca="false">COUNTIFS(Data!$B$2:$B$1833,$Q22,Data!$C$2:$C$1833,$R22,Data!$D$2:$D$1833,$S22,Data!$E$2:$E$1833,$E22,Data!$F$2:$F$1833,G$1,Data!$H$2:$H$1833,1)</f>
        <v>3</v>
      </c>
      <c r="H22" s="49" t="n">
        <f aca="false">COUNTIFS(Data!$B$2:$B$1833,$Q22,Data!$C$2:$C$1833,$R22,Data!$D$2:$D$1833,$S22,Data!$E$2:$E$1833,$E22,Data!$F$2:$F$1833,H$1,Data!$H$2:$H$1833,1)</f>
        <v>4</v>
      </c>
      <c r="I22" s="49" t="n">
        <f aca="false">COUNTIFS(Data!$B$2:$B$1833,$Q22,Data!$C$2:$C$1833,$R22,Data!$D$2:$D$1833,$S22,Data!$E$2:$E$1833,$E22,Data!$F$2:$F$1833,I$1,Data!$H$2:$H$1833,1)</f>
        <v>3</v>
      </c>
      <c r="J22" s="49" t="n">
        <f aca="false">COUNTIFS(Data!$B$2:$B$1833,$Q22,Data!$C$2:$C$1833,$R22,Data!$D$2:$D$1833,$S22,Data!$E$2:$E$1833,$E22,Data!$F$2:$F$1833,J$1,Data!$H$2:$H$1833,1)</f>
        <v>4</v>
      </c>
      <c r="K22" s="49" t="n">
        <f aca="false">COUNTIFS(Data!$B$2:$B$1833,$Q22,Data!$C$2:$C$1833,$R22,Data!$D$2:$D$1833,$S22,Data!$E$2:$E$1833,$E22,Data!$F$2:$F$1833,K$1,Data!$H$2:$H$1833,1)</f>
        <v>2</v>
      </c>
      <c r="L22" s="49" t="n">
        <f aca="false">COUNTIFS(Data!$B$2:$B$1833,$Q22,Data!$C$2:$C$1833,$R22,Data!$D$2:$D$1833,$S22,Data!$E$2:$E$1833,$E22,Data!$F$2:$F$1833,L$1,Data!$H$2:$H$1833,1)</f>
        <v>2</v>
      </c>
      <c r="M22" s="49" t="n">
        <f aca="false">COUNTIFS(Data!$B$2:$B$1833,$Q22,Data!$C$2:$C$1833,$R22,Data!$D$2:$D$1833,$S22,Data!$E$2:$E$1833,$E22,Data!$F$2:$F$1833,M$1,Data!$H$2:$H$1833,1)</f>
        <v>1</v>
      </c>
      <c r="N22" s="49" t="n">
        <f aca="false">COUNTIFS(Data!$B$2:$B$1833,$Q22,Data!$C$2:$C$1833,$R22,Data!$D$2:$D$1833,$S22,Data!$E$2:$E$1833,$E22,Data!$F$2:$F$1833,N$1,Data!$H$2:$H$1833,1)</f>
        <v>3</v>
      </c>
      <c r="O22" s="49" t="n">
        <f aca="false">COUNTIFS(Data!$B$2:$B$1833,$Q22,Data!$C$2:$C$1833,$R22,Data!$D$2:$D$1833,$S22,Data!$E$2:$E$1833,$E22,Data!$F$2:$F$1833,O$1,Data!$H$2:$H$1833,1)</f>
        <v>2</v>
      </c>
      <c r="P22" s="49" t="n">
        <f aca="false">SUM(F22:O22)</f>
        <v>24</v>
      </c>
      <c r="Q22" s="50" t="s">
        <v>395</v>
      </c>
      <c r="R22" s="50" t="s">
        <v>644</v>
      </c>
      <c r="S22" s="50" t="s">
        <v>733</v>
      </c>
    </row>
    <row r="23" customFormat="false" ht="15" hidden="false" customHeight="true" outlineLevel="0" collapsed="false">
      <c r="A23" s="49" t="str">
        <f aca="false">IFERROR(INDEX(対訳マスタ!$C$2:$C$136,MATCH($Q23,対訳マスタ!$B$2:$B$136,0)),$Q23)</f>
        <v>コミュニケーション言語活動</v>
      </c>
      <c r="B23" s="49" t="str">
        <f aca="false">IF($R23="—","—",IFERROR(INDEX(対訳マスタ!$C$2:$C$136,MATCH($R23,対訳マスタ!$B$2:$B$136,0)),$R23))</f>
        <v>産出</v>
      </c>
      <c r="C23" s="49" t="str">
        <f aca="false">IF($S23="—","—",IFERROR(INDEX(対訳マスタ!$C$2:$C$136,MATCH($S23,対訳マスタ!$B$2:$B$136,0)),$S23))</f>
        <v>記述産出（書くこと）</v>
      </c>
      <c r="D23" s="49" t="str">
        <f aca="false">IFERROR(INDEX(対訳マスタ!$C$2:$C$136,MATCH($E23,対訳マスタ!$B$2:$B$136,0)),$E23)</f>
        <v>レポート・小論文</v>
      </c>
      <c r="E23" s="50" t="s">
        <v>768</v>
      </c>
      <c r="F23" s="49" t="n">
        <f aca="false">COUNTIFS(Data!$B$2:$B$1833,$Q23,Data!$C$2:$C$1833,$R23,Data!$D$2:$D$1833,$S23,Data!$E$2:$E$1833,$E23,Data!$F$2:$F$1833,F$1,Data!$H$2:$H$1833,1)</f>
        <v>0</v>
      </c>
      <c r="G23" s="49" t="n">
        <f aca="false">COUNTIFS(Data!$B$2:$B$1833,$Q23,Data!$C$2:$C$1833,$R23,Data!$D$2:$D$1833,$S23,Data!$E$2:$E$1833,$E23,Data!$F$2:$F$1833,G$1,Data!$H$2:$H$1833,1)</f>
        <v>0</v>
      </c>
      <c r="H23" s="49" t="n">
        <f aca="false">COUNTIFS(Data!$B$2:$B$1833,$Q23,Data!$C$2:$C$1833,$R23,Data!$D$2:$D$1833,$S23,Data!$E$2:$E$1833,$E23,Data!$F$2:$F$1833,H$1,Data!$H$2:$H$1833,1)</f>
        <v>2</v>
      </c>
      <c r="I23" s="49" t="n">
        <f aca="false">COUNTIFS(Data!$B$2:$B$1833,$Q23,Data!$C$2:$C$1833,$R23,Data!$D$2:$D$1833,$S23,Data!$E$2:$E$1833,$E23,Data!$F$2:$F$1833,I$1,Data!$H$2:$H$1833,1)</f>
        <v>0</v>
      </c>
      <c r="J23" s="49" t="n">
        <f aca="false">COUNTIFS(Data!$B$2:$B$1833,$Q23,Data!$C$2:$C$1833,$R23,Data!$D$2:$D$1833,$S23,Data!$E$2:$E$1833,$E23,Data!$F$2:$F$1833,J$1,Data!$H$2:$H$1833,1)</f>
        <v>2</v>
      </c>
      <c r="K23" s="49" t="n">
        <f aca="false">COUNTIFS(Data!$B$2:$B$1833,$Q23,Data!$C$2:$C$1833,$R23,Data!$D$2:$D$1833,$S23,Data!$E$2:$E$1833,$E23,Data!$F$2:$F$1833,K$1,Data!$H$2:$H$1833,1)</f>
        <v>3</v>
      </c>
      <c r="L23" s="49" t="n">
        <f aca="false">COUNTIFS(Data!$B$2:$B$1833,$Q23,Data!$C$2:$C$1833,$R23,Data!$D$2:$D$1833,$S23,Data!$E$2:$E$1833,$E23,Data!$F$2:$F$1833,L$1,Data!$H$2:$H$1833,1)</f>
        <v>2</v>
      </c>
      <c r="M23" s="49" t="n">
        <f aca="false">COUNTIFS(Data!$B$2:$B$1833,$Q23,Data!$C$2:$C$1833,$R23,Data!$D$2:$D$1833,$S23,Data!$E$2:$E$1833,$E23,Data!$F$2:$F$1833,M$1,Data!$H$2:$H$1833,1)</f>
        <v>3</v>
      </c>
      <c r="N23" s="49" t="n">
        <f aca="false">COUNTIFS(Data!$B$2:$B$1833,$Q23,Data!$C$2:$C$1833,$R23,Data!$D$2:$D$1833,$S23,Data!$E$2:$E$1833,$E23,Data!$F$2:$F$1833,N$1,Data!$H$2:$H$1833,1)</f>
        <v>3</v>
      </c>
      <c r="O23" s="49" t="n">
        <f aca="false">COUNTIFS(Data!$B$2:$B$1833,$Q23,Data!$C$2:$C$1833,$R23,Data!$D$2:$D$1833,$S23,Data!$E$2:$E$1833,$E23,Data!$F$2:$F$1833,O$1,Data!$H$2:$H$1833,1)</f>
        <v>3</v>
      </c>
      <c r="P23" s="49" t="n">
        <f aca="false">SUM(F23:O23)</f>
        <v>18</v>
      </c>
      <c r="Q23" s="50" t="s">
        <v>395</v>
      </c>
      <c r="R23" s="50" t="s">
        <v>644</v>
      </c>
      <c r="S23" s="50" t="s">
        <v>733</v>
      </c>
    </row>
    <row r="24" customFormat="false" ht="15" hidden="false" customHeight="true" outlineLevel="0" collapsed="false">
      <c r="A24" s="49" t="str">
        <f aca="false">IFERROR(INDEX(対訳マスタ!$C$2:$C$136,MATCH($Q24,対訳マスタ!$B$2:$B$136,0)),$Q24)</f>
        <v>コミュニケーション言語方略</v>
      </c>
      <c r="B24" s="49" t="str">
        <f aca="false">IF($R24="—","—",IFERROR(INDEX(対訳マスタ!$C$2:$C$136,MATCH($R24,対訳マスタ!$B$2:$B$136,0)),$R24))</f>
        <v>産出</v>
      </c>
      <c r="C24" s="49" t="str">
        <f aca="false">IF($S24="—","—",IFERROR(INDEX(対訳マスタ!$C$2:$C$136,MATCH($S24,対訳マスタ!$B$2:$B$136,0)),$S24))</f>
        <v>—</v>
      </c>
      <c r="D24" s="49" t="str">
        <f aca="false">IFERROR(INDEX(対訳マスタ!$C$2:$C$136,MATCH($E24,対訳マスタ!$B$2:$B$136,0)),$E24)</f>
        <v>計画（発話の設計）</v>
      </c>
      <c r="E24" s="50" t="s">
        <v>787</v>
      </c>
      <c r="F24" s="49" t="n">
        <f aca="false">COUNTIFS(Data!$B$2:$B$1833,$Q24,Data!$C$2:$C$1833,$R24,Data!$D$2:$D$1833,$S24,Data!$E$2:$E$1833,$E24,Data!$F$2:$F$1833,F$1,Data!$H$2:$H$1833,1)</f>
        <v>0</v>
      </c>
      <c r="G24" s="49" t="n">
        <f aca="false">COUNTIFS(Data!$B$2:$B$1833,$Q24,Data!$C$2:$C$1833,$R24,Data!$D$2:$D$1833,$S24,Data!$E$2:$E$1833,$E24,Data!$F$2:$F$1833,G$1,Data!$H$2:$H$1833,1)</f>
        <v>0</v>
      </c>
      <c r="H24" s="49" t="n">
        <f aca="false">COUNTIFS(Data!$B$2:$B$1833,$Q24,Data!$C$2:$C$1833,$R24,Data!$D$2:$D$1833,$S24,Data!$E$2:$E$1833,$E24,Data!$F$2:$F$1833,H$1,Data!$H$2:$H$1833,1)</f>
        <v>1</v>
      </c>
      <c r="I24" s="49" t="n">
        <f aca="false">COUNTIFS(Data!$B$2:$B$1833,$Q24,Data!$C$2:$C$1833,$R24,Data!$D$2:$D$1833,$S24,Data!$E$2:$E$1833,$E24,Data!$F$2:$F$1833,I$1,Data!$H$2:$H$1833,1)</f>
        <v>0</v>
      </c>
      <c r="J24" s="49" t="n">
        <f aca="false">COUNTIFS(Data!$B$2:$B$1833,$Q24,Data!$C$2:$C$1833,$R24,Data!$D$2:$D$1833,$S24,Data!$E$2:$E$1833,$E24,Data!$F$2:$F$1833,J$1,Data!$H$2:$H$1833,1)</f>
        <v>1</v>
      </c>
      <c r="K24" s="49" t="n">
        <f aca="false">COUNTIFS(Data!$B$2:$B$1833,$Q24,Data!$C$2:$C$1833,$R24,Data!$D$2:$D$1833,$S24,Data!$E$2:$E$1833,$E24,Data!$F$2:$F$1833,K$1,Data!$H$2:$H$1833,1)</f>
        <v>1</v>
      </c>
      <c r="L24" s="49" t="n">
        <f aca="false">COUNTIFS(Data!$B$2:$B$1833,$Q24,Data!$C$2:$C$1833,$R24,Data!$D$2:$D$1833,$S24,Data!$E$2:$E$1833,$E24,Data!$F$2:$F$1833,L$1,Data!$H$2:$H$1833,1)</f>
        <v>1</v>
      </c>
      <c r="M24" s="49" t="n">
        <f aca="false">COUNTIFS(Data!$B$2:$B$1833,$Q24,Data!$C$2:$C$1833,$R24,Data!$D$2:$D$1833,$S24,Data!$E$2:$E$1833,$E24,Data!$F$2:$F$1833,M$1,Data!$H$2:$H$1833,1)</f>
        <v>1</v>
      </c>
      <c r="N24" s="49" t="n">
        <f aca="false">COUNTIFS(Data!$B$2:$B$1833,$Q24,Data!$C$2:$C$1833,$R24,Data!$D$2:$D$1833,$S24,Data!$E$2:$E$1833,$E24,Data!$F$2:$F$1833,N$1,Data!$H$2:$H$1833,1)</f>
        <v>1</v>
      </c>
      <c r="O24" s="49" t="n">
        <f aca="false">COUNTIFS(Data!$B$2:$B$1833,$Q24,Data!$C$2:$C$1833,$R24,Data!$D$2:$D$1833,$S24,Data!$E$2:$E$1833,$E24,Data!$F$2:$F$1833,O$1,Data!$H$2:$H$1833,1)</f>
        <v>0</v>
      </c>
      <c r="P24" s="49" t="n">
        <f aca="false">SUM(F24:O24)</f>
        <v>6</v>
      </c>
      <c r="Q24" s="50" t="s">
        <v>396</v>
      </c>
      <c r="R24" s="50" t="s">
        <v>644</v>
      </c>
      <c r="S24" s="50" t="s">
        <v>624</v>
      </c>
    </row>
    <row r="25" customFormat="false" ht="15" hidden="false" customHeight="true" outlineLevel="0" collapsed="false">
      <c r="A25" s="49" t="str">
        <f aca="false">IFERROR(INDEX(対訳マスタ!$C$2:$C$136,MATCH($Q25,対訳マスタ!$B$2:$B$136,0)),$Q25)</f>
        <v>コミュニケーション言語方略</v>
      </c>
      <c r="B25" s="49" t="str">
        <f aca="false">IF($R25="—","—",IFERROR(INDEX(対訳マスタ!$C$2:$C$136,MATCH($R25,対訳マスタ!$B$2:$B$136,0)),$R25))</f>
        <v>産出</v>
      </c>
      <c r="C25" s="49" t="str">
        <f aca="false">IF($S25="—","—",IFERROR(INDEX(対訳マスタ!$C$2:$C$136,MATCH($S25,対訳マスタ!$B$2:$B$136,0)),$S25))</f>
        <v>—</v>
      </c>
      <c r="D25" s="49" t="str">
        <f aca="false">IFERROR(INDEX(対訳マスタ!$C$2:$C$136,MATCH($E25,対訳マスタ!$B$2:$B$136,0)),$E25)</f>
        <v>補償（言い換え等で補う）</v>
      </c>
      <c r="E25" s="50" t="s">
        <v>794</v>
      </c>
      <c r="F25" s="49" t="n">
        <f aca="false">COUNTIFS(Data!$B$2:$B$1833,$Q25,Data!$C$2:$C$1833,$R25,Data!$D$2:$D$1833,$S25,Data!$E$2:$E$1833,$E25,Data!$F$2:$F$1833,F$1,Data!$H$2:$H$1833,1)</f>
        <v>1</v>
      </c>
      <c r="G25" s="49" t="n">
        <f aca="false">COUNTIFS(Data!$B$2:$B$1833,$Q25,Data!$C$2:$C$1833,$R25,Data!$D$2:$D$1833,$S25,Data!$E$2:$E$1833,$E25,Data!$F$2:$F$1833,G$1,Data!$H$2:$H$1833,1)</f>
        <v>1</v>
      </c>
      <c r="H25" s="49" t="n">
        <f aca="false">COUNTIFS(Data!$B$2:$B$1833,$Q25,Data!$C$2:$C$1833,$R25,Data!$D$2:$D$1833,$S25,Data!$E$2:$E$1833,$E25,Data!$F$2:$F$1833,H$1,Data!$H$2:$H$1833,1)</f>
        <v>1</v>
      </c>
      <c r="I25" s="49" t="n">
        <f aca="false">COUNTIFS(Data!$B$2:$B$1833,$Q25,Data!$C$2:$C$1833,$R25,Data!$D$2:$D$1833,$S25,Data!$E$2:$E$1833,$E25,Data!$F$2:$F$1833,I$1,Data!$H$2:$H$1833,1)</f>
        <v>1</v>
      </c>
      <c r="J25" s="49" t="n">
        <f aca="false">COUNTIFS(Data!$B$2:$B$1833,$Q25,Data!$C$2:$C$1833,$R25,Data!$D$2:$D$1833,$S25,Data!$E$2:$E$1833,$E25,Data!$F$2:$F$1833,J$1,Data!$H$2:$H$1833,1)</f>
        <v>2</v>
      </c>
      <c r="K25" s="49" t="n">
        <f aca="false">COUNTIFS(Data!$B$2:$B$1833,$Q25,Data!$C$2:$C$1833,$R25,Data!$D$2:$D$1833,$S25,Data!$E$2:$E$1833,$E25,Data!$F$2:$F$1833,K$1,Data!$H$2:$H$1833,1)</f>
        <v>2</v>
      </c>
      <c r="L25" s="49" t="n">
        <f aca="false">COUNTIFS(Data!$B$2:$B$1833,$Q25,Data!$C$2:$C$1833,$R25,Data!$D$2:$D$1833,$S25,Data!$E$2:$E$1833,$E25,Data!$F$2:$F$1833,L$1,Data!$H$2:$H$1833,1)</f>
        <v>1</v>
      </c>
      <c r="M25" s="49" t="n">
        <f aca="false">COUNTIFS(Data!$B$2:$B$1833,$Q25,Data!$C$2:$C$1833,$R25,Data!$D$2:$D$1833,$S25,Data!$E$2:$E$1833,$E25,Data!$F$2:$F$1833,M$1,Data!$H$2:$H$1833,1)</f>
        <v>1</v>
      </c>
      <c r="N25" s="49" t="n">
        <f aca="false">COUNTIFS(Data!$B$2:$B$1833,$Q25,Data!$C$2:$C$1833,$R25,Data!$D$2:$D$1833,$S25,Data!$E$2:$E$1833,$E25,Data!$F$2:$F$1833,N$1,Data!$H$2:$H$1833,1)</f>
        <v>1</v>
      </c>
      <c r="O25" s="49" t="n">
        <f aca="false">COUNTIFS(Data!$B$2:$B$1833,$Q25,Data!$C$2:$C$1833,$R25,Data!$D$2:$D$1833,$S25,Data!$E$2:$E$1833,$E25,Data!$F$2:$F$1833,O$1,Data!$H$2:$H$1833,1)</f>
        <v>1</v>
      </c>
      <c r="P25" s="49" t="n">
        <f aca="false">SUM(F25:O25)</f>
        <v>12</v>
      </c>
      <c r="Q25" s="50" t="s">
        <v>396</v>
      </c>
      <c r="R25" s="50" t="s">
        <v>644</v>
      </c>
      <c r="S25" s="50" t="s">
        <v>624</v>
      </c>
    </row>
    <row r="26" customFormat="false" ht="15" hidden="false" customHeight="true" outlineLevel="0" collapsed="false">
      <c r="A26" s="49" t="str">
        <f aca="false">IFERROR(INDEX(対訳マスタ!$C$2:$C$136,MATCH($Q26,対訳マスタ!$B$2:$B$136,0)),$Q26)</f>
        <v>コミュニケーション言語方略</v>
      </c>
      <c r="B26" s="49" t="str">
        <f aca="false">IF($R26="—","—",IFERROR(INDEX(対訳マスタ!$C$2:$C$136,MATCH($R26,対訳マスタ!$B$2:$B$136,0)),$R26))</f>
        <v>産出</v>
      </c>
      <c r="C26" s="49" t="str">
        <f aca="false">IF($S26="—","—",IFERROR(INDEX(対訳マスタ!$C$2:$C$136,MATCH($S26,対訳マスタ!$B$2:$B$136,0)),$S26))</f>
        <v>—</v>
      </c>
      <c r="D26" s="49" t="str">
        <f aca="false">IFERROR(INDEX(対訳マスタ!$C$2:$C$136,MATCH($E26,対訳マスタ!$B$2:$B$136,0)),$E26)</f>
        <v>モニタリングと修復（言い直し）</v>
      </c>
      <c r="E26" s="50" t="s">
        <v>807</v>
      </c>
      <c r="F26" s="49" t="n">
        <f aca="false">COUNTIFS(Data!$B$2:$B$1833,$Q26,Data!$C$2:$C$1833,$R26,Data!$D$2:$D$1833,$S26,Data!$E$2:$E$1833,$E26,Data!$F$2:$F$1833,F$1,Data!$H$2:$H$1833,1)</f>
        <v>0</v>
      </c>
      <c r="G26" s="49" t="n">
        <f aca="false">COUNTIFS(Data!$B$2:$B$1833,$Q26,Data!$C$2:$C$1833,$R26,Data!$D$2:$D$1833,$S26,Data!$E$2:$E$1833,$E26,Data!$F$2:$F$1833,G$1,Data!$H$2:$H$1833,1)</f>
        <v>0</v>
      </c>
      <c r="H26" s="49" t="n">
        <f aca="false">COUNTIFS(Data!$B$2:$B$1833,$Q26,Data!$C$2:$C$1833,$R26,Data!$D$2:$D$1833,$S26,Data!$E$2:$E$1833,$E26,Data!$F$2:$F$1833,H$1,Data!$H$2:$H$1833,1)</f>
        <v>0</v>
      </c>
      <c r="I26" s="49" t="n">
        <f aca="false">COUNTIFS(Data!$B$2:$B$1833,$Q26,Data!$C$2:$C$1833,$R26,Data!$D$2:$D$1833,$S26,Data!$E$2:$E$1833,$E26,Data!$F$2:$F$1833,I$1,Data!$H$2:$H$1833,1)</f>
        <v>0</v>
      </c>
      <c r="J26" s="49" t="n">
        <f aca="false">COUNTIFS(Data!$B$2:$B$1833,$Q26,Data!$C$2:$C$1833,$R26,Data!$D$2:$D$1833,$S26,Data!$E$2:$E$1833,$E26,Data!$F$2:$F$1833,J$1,Data!$H$2:$H$1833,1)</f>
        <v>2</v>
      </c>
      <c r="K26" s="49" t="n">
        <f aca="false">COUNTIFS(Data!$B$2:$B$1833,$Q26,Data!$C$2:$C$1833,$R26,Data!$D$2:$D$1833,$S26,Data!$E$2:$E$1833,$E26,Data!$F$2:$F$1833,K$1,Data!$H$2:$H$1833,1)</f>
        <v>1</v>
      </c>
      <c r="L26" s="49" t="n">
        <f aca="false">COUNTIFS(Data!$B$2:$B$1833,$Q26,Data!$C$2:$C$1833,$R26,Data!$D$2:$D$1833,$S26,Data!$E$2:$E$1833,$E26,Data!$F$2:$F$1833,L$1,Data!$H$2:$H$1833,1)</f>
        <v>2</v>
      </c>
      <c r="M26" s="49" t="n">
        <f aca="false">COUNTIFS(Data!$B$2:$B$1833,$Q26,Data!$C$2:$C$1833,$R26,Data!$D$2:$D$1833,$S26,Data!$E$2:$E$1833,$E26,Data!$F$2:$F$1833,M$1,Data!$H$2:$H$1833,1)</f>
        <v>1</v>
      </c>
      <c r="N26" s="49" t="n">
        <f aca="false">COUNTIFS(Data!$B$2:$B$1833,$Q26,Data!$C$2:$C$1833,$R26,Data!$D$2:$D$1833,$S26,Data!$E$2:$E$1833,$E26,Data!$F$2:$F$1833,N$1,Data!$H$2:$H$1833,1)</f>
        <v>2</v>
      </c>
      <c r="O26" s="49" t="n">
        <f aca="false">COUNTIFS(Data!$B$2:$B$1833,$Q26,Data!$C$2:$C$1833,$R26,Data!$D$2:$D$1833,$S26,Data!$E$2:$E$1833,$E26,Data!$F$2:$F$1833,O$1,Data!$H$2:$H$1833,1)</f>
        <v>1</v>
      </c>
      <c r="P26" s="49" t="n">
        <f aca="false">SUM(F26:O26)</f>
        <v>9</v>
      </c>
      <c r="Q26" s="50" t="s">
        <v>396</v>
      </c>
      <c r="R26" s="50" t="s">
        <v>644</v>
      </c>
      <c r="S26" s="50" t="s">
        <v>624</v>
      </c>
    </row>
    <row r="27" customFormat="false" ht="15" hidden="false" customHeight="true" outlineLevel="0" collapsed="false">
      <c r="A27" s="49" t="str">
        <f aca="false">IFERROR(INDEX(対訳マスタ!$C$2:$C$136,MATCH($Q27,対訳マスタ!$B$2:$B$136,0)),$Q27)</f>
        <v>コミュニケーション言語活動</v>
      </c>
      <c r="B27" s="49" t="str">
        <f aca="false">IF($R27="—","—",IFERROR(INDEX(対訳マスタ!$C$2:$C$136,MATCH($R27,対訳マスタ!$B$2:$B$136,0)),$R27))</f>
        <v>相互行為</v>
      </c>
      <c r="C27" s="49" t="str">
        <f aca="false">IF($S27="—","—",IFERROR(INDEX(対訳マスタ!$C$2:$C$136,MATCH($S27,対訳マスタ!$B$2:$B$136,0)),$S27))</f>
        <v>口頭の相互行為</v>
      </c>
      <c r="D27" s="49" t="str">
        <f aca="false">IFERROR(INDEX(対訳マスタ!$C$2:$C$136,MATCH($E27,対訳マスタ!$B$2:$B$136,0)),$E27)</f>
        <v>口頭相互行為（総合）</v>
      </c>
      <c r="E27" s="50" t="s">
        <v>819</v>
      </c>
      <c r="F27" s="49" t="n">
        <f aca="false">COUNTIFS(Data!$B$2:$B$1833,$Q27,Data!$C$2:$C$1833,$R27,Data!$D$2:$D$1833,$S27,Data!$E$2:$E$1833,$E27,Data!$F$2:$F$1833,F$1,Data!$H$2:$H$1833,1)</f>
        <v>1</v>
      </c>
      <c r="G27" s="49" t="n">
        <f aca="false">COUNTIFS(Data!$B$2:$B$1833,$Q27,Data!$C$2:$C$1833,$R27,Data!$D$2:$D$1833,$S27,Data!$E$2:$E$1833,$E27,Data!$F$2:$F$1833,G$1,Data!$H$2:$H$1833,1)</f>
        <v>1</v>
      </c>
      <c r="H27" s="49" t="n">
        <f aca="false">COUNTIFS(Data!$B$2:$B$1833,$Q27,Data!$C$2:$C$1833,$R27,Data!$D$2:$D$1833,$S27,Data!$E$2:$E$1833,$E27,Data!$F$2:$F$1833,H$1,Data!$H$2:$H$1833,1)</f>
        <v>1</v>
      </c>
      <c r="I27" s="49" t="n">
        <f aca="false">COUNTIFS(Data!$B$2:$B$1833,$Q27,Data!$C$2:$C$1833,$R27,Data!$D$2:$D$1833,$S27,Data!$E$2:$E$1833,$E27,Data!$F$2:$F$1833,I$1,Data!$H$2:$H$1833,1)</f>
        <v>1</v>
      </c>
      <c r="J27" s="49" t="n">
        <f aca="false">COUNTIFS(Data!$B$2:$B$1833,$Q27,Data!$C$2:$C$1833,$R27,Data!$D$2:$D$1833,$S27,Data!$E$2:$E$1833,$E27,Data!$F$2:$F$1833,J$1,Data!$H$2:$H$1833,1)</f>
        <v>1</v>
      </c>
      <c r="K27" s="49" t="n">
        <f aca="false">COUNTIFS(Data!$B$2:$B$1833,$Q27,Data!$C$2:$C$1833,$R27,Data!$D$2:$D$1833,$S27,Data!$E$2:$E$1833,$E27,Data!$F$2:$F$1833,K$1,Data!$H$2:$H$1833,1)</f>
        <v>1</v>
      </c>
      <c r="L27" s="49" t="n">
        <f aca="false">COUNTIFS(Data!$B$2:$B$1833,$Q27,Data!$C$2:$C$1833,$R27,Data!$D$2:$D$1833,$S27,Data!$E$2:$E$1833,$E27,Data!$F$2:$F$1833,L$1,Data!$H$2:$H$1833,1)</f>
        <v>1</v>
      </c>
      <c r="M27" s="49" t="n">
        <f aca="false">COUNTIFS(Data!$B$2:$B$1833,$Q27,Data!$C$2:$C$1833,$R27,Data!$D$2:$D$1833,$S27,Data!$E$2:$E$1833,$E27,Data!$F$2:$F$1833,M$1,Data!$H$2:$H$1833,1)</f>
        <v>1</v>
      </c>
      <c r="N27" s="49" t="n">
        <f aca="false">COUNTIFS(Data!$B$2:$B$1833,$Q27,Data!$C$2:$C$1833,$R27,Data!$D$2:$D$1833,$S27,Data!$E$2:$E$1833,$E27,Data!$F$2:$F$1833,N$1,Data!$H$2:$H$1833,1)</f>
        <v>1</v>
      </c>
      <c r="O27" s="49" t="n">
        <f aca="false">COUNTIFS(Data!$B$2:$B$1833,$Q27,Data!$C$2:$C$1833,$R27,Data!$D$2:$D$1833,$S27,Data!$E$2:$E$1833,$E27,Data!$F$2:$F$1833,O$1,Data!$H$2:$H$1833,1)</f>
        <v>1</v>
      </c>
      <c r="P27" s="49" t="n">
        <f aca="false">SUM(F27:O27)</f>
        <v>10</v>
      </c>
      <c r="Q27" s="50" t="s">
        <v>395</v>
      </c>
      <c r="R27" s="50" t="s">
        <v>817</v>
      </c>
      <c r="S27" s="50" t="s">
        <v>818</v>
      </c>
    </row>
    <row r="28" customFormat="false" ht="15" hidden="false" customHeight="true" outlineLevel="0" collapsed="false">
      <c r="A28" s="49" t="str">
        <f aca="false">IFERROR(INDEX(対訳マスタ!$C$2:$C$136,MATCH($Q28,対訳マスタ!$B$2:$B$136,0)),$Q28)</f>
        <v>コミュニケーション言語活動</v>
      </c>
      <c r="B28" s="49" t="str">
        <f aca="false">IF($R28="—","—",IFERROR(INDEX(対訳マスタ!$C$2:$C$136,MATCH($R28,対訳マスタ!$B$2:$B$136,0)),$R28))</f>
        <v>相互行為</v>
      </c>
      <c r="C28" s="49" t="str">
        <f aca="false">IF($S28="—","—",IFERROR(INDEX(対訳マスタ!$C$2:$C$136,MATCH($S28,対訳マスタ!$B$2:$B$136,0)),$S28))</f>
        <v>口頭の相互行為</v>
      </c>
      <c r="D28" s="49" t="str">
        <f aca="false">IFERROR(INDEX(対訳マスタ!$C$2:$C$136,MATCH($E28,対訳マスタ!$B$2:$B$136,0)),$E28)</f>
        <v>対話相手の理解</v>
      </c>
      <c r="E28" s="50" t="s">
        <v>830</v>
      </c>
      <c r="F28" s="49" t="n">
        <f aca="false">COUNTIFS(Data!$B$2:$B$1833,$Q28,Data!$C$2:$C$1833,$R28,Data!$D$2:$D$1833,$S28,Data!$E$2:$E$1833,$E28,Data!$F$2:$F$1833,F$1,Data!$H$2:$H$1833,1)</f>
        <v>3</v>
      </c>
      <c r="G28" s="49" t="n">
        <f aca="false">COUNTIFS(Data!$B$2:$B$1833,$Q28,Data!$C$2:$C$1833,$R28,Data!$D$2:$D$1833,$S28,Data!$E$2:$E$1833,$E28,Data!$F$2:$F$1833,G$1,Data!$H$2:$H$1833,1)</f>
        <v>2</v>
      </c>
      <c r="H28" s="49" t="n">
        <f aca="false">COUNTIFS(Data!$B$2:$B$1833,$Q28,Data!$C$2:$C$1833,$R28,Data!$D$2:$D$1833,$S28,Data!$E$2:$E$1833,$E28,Data!$F$2:$F$1833,H$1,Data!$H$2:$H$1833,1)</f>
        <v>1</v>
      </c>
      <c r="I28" s="49" t="n">
        <f aca="false">COUNTIFS(Data!$B$2:$B$1833,$Q28,Data!$C$2:$C$1833,$R28,Data!$D$2:$D$1833,$S28,Data!$E$2:$E$1833,$E28,Data!$F$2:$F$1833,I$1,Data!$H$2:$H$1833,1)</f>
        <v>2</v>
      </c>
      <c r="J28" s="49" t="n">
        <f aca="false">COUNTIFS(Data!$B$2:$B$1833,$Q28,Data!$C$2:$C$1833,$R28,Data!$D$2:$D$1833,$S28,Data!$E$2:$E$1833,$E28,Data!$F$2:$F$1833,J$1,Data!$H$2:$H$1833,1)</f>
        <v>1</v>
      </c>
      <c r="K28" s="49" t="n">
        <f aca="false">COUNTIFS(Data!$B$2:$B$1833,$Q28,Data!$C$2:$C$1833,$R28,Data!$D$2:$D$1833,$S28,Data!$E$2:$E$1833,$E28,Data!$F$2:$F$1833,K$1,Data!$H$2:$H$1833,1)</f>
        <v>0</v>
      </c>
      <c r="L28" s="49" t="n">
        <f aca="false">COUNTIFS(Data!$B$2:$B$1833,$Q28,Data!$C$2:$C$1833,$R28,Data!$D$2:$D$1833,$S28,Data!$E$2:$E$1833,$E28,Data!$F$2:$F$1833,L$1,Data!$H$2:$H$1833,1)</f>
        <v>1</v>
      </c>
      <c r="M28" s="49" t="n">
        <f aca="false">COUNTIFS(Data!$B$2:$B$1833,$Q28,Data!$C$2:$C$1833,$R28,Data!$D$2:$D$1833,$S28,Data!$E$2:$E$1833,$E28,Data!$F$2:$F$1833,M$1,Data!$H$2:$H$1833,1)</f>
        <v>0</v>
      </c>
      <c r="N28" s="49" t="n">
        <f aca="false">COUNTIFS(Data!$B$2:$B$1833,$Q28,Data!$C$2:$C$1833,$R28,Data!$D$2:$D$1833,$S28,Data!$E$2:$E$1833,$E28,Data!$F$2:$F$1833,N$1,Data!$H$2:$H$1833,1)</f>
        <v>1</v>
      </c>
      <c r="O28" s="49" t="n">
        <f aca="false">COUNTIFS(Data!$B$2:$B$1833,$Q28,Data!$C$2:$C$1833,$R28,Data!$D$2:$D$1833,$S28,Data!$E$2:$E$1833,$E28,Data!$F$2:$F$1833,O$1,Data!$H$2:$H$1833,1)</f>
        <v>1</v>
      </c>
      <c r="P28" s="49" t="n">
        <f aca="false">SUM(F28:O28)</f>
        <v>12</v>
      </c>
      <c r="Q28" s="50" t="s">
        <v>395</v>
      </c>
      <c r="R28" s="50" t="s">
        <v>817</v>
      </c>
      <c r="S28" s="50" t="s">
        <v>818</v>
      </c>
    </row>
    <row r="29" customFormat="false" ht="15" hidden="false" customHeight="true" outlineLevel="0" collapsed="false">
      <c r="A29" s="49" t="str">
        <f aca="false">IFERROR(INDEX(対訳マスタ!$C$2:$C$136,MATCH($Q29,対訳マスタ!$B$2:$B$136,0)),$Q29)</f>
        <v>コミュニケーション言語活動</v>
      </c>
      <c r="B29" s="49" t="str">
        <f aca="false">IF($R29="—","—",IFERROR(INDEX(対訳マスタ!$C$2:$C$136,MATCH($R29,対訳マスタ!$B$2:$B$136,0)),$R29))</f>
        <v>相互行為</v>
      </c>
      <c r="C29" s="49" t="str">
        <f aca="false">IF($S29="—","—",IFERROR(INDEX(対訳マスタ!$C$2:$C$136,MATCH($S29,対訳マスタ!$B$2:$B$136,0)),$S29))</f>
        <v>口頭の相互行為</v>
      </c>
      <c r="D29" s="49" t="str">
        <f aca="false">IFERROR(INDEX(対訳マスタ!$C$2:$C$136,MATCH($E29,対訳マスタ!$B$2:$B$136,0)),$E29)</f>
        <v>会話（社交的な会話）</v>
      </c>
      <c r="E29" s="50" t="s">
        <v>843</v>
      </c>
      <c r="F29" s="49" t="n">
        <f aca="false">COUNTIFS(Data!$B$2:$B$1833,$Q29,Data!$C$2:$C$1833,$R29,Data!$D$2:$D$1833,$S29,Data!$E$2:$E$1833,$E29,Data!$F$2:$F$1833,F$1,Data!$H$2:$H$1833,1)</f>
        <v>3</v>
      </c>
      <c r="G29" s="49" t="n">
        <f aca="false">COUNTIFS(Data!$B$2:$B$1833,$Q29,Data!$C$2:$C$1833,$R29,Data!$D$2:$D$1833,$S29,Data!$E$2:$E$1833,$E29,Data!$F$2:$F$1833,G$1,Data!$H$2:$H$1833,1)</f>
        <v>4</v>
      </c>
      <c r="H29" s="49" t="n">
        <f aca="false">COUNTIFS(Data!$B$2:$B$1833,$Q29,Data!$C$2:$C$1833,$R29,Data!$D$2:$D$1833,$S29,Data!$E$2:$E$1833,$E29,Data!$F$2:$F$1833,H$1,Data!$H$2:$H$1833,1)</f>
        <v>6</v>
      </c>
      <c r="I29" s="49" t="n">
        <f aca="false">COUNTIFS(Data!$B$2:$B$1833,$Q29,Data!$C$2:$C$1833,$R29,Data!$D$2:$D$1833,$S29,Data!$E$2:$E$1833,$E29,Data!$F$2:$F$1833,I$1,Data!$H$2:$H$1833,1)</f>
        <v>5</v>
      </c>
      <c r="J29" s="49" t="n">
        <f aca="false">COUNTIFS(Data!$B$2:$B$1833,$Q29,Data!$C$2:$C$1833,$R29,Data!$D$2:$D$1833,$S29,Data!$E$2:$E$1833,$E29,Data!$F$2:$F$1833,J$1,Data!$H$2:$H$1833,1)</f>
        <v>4</v>
      </c>
      <c r="K29" s="49" t="n">
        <f aca="false">COUNTIFS(Data!$B$2:$B$1833,$Q29,Data!$C$2:$C$1833,$R29,Data!$D$2:$D$1833,$S29,Data!$E$2:$E$1833,$E29,Data!$F$2:$F$1833,K$1,Data!$H$2:$H$1833,1)</f>
        <v>2</v>
      </c>
      <c r="L29" s="49" t="n">
        <f aca="false">COUNTIFS(Data!$B$2:$B$1833,$Q29,Data!$C$2:$C$1833,$R29,Data!$D$2:$D$1833,$S29,Data!$E$2:$E$1833,$E29,Data!$F$2:$F$1833,L$1,Data!$H$2:$H$1833,1)</f>
        <v>3</v>
      </c>
      <c r="M29" s="49" t="n">
        <f aca="false">COUNTIFS(Data!$B$2:$B$1833,$Q29,Data!$C$2:$C$1833,$R29,Data!$D$2:$D$1833,$S29,Data!$E$2:$E$1833,$E29,Data!$F$2:$F$1833,M$1,Data!$H$2:$H$1833,1)</f>
        <v>2</v>
      </c>
      <c r="N29" s="49" t="n">
        <f aca="false">COUNTIFS(Data!$B$2:$B$1833,$Q29,Data!$C$2:$C$1833,$R29,Data!$D$2:$D$1833,$S29,Data!$E$2:$E$1833,$E29,Data!$F$2:$F$1833,N$1,Data!$H$2:$H$1833,1)</f>
        <v>1</v>
      </c>
      <c r="O29" s="49" t="n">
        <f aca="false">COUNTIFS(Data!$B$2:$B$1833,$Q29,Data!$C$2:$C$1833,$R29,Data!$D$2:$D$1833,$S29,Data!$E$2:$E$1833,$E29,Data!$F$2:$F$1833,O$1,Data!$H$2:$H$1833,1)</f>
        <v>1</v>
      </c>
      <c r="P29" s="49" t="n">
        <f aca="false">SUM(F29:O29)</f>
        <v>31</v>
      </c>
      <c r="Q29" s="50" t="s">
        <v>395</v>
      </c>
      <c r="R29" s="50" t="s">
        <v>817</v>
      </c>
      <c r="S29" s="50" t="s">
        <v>818</v>
      </c>
    </row>
    <row r="30" customFormat="false" ht="15" hidden="false" customHeight="true" outlineLevel="0" collapsed="false">
      <c r="A30" s="49" t="str">
        <f aca="false">IFERROR(INDEX(対訳マスタ!$C$2:$C$136,MATCH($Q30,対訳マスタ!$B$2:$B$136,0)),$Q30)</f>
        <v>コミュニケーション言語活動</v>
      </c>
      <c r="B30" s="49" t="str">
        <f aca="false">IF($R30="—","—",IFERROR(INDEX(対訳マスタ!$C$2:$C$136,MATCH($R30,対訳マスタ!$B$2:$B$136,0)),$R30))</f>
        <v>相互行為</v>
      </c>
      <c r="C30" s="49" t="str">
        <f aca="false">IF($S30="—","—",IFERROR(INDEX(対訳マスタ!$C$2:$C$136,MATCH($S30,対訳マスタ!$B$2:$B$136,0)),$S30))</f>
        <v>口頭の相互行為</v>
      </c>
      <c r="D30" s="49" t="str">
        <f aca="false">IFERROR(INDEX(対訳マスタ!$C$2:$C$136,MATCH($E30,対訳マスタ!$B$2:$B$136,0)),$E30)</f>
        <v>インフォーマルな議論（友人と）</v>
      </c>
      <c r="E30" s="50" t="s">
        <v>869</v>
      </c>
      <c r="F30" s="49" t="n">
        <f aca="false">COUNTIFS(Data!$B$2:$B$1833,$Q30,Data!$C$2:$C$1833,$R30,Data!$D$2:$D$1833,$S30,Data!$E$2:$E$1833,$E30,Data!$F$2:$F$1833,F$1,Data!$H$2:$H$1833,1)</f>
        <v>0</v>
      </c>
      <c r="G30" s="49" t="n">
        <f aca="false">COUNTIFS(Data!$B$2:$B$1833,$Q30,Data!$C$2:$C$1833,$R30,Data!$D$2:$D$1833,$S30,Data!$E$2:$E$1833,$E30,Data!$F$2:$F$1833,G$1,Data!$H$2:$H$1833,1)</f>
        <v>1</v>
      </c>
      <c r="H30" s="49" t="n">
        <f aca="false">COUNTIFS(Data!$B$2:$B$1833,$Q30,Data!$C$2:$C$1833,$R30,Data!$D$2:$D$1833,$S30,Data!$E$2:$E$1833,$E30,Data!$F$2:$F$1833,H$1,Data!$H$2:$H$1833,1)</f>
        <v>3</v>
      </c>
      <c r="I30" s="49" t="n">
        <f aca="false">COUNTIFS(Data!$B$2:$B$1833,$Q30,Data!$C$2:$C$1833,$R30,Data!$D$2:$D$1833,$S30,Data!$E$2:$E$1833,$E30,Data!$F$2:$F$1833,I$1,Data!$H$2:$H$1833,1)</f>
        <v>5</v>
      </c>
      <c r="J30" s="49" t="n">
        <f aca="false">COUNTIFS(Data!$B$2:$B$1833,$Q30,Data!$C$2:$C$1833,$R30,Data!$D$2:$D$1833,$S30,Data!$E$2:$E$1833,$E30,Data!$F$2:$F$1833,J$1,Data!$H$2:$H$1833,1)</f>
        <v>4</v>
      </c>
      <c r="K30" s="49" t="n">
        <f aca="false">COUNTIFS(Data!$B$2:$B$1833,$Q30,Data!$C$2:$C$1833,$R30,Data!$D$2:$D$1833,$S30,Data!$E$2:$E$1833,$E30,Data!$F$2:$F$1833,K$1,Data!$H$2:$H$1833,1)</f>
        <v>5</v>
      </c>
      <c r="L30" s="49" t="n">
        <f aca="false">COUNTIFS(Data!$B$2:$B$1833,$Q30,Data!$C$2:$C$1833,$R30,Data!$D$2:$D$1833,$S30,Data!$E$2:$E$1833,$E30,Data!$F$2:$F$1833,L$1,Data!$H$2:$H$1833,1)</f>
        <v>3</v>
      </c>
      <c r="M30" s="49" t="n">
        <f aca="false">COUNTIFS(Data!$B$2:$B$1833,$Q30,Data!$C$2:$C$1833,$R30,Data!$D$2:$D$1833,$S30,Data!$E$2:$E$1833,$E30,Data!$F$2:$F$1833,M$1,Data!$H$2:$H$1833,1)</f>
        <v>2</v>
      </c>
      <c r="N30" s="49" t="n">
        <f aca="false">COUNTIFS(Data!$B$2:$B$1833,$Q30,Data!$C$2:$C$1833,$R30,Data!$D$2:$D$1833,$S30,Data!$E$2:$E$1833,$E30,Data!$F$2:$F$1833,N$1,Data!$H$2:$H$1833,1)</f>
        <v>1</v>
      </c>
      <c r="O30" s="49" t="n">
        <f aca="false">COUNTIFS(Data!$B$2:$B$1833,$Q30,Data!$C$2:$C$1833,$R30,Data!$D$2:$D$1833,$S30,Data!$E$2:$E$1833,$E30,Data!$F$2:$F$1833,O$1,Data!$H$2:$H$1833,1)</f>
        <v>1</v>
      </c>
      <c r="P30" s="49" t="n">
        <f aca="false">SUM(F30:O30)</f>
        <v>25</v>
      </c>
      <c r="Q30" s="50" t="s">
        <v>395</v>
      </c>
      <c r="R30" s="50" t="s">
        <v>817</v>
      </c>
      <c r="S30" s="50" t="s">
        <v>818</v>
      </c>
    </row>
    <row r="31" customFormat="false" ht="15" hidden="false" customHeight="true" outlineLevel="0" collapsed="false">
      <c r="A31" s="49" t="str">
        <f aca="false">IFERROR(INDEX(対訳マスタ!$C$2:$C$136,MATCH($Q31,対訳マスタ!$B$2:$B$136,0)),$Q31)</f>
        <v>コミュニケーション言語活動</v>
      </c>
      <c r="B31" s="49" t="str">
        <f aca="false">IF($R31="—","—",IFERROR(INDEX(対訳マスタ!$C$2:$C$136,MATCH($R31,対訳マスタ!$B$2:$B$136,0)),$R31))</f>
        <v>相互行為</v>
      </c>
      <c r="C31" s="49" t="str">
        <f aca="false">IF($S31="—","—",IFERROR(INDEX(対訳マスタ!$C$2:$C$136,MATCH($S31,対訳マスタ!$B$2:$B$136,0)),$S31))</f>
        <v>口頭の相互行為</v>
      </c>
      <c r="D31" s="49" t="str">
        <f aca="false">IFERROR(INDEX(対訳マスタ!$C$2:$C$136,MATCH($E31,対訳マスタ!$B$2:$B$136,0)),$E31)</f>
        <v>フォーマルな議論（会議）</v>
      </c>
      <c r="E31" s="50" t="s">
        <v>889</v>
      </c>
      <c r="F31" s="49" t="n">
        <f aca="false">COUNTIFS(Data!$B$2:$B$1833,$Q31,Data!$C$2:$C$1833,$R31,Data!$D$2:$D$1833,$S31,Data!$E$2:$E$1833,$E31,Data!$F$2:$F$1833,F$1,Data!$H$2:$H$1833,1)</f>
        <v>0</v>
      </c>
      <c r="G31" s="49" t="n">
        <f aca="false">COUNTIFS(Data!$B$2:$B$1833,$Q31,Data!$C$2:$C$1833,$R31,Data!$D$2:$D$1833,$S31,Data!$E$2:$E$1833,$E31,Data!$F$2:$F$1833,G$1,Data!$H$2:$H$1833,1)</f>
        <v>0</v>
      </c>
      <c r="H31" s="49" t="n">
        <f aca="false">COUNTIFS(Data!$B$2:$B$1833,$Q31,Data!$C$2:$C$1833,$R31,Data!$D$2:$D$1833,$S31,Data!$E$2:$E$1833,$E31,Data!$F$2:$F$1833,H$1,Data!$H$2:$H$1833,1)</f>
        <v>1</v>
      </c>
      <c r="I31" s="49" t="n">
        <f aca="false">COUNTIFS(Data!$B$2:$B$1833,$Q31,Data!$C$2:$C$1833,$R31,Data!$D$2:$D$1833,$S31,Data!$E$2:$E$1833,$E31,Data!$F$2:$F$1833,I$1,Data!$H$2:$H$1833,1)</f>
        <v>2</v>
      </c>
      <c r="J31" s="49" t="n">
        <f aca="false">COUNTIFS(Data!$B$2:$B$1833,$Q31,Data!$C$2:$C$1833,$R31,Data!$D$2:$D$1833,$S31,Data!$E$2:$E$1833,$E31,Data!$F$2:$F$1833,J$1,Data!$H$2:$H$1833,1)</f>
        <v>2</v>
      </c>
      <c r="K31" s="49" t="n">
        <f aca="false">COUNTIFS(Data!$B$2:$B$1833,$Q31,Data!$C$2:$C$1833,$R31,Data!$D$2:$D$1833,$S31,Data!$E$2:$E$1833,$E31,Data!$F$2:$F$1833,K$1,Data!$H$2:$H$1833,1)</f>
        <v>2</v>
      </c>
      <c r="L31" s="49" t="n">
        <f aca="false">COUNTIFS(Data!$B$2:$B$1833,$Q31,Data!$C$2:$C$1833,$R31,Data!$D$2:$D$1833,$S31,Data!$E$2:$E$1833,$E31,Data!$F$2:$F$1833,L$1,Data!$H$2:$H$1833,1)</f>
        <v>3</v>
      </c>
      <c r="M31" s="49" t="n">
        <f aca="false">COUNTIFS(Data!$B$2:$B$1833,$Q31,Data!$C$2:$C$1833,$R31,Data!$D$2:$D$1833,$S31,Data!$E$2:$E$1833,$E31,Data!$F$2:$F$1833,M$1,Data!$H$2:$H$1833,1)</f>
        <v>3</v>
      </c>
      <c r="N31" s="49" t="n">
        <f aca="false">COUNTIFS(Data!$B$2:$B$1833,$Q31,Data!$C$2:$C$1833,$R31,Data!$D$2:$D$1833,$S31,Data!$E$2:$E$1833,$E31,Data!$F$2:$F$1833,N$1,Data!$H$2:$H$1833,1)</f>
        <v>5</v>
      </c>
      <c r="O31" s="49" t="n">
        <f aca="false">COUNTIFS(Data!$B$2:$B$1833,$Q31,Data!$C$2:$C$1833,$R31,Data!$D$2:$D$1833,$S31,Data!$E$2:$E$1833,$E31,Data!$F$2:$F$1833,O$1,Data!$H$2:$H$1833,1)</f>
        <v>3</v>
      </c>
      <c r="P31" s="49" t="n">
        <f aca="false">SUM(F31:O31)</f>
        <v>21</v>
      </c>
      <c r="Q31" s="50" t="s">
        <v>395</v>
      </c>
      <c r="R31" s="50" t="s">
        <v>817</v>
      </c>
      <c r="S31" s="50" t="s">
        <v>818</v>
      </c>
    </row>
    <row r="32" customFormat="false" ht="15" hidden="false" customHeight="true" outlineLevel="0" collapsed="false">
      <c r="A32" s="49" t="str">
        <f aca="false">IFERROR(INDEX(対訳マスタ!$C$2:$C$136,MATCH($Q32,対訳マスタ!$B$2:$B$136,0)),$Q32)</f>
        <v>コミュニケーション言語活動</v>
      </c>
      <c r="B32" s="49" t="str">
        <f aca="false">IF($R32="—","—",IFERROR(INDEX(対訳マスタ!$C$2:$C$136,MATCH($R32,対訳マスタ!$B$2:$B$136,0)),$R32))</f>
        <v>相互行為</v>
      </c>
      <c r="C32" s="49" t="str">
        <f aca="false">IF($S32="—","—",IFERROR(INDEX(対訳マスタ!$C$2:$C$136,MATCH($S32,対訳マスタ!$B$2:$B$136,0)),$S32))</f>
        <v>口頭の相互行為</v>
      </c>
      <c r="D32" s="49" t="str">
        <f aca="false">IFERROR(INDEX(対訳マスタ!$C$2:$C$136,MATCH($E32,対訳マスタ!$B$2:$B$136,0)),$E32)</f>
        <v>目標のある共同作業（料理・文書検討・イベント準備など）</v>
      </c>
      <c r="E32" s="50" t="s">
        <v>910</v>
      </c>
      <c r="F32" s="49" t="n">
        <f aca="false">COUNTIFS(Data!$B$2:$B$1833,$Q32,Data!$C$2:$C$1833,$R32,Data!$D$2:$D$1833,$S32,Data!$E$2:$E$1833,$E32,Data!$F$2:$F$1833,F$1,Data!$H$2:$H$1833,1)</f>
        <v>0</v>
      </c>
      <c r="G32" s="49" t="n">
        <f aca="false">COUNTIFS(Data!$B$2:$B$1833,$Q32,Data!$C$2:$C$1833,$R32,Data!$D$2:$D$1833,$S32,Data!$E$2:$E$1833,$E32,Data!$F$2:$F$1833,G$1,Data!$H$2:$H$1833,1)</f>
        <v>3</v>
      </c>
      <c r="H32" s="49" t="n">
        <f aca="false">COUNTIFS(Data!$B$2:$B$1833,$Q32,Data!$C$2:$C$1833,$R32,Data!$D$2:$D$1833,$S32,Data!$E$2:$E$1833,$E32,Data!$F$2:$F$1833,H$1,Data!$H$2:$H$1833,1)</f>
        <v>2</v>
      </c>
      <c r="I32" s="49" t="n">
        <f aca="false">COUNTIFS(Data!$B$2:$B$1833,$Q32,Data!$C$2:$C$1833,$R32,Data!$D$2:$D$1833,$S32,Data!$E$2:$E$1833,$E32,Data!$F$2:$F$1833,I$1,Data!$H$2:$H$1833,1)</f>
        <v>2</v>
      </c>
      <c r="J32" s="49" t="n">
        <f aca="false">COUNTIFS(Data!$B$2:$B$1833,$Q32,Data!$C$2:$C$1833,$R32,Data!$D$2:$D$1833,$S32,Data!$E$2:$E$1833,$E32,Data!$F$2:$F$1833,J$1,Data!$H$2:$H$1833,1)</f>
        <v>3</v>
      </c>
      <c r="K32" s="49" t="n">
        <f aca="false">COUNTIFS(Data!$B$2:$B$1833,$Q32,Data!$C$2:$C$1833,$R32,Data!$D$2:$D$1833,$S32,Data!$E$2:$E$1833,$E32,Data!$F$2:$F$1833,K$1,Data!$H$2:$H$1833,1)</f>
        <v>3</v>
      </c>
      <c r="L32" s="49" t="n">
        <f aca="false">COUNTIFS(Data!$B$2:$B$1833,$Q32,Data!$C$2:$C$1833,$R32,Data!$D$2:$D$1833,$S32,Data!$E$2:$E$1833,$E32,Data!$F$2:$F$1833,L$1,Data!$H$2:$H$1833,1)</f>
        <v>3</v>
      </c>
      <c r="M32" s="49" t="n">
        <f aca="false">COUNTIFS(Data!$B$2:$B$1833,$Q32,Data!$C$2:$C$1833,$R32,Data!$D$2:$D$1833,$S32,Data!$E$2:$E$1833,$E32,Data!$F$2:$F$1833,M$1,Data!$H$2:$H$1833,1)</f>
        <v>0</v>
      </c>
      <c r="N32" s="49" t="n">
        <f aca="false">COUNTIFS(Data!$B$2:$B$1833,$Q32,Data!$C$2:$C$1833,$R32,Data!$D$2:$D$1833,$S32,Data!$E$2:$E$1833,$E32,Data!$F$2:$F$1833,N$1,Data!$H$2:$H$1833,1)</f>
        <v>1</v>
      </c>
      <c r="O32" s="49" t="n">
        <f aca="false">COUNTIFS(Data!$B$2:$B$1833,$Q32,Data!$C$2:$C$1833,$R32,Data!$D$2:$D$1833,$S32,Data!$E$2:$E$1833,$E32,Data!$F$2:$F$1833,O$1,Data!$H$2:$H$1833,1)</f>
        <v>0</v>
      </c>
      <c r="P32" s="49" t="n">
        <f aca="false">SUM(F32:O32)</f>
        <v>17</v>
      </c>
      <c r="Q32" s="50" t="s">
        <v>395</v>
      </c>
      <c r="R32" s="50" t="s">
        <v>817</v>
      </c>
      <c r="S32" s="50" t="s">
        <v>818</v>
      </c>
    </row>
    <row r="33" customFormat="false" ht="15" hidden="false" customHeight="true" outlineLevel="0" collapsed="false">
      <c r="A33" s="49" t="str">
        <f aca="false">IFERROR(INDEX(対訳マスタ!$C$2:$C$136,MATCH($Q33,対訳マスタ!$B$2:$B$136,0)),$Q33)</f>
        <v>コミュニケーション言語活動</v>
      </c>
      <c r="B33" s="49" t="str">
        <f aca="false">IF($R33="—","—",IFERROR(INDEX(対訳マスタ!$C$2:$C$136,MATCH($R33,対訳マスタ!$B$2:$B$136,0)),$R33))</f>
        <v>相互行為</v>
      </c>
      <c r="C33" s="49" t="str">
        <f aca="false">IF($S33="—","—",IFERROR(INDEX(対訳マスタ!$C$2:$C$136,MATCH($S33,対訳マスタ!$B$2:$B$136,0)),$S33))</f>
        <v>口頭の相互行為</v>
      </c>
      <c r="D33" s="49" t="str">
        <f aca="false">IFERROR(INDEX(対訳マスタ!$C$2:$C$136,MATCH($E33,対訳マスタ!$B$2:$B$136,0)),$E33)</f>
        <v>物・サービスの取引</v>
      </c>
      <c r="E33" s="50" t="s">
        <v>926</v>
      </c>
      <c r="F33" s="49" t="n">
        <f aca="false">COUNTIFS(Data!$B$2:$B$1833,$Q33,Data!$C$2:$C$1833,$R33,Data!$D$2:$D$1833,$S33,Data!$E$2:$E$1833,$E33,Data!$F$2:$F$1833,F$1,Data!$H$2:$H$1833,1)</f>
        <v>1</v>
      </c>
      <c r="G33" s="49" t="n">
        <f aca="false">COUNTIFS(Data!$B$2:$B$1833,$Q33,Data!$C$2:$C$1833,$R33,Data!$D$2:$D$1833,$S33,Data!$E$2:$E$1833,$E33,Data!$F$2:$F$1833,G$1,Data!$H$2:$H$1833,1)</f>
        <v>3</v>
      </c>
      <c r="H33" s="49" t="n">
        <f aca="false">COUNTIFS(Data!$B$2:$B$1833,$Q33,Data!$C$2:$C$1833,$R33,Data!$D$2:$D$1833,$S33,Data!$E$2:$E$1833,$E33,Data!$F$2:$F$1833,H$1,Data!$H$2:$H$1833,1)</f>
        <v>8</v>
      </c>
      <c r="I33" s="49" t="n">
        <f aca="false">COUNTIFS(Data!$B$2:$B$1833,$Q33,Data!$C$2:$C$1833,$R33,Data!$D$2:$D$1833,$S33,Data!$E$2:$E$1833,$E33,Data!$F$2:$F$1833,I$1,Data!$H$2:$H$1833,1)</f>
        <v>3</v>
      </c>
      <c r="J33" s="49" t="n">
        <f aca="false">COUNTIFS(Data!$B$2:$B$1833,$Q33,Data!$C$2:$C$1833,$R33,Data!$D$2:$D$1833,$S33,Data!$E$2:$E$1833,$E33,Data!$F$2:$F$1833,J$1,Data!$H$2:$H$1833,1)</f>
        <v>5</v>
      </c>
      <c r="K33" s="49" t="n">
        <f aca="false">COUNTIFS(Data!$B$2:$B$1833,$Q33,Data!$C$2:$C$1833,$R33,Data!$D$2:$D$1833,$S33,Data!$E$2:$E$1833,$E33,Data!$F$2:$F$1833,K$1,Data!$H$2:$H$1833,1)</f>
        <v>0</v>
      </c>
      <c r="L33" s="49" t="n">
        <f aca="false">COUNTIFS(Data!$B$2:$B$1833,$Q33,Data!$C$2:$C$1833,$R33,Data!$D$2:$D$1833,$S33,Data!$E$2:$E$1833,$E33,Data!$F$2:$F$1833,L$1,Data!$H$2:$H$1833,1)</f>
        <v>2</v>
      </c>
      <c r="M33" s="49" t="n">
        <f aca="false">COUNTIFS(Data!$B$2:$B$1833,$Q33,Data!$C$2:$C$1833,$R33,Data!$D$2:$D$1833,$S33,Data!$E$2:$E$1833,$E33,Data!$F$2:$F$1833,M$1,Data!$H$2:$H$1833,1)</f>
        <v>2</v>
      </c>
      <c r="N33" s="49" t="n">
        <f aca="false">COUNTIFS(Data!$B$2:$B$1833,$Q33,Data!$C$2:$C$1833,$R33,Data!$D$2:$D$1833,$S33,Data!$E$2:$E$1833,$E33,Data!$F$2:$F$1833,N$1,Data!$H$2:$H$1833,1)</f>
        <v>1</v>
      </c>
      <c r="O33" s="49" t="n">
        <f aca="false">COUNTIFS(Data!$B$2:$B$1833,$Q33,Data!$C$2:$C$1833,$R33,Data!$D$2:$D$1833,$S33,Data!$E$2:$E$1833,$E33,Data!$F$2:$F$1833,O$1,Data!$H$2:$H$1833,1)</f>
        <v>0</v>
      </c>
      <c r="P33" s="49" t="n">
        <f aca="false">SUM(F33:O33)</f>
        <v>25</v>
      </c>
      <c r="Q33" s="50" t="s">
        <v>395</v>
      </c>
      <c r="R33" s="50" t="s">
        <v>817</v>
      </c>
      <c r="S33" s="50" t="s">
        <v>818</v>
      </c>
    </row>
    <row r="34" customFormat="false" ht="15" hidden="false" customHeight="true" outlineLevel="0" collapsed="false">
      <c r="A34" s="49" t="str">
        <f aca="false">IFERROR(INDEX(対訳マスタ!$C$2:$C$136,MATCH($Q34,対訳マスタ!$B$2:$B$136,0)),$Q34)</f>
        <v>コミュニケーション言語活動</v>
      </c>
      <c r="B34" s="49" t="str">
        <f aca="false">IF($R34="—","—",IFERROR(INDEX(対訳マスタ!$C$2:$C$136,MATCH($R34,対訳マスタ!$B$2:$B$136,0)),$R34))</f>
        <v>相互行為</v>
      </c>
      <c r="C34" s="49" t="str">
        <f aca="false">IF($S34="—","—",IFERROR(INDEX(対訳マスタ!$C$2:$C$136,MATCH($S34,対訳マスタ!$B$2:$B$136,0)),$S34))</f>
        <v>口頭の相互行為</v>
      </c>
      <c r="D34" s="49" t="str">
        <f aca="false">IFERROR(INDEX(対訳マスタ!$C$2:$C$136,MATCH($E34,対訳マスタ!$B$2:$B$136,0)),$E34)</f>
        <v>情報交換</v>
      </c>
      <c r="E34" s="50" t="s">
        <v>947</v>
      </c>
      <c r="F34" s="49" t="n">
        <f aca="false">COUNTIFS(Data!$B$2:$B$1833,$Q34,Data!$C$2:$C$1833,$R34,Data!$D$2:$D$1833,$S34,Data!$E$2:$E$1833,$E34,Data!$F$2:$F$1833,F$1,Data!$H$2:$H$1833,1)</f>
        <v>7</v>
      </c>
      <c r="G34" s="49" t="n">
        <f aca="false">COUNTIFS(Data!$B$2:$B$1833,$Q34,Data!$C$2:$C$1833,$R34,Data!$D$2:$D$1833,$S34,Data!$E$2:$E$1833,$E34,Data!$F$2:$F$1833,G$1,Data!$H$2:$H$1833,1)</f>
        <v>6</v>
      </c>
      <c r="H34" s="49" t="n">
        <f aca="false">COUNTIFS(Data!$B$2:$B$1833,$Q34,Data!$C$2:$C$1833,$R34,Data!$D$2:$D$1833,$S34,Data!$E$2:$E$1833,$E34,Data!$F$2:$F$1833,H$1,Data!$H$2:$H$1833,1)</f>
        <v>6</v>
      </c>
      <c r="I34" s="49" t="n">
        <f aca="false">COUNTIFS(Data!$B$2:$B$1833,$Q34,Data!$C$2:$C$1833,$R34,Data!$D$2:$D$1833,$S34,Data!$E$2:$E$1833,$E34,Data!$F$2:$F$1833,I$1,Data!$H$2:$H$1833,1)</f>
        <v>6</v>
      </c>
      <c r="J34" s="49" t="n">
        <f aca="false">COUNTIFS(Data!$B$2:$B$1833,$Q34,Data!$C$2:$C$1833,$R34,Data!$D$2:$D$1833,$S34,Data!$E$2:$E$1833,$E34,Data!$F$2:$F$1833,J$1,Data!$H$2:$H$1833,1)</f>
        <v>4</v>
      </c>
      <c r="K34" s="49" t="n">
        <f aca="false">COUNTIFS(Data!$B$2:$B$1833,$Q34,Data!$C$2:$C$1833,$R34,Data!$D$2:$D$1833,$S34,Data!$E$2:$E$1833,$E34,Data!$F$2:$F$1833,K$1,Data!$H$2:$H$1833,1)</f>
        <v>2</v>
      </c>
      <c r="L34" s="49" t="n">
        <f aca="false">COUNTIFS(Data!$B$2:$B$1833,$Q34,Data!$C$2:$C$1833,$R34,Data!$D$2:$D$1833,$S34,Data!$E$2:$E$1833,$E34,Data!$F$2:$F$1833,L$1,Data!$H$2:$H$1833,1)</f>
        <v>1</v>
      </c>
      <c r="M34" s="49" t="n">
        <f aca="false">COUNTIFS(Data!$B$2:$B$1833,$Q34,Data!$C$2:$C$1833,$R34,Data!$D$2:$D$1833,$S34,Data!$E$2:$E$1833,$E34,Data!$F$2:$F$1833,M$1,Data!$H$2:$H$1833,1)</f>
        <v>2</v>
      </c>
      <c r="N34" s="49" t="n">
        <f aca="false">COUNTIFS(Data!$B$2:$B$1833,$Q34,Data!$C$2:$C$1833,$R34,Data!$D$2:$D$1833,$S34,Data!$E$2:$E$1833,$E34,Data!$F$2:$F$1833,N$1,Data!$H$2:$H$1833,1)</f>
        <v>0</v>
      </c>
      <c r="O34" s="49" t="n">
        <f aca="false">COUNTIFS(Data!$B$2:$B$1833,$Q34,Data!$C$2:$C$1833,$R34,Data!$D$2:$D$1833,$S34,Data!$E$2:$E$1833,$E34,Data!$F$2:$F$1833,O$1,Data!$H$2:$H$1833,1)</f>
        <v>0</v>
      </c>
      <c r="P34" s="49" t="n">
        <f aca="false">SUM(F34:O34)</f>
        <v>34</v>
      </c>
      <c r="Q34" s="50" t="s">
        <v>395</v>
      </c>
      <c r="R34" s="50" t="s">
        <v>817</v>
      </c>
      <c r="S34" s="50" t="s">
        <v>818</v>
      </c>
    </row>
    <row r="35" customFormat="false" ht="15" hidden="false" customHeight="true" outlineLevel="0" collapsed="false">
      <c r="A35" s="49" t="str">
        <f aca="false">IFERROR(INDEX(対訳マスタ!$C$2:$C$136,MATCH($Q35,対訳マスタ!$B$2:$B$136,0)),$Q35)</f>
        <v>コミュニケーション言語活動</v>
      </c>
      <c r="B35" s="49" t="str">
        <f aca="false">IF($R35="—","—",IFERROR(INDEX(対訳マスタ!$C$2:$C$136,MATCH($R35,対訳マスタ!$B$2:$B$136,0)),$R35))</f>
        <v>相互行為</v>
      </c>
      <c r="C35" s="49" t="str">
        <f aca="false">IF($S35="—","—",IFERROR(INDEX(対訳マスタ!$C$2:$C$136,MATCH($S35,対訳マスタ!$B$2:$B$136,0)),$S35))</f>
        <v>口頭の相互行為</v>
      </c>
      <c r="D35" s="49" t="str">
        <f aca="false">IFERROR(INDEX(対訳マスタ!$C$2:$C$136,MATCH($E35,対訳マスタ!$B$2:$B$136,0)),$E35)</f>
        <v>面接する・面接を受ける</v>
      </c>
      <c r="E35" s="50" t="s">
        <v>972</v>
      </c>
      <c r="F35" s="49" t="n">
        <f aca="false">COUNTIFS(Data!$B$2:$B$1833,$Q35,Data!$C$2:$C$1833,$R35,Data!$D$2:$D$1833,$S35,Data!$E$2:$E$1833,$E35,Data!$F$2:$F$1833,F$1,Data!$H$2:$H$1833,1)</f>
        <v>0</v>
      </c>
      <c r="G35" s="49" t="n">
        <f aca="false">COUNTIFS(Data!$B$2:$B$1833,$Q35,Data!$C$2:$C$1833,$R35,Data!$D$2:$D$1833,$S35,Data!$E$2:$E$1833,$E35,Data!$F$2:$F$1833,G$1,Data!$H$2:$H$1833,1)</f>
        <v>2</v>
      </c>
      <c r="H35" s="49" t="n">
        <f aca="false">COUNTIFS(Data!$B$2:$B$1833,$Q35,Data!$C$2:$C$1833,$R35,Data!$D$2:$D$1833,$S35,Data!$E$2:$E$1833,$E35,Data!$F$2:$F$1833,H$1,Data!$H$2:$H$1833,1)</f>
        <v>2</v>
      </c>
      <c r="I35" s="49" t="n">
        <f aca="false">COUNTIFS(Data!$B$2:$B$1833,$Q35,Data!$C$2:$C$1833,$R35,Data!$D$2:$D$1833,$S35,Data!$E$2:$E$1833,$E35,Data!$F$2:$F$1833,I$1,Data!$H$2:$H$1833,1)</f>
        <v>2</v>
      </c>
      <c r="J35" s="49" t="n">
        <f aca="false">COUNTIFS(Data!$B$2:$B$1833,$Q35,Data!$C$2:$C$1833,$R35,Data!$D$2:$D$1833,$S35,Data!$E$2:$E$1833,$E35,Data!$F$2:$F$1833,J$1,Data!$H$2:$H$1833,1)</f>
        <v>3</v>
      </c>
      <c r="K35" s="49" t="n">
        <f aca="false">COUNTIFS(Data!$B$2:$B$1833,$Q35,Data!$C$2:$C$1833,$R35,Data!$D$2:$D$1833,$S35,Data!$E$2:$E$1833,$E35,Data!$F$2:$F$1833,K$1,Data!$H$2:$H$1833,1)</f>
        <v>2</v>
      </c>
      <c r="L35" s="49" t="n">
        <f aca="false">COUNTIFS(Data!$B$2:$B$1833,$Q35,Data!$C$2:$C$1833,$R35,Data!$D$2:$D$1833,$S35,Data!$E$2:$E$1833,$E35,Data!$F$2:$F$1833,L$1,Data!$H$2:$H$1833,1)</f>
        <v>1</v>
      </c>
      <c r="M35" s="49" t="n">
        <f aca="false">COUNTIFS(Data!$B$2:$B$1833,$Q35,Data!$C$2:$C$1833,$R35,Data!$D$2:$D$1833,$S35,Data!$E$2:$E$1833,$E35,Data!$F$2:$F$1833,M$1,Data!$H$2:$H$1833,1)</f>
        <v>1</v>
      </c>
      <c r="N35" s="49" t="n">
        <f aca="false">COUNTIFS(Data!$B$2:$B$1833,$Q35,Data!$C$2:$C$1833,$R35,Data!$D$2:$D$1833,$S35,Data!$E$2:$E$1833,$E35,Data!$F$2:$F$1833,N$1,Data!$H$2:$H$1833,1)</f>
        <v>1</v>
      </c>
      <c r="O35" s="49" t="n">
        <f aca="false">COUNTIFS(Data!$B$2:$B$1833,$Q35,Data!$C$2:$C$1833,$R35,Data!$D$2:$D$1833,$S35,Data!$E$2:$E$1833,$E35,Data!$F$2:$F$1833,O$1,Data!$H$2:$H$1833,1)</f>
        <v>1</v>
      </c>
      <c r="P35" s="49" t="n">
        <f aca="false">SUM(F35:O35)</f>
        <v>15</v>
      </c>
      <c r="Q35" s="50" t="s">
        <v>395</v>
      </c>
      <c r="R35" s="50" t="s">
        <v>817</v>
      </c>
      <c r="S35" s="50" t="s">
        <v>818</v>
      </c>
    </row>
    <row r="36" customFormat="false" ht="15" hidden="false" customHeight="true" outlineLevel="0" collapsed="false">
      <c r="A36" s="49" t="str">
        <f aca="false">IFERROR(INDEX(対訳マスタ!$C$2:$C$136,MATCH($Q36,対訳マスタ!$B$2:$B$136,0)),$Q36)</f>
        <v>コミュニケーション言語活動</v>
      </c>
      <c r="B36" s="49" t="str">
        <f aca="false">IF($R36="—","—",IFERROR(INDEX(対訳マスタ!$C$2:$C$136,MATCH($R36,対訳マスタ!$B$2:$B$136,0)),$R36))</f>
        <v>相互行為</v>
      </c>
      <c r="C36" s="49" t="str">
        <f aca="false">IF($S36="—","—",IFERROR(INDEX(対訳マスタ!$C$2:$C$136,MATCH($S36,対訳マスタ!$B$2:$B$136,0)),$S36))</f>
        <v>口頭の相互行為</v>
      </c>
      <c r="D36" s="49" t="str">
        <f aca="false">IFERROR(INDEX(対訳マスタ!$C$2:$C$136,MATCH($E36,対訳マスタ!$B$2:$B$136,0)),$E36)</f>
        <v>電話・通信の利用</v>
      </c>
      <c r="E36" s="50" t="s">
        <v>988</v>
      </c>
      <c r="F36" s="49" t="n">
        <f aca="false">COUNTIFS(Data!$B$2:$B$1833,$Q36,Data!$C$2:$C$1833,$R36,Data!$D$2:$D$1833,$S36,Data!$E$2:$E$1833,$E36,Data!$F$2:$F$1833,F$1,Data!$H$2:$H$1833,1)</f>
        <v>0</v>
      </c>
      <c r="G36" s="49" t="n">
        <f aca="false">COUNTIFS(Data!$B$2:$B$1833,$Q36,Data!$C$2:$C$1833,$R36,Data!$D$2:$D$1833,$S36,Data!$E$2:$E$1833,$E36,Data!$F$2:$F$1833,G$1,Data!$H$2:$H$1833,1)</f>
        <v>0</v>
      </c>
      <c r="H36" s="49" t="n">
        <f aca="false">COUNTIFS(Data!$B$2:$B$1833,$Q36,Data!$C$2:$C$1833,$R36,Data!$D$2:$D$1833,$S36,Data!$E$2:$E$1833,$E36,Data!$F$2:$F$1833,H$1,Data!$H$2:$H$1833,1)</f>
        <v>2</v>
      </c>
      <c r="I36" s="49" t="n">
        <f aca="false">COUNTIFS(Data!$B$2:$B$1833,$Q36,Data!$C$2:$C$1833,$R36,Data!$D$2:$D$1833,$S36,Data!$E$2:$E$1833,$E36,Data!$F$2:$F$1833,I$1,Data!$H$2:$H$1833,1)</f>
        <v>1</v>
      </c>
      <c r="J36" s="49" t="n">
        <f aca="false">COUNTIFS(Data!$B$2:$B$1833,$Q36,Data!$C$2:$C$1833,$R36,Data!$D$2:$D$1833,$S36,Data!$E$2:$E$1833,$E36,Data!$F$2:$F$1833,J$1,Data!$H$2:$H$1833,1)</f>
        <v>2</v>
      </c>
      <c r="K36" s="49" t="n">
        <f aca="false">COUNTIFS(Data!$B$2:$B$1833,$Q36,Data!$C$2:$C$1833,$R36,Data!$D$2:$D$1833,$S36,Data!$E$2:$E$1833,$E36,Data!$F$2:$F$1833,K$1,Data!$H$2:$H$1833,1)</f>
        <v>2</v>
      </c>
      <c r="L36" s="49" t="n">
        <f aca="false">COUNTIFS(Data!$B$2:$B$1833,$Q36,Data!$C$2:$C$1833,$R36,Data!$D$2:$D$1833,$S36,Data!$E$2:$E$1833,$E36,Data!$F$2:$F$1833,L$1,Data!$H$2:$H$1833,1)</f>
        <v>2</v>
      </c>
      <c r="M36" s="49" t="n">
        <f aca="false">COUNTIFS(Data!$B$2:$B$1833,$Q36,Data!$C$2:$C$1833,$R36,Data!$D$2:$D$1833,$S36,Data!$E$2:$E$1833,$E36,Data!$F$2:$F$1833,M$1,Data!$H$2:$H$1833,1)</f>
        <v>0</v>
      </c>
      <c r="N36" s="49" t="n">
        <f aca="false">COUNTIFS(Data!$B$2:$B$1833,$Q36,Data!$C$2:$C$1833,$R36,Data!$D$2:$D$1833,$S36,Data!$E$2:$E$1833,$E36,Data!$F$2:$F$1833,N$1,Data!$H$2:$H$1833,1)</f>
        <v>1</v>
      </c>
      <c r="O36" s="49" t="n">
        <f aca="false">COUNTIFS(Data!$B$2:$B$1833,$Q36,Data!$C$2:$C$1833,$R36,Data!$D$2:$D$1833,$S36,Data!$E$2:$E$1833,$E36,Data!$F$2:$F$1833,O$1,Data!$H$2:$H$1833,1)</f>
        <v>1</v>
      </c>
      <c r="P36" s="49" t="n">
        <f aca="false">SUM(F36:O36)</f>
        <v>11</v>
      </c>
      <c r="Q36" s="50" t="s">
        <v>395</v>
      </c>
      <c r="R36" s="50" t="s">
        <v>817</v>
      </c>
      <c r="S36" s="50" t="s">
        <v>818</v>
      </c>
    </row>
    <row r="37" customFormat="false" ht="15" hidden="false" customHeight="true" outlineLevel="0" collapsed="false">
      <c r="A37" s="49" t="str">
        <f aca="false">IFERROR(INDEX(対訳マスタ!$C$2:$C$136,MATCH($Q37,対訳マスタ!$B$2:$B$136,0)),$Q37)</f>
        <v>コミュニケーション言語活動</v>
      </c>
      <c r="B37" s="49" t="str">
        <f aca="false">IF($R37="—","—",IFERROR(INDEX(対訳マスタ!$C$2:$C$136,MATCH($R37,対訳マスタ!$B$2:$B$136,0)),$R37))</f>
        <v>相互行為</v>
      </c>
      <c r="C37" s="49" t="str">
        <f aca="false">IF($S37="—","—",IFERROR(INDEX(対訳マスタ!$C$2:$C$136,MATCH($S37,対訳マスタ!$B$2:$B$136,0)),$S37))</f>
        <v>筆記の相互行為</v>
      </c>
      <c r="D37" s="49" t="str">
        <f aca="false">IFERROR(INDEX(対訳マスタ!$C$2:$C$136,MATCH($E37,対訳マスタ!$B$2:$B$136,0)),$E37)</f>
        <v>筆記相互行為（総合）</v>
      </c>
      <c r="E37" s="50" t="s">
        <v>1001</v>
      </c>
      <c r="F37" s="49" t="n">
        <f aca="false">COUNTIFS(Data!$B$2:$B$1833,$Q37,Data!$C$2:$C$1833,$R37,Data!$D$2:$D$1833,$S37,Data!$E$2:$E$1833,$E37,Data!$F$2:$F$1833,F$1,Data!$H$2:$H$1833,1)</f>
        <v>1</v>
      </c>
      <c r="G37" s="49" t="n">
        <f aca="false">COUNTIFS(Data!$B$2:$B$1833,$Q37,Data!$C$2:$C$1833,$R37,Data!$D$2:$D$1833,$S37,Data!$E$2:$E$1833,$E37,Data!$F$2:$F$1833,G$1,Data!$H$2:$H$1833,1)</f>
        <v>1</v>
      </c>
      <c r="H37" s="49" t="n">
        <f aca="false">COUNTIFS(Data!$B$2:$B$1833,$Q37,Data!$C$2:$C$1833,$R37,Data!$D$2:$D$1833,$S37,Data!$E$2:$E$1833,$E37,Data!$F$2:$F$1833,H$1,Data!$H$2:$H$1833,1)</f>
        <v>1</v>
      </c>
      <c r="I37" s="49" t="n">
        <f aca="false">COUNTIFS(Data!$B$2:$B$1833,$Q37,Data!$C$2:$C$1833,$R37,Data!$D$2:$D$1833,$S37,Data!$E$2:$E$1833,$E37,Data!$F$2:$F$1833,I$1,Data!$H$2:$H$1833,1)</f>
        <v>0</v>
      </c>
      <c r="J37" s="49" t="n">
        <f aca="false">COUNTIFS(Data!$B$2:$B$1833,$Q37,Data!$C$2:$C$1833,$R37,Data!$D$2:$D$1833,$S37,Data!$E$2:$E$1833,$E37,Data!$F$2:$F$1833,J$1,Data!$H$2:$H$1833,1)</f>
        <v>1</v>
      </c>
      <c r="K37" s="49" t="n">
        <f aca="false">COUNTIFS(Data!$B$2:$B$1833,$Q37,Data!$C$2:$C$1833,$R37,Data!$D$2:$D$1833,$S37,Data!$E$2:$E$1833,$E37,Data!$F$2:$F$1833,K$1,Data!$H$2:$H$1833,1)</f>
        <v>1</v>
      </c>
      <c r="L37" s="49" t="n">
        <f aca="false">COUNTIFS(Data!$B$2:$B$1833,$Q37,Data!$C$2:$C$1833,$R37,Data!$D$2:$D$1833,$S37,Data!$E$2:$E$1833,$E37,Data!$F$2:$F$1833,L$1,Data!$H$2:$H$1833,1)</f>
        <v>1</v>
      </c>
      <c r="M37" s="49" t="n">
        <f aca="false">COUNTIFS(Data!$B$2:$B$1833,$Q37,Data!$C$2:$C$1833,$R37,Data!$D$2:$D$1833,$S37,Data!$E$2:$E$1833,$E37,Data!$F$2:$F$1833,M$1,Data!$H$2:$H$1833,1)</f>
        <v>0</v>
      </c>
      <c r="N37" s="49" t="n">
        <f aca="false">COUNTIFS(Data!$B$2:$B$1833,$Q37,Data!$C$2:$C$1833,$R37,Data!$D$2:$D$1833,$S37,Data!$E$2:$E$1833,$E37,Data!$F$2:$F$1833,N$1,Data!$H$2:$H$1833,1)</f>
        <v>1</v>
      </c>
      <c r="O37" s="49" t="n">
        <f aca="false">COUNTIFS(Data!$B$2:$B$1833,$Q37,Data!$C$2:$C$1833,$R37,Data!$D$2:$D$1833,$S37,Data!$E$2:$E$1833,$E37,Data!$F$2:$F$1833,O$1,Data!$H$2:$H$1833,1)</f>
        <v>1</v>
      </c>
      <c r="P37" s="49" t="n">
        <f aca="false">SUM(F37:O37)</f>
        <v>8</v>
      </c>
      <c r="Q37" s="50" t="s">
        <v>395</v>
      </c>
      <c r="R37" s="50" t="s">
        <v>817</v>
      </c>
      <c r="S37" s="50" t="s">
        <v>1000</v>
      </c>
    </row>
    <row r="38" customFormat="false" ht="15" hidden="false" customHeight="true" outlineLevel="0" collapsed="false">
      <c r="A38" s="49" t="str">
        <f aca="false">IFERROR(INDEX(対訳マスタ!$C$2:$C$136,MATCH($Q38,対訳マスタ!$B$2:$B$136,0)),$Q38)</f>
        <v>コミュニケーション言語活動</v>
      </c>
      <c r="B38" s="49" t="str">
        <f aca="false">IF($R38="—","—",IFERROR(INDEX(対訳マスタ!$C$2:$C$136,MATCH($R38,対訳マスタ!$B$2:$B$136,0)),$R38))</f>
        <v>相互行為</v>
      </c>
      <c r="C38" s="49" t="str">
        <f aca="false">IF($S38="—","—",IFERROR(INDEX(対訳マスタ!$C$2:$C$136,MATCH($S38,対訳マスタ!$B$2:$B$136,0)),$S38))</f>
        <v>筆記の相互行為</v>
      </c>
      <c r="D38" s="49" t="str">
        <f aca="false">IFERROR(INDEX(対訳マスタ!$C$2:$C$136,MATCH($E38,対訳マスタ!$B$2:$B$136,0)),$E38)</f>
        <v>手紙・メールのやりとり</v>
      </c>
      <c r="E38" s="50" t="s">
        <v>1010</v>
      </c>
      <c r="F38" s="49" t="n">
        <f aca="false">COUNTIFS(Data!$B$2:$B$1833,$Q38,Data!$C$2:$C$1833,$R38,Data!$D$2:$D$1833,$S38,Data!$E$2:$E$1833,$E38,Data!$F$2:$F$1833,F$1,Data!$H$2:$H$1833,1)</f>
        <v>1</v>
      </c>
      <c r="G38" s="49" t="n">
        <f aca="false">COUNTIFS(Data!$B$2:$B$1833,$Q38,Data!$C$2:$C$1833,$R38,Data!$D$2:$D$1833,$S38,Data!$E$2:$E$1833,$E38,Data!$F$2:$F$1833,G$1,Data!$H$2:$H$1833,1)</f>
        <v>3</v>
      </c>
      <c r="H38" s="49" t="n">
        <f aca="false">COUNTIFS(Data!$B$2:$B$1833,$Q38,Data!$C$2:$C$1833,$R38,Data!$D$2:$D$1833,$S38,Data!$E$2:$E$1833,$E38,Data!$F$2:$F$1833,H$1,Data!$H$2:$H$1833,1)</f>
        <v>4</v>
      </c>
      <c r="I38" s="49" t="n">
        <f aca="false">COUNTIFS(Data!$B$2:$B$1833,$Q38,Data!$C$2:$C$1833,$R38,Data!$D$2:$D$1833,$S38,Data!$E$2:$E$1833,$E38,Data!$F$2:$F$1833,I$1,Data!$H$2:$H$1833,1)</f>
        <v>1</v>
      </c>
      <c r="J38" s="49" t="n">
        <f aca="false">COUNTIFS(Data!$B$2:$B$1833,$Q38,Data!$C$2:$C$1833,$R38,Data!$D$2:$D$1833,$S38,Data!$E$2:$E$1833,$E38,Data!$F$2:$F$1833,J$1,Data!$H$2:$H$1833,1)</f>
        <v>3</v>
      </c>
      <c r="K38" s="49" t="n">
        <f aca="false">COUNTIFS(Data!$B$2:$B$1833,$Q38,Data!$C$2:$C$1833,$R38,Data!$D$2:$D$1833,$S38,Data!$E$2:$E$1833,$E38,Data!$F$2:$F$1833,K$1,Data!$H$2:$H$1833,1)</f>
        <v>4</v>
      </c>
      <c r="L38" s="49" t="n">
        <f aca="false">COUNTIFS(Data!$B$2:$B$1833,$Q38,Data!$C$2:$C$1833,$R38,Data!$D$2:$D$1833,$S38,Data!$E$2:$E$1833,$E38,Data!$F$2:$F$1833,L$1,Data!$H$2:$H$1833,1)</f>
        <v>5</v>
      </c>
      <c r="M38" s="49" t="n">
        <f aca="false">COUNTIFS(Data!$B$2:$B$1833,$Q38,Data!$C$2:$C$1833,$R38,Data!$D$2:$D$1833,$S38,Data!$E$2:$E$1833,$E38,Data!$F$2:$F$1833,M$1,Data!$H$2:$H$1833,1)</f>
        <v>4</v>
      </c>
      <c r="N38" s="49" t="n">
        <f aca="false">COUNTIFS(Data!$B$2:$B$1833,$Q38,Data!$C$2:$C$1833,$R38,Data!$D$2:$D$1833,$S38,Data!$E$2:$E$1833,$E38,Data!$F$2:$F$1833,N$1,Data!$H$2:$H$1833,1)</f>
        <v>2</v>
      </c>
      <c r="O38" s="49" t="n">
        <f aca="false">COUNTIFS(Data!$B$2:$B$1833,$Q38,Data!$C$2:$C$1833,$R38,Data!$D$2:$D$1833,$S38,Data!$E$2:$E$1833,$E38,Data!$F$2:$F$1833,O$1,Data!$H$2:$H$1833,1)</f>
        <v>1</v>
      </c>
      <c r="P38" s="49" t="n">
        <f aca="false">SUM(F38:O38)</f>
        <v>28</v>
      </c>
      <c r="Q38" s="50" t="s">
        <v>395</v>
      </c>
      <c r="R38" s="50" t="s">
        <v>817</v>
      </c>
      <c r="S38" s="50" t="s">
        <v>1000</v>
      </c>
    </row>
    <row r="39" customFormat="false" ht="15" hidden="false" customHeight="true" outlineLevel="0" collapsed="false">
      <c r="A39" s="49" t="str">
        <f aca="false">IFERROR(INDEX(対訳マスタ!$C$2:$C$136,MATCH($Q39,対訳マスタ!$B$2:$B$136,0)),$Q39)</f>
        <v>コミュニケーション言語活動</v>
      </c>
      <c r="B39" s="49" t="str">
        <f aca="false">IF($R39="—","—",IFERROR(INDEX(対訳マスタ!$C$2:$C$136,MATCH($R39,対訳マスタ!$B$2:$B$136,0)),$R39))</f>
        <v>相互行為</v>
      </c>
      <c r="C39" s="49" t="str">
        <f aca="false">IF($S39="—","—",IFERROR(INDEX(対訳マスタ!$C$2:$C$136,MATCH($S39,対訳マスタ!$B$2:$B$136,0)),$S39))</f>
        <v>筆記の相互行為</v>
      </c>
      <c r="D39" s="49" t="str">
        <f aca="false">IFERROR(INDEX(対訳マスタ!$C$2:$C$136,MATCH($E39,対訳マスタ!$B$2:$B$136,0)),$E39)</f>
        <v>メモ・伝言・記入用紙</v>
      </c>
      <c r="E39" s="50" t="s">
        <v>1031</v>
      </c>
      <c r="F39" s="49" t="n">
        <f aca="false">COUNTIFS(Data!$B$2:$B$1833,$Q39,Data!$C$2:$C$1833,$R39,Data!$D$2:$D$1833,$S39,Data!$E$2:$E$1833,$E39,Data!$F$2:$F$1833,F$1,Data!$H$2:$H$1833,1)</f>
        <v>1</v>
      </c>
      <c r="G39" s="49" t="n">
        <f aca="false">COUNTIFS(Data!$B$2:$B$1833,$Q39,Data!$C$2:$C$1833,$R39,Data!$D$2:$D$1833,$S39,Data!$E$2:$E$1833,$E39,Data!$F$2:$F$1833,G$1,Data!$H$2:$H$1833,1)</f>
        <v>2</v>
      </c>
      <c r="H39" s="49" t="n">
        <f aca="false">COUNTIFS(Data!$B$2:$B$1833,$Q39,Data!$C$2:$C$1833,$R39,Data!$D$2:$D$1833,$S39,Data!$E$2:$E$1833,$E39,Data!$F$2:$F$1833,H$1,Data!$H$2:$H$1833,1)</f>
        <v>2</v>
      </c>
      <c r="I39" s="49" t="n">
        <f aca="false">COUNTIFS(Data!$B$2:$B$1833,$Q39,Data!$C$2:$C$1833,$R39,Data!$D$2:$D$1833,$S39,Data!$E$2:$E$1833,$E39,Data!$F$2:$F$1833,I$1,Data!$H$2:$H$1833,1)</f>
        <v>1</v>
      </c>
      <c r="J39" s="49" t="n">
        <f aca="false">COUNTIFS(Data!$B$2:$B$1833,$Q39,Data!$C$2:$C$1833,$R39,Data!$D$2:$D$1833,$S39,Data!$E$2:$E$1833,$E39,Data!$F$2:$F$1833,J$1,Data!$H$2:$H$1833,1)</f>
        <v>2</v>
      </c>
      <c r="K39" s="49" t="n">
        <f aca="false">COUNTIFS(Data!$B$2:$B$1833,$Q39,Data!$C$2:$C$1833,$R39,Data!$D$2:$D$1833,$S39,Data!$E$2:$E$1833,$E39,Data!$F$2:$F$1833,K$1,Data!$H$2:$H$1833,1)</f>
        <v>2</v>
      </c>
      <c r="L39" s="49" t="n">
        <f aca="false">COUNTIFS(Data!$B$2:$B$1833,$Q39,Data!$C$2:$C$1833,$R39,Data!$D$2:$D$1833,$S39,Data!$E$2:$E$1833,$E39,Data!$F$2:$F$1833,L$1,Data!$H$2:$H$1833,1)</f>
        <v>1</v>
      </c>
      <c r="M39" s="49" t="n">
        <f aca="false">COUNTIFS(Data!$B$2:$B$1833,$Q39,Data!$C$2:$C$1833,$R39,Data!$D$2:$D$1833,$S39,Data!$E$2:$E$1833,$E39,Data!$F$2:$F$1833,M$1,Data!$H$2:$H$1833,1)</f>
        <v>0</v>
      </c>
      <c r="N39" s="49" t="n">
        <f aca="false">COUNTIFS(Data!$B$2:$B$1833,$Q39,Data!$C$2:$C$1833,$R39,Data!$D$2:$D$1833,$S39,Data!$E$2:$E$1833,$E39,Data!$F$2:$F$1833,N$1,Data!$H$2:$H$1833,1)</f>
        <v>0</v>
      </c>
      <c r="O39" s="49" t="n">
        <f aca="false">COUNTIFS(Data!$B$2:$B$1833,$Q39,Data!$C$2:$C$1833,$R39,Data!$D$2:$D$1833,$S39,Data!$E$2:$E$1833,$E39,Data!$F$2:$F$1833,O$1,Data!$H$2:$H$1833,1)</f>
        <v>0</v>
      </c>
      <c r="P39" s="49" t="n">
        <f aca="false">SUM(F39:O39)</f>
        <v>11</v>
      </c>
      <c r="Q39" s="50" t="s">
        <v>395</v>
      </c>
      <c r="R39" s="50" t="s">
        <v>817</v>
      </c>
      <c r="S39" s="50" t="s">
        <v>1000</v>
      </c>
    </row>
    <row r="40" customFormat="false" ht="15" hidden="false" customHeight="true" outlineLevel="0" collapsed="false">
      <c r="A40" s="49" t="str">
        <f aca="false">IFERROR(INDEX(対訳マスタ!$C$2:$C$136,MATCH($Q40,対訳マスタ!$B$2:$B$136,0)),$Q40)</f>
        <v>コミュニケーション言語活動</v>
      </c>
      <c r="B40" s="49" t="str">
        <f aca="false">IF($R40="—","—",IFERROR(INDEX(対訳マスタ!$C$2:$C$136,MATCH($R40,対訳マスタ!$B$2:$B$136,0)),$R40))</f>
        <v>相互行為</v>
      </c>
      <c r="C40" s="49" t="str">
        <f aca="false">IF($S40="—","—",IFERROR(INDEX(対訳マスタ!$C$2:$C$136,MATCH($S40,対訳マスタ!$B$2:$B$136,0)),$S40))</f>
        <v>オンラインの相互行為</v>
      </c>
      <c r="D40" s="49" t="str">
        <f aca="false">IFERROR(INDEX(対訳マスタ!$C$2:$C$136,MATCH($E40,対訳マスタ!$B$2:$B$136,0)),$E40)</f>
        <v>オンラインの会話と議論</v>
      </c>
      <c r="E40" s="50" t="s">
        <v>1044</v>
      </c>
      <c r="F40" s="49" t="n">
        <f aca="false">COUNTIFS(Data!$B$2:$B$1833,$Q40,Data!$C$2:$C$1833,$R40,Data!$D$2:$D$1833,$S40,Data!$E$2:$E$1833,$E40,Data!$F$2:$F$1833,F$1,Data!$H$2:$H$1833,1)</f>
        <v>2</v>
      </c>
      <c r="G40" s="49" t="n">
        <f aca="false">COUNTIFS(Data!$B$2:$B$1833,$Q40,Data!$C$2:$C$1833,$R40,Data!$D$2:$D$1833,$S40,Data!$E$2:$E$1833,$E40,Data!$F$2:$F$1833,G$1,Data!$H$2:$H$1833,1)</f>
        <v>2</v>
      </c>
      <c r="H40" s="49" t="n">
        <f aca="false">COUNTIFS(Data!$B$2:$B$1833,$Q40,Data!$C$2:$C$1833,$R40,Data!$D$2:$D$1833,$S40,Data!$E$2:$E$1833,$E40,Data!$F$2:$F$1833,H$1,Data!$H$2:$H$1833,1)</f>
        <v>2</v>
      </c>
      <c r="I40" s="49" t="n">
        <f aca="false">COUNTIFS(Data!$B$2:$B$1833,$Q40,Data!$C$2:$C$1833,$R40,Data!$D$2:$D$1833,$S40,Data!$E$2:$E$1833,$E40,Data!$F$2:$F$1833,I$1,Data!$H$2:$H$1833,1)</f>
        <v>3</v>
      </c>
      <c r="J40" s="49" t="n">
        <f aca="false">COUNTIFS(Data!$B$2:$B$1833,$Q40,Data!$C$2:$C$1833,$R40,Data!$D$2:$D$1833,$S40,Data!$E$2:$E$1833,$E40,Data!$F$2:$F$1833,J$1,Data!$H$2:$H$1833,1)</f>
        <v>2</v>
      </c>
      <c r="K40" s="49" t="n">
        <f aca="false">COUNTIFS(Data!$B$2:$B$1833,$Q40,Data!$C$2:$C$1833,$R40,Data!$D$2:$D$1833,$S40,Data!$E$2:$E$1833,$E40,Data!$F$2:$F$1833,K$1,Data!$H$2:$H$1833,1)</f>
        <v>2</v>
      </c>
      <c r="L40" s="49" t="n">
        <f aca="false">COUNTIFS(Data!$B$2:$B$1833,$Q40,Data!$C$2:$C$1833,$R40,Data!$D$2:$D$1833,$S40,Data!$E$2:$E$1833,$E40,Data!$F$2:$F$1833,L$1,Data!$H$2:$H$1833,1)</f>
        <v>3</v>
      </c>
      <c r="M40" s="49" t="n">
        <f aca="false">COUNTIFS(Data!$B$2:$B$1833,$Q40,Data!$C$2:$C$1833,$R40,Data!$D$2:$D$1833,$S40,Data!$E$2:$E$1833,$E40,Data!$F$2:$F$1833,M$1,Data!$H$2:$H$1833,1)</f>
        <v>1</v>
      </c>
      <c r="N40" s="49" t="n">
        <f aca="false">COUNTIFS(Data!$B$2:$B$1833,$Q40,Data!$C$2:$C$1833,$R40,Data!$D$2:$D$1833,$S40,Data!$E$2:$E$1833,$E40,Data!$F$2:$F$1833,N$1,Data!$H$2:$H$1833,1)</f>
        <v>4</v>
      </c>
      <c r="O40" s="49" t="n">
        <f aca="false">COUNTIFS(Data!$B$2:$B$1833,$Q40,Data!$C$2:$C$1833,$R40,Data!$D$2:$D$1833,$S40,Data!$E$2:$E$1833,$E40,Data!$F$2:$F$1833,O$1,Data!$H$2:$H$1833,1)</f>
        <v>3</v>
      </c>
      <c r="P40" s="49" t="n">
        <f aca="false">SUM(F40:O40)</f>
        <v>24</v>
      </c>
      <c r="Q40" s="50" t="s">
        <v>395</v>
      </c>
      <c r="R40" s="50" t="s">
        <v>817</v>
      </c>
      <c r="S40" s="50" t="s">
        <v>1043</v>
      </c>
    </row>
    <row r="41" customFormat="false" ht="15" hidden="false" customHeight="true" outlineLevel="0" collapsed="false">
      <c r="A41" s="49" t="str">
        <f aca="false">IFERROR(INDEX(対訳マスタ!$C$2:$C$136,MATCH($Q41,対訳マスタ!$B$2:$B$136,0)),$Q41)</f>
        <v>コミュニケーション言語活動</v>
      </c>
      <c r="B41" s="49" t="str">
        <f aca="false">IF($R41="—","—",IFERROR(INDEX(対訳マスタ!$C$2:$C$136,MATCH($R41,対訳マスタ!$B$2:$B$136,0)),$R41))</f>
        <v>相互行為</v>
      </c>
      <c r="C41" s="49" t="str">
        <f aca="false">IF($S41="—","—",IFERROR(INDEX(対訳マスタ!$C$2:$C$136,MATCH($S41,対訳マスタ!$B$2:$B$136,0)),$S41))</f>
        <v>オンラインの相互行為</v>
      </c>
      <c r="D41" s="49" t="str">
        <f aca="false">IFERROR(INDEX(対訳マスタ!$C$2:$C$136,MATCH($E41,対訳マスタ!$B$2:$B$136,0)),$E41)</f>
        <v>目的のあるオンライン取引・協働</v>
      </c>
      <c r="E41" s="50" t="s">
        <v>1064</v>
      </c>
      <c r="F41" s="49" t="n">
        <f aca="false">COUNTIFS(Data!$B$2:$B$1833,$Q41,Data!$C$2:$C$1833,$R41,Data!$D$2:$D$1833,$S41,Data!$E$2:$E$1833,$E41,Data!$F$2:$F$1833,F$1,Data!$H$2:$H$1833,1)</f>
        <v>1</v>
      </c>
      <c r="G41" s="49" t="n">
        <f aca="false">COUNTIFS(Data!$B$2:$B$1833,$Q41,Data!$C$2:$C$1833,$R41,Data!$D$2:$D$1833,$S41,Data!$E$2:$E$1833,$E41,Data!$F$2:$F$1833,G$1,Data!$H$2:$H$1833,1)</f>
        <v>1</v>
      </c>
      <c r="H41" s="49" t="n">
        <f aca="false">COUNTIFS(Data!$B$2:$B$1833,$Q41,Data!$C$2:$C$1833,$R41,Data!$D$2:$D$1833,$S41,Data!$E$2:$E$1833,$E41,Data!$F$2:$F$1833,H$1,Data!$H$2:$H$1833,1)</f>
        <v>3</v>
      </c>
      <c r="I41" s="49" t="n">
        <f aca="false">COUNTIFS(Data!$B$2:$B$1833,$Q41,Data!$C$2:$C$1833,$R41,Data!$D$2:$D$1833,$S41,Data!$E$2:$E$1833,$E41,Data!$F$2:$F$1833,I$1,Data!$H$2:$H$1833,1)</f>
        <v>2</v>
      </c>
      <c r="J41" s="49" t="n">
        <f aca="false">COUNTIFS(Data!$B$2:$B$1833,$Q41,Data!$C$2:$C$1833,$R41,Data!$D$2:$D$1833,$S41,Data!$E$2:$E$1833,$E41,Data!$F$2:$F$1833,J$1,Data!$H$2:$H$1833,1)</f>
        <v>3</v>
      </c>
      <c r="K41" s="49" t="n">
        <f aca="false">COUNTIFS(Data!$B$2:$B$1833,$Q41,Data!$C$2:$C$1833,$R41,Data!$D$2:$D$1833,$S41,Data!$E$2:$E$1833,$E41,Data!$F$2:$F$1833,K$1,Data!$H$2:$H$1833,1)</f>
        <v>2</v>
      </c>
      <c r="L41" s="49" t="n">
        <f aca="false">COUNTIFS(Data!$B$2:$B$1833,$Q41,Data!$C$2:$C$1833,$R41,Data!$D$2:$D$1833,$S41,Data!$E$2:$E$1833,$E41,Data!$F$2:$F$1833,L$1,Data!$H$2:$H$1833,1)</f>
        <v>1</v>
      </c>
      <c r="M41" s="49" t="n">
        <f aca="false">COUNTIFS(Data!$B$2:$B$1833,$Q41,Data!$C$2:$C$1833,$R41,Data!$D$2:$D$1833,$S41,Data!$E$2:$E$1833,$E41,Data!$F$2:$F$1833,M$1,Data!$H$2:$H$1833,1)</f>
        <v>3</v>
      </c>
      <c r="N41" s="49" t="n">
        <f aca="false">COUNTIFS(Data!$B$2:$B$1833,$Q41,Data!$C$2:$C$1833,$R41,Data!$D$2:$D$1833,$S41,Data!$E$2:$E$1833,$E41,Data!$F$2:$F$1833,N$1,Data!$H$2:$H$1833,1)</f>
        <v>4</v>
      </c>
      <c r="O41" s="49" t="n">
        <f aca="false">COUNTIFS(Data!$B$2:$B$1833,$Q41,Data!$C$2:$C$1833,$R41,Data!$D$2:$D$1833,$S41,Data!$E$2:$E$1833,$E41,Data!$F$2:$F$1833,O$1,Data!$H$2:$H$1833,1)</f>
        <v>2</v>
      </c>
      <c r="P41" s="49" t="n">
        <f aca="false">SUM(F41:O41)</f>
        <v>22</v>
      </c>
      <c r="Q41" s="50" t="s">
        <v>395</v>
      </c>
      <c r="R41" s="50" t="s">
        <v>817</v>
      </c>
      <c r="S41" s="50" t="s">
        <v>1043</v>
      </c>
    </row>
    <row r="42" customFormat="false" ht="15" hidden="false" customHeight="true" outlineLevel="0" collapsed="false">
      <c r="A42" s="49" t="str">
        <f aca="false">IFERROR(INDEX(対訳マスタ!$C$2:$C$136,MATCH($Q42,対訳マスタ!$B$2:$B$136,0)),$Q42)</f>
        <v>コミュニケーション言語方略</v>
      </c>
      <c r="B42" s="49" t="str">
        <f aca="false">IF($R42="—","—",IFERROR(INDEX(対訳マスタ!$C$2:$C$136,MATCH($R42,対訳マスタ!$B$2:$B$136,0)),$R42))</f>
        <v>相互行為</v>
      </c>
      <c r="C42" s="49" t="str">
        <f aca="false">IF($S42="—","—",IFERROR(INDEX(対訳マスタ!$C$2:$C$136,MATCH($S42,対訳マスタ!$B$2:$B$136,0)),$S42))</f>
        <v>—</v>
      </c>
      <c r="D42" s="49" t="str">
        <f aca="false">IFERROR(INDEX(対訳マスタ!$C$2:$C$136,MATCH($E42,対訳マスタ!$B$2:$B$136,0)),$E42)</f>
        <v>発言権のやりとり（ターンテイキング）</v>
      </c>
      <c r="E42" s="50" t="s">
        <v>1087</v>
      </c>
      <c r="F42" s="49" t="n">
        <f aca="false">COUNTIFS(Data!$B$2:$B$1833,$Q42,Data!$C$2:$C$1833,$R42,Data!$D$2:$D$1833,$S42,Data!$E$2:$E$1833,$E42,Data!$F$2:$F$1833,F$1,Data!$H$2:$H$1833,1)</f>
        <v>0</v>
      </c>
      <c r="G42" s="49" t="n">
        <f aca="false">COUNTIFS(Data!$B$2:$B$1833,$Q42,Data!$C$2:$C$1833,$R42,Data!$D$2:$D$1833,$S42,Data!$E$2:$E$1833,$E42,Data!$F$2:$F$1833,G$1,Data!$H$2:$H$1833,1)</f>
        <v>0</v>
      </c>
      <c r="H42" s="49" t="n">
        <f aca="false">COUNTIFS(Data!$B$2:$B$1833,$Q42,Data!$C$2:$C$1833,$R42,Data!$D$2:$D$1833,$S42,Data!$E$2:$E$1833,$E42,Data!$F$2:$F$1833,H$1,Data!$H$2:$H$1833,1)</f>
        <v>1</v>
      </c>
      <c r="I42" s="49" t="n">
        <f aca="false">COUNTIFS(Data!$B$2:$B$1833,$Q42,Data!$C$2:$C$1833,$R42,Data!$D$2:$D$1833,$S42,Data!$E$2:$E$1833,$E42,Data!$F$2:$F$1833,I$1,Data!$H$2:$H$1833,1)</f>
        <v>2</v>
      </c>
      <c r="J42" s="49" t="n">
        <f aca="false">COUNTIFS(Data!$B$2:$B$1833,$Q42,Data!$C$2:$C$1833,$R42,Data!$D$2:$D$1833,$S42,Data!$E$2:$E$1833,$E42,Data!$F$2:$F$1833,J$1,Data!$H$2:$H$1833,1)</f>
        <v>1</v>
      </c>
      <c r="K42" s="49" t="n">
        <f aca="false">COUNTIFS(Data!$B$2:$B$1833,$Q42,Data!$C$2:$C$1833,$R42,Data!$D$2:$D$1833,$S42,Data!$E$2:$E$1833,$E42,Data!$F$2:$F$1833,K$1,Data!$H$2:$H$1833,1)</f>
        <v>1</v>
      </c>
      <c r="L42" s="49" t="n">
        <f aca="false">COUNTIFS(Data!$B$2:$B$1833,$Q42,Data!$C$2:$C$1833,$R42,Data!$D$2:$D$1833,$S42,Data!$E$2:$E$1833,$E42,Data!$F$2:$F$1833,L$1,Data!$H$2:$H$1833,1)</f>
        <v>4</v>
      </c>
      <c r="M42" s="49" t="n">
        <f aca="false">COUNTIFS(Data!$B$2:$B$1833,$Q42,Data!$C$2:$C$1833,$R42,Data!$D$2:$D$1833,$S42,Data!$E$2:$E$1833,$E42,Data!$F$2:$F$1833,M$1,Data!$H$2:$H$1833,1)</f>
        <v>0</v>
      </c>
      <c r="N42" s="49" t="n">
        <f aca="false">COUNTIFS(Data!$B$2:$B$1833,$Q42,Data!$C$2:$C$1833,$R42,Data!$D$2:$D$1833,$S42,Data!$E$2:$E$1833,$E42,Data!$F$2:$F$1833,N$1,Data!$H$2:$H$1833,1)</f>
        <v>1</v>
      </c>
      <c r="O42" s="49" t="n">
        <f aca="false">COUNTIFS(Data!$B$2:$B$1833,$Q42,Data!$C$2:$C$1833,$R42,Data!$D$2:$D$1833,$S42,Data!$E$2:$E$1833,$E42,Data!$F$2:$F$1833,O$1,Data!$H$2:$H$1833,1)</f>
        <v>0</v>
      </c>
      <c r="P42" s="49" t="n">
        <f aca="false">SUM(F42:O42)</f>
        <v>10</v>
      </c>
      <c r="Q42" s="50" t="s">
        <v>396</v>
      </c>
      <c r="R42" s="50" t="s">
        <v>817</v>
      </c>
      <c r="S42" s="50" t="s">
        <v>624</v>
      </c>
    </row>
    <row r="43" customFormat="false" ht="15" hidden="false" customHeight="true" outlineLevel="0" collapsed="false">
      <c r="A43" s="49" t="str">
        <f aca="false">IFERROR(INDEX(対訳マスタ!$C$2:$C$136,MATCH($Q43,対訳マスタ!$B$2:$B$136,0)),$Q43)</f>
        <v>コミュニケーション言語方略</v>
      </c>
      <c r="B43" s="49" t="str">
        <f aca="false">IF($R43="—","—",IFERROR(INDEX(対訳マスタ!$C$2:$C$136,MATCH($R43,対訳マスタ!$B$2:$B$136,0)),$R43))</f>
        <v>相互行為</v>
      </c>
      <c r="C43" s="49" t="str">
        <f aca="false">IF($S43="—","—",IFERROR(INDEX(対訳マスタ!$C$2:$C$136,MATCH($S43,対訳マスタ!$B$2:$B$136,0)),$S43))</f>
        <v>—</v>
      </c>
      <c r="D43" s="49" t="str">
        <f aca="false">IFERROR(INDEX(対訳マスタ!$C$2:$C$136,MATCH($E43,対訳マスタ!$B$2:$B$136,0)),$E43)</f>
        <v>協力（会話を協調して進める）</v>
      </c>
      <c r="E43" s="50" t="s">
        <v>1098</v>
      </c>
      <c r="F43" s="49" t="n">
        <f aca="false">COUNTIFS(Data!$B$2:$B$1833,$Q43,Data!$C$2:$C$1833,$R43,Data!$D$2:$D$1833,$S43,Data!$E$2:$E$1833,$E43,Data!$F$2:$F$1833,F$1,Data!$H$2:$H$1833,1)</f>
        <v>0</v>
      </c>
      <c r="G43" s="49" t="n">
        <f aca="false">COUNTIFS(Data!$B$2:$B$1833,$Q43,Data!$C$2:$C$1833,$R43,Data!$D$2:$D$1833,$S43,Data!$E$2:$E$1833,$E43,Data!$F$2:$F$1833,G$1,Data!$H$2:$H$1833,1)</f>
        <v>0</v>
      </c>
      <c r="H43" s="49" t="n">
        <f aca="false">COUNTIFS(Data!$B$2:$B$1833,$Q43,Data!$C$2:$C$1833,$R43,Data!$D$2:$D$1833,$S43,Data!$E$2:$E$1833,$E43,Data!$F$2:$F$1833,H$1,Data!$H$2:$H$1833,1)</f>
        <v>1</v>
      </c>
      <c r="I43" s="49" t="n">
        <f aca="false">COUNTIFS(Data!$B$2:$B$1833,$Q43,Data!$C$2:$C$1833,$R43,Data!$D$2:$D$1833,$S43,Data!$E$2:$E$1833,$E43,Data!$F$2:$F$1833,I$1,Data!$H$2:$H$1833,1)</f>
        <v>0</v>
      </c>
      <c r="J43" s="49" t="n">
        <f aca="false">COUNTIFS(Data!$B$2:$B$1833,$Q43,Data!$C$2:$C$1833,$R43,Data!$D$2:$D$1833,$S43,Data!$E$2:$E$1833,$E43,Data!$F$2:$F$1833,J$1,Data!$H$2:$H$1833,1)</f>
        <v>2</v>
      </c>
      <c r="K43" s="49" t="n">
        <f aca="false">COUNTIFS(Data!$B$2:$B$1833,$Q43,Data!$C$2:$C$1833,$R43,Data!$D$2:$D$1833,$S43,Data!$E$2:$E$1833,$E43,Data!$F$2:$F$1833,K$1,Data!$H$2:$H$1833,1)</f>
        <v>2</v>
      </c>
      <c r="L43" s="49" t="n">
        <f aca="false">COUNTIFS(Data!$B$2:$B$1833,$Q43,Data!$C$2:$C$1833,$R43,Data!$D$2:$D$1833,$S43,Data!$E$2:$E$1833,$E43,Data!$F$2:$F$1833,L$1,Data!$H$2:$H$1833,1)</f>
        <v>2</v>
      </c>
      <c r="M43" s="49" t="n">
        <f aca="false">COUNTIFS(Data!$B$2:$B$1833,$Q43,Data!$C$2:$C$1833,$R43,Data!$D$2:$D$1833,$S43,Data!$E$2:$E$1833,$E43,Data!$F$2:$F$1833,M$1,Data!$H$2:$H$1833,1)</f>
        <v>2</v>
      </c>
      <c r="N43" s="49" t="n">
        <f aca="false">COUNTIFS(Data!$B$2:$B$1833,$Q43,Data!$C$2:$C$1833,$R43,Data!$D$2:$D$1833,$S43,Data!$E$2:$E$1833,$E43,Data!$F$2:$F$1833,N$1,Data!$H$2:$H$1833,1)</f>
        <v>1</v>
      </c>
      <c r="O43" s="49" t="n">
        <f aca="false">COUNTIFS(Data!$B$2:$B$1833,$Q43,Data!$C$2:$C$1833,$R43,Data!$D$2:$D$1833,$S43,Data!$E$2:$E$1833,$E43,Data!$F$2:$F$1833,O$1,Data!$H$2:$H$1833,1)</f>
        <v>1</v>
      </c>
      <c r="P43" s="49" t="n">
        <f aca="false">SUM(F43:O43)</f>
        <v>11</v>
      </c>
      <c r="Q43" s="50" t="s">
        <v>396</v>
      </c>
      <c r="R43" s="50" t="s">
        <v>817</v>
      </c>
      <c r="S43" s="50" t="s">
        <v>624</v>
      </c>
    </row>
    <row r="44" customFormat="false" ht="15" hidden="false" customHeight="true" outlineLevel="0" collapsed="false">
      <c r="A44" s="49" t="str">
        <f aca="false">IFERROR(INDEX(対訳マスタ!$C$2:$C$136,MATCH($Q44,対訳マスタ!$B$2:$B$136,0)),$Q44)</f>
        <v>コミュニケーション言語方略</v>
      </c>
      <c r="B44" s="49" t="str">
        <f aca="false">IF($R44="—","—",IFERROR(INDEX(対訳マスタ!$C$2:$C$136,MATCH($R44,対訳マスタ!$B$2:$B$136,0)),$R44))</f>
        <v>相互行為</v>
      </c>
      <c r="C44" s="49" t="str">
        <f aca="false">IF($S44="—","—",IFERROR(INDEX(対訳マスタ!$C$2:$C$136,MATCH($S44,対訳マスタ!$B$2:$B$136,0)),$S44))</f>
        <v>—</v>
      </c>
      <c r="D44" s="49" t="str">
        <f aca="false">IFERROR(INDEX(対訳マスタ!$C$2:$C$136,MATCH($E44,対訳マスタ!$B$2:$B$136,0)),$E44)</f>
        <v>明確化の要求（聞き返し）</v>
      </c>
      <c r="E44" s="50" t="s">
        <v>1110</v>
      </c>
      <c r="F44" s="49" t="n">
        <f aca="false">COUNTIFS(Data!$B$2:$B$1833,$Q44,Data!$C$2:$C$1833,$R44,Data!$D$2:$D$1833,$S44,Data!$E$2:$E$1833,$E44,Data!$F$2:$F$1833,F$1,Data!$H$2:$H$1833,1)</f>
        <v>0</v>
      </c>
      <c r="G44" s="49" t="n">
        <f aca="false">COUNTIFS(Data!$B$2:$B$1833,$Q44,Data!$C$2:$C$1833,$R44,Data!$D$2:$D$1833,$S44,Data!$E$2:$E$1833,$E44,Data!$F$2:$F$1833,G$1,Data!$H$2:$H$1833,1)</f>
        <v>2</v>
      </c>
      <c r="H44" s="49" t="n">
        <f aca="false">COUNTIFS(Data!$B$2:$B$1833,$Q44,Data!$C$2:$C$1833,$R44,Data!$D$2:$D$1833,$S44,Data!$E$2:$E$1833,$E44,Data!$F$2:$F$1833,H$1,Data!$H$2:$H$1833,1)</f>
        <v>2</v>
      </c>
      <c r="I44" s="49" t="n">
        <f aca="false">COUNTIFS(Data!$B$2:$B$1833,$Q44,Data!$C$2:$C$1833,$R44,Data!$D$2:$D$1833,$S44,Data!$E$2:$E$1833,$E44,Data!$F$2:$F$1833,I$1,Data!$H$2:$H$1833,1)</f>
        <v>2</v>
      </c>
      <c r="J44" s="49" t="n">
        <f aca="false">COUNTIFS(Data!$B$2:$B$1833,$Q44,Data!$C$2:$C$1833,$R44,Data!$D$2:$D$1833,$S44,Data!$E$2:$E$1833,$E44,Data!$F$2:$F$1833,J$1,Data!$H$2:$H$1833,1)</f>
        <v>1</v>
      </c>
      <c r="K44" s="49" t="n">
        <f aca="false">COUNTIFS(Data!$B$2:$B$1833,$Q44,Data!$C$2:$C$1833,$R44,Data!$D$2:$D$1833,$S44,Data!$E$2:$E$1833,$E44,Data!$F$2:$F$1833,K$1,Data!$H$2:$H$1833,1)</f>
        <v>1</v>
      </c>
      <c r="L44" s="49" t="n">
        <f aca="false">COUNTIFS(Data!$B$2:$B$1833,$Q44,Data!$C$2:$C$1833,$R44,Data!$D$2:$D$1833,$S44,Data!$E$2:$E$1833,$E44,Data!$F$2:$F$1833,L$1,Data!$H$2:$H$1833,1)</f>
        <v>2</v>
      </c>
      <c r="M44" s="49" t="n">
        <f aca="false">COUNTIFS(Data!$B$2:$B$1833,$Q44,Data!$C$2:$C$1833,$R44,Data!$D$2:$D$1833,$S44,Data!$E$2:$E$1833,$E44,Data!$F$2:$F$1833,M$1,Data!$H$2:$H$1833,1)</f>
        <v>1</v>
      </c>
      <c r="N44" s="49" t="n">
        <f aca="false">COUNTIFS(Data!$B$2:$B$1833,$Q44,Data!$C$2:$C$1833,$R44,Data!$D$2:$D$1833,$S44,Data!$E$2:$E$1833,$E44,Data!$F$2:$F$1833,N$1,Data!$H$2:$H$1833,1)</f>
        <v>1</v>
      </c>
      <c r="O44" s="49" t="n">
        <f aca="false">COUNTIFS(Data!$B$2:$B$1833,$Q44,Data!$C$2:$C$1833,$R44,Data!$D$2:$D$1833,$S44,Data!$E$2:$E$1833,$E44,Data!$F$2:$F$1833,O$1,Data!$H$2:$H$1833,1)</f>
        <v>0</v>
      </c>
      <c r="P44" s="49" t="n">
        <f aca="false">SUM(F44:O44)</f>
        <v>12</v>
      </c>
      <c r="Q44" s="50" t="s">
        <v>396</v>
      </c>
      <c r="R44" s="50" t="s">
        <v>817</v>
      </c>
      <c r="S44" s="50" t="s">
        <v>624</v>
      </c>
    </row>
    <row r="45" customFormat="false" ht="15" hidden="false" customHeight="true" outlineLevel="0" collapsed="false">
      <c r="A45" s="49" t="str">
        <f aca="false">IFERROR(INDEX(対訳マスタ!$C$2:$C$136,MATCH($Q45,対訳マスタ!$B$2:$B$136,0)),$Q45)</f>
        <v>コミュニケーション言語活動</v>
      </c>
      <c r="B45" s="49" t="str">
        <f aca="false">IF($R45="—","—",IFERROR(INDEX(対訳マスタ!$C$2:$C$136,MATCH($R45,対訳マスタ!$B$2:$B$136,0)),$R45))</f>
        <v>仲介</v>
      </c>
      <c r="C45" s="49" t="str">
        <f aca="false">IF($S45="—","—",IFERROR(INDEX(対訳マスタ!$C$2:$C$136,MATCH($S45,対訳マスタ!$B$2:$B$136,0)),$S45))</f>
        <v>—</v>
      </c>
      <c r="D45" s="49" t="str">
        <f aca="false">IFERROR(INDEX(対訳マスタ!$C$2:$C$136,MATCH($E45,対訳マスタ!$B$2:$B$136,0)),$E45)</f>
        <v>仲介（総合）</v>
      </c>
      <c r="E45" s="50" t="s">
        <v>1124</v>
      </c>
      <c r="F45" s="49" t="n">
        <f aca="false">COUNTIFS(Data!$B$2:$B$1833,$Q45,Data!$C$2:$C$1833,$R45,Data!$D$2:$D$1833,$S45,Data!$E$2:$E$1833,$E45,Data!$F$2:$F$1833,F$1,Data!$H$2:$H$1833,1)</f>
        <v>0</v>
      </c>
      <c r="G45" s="49" t="n">
        <f aca="false">COUNTIFS(Data!$B$2:$B$1833,$Q45,Data!$C$2:$C$1833,$R45,Data!$D$2:$D$1833,$S45,Data!$E$2:$E$1833,$E45,Data!$F$2:$F$1833,G$1,Data!$H$2:$H$1833,1)</f>
        <v>1</v>
      </c>
      <c r="H45" s="49" t="n">
        <f aca="false">COUNTIFS(Data!$B$2:$B$1833,$Q45,Data!$C$2:$C$1833,$R45,Data!$D$2:$D$1833,$S45,Data!$E$2:$E$1833,$E45,Data!$F$2:$F$1833,H$1,Data!$H$2:$H$1833,1)</f>
        <v>1</v>
      </c>
      <c r="I45" s="49" t="n">
        <f aca="false">COUNTIFS(Data!$B$2:$B$1833,$Q45,Data!$C$2:$C$1833,$R45,Data!$D$2:$D$1833,$S45,Data!$E$2:$E$1833,$E45,Data!$F$2:$F$1833,I$1,Data!$H$2:$H$1833,1)</f>
        <v>1</v>
      </c>
      <c r="J45" s="49" t="n">
        <f aca="false">COUNTIFS(Data!$B$2:$B$1833,$Q45,Data!$C$2:$C$1833,$R45,Data!$D$2:$D$1833,$S45,Data!$E$2:$E$1833,$E45,Data!$F$2:$F$1833,J$1,Data!$H$2:$H$1833,1)</f>
        <v>1</v>
      </c>
      <c r="K45" s="49" t="n">
        <f aca="false">COUNTIFS(Data!$B$2:$B$1833,$Q45,Data!$C$2:$C$1833,$R45,Data!$D$2:$D$1833,$S45,Data!$E$2:$E$1833,$E45,Data!$F$2:$F$1833,K$1,Data!$H$2:$H$1833,1)</f>
        <v>1</v>
      </c>
      <c r="L45" s="49" t="n">
        <f aca="false">COUNTIFS(Data!$B$2:$B$1833,$Q45,Data!$C$2:$C$1833,$R45,Data!$D$2:$D$1833,$S45,Data!$E$2:$E$1833,$E45,Data!$F$2:$F$1833,L$1,Data!$H$2:$H$1833,1)</f>
        <v>1</v>
      </c>
      <c r="M45" s="49" t="n">
        <f aca="false">COUNTIFS(Data!$B$2:$B$1833,$Q45,Data!$C$2:$C$1833,$R45,Data!$D$2:$D$1833,$S45,Data!$E$2:$E$1833,$E45,Data!$F$2:$F$1833,M$1,Data!$H$2:$H$1833,1)</f>
        <v>1</v>
      </c>
      <c r="N45" s="49" t="n">
        <f aca="false">COUNTIFS(Data!$B$2:$B$1833,$Q45,Data!$C$2:$C$1833,$R45,Data!$D$2:$D$1833,$S45,Data!$E$2:$E$1833,$E45,Data!$F$2:$F$1833,N$1,Data!$H$2:$H$1833,1)</f>
        <v>1</v>
      </c>
      <c r="O45" s="49" t="n">
        <f aca="false">COUNTIFS(Data!$B$2:$B$1833,$Q45,Data!$C$2:$C$1833,$R45,Data!$D$2:$D$1833,$S45,Data!$E$2:$E$1833,$E45,Data!$F$2:$F$1833,O$1,Data!$H$2:$H$1833,1)</f>
        <v>1</v>
      </c>
      <c r="P45" s="49" t="n">
        <f aca="false">SUM(F45:O45)</f>
        <v>9</v>
      </c>
      <c r="Q45" s="50" t="s">
        <v>395</v>
      </c>
      <c r="R45" s="50" t="s">
        <v>1123</v>
      </c>
      <c r="S45" s="50" t="s">
        <v>624</v>
      </c>
    </row>
    <row r="46" customFormat="false" ht="15" hidden="false" customHeight="true" outlineLevel="0" collapsed="false">
      <c r="A46" s="49" t="str">
        <f aca="false">IFERROR(INDEX(対訳マスタ!$C$2:$C$136,MATCH($Q46,対訳マスタ!$B$2:$B$136,0)),$Q46)</f>
        <v>コミュニケーション言語活動</v>
      </c>
      <c r="B46" s="49" t="str">
        <f aca="false">IF($R46="—","—",IFERROR(INDEX(対訳マスタ!$C$2:$C$136,MATCH($R46,対訳マスタ!$B$2:$B$136,0)),$R46))</f>
        <v>仲介</v>
      </c>
      <c r="C46" s="49" t="str">
        <f aca="false">IF($S46="—","—",IFERROR(INDEX(対訳マスタ!$C$2:$C$136,MATCH($S46,対訳マスタ!$B$2:$B$136,0)),$S46))</f>
        <v>テキストの仲介</v>
      </c>
      <c r="D46" s="49" t="str">
        <f aca="false">IFERROR(INDEX(対訳マスタ!$C$2:$C$136,MATCH($E46,対訳マスタ!$B$2:$B$136,0)),$E46)</f>
        <v>特定情報の伝達（口頭・手話）</v>
      </c>
      <c r="E46" s="50" t="s">
        <v>1135</v>
      </c>
      <c r="F46" s="49" t="n">
        <f aca="false">COUNTIFS(Data!$B$2:$B$1833,$Q46,Data!$C$2:$C$1833,$R46,Data!$D$2:$D$1833,$S46,Data!$E$2:$E$1833,$E46,Data!$F$2:$F$1833,F$1,Data!$H$2:$H$1833,1)</f>
        <v>2</v>
      </c>
      <c r="G46" s="49" t="n">
        <f aca="false">COUNTIFS(Data!$B$2:$B$1833,$Q46,Data!$C$2:$C$1833,$R46,Data!$D$2:$D$1833,$S46,Data!$E$2:$E$1833,$E46,Data!$F$2:$F$1833,G$1,Data!$H$2:$H$1833,1)</f>
        <v>1</v>
      </c>
      <c r="H46" s="49" t="n">
        <f aca="false">COUNTIFS(Data!$B$2:$B$1833,$Q46,Data!$C$2:$C$1833,$R46,Data!$D$2:$D$1833,$S46,Data!$E$2:$E$1833,$E46,Data!$F$2:$F$1833,H$1,Data!$H$2:$H$1833,1)</f>
        <v>2</v>
      </c>
      <c r="I46" s="49" t="n">
        <f aca="false">COUNTIFS(Data!$B$2:$B$1833,$Q46,Data!$C$2:$C$1833,$R46,Data!$D$2:$D$1833,$S46,Data!$E$2:$E$1833,$E46,Data!$F$2:$F$1833,I$1,Data!$H$2:$H$1833,1)</f>
        <v>2</v>
      </c>
      <c r="J46" s="49" t="n">
        <f aca="false">COUNTIFS(Data!$B$2:$B$1833,$Q46,Data!$C$2:$C$1833,$R46,Data!$D$2:$D$1833,$S46,Data!$E$2:$E$1833,$E46,Data!$F$2:$F$1833,J$1,Data!$H$2:$H$1833,1)</f>
        <v>3</v>
      </c>
      <c r="K46" s="49" t="n">
        <f aca="false">COUNTIFS(Data!$B$2:$B$1833,$Q46,Data!$C$2:$C$1833,$R46,Data!$D$2:$D$1833,$S46,Data!$E$2:$E$1833,$E46,Data!$F$2:$F$1833,K$1,Data!$H$2:$H$1833,1)</f>
        <v>0</v>
      </c>
      <c r="L46" s="49" t="n">
        <f aca="false">COUNTIFS(Data!$B$2:$B$1833,$Q46,Data!$C$2:$C$1833,$R46,Data!$D$2:$D$1833,$S46,Data!$E$2:$E$1833,$E46,Data!$F$2:$F$1833,L$1,Data!$H$2:$H$1833,1)</f>
        <v>1</v>
      </c>
      <c r="M46" s="49" t="n">
        <f aca="false">COUNTIFS(Data!$B$2:$B$1833,$Q46,Data!$C$2:$C$1833,$R46,Data!$D$2:$D$1833,$S46,Data!$E$2:$E$1833,$E46,Data!$F$2:$F$1833,M$1,Data!$H$2:$H$1833,1)</f>
        <v>1</v>
      </c>
      <c r="N46" s="49" t="n">
        <f aca="false">COUNTIFS(Data!$B$2:$B$1833,$Q46,Data!$C$2:$C$1833,$R46,Data!$D$2:$D$1833,$S46,Data!$E$2:$E$1833,$E46,Data!$F$2:$F$1833,N$1,Data!$H$2:$H$1833,1)</f>
        <v>1</v>
      </c>
      <c r="O46" s="49" t="n">
        <f aca="false">COUNTIFS(Data!$B$2:$B$1833,$Q46,Data!$C$2:$C$1833,$R46,Data!$D$2:$D$1833,$S46,Data!$E$2:$E$1833,$E46,Data!$F$2:$F$1833,O$1,Data!$H$2:$H$1833,1)</f>
        <v>0</v>
      </c>
      <c r="P46" s="49" t="n">
        <f aca="false">SUM(F46:O46)</f>
        <v>13</v>
      </c>
      <c r="Q46" s="50" t="s">
        <v>395</v>
      </c>
      <c r="R46" s="50" t="s">
        <v>1123</v>
      </c>
      <c r="S46" s="50" t="s">
        <v>1134</v>
      </c>
    </row>
    <row r="47" customFormat="false" ht="15" hidden="false" customHeight="true" outlineLevel="0" collapsed="false">
      <c r="A47" s="49" t="str">
        <f aca="false">IFERROR(INDEX(対訳マスタ!$C$2:$C$136,MATCH($Q47,対訳マスタ!$B$2:$B$136,0)),$Q47)</f>
        <v>コミュニケーション言語活動</v>
      </c>
      <c r="B47" s="49" t="str">
        <f aca="false">IF($R47="—","—",IFERROR(INDEX(対訳マスタ!$C$2:$C$136,MATCH($R47,対訳マスタ!$B$2:$B$136,0)),$R47))</f>
        <v>仲介</v>
      </c>
      <c r="C47" s="49" t="str">
        <f aca="false">IF($S47="—","—",IFERROR(INDEX(対訳マスタ!$C$2:$C$136,MATCH($S47,対訳マスタ!$B$2:$B$136,0)),$S47))</f>
        <v>テキストの仲介</v>
      </c>
      <c r="D47" s="49" t="str">
        <f aca="false">IFERROR(INDEX(対訳マスタ!$C$2:$C$136,MATCH($E47,対訳マスタ!$B$2:$B$136,0)),$E47)</f>
        <v>特定情報の伝達（文章）</v>
      </c>
      <c r="E47" s="50" t="s">
        <v>1149</v>
      </c>
      <c r="F47" s="49" t="n">
        <f aca="false">COUNTIFS(Data!$B$2:$B$1833,$Q47,Data!$C$2:$C$1833,$R47,Data!$D$2:$D$1833,$S47,Data!$E$2:$E$1833,$E47,Data!$F$2:$F$1833,F$1,Data!$H$2:$H$1833,1)</f>
        <v>1</v>
      </c>
      <c r="G47" s="49" t="n">
        <f aca="false">COUNTIFS(Data!$B$2:$B$1833,$Q47,Data!$C$2:$C$1833,$R47,Data!$D$2:$D$1833,$S47,Data!$E$2:$E$1833,$E47,Data!$F$2:$F$1833,G$1,Data!$H$2:$H$1833,1)</f>
        <v>1</v>
      </c>
      <c r="H47" s="49" t="n">
        <f aca="false">COUNTIFS(Data!$B$2:$B$1833,$Q47,Data!$C$2:$C$1833,$R47,Data!$D$2:$D$1833,$S47,Data!$E$2:$E$1833,$E47,Data!$F$2:$F$1833,H$1,Data!$H$2:$H$1833,1)</f>
        <v>2</v>
      </c>
      <c r="I47" s="49" t="n">
        <f aca="false">COUNTIFS(Data!$B$2:$B$1833,$Q47,Data!$C$2:$C$1833,$R47,Data!$D$2:$D$1833,$S47,Data!$E$2:$E$1833,$E47,Data!$F$2:$F$1833,I$1,Data!$H$2:$H$1833,1)</f>
        <v>1</v>
      </c>
      <c r="J47" s="49" t="n">
        <f aca="false">COUNTIFS(Data!$B$2:$B$1833,$Q47,Data!$C$2:$C$1833,$R47,Data!$D$2:$D$1833,$S47,Data!$E$2:$E$1833,$E47,Data!$F$2:$F$1833,J$1,Data!$H$2:$H$1833,1)</f>
        <v>3</v>
      </c>
      <c r="K47" s="49" t="n">
        <f aca="false">COUNTIFS(Data!$B$2:$B$1833,$Q47,Data!$C$2:$C$1833,$R47,Data!$D$2:$D$1833,$S47,Data!$E$2:$E$1833,$E47,Data!$F$2:$F$1833,K$1,Data!$H$2:$H$1833,1)</f>
        <v>0</v>
      </c>
      <c r="L47" s="49" t="n">
        <f aca="false">COUNTIFS(Data!$B$2:$B$1833,$Q47,Data!$C$2:$C$1833,$R47,Data!$D$2:$D$1833,$S47,Data!$E$2:$E$1833,$E47,Data!$F$2:$F$1833,L$1,Data!$H$2:$H$1833,1)</f>
        <v>2</v>
      </c>
      <c r="M47" s="49" t="n">
        <f aca="false">COUNTIFS(Data!$B$2:$B$1833,$Q47,Data!$C$2:$C$1833,$R47,Data!$D$2:$D$1833,$S47,Data!$E$2:$E$1833,$E47,Data!$F$2:$F$1833,M$1,Data!$H$2:$H$1833,1)</f>
        <v>3</v>
      </c>
      <c r="N47" s="49" t="n">
        <f aca="false">COUNTIFS(Data!$B$2:$B$1833,$Q47,Data!$C$2:$C$1833,$R47,Data!$D$2:$D$1833,$S47,Data!$E$2:$E$1833,$E47,Data!$F$2:$F$1833,N$1,Data!$H$2:$H$1833,1)</f>
        <v>0</v>
      </c>
      <c r="O47" s="49" t="n">
        <f aca="false">COUNTIFS(Data!$B$2:$B$1833,$Q47,Data!$C$2:$C$1833,$R47,Data!$D$2:$D$1833,$S47,Data!$E$2:$E$1833,$E47,Data!$F$2:$F$1833,O$1,Data!$H$2:$H$1833,1)</f>
        <v>0</v>
      </c>
      <c r="P47" s="49" t="n">
        <f aca="false">SUM(F47:O47)</f>
        <v>13</v>
      </c>
      <c r="Q47" s="50" t="s">
        <v>395</v>
      </c>
      <c r="R47" s="50" t="s">
        <v>1123</v>
      </c>
      <c r="S47" s="50" t="s">
        <v>1134</v>
      </c>
    </row>
    <row r="48" customFormat="false" ht="15" hidden="false" customHeight="true" outlineLevel="0" collapsed="false">
      <c r="A48" s="49" t="str">
        <f aca="false">IFERROR(INDEX(対訳マスタ!$C$2:$C$136,MATCH($Q48,対訳マスタ!$B$2:$B$136,0)),$Q48)</f>
        <v>コミュニケーション言語活動</v>
      </c>
      <c r="B48" s="49" t="str">
        <f aca="false">IF($R48="—","—",IFERROR(INDEX(対訳マスタ!$C$2:$C$136,MATCH($R48,対訳マスタ!$B$2:$B$136,0)),$R48))</f>
        <v>仲介</v>
      </c>
      <c r="C48" s="49" t="str">
        <f aca="false">IF($S48="—","—",IFERROR(INDEX(対訳マスタ!$C$2:$C$136,MATCH($S48,対訳マスタ!$B$2:$B$136,0)),$S48))</f>
        <v>テキストの仲介</v>
      </c>
      <c r="D48" s="49" t="str">
        <f aca="false">IFERROR(INDEX(対訳マスタ!$C$2:$C$136,MATCH($E48,対訳マスタ!$B$2:$B$136,0)),$E48)</f>
        <v>データの説明（口頭・手話）</v>
      </c>
      <c r="E48" s="50" t="s">
        <v>1163</v>
      </c>
      <c r="F48" s="49" t="n">
        <f aca="false">COUNTIFS(Data!$B$2:$B$1833,$Q48,Data!$C$2:$C$1833,$R48,Data!$D$2:$D$1833,$S48,Data!$E$2:$E$1833,$E48,Data!$F$2:$F$1833,F$1,Data!$H$2:$H$1833,1)</f>
        <v>0</v>
      </c>
      <c r="G48" s="49" t="n">
        <f aca="false">COUNTIFS(Data!$B$2:$B$1833,$Q48,Data!$C$2:$C$1833,$R48,Data!$D$2:$D$1833,$S48,Data!$E$2:$E$1833,$E48,Data!$F$2:$F$1833,G$1,Data!$H$2:$H$1833,1)</f>
        <v>0</v>
      </c>
      <c r="H48" s="49" t="n">
        <f aca="false">COUNTIFS(Data!$B$2:$B$1833,$Q48,Data!$C$2:$C$1833,$R48,Data!$D$2:$D$1833,$S48,Data!$E$2:$E$1833,$E48,Data!$F$2:$F$1833,H$1,Data!$H$2:$H$1833,1)</f>
        <v>0</v>
      </c>
      <c r="I48" s="49" t="n">
        <f aca="false">COUNTIFS(Data!$B$2:$B$1833,$Q48,Data!$C$2:$C$1833,$R48,Data!$D$2:$D$1833,$S48,Data!$E$2:$E$1833,$E48,Data!$F$2:$F$1833,I$1,Data!$H$2:$H$1833,1)</f>
        <v>1</v>
      </c>
      <c r="J48" s="49" t="n">
        <f aca="false">COUNTIFS(Data!$B$2:$B$1833,$Q48,Data!$C$2:$C$1833,$R48,Data!$D$2:$D$1833,$S48,Data!$E$2:$E$1833,$E48,Data!$F$2:$F$1833,J$1,Data!$H$2:$H$1833,1)</f>
        <v>1</v>
      </c>
      <c r="K48" s="49" t="n">
        <f aca="false">COUNTIFS(Data!$B$2:$B$1833,$Q48,Data!$C$2:$C$1833,$R48,Data!$D$2:$D$1833,$S48,Data!$E$2:$E$1833,$E48,Data!$F$2:$F$1833,K$1,Data!$H$2:$H$1833,1)</f>
        <v>1</v>
      </c>
      <c r="L48" s="49" t="n">
        <f aca="false">COUNTIFS(Data!$B$2:$B$1833,$Q48,Data!$C$2:$C$1833,$R48,Data!$D$2:$D$1833,$S48,Data!$E$2:$E$1833,$E48,Data!$F$2:$F$1833,L$1,Data!$H$2:$H$1833,1)</f>
        <v>1</v>
      </c>
      <c r="M48" s="49" t="n">
        <f aca="false">COUNTIFS(Data!$B$2:$B$1833,$Q48,Data!$C$2:$C$1833,$R48,Data!$D$2:$D$1833,$S48,Data!$E$2:$E$1833,$E48,Data!$F$2:$F$1833,M$1,Data!$H$2:$H$1833,1)</f>
        <v>0</v>
      </c>
      <c r="N48" s="49" t="n">
        <f aca="false">COUNTIFS(Data!$B$2:$B$1833,$Q48,Data!$C$2:$C$1833,$R48,Data!$D$2:$D$1833,$S48,Data!$E$2:$E$1833,$E48,Data!$F$2:$F$1833,N$1,Data!$H$2:$H$1833,1)</f>
        <v>1</v>
      </c>
      <c r="O48" s="49" t="n">
        <f aca="false">COUNTIFS(Data!$B$2:$B$1833,$Q48,Data!$C$2:$C$1833,$R48,Data!$D$2:$D$1833,$S48,Data!$E$2:$E$1833,$E48,Data!$F$2:$F$1833,O$1,Data!$H$2:$H$1833,1)</f>
        <v>1</v>
      </c>
      <c r="P48" s="49" t="n">
        <f aca="false">SUM(F48:O48)</f>
        <v>6</v>
      </c>
      <c r="Q48" s="50" t="s">
        <v>395</v>
      </c>
      <c r="R48" s="50" t="s">
        <v>1123</v>
      </c>
      <c r="S48" s="50" t="s">
        <v>1134</v>
      </c>
    </row>
    <row r="49" customFormat="false" ht="15" hidden="false" customHeight="true" outlineLevel="0" collapsed="false">
      <c r="A49" s="49" t="str">
        <f aca="false">IFERROR(INDEX(対訳マスタ!$C$2:$C$136,MATCH($Q49,対訳マスタ!$B$2:$B$136,0)),$Q49)</f>
        <v>コミュニケーション言語活動</v>
      </c>
      <c r="B49" s="49" t="str">
        <f aca="false">IF($R49="—","—",IFERROR(INDEX(対訳マスタ!$C$2:$C$136,MATCH($R49,対訳マスタ!$B$2:$B$136,0)),$R49))</f>
        <v>仲介</v>
      </c>
      <c r="C49" s="49" t="str">
        <f aca="false">IF($S49="—","—",IFERROR(INDEX(対訳マスタ!$C$2:$C$136,MATCH($S49,対訳マスタ!$B$2:$B$136,0)),$S49))</f>
        <v>テキストの仲介</v>
      </c>
      <c r="D49" s="49" t="str">
        <f aca="false">IFERROR(INDEX(対訳マスタ!$C$2:$C$136,MATCH($E49,対訳マスタ!$B$2:$B$136,0)),$E49)</f>
        <v>データの説明（文章）</v>
      </c>
      <c r="E49" s="50" t="s">
        <v>1170</v>
      </c>
      <c r="F49" s="49" t="n">
        <f aca="false">COUNTIFS(Data!$B$2:$B$1833,$Q49,Data!$C$2:$C$1833,$R49,Data!$D$2:$D$1833,$S49,Data!$E$2:$E$1833,$E49,Data!$F$2:$F$1833,F$1,Data!$H$2:$H$1833,1)</f>
        <v>0</v>
      </c>
      <c r="G49" s="49" t="n">
        <f aca="false">COUNTIFS(Data!$B$2:$B$1833,$Q49,Data!$C$2:$C$1833,$R49,Data!$D$2:$D$1833,$S49,Data!$E$2:$E$1833,$E49,Data!$F$2:$F$1833,G$1,Data!$H$2:$H$1833,1)</f>
        <v>0</v>
      </c>
      <c r="H49" s="49" t="n">
        <f aca="false">COUNTIFS(Data!$B$2:$B$1833,$Q49,Data!$C$2:$C$1833,$R49,Data!$D$2:$D$1833,$S49,Data!$E$2:$E$1833,$E49,Data!$F$2:$F$1833,H$1,Data!$H$2:$H$1833,1)</f>
        <v>0</v>
      </c>
      <c r="I49" s="49" t="n">
        <f aca="false">COUNTIFS(Data!$B$2:$B$1833,$Q49,Data!$C$2:$C$1833,$R49,Data!$D$2:$D$1833,$S49,Data!$E$2:$E$1833,$E49,Data!$F$2:$F$1833,I$1,Data!$H$2:$H$1833,1)</f>
        <v>0</v>
      </c>
      <c r="J49" s="49" t="n">
        <f aca="false">COUNTIFS(Data!$B$2:$B$1833,$Q49,Data!$C$2:$C$1833,$R49,Data!$D$2:$D$1833,$S49,Data!$E$2:$E$1833,$E49,Data!$F$2:$F$1833,J$1,Data!$H$2:$H$1833,1)</f>
        <v>1</v>
      </c>
      <c r="K49" s="49" t="n">
        <f aca="false">COUNTIFS(Data!$B$2:$B$1833,$Q49,Data!$C$2:$C$1833,$R49,Data!$D$2:$D$1833,$S49,Data!$E$2:$E$1833,$E49,Data!$F$2:$F$1833,K$1,Data!$H$2:$H$1833,1)</f>
        <v>1</v>
      </c>
      <c r="L49" s="49" t="n">
        <f aca="false">COUNTIFS(Data!$B$2:$B$1833,$Q49,Data!$C$2:$C$1833,$R49,Data!$D$2:$D$1833,$S49,Data!$E$2:$E$1833,$E49,Data!$F$2:$F$1833,L$1,Data!$H$2:$H$1833,1)</f>
        <v>1</v>
      </c>
      <c r="M49" s="49" t="n">
        <f aca="false">COUNTIFS(Data!$B$2:$B$1833,$Q49,Data!$C$2:$C$1833,$R49,Data!$D$2:$D$1833,$S49,Data!$E$2:$E$1833,$E49,Data!$F$2:$F$1833,M$1,Data!$H$2:$H$1833,1)</f>
        <v>0</v>
      </c>
      <c r="N49" s="49" t="n">
        <f aca="false">COUNTIFS(Data!$B$2:$B$1833,$Q49,Data!$C$2:$C$1833,$R49,Data!$D$2:$D$1833,$S49,Data!$E$2:$E$1833,$E49,Data!$F$2:$F$1833,N$1,Data!$H$2:$H$1833,1)</f>
        <v>1</v>
      </c>
      <c r="O49" s="49" t="n">
        <f aca="false">COUNTIFS(Data!$B$2:$B$1833,$Q49,Data!$C$2:$C$1833,$R49,Data!$D$2:$D$1833,$S49,Data!$E$2:$E$1833,$E49,Data!$F$2:$F$1833,O$1,Data!$H$2:$H$1833,1)</f>
        <v>1</v>
      </c>
      <c r="P49" s="49" t="n">
        <f aca="false">SUM(F49:O49)</f>
        <v>5</v>
      </c>
      <c r="Q49" s="50" t="s">
        <v>395</v>
      </c>
      <c r="R49" s="50" t="s">
        <v>1123</v>
      </c>
      <c r="S49" s="50" t="s">
        <v>1134</v>
      </c>
    </row>
    <row r="50" customFormat="false" ht="15" hidden="false" customHeight="true" outlineLevel="0" collapsed="false">
      <c r="A50" s="49" t="str">
        <f aca="false">IFERROR(INDEX(対訳マスタ!$C$2:$C$136,MATCH($Q50,対訳マスタ!$B$2:$B$136,0)),$Q50)</f>
        <v>コミュニケーション言語活動</v>
      </c>
      <c r="B50" s="49" t="str">
        <f aca="false">IF($R50="—","—",IFERROR(INDEX(対訳マスタ!$C$2:$C$136,MATCH($R50,対訳マスタ!$B$2:$B$136,0)),$R50))</f>
        <v>仲介</v>
      </c>
      <c r="C50" s="49" t="str">
        <f aca="false">IF($S50="—","—",IFERROR(INDEX(対訳マスタ!$C$2:$C$136,MATCH($S50,対訳マスタ!$B$2:$B$136,0)),$S50))</f>
        <v>テキストの仲介</v>
      </c>
      <c r="D50" s="49" t="str">
        <f aca="false">IFERROR(INDEX(対訳マスタ!$C$2:$C$136,MATCH($E50,対訳マスタ!$B$2:$B$136,0)),$E50)</f>
        <v>テキストの加工・要約（口頭・手話）</v>
      </c>
      <c r="E50" s="50" t="s">
        <v>1176</v>
      </c>
      <c r="F50" s="49" t="n">
        <f aca="false">COUNTIFS(Data!$B$2:$B$1833,$Q50,Data!$C$2:$C$1833,$R50,Data!$D$2:$D$1833,$S50,Data!$E$2:$E$1833,$E50,Data!$F$2:$F$1833,F$1,Data!$H$2:$H$1833,1)</f>
        <v>0</v>
      </c>
      <c r="G50" s="49" t="n">
        <f aca="false">COUNTIFS(Data!$B$2:$B$1833,$Q50,Data!$C$2:$C$1833,$R50,Data!$D$2:$D$1833,$S50,Data!$E$2:$E$1833,$E50,Data!$F$2:$F$1833,G$1,Data!$H$2:$H$1833,1)</f>
        <v>1</v>
      </c>
      <c r="H50" s="49" t="n">
        <f aca="false">COUNTIFS(Data!$B$2:$B$1833,$Q50,Data!$C$2:$C$1833,$R50,Data!$D$2:$D$1833,$S50,Data!$E$2:$E$1833,$E50,Data!$F$2:$F$1833,H$1,Data!$H$2:$H$1833,1)</f>
        <v>1</v>
      </c>
      <c r="I50" s="49" t="n">
        <f aca="false">COUNTIFS(Data!$B$2:$B$1833,$Q50,Data!$C$2:$C$1833,$R50,Data!$D$2:$D$1833,$S50,Data!$E$2:$E$1833,$E50,Data!$F$2:$F$1833,I$1,Data!$H$2:$H$1833,1)</f>
        <v>3</v>
      </c>
      <c r="J50" s="49" t="n">
        <f aca="false">COUNTIFS(Data!$B$2:$B$1833,$Q50,Data!$C$2:$C$1833,$R50,Data!$D$2:$D$1833,$S50,Data!$E$2:$E$1833,$E50,Data!$F$2:$F$1833,J$1,Data!$H$2:$H$1833,1)</f>
        <v>5</v>
      </c>
      <c r="K50" s="49" t="n">
        <f aca="false">COUNTIFS(Data!$B$2:$B$1833,$Q50,Data!$C$2:$C$1833,$R50,Data!$D$2:$D$1833,$S50,Data!$E$2:$E$1833,$E50,Data!$F$2:$F$1833,K$1,Data!$H$2:$H$1833,1)</f>
        <v>3</v>
      </c>
      <c r="L50" s="49" t="n">
        <f aca="false">COUNTIFS(Data!$B$2:$B$1833,$Q50,Data!$C$2:$C$1833,$R50,Data!$D$2:$D$1833,$S50,Data!$E$2:$E$1833,$E50,Data!$F$2:$F$1833,L$1,Data!$H$2:$H$1833,1)</f>
        <v>6</v>
      </c>
      <c r="M50" s="49" t="n">
        <f aca="false">COUNTIFS(Data!$B$2:$B$1833,$Q50,Data!$C$2:$C$1833,$R50,Data!$D$2:$D$1833,$S50,Data!$E$2:$E$1833,$E50,Data!$F$2:$F$1833,M$1,Data!$H$2:$H$1833,1)</f>
        <v>2</v>
      </c>
      <c r="N50" s="49" t="n">
        <f aca="false">COUNTIFS(Data!$B$2:$B$1833,$Q50,Data!$C$2:$C$1833,$R50,Data!$D$2:$D$1833,$S50,Data!$E$2:$E$1833,$E50,Data!$F$2:$F$1833,N$1,Data!$H$2:$H$1833,1)</f>
        <v>6</v>
      </c>
      <c r="O50" s="49" t="n">
        <f aca="false">COUNTIFS(Data!$B$2:$B$1833,$Q50,Data!$C$2:$C$1833,$R50,Data!$D$2:$D$1833,$S50,Data!$E$2:$E$1833,$E50,Data!$F$2:$F$1833,O$1,Data!$H$2:$H$1833,1)</f>
        <v>1</v>
      </c>
      <c r="P50" s="49" t="n">
        <f aca="false">SUM(F50:O50)</f>
        <v>28</v>
      </c>
      <c r="Q50" s="50" t="s">
        <v>395</v>
      </c>
      <c r="R50" s="50" t="s">
        <v>1123</v>
      </c>
      <c r="S50" s="50" t="s">
        <v>1134</v>
      </c>
    </row>
    <row r="51" customFormat="false" ht="15" hidden="false" customHeight="true" outlineLevel="0" collapsed="false">
      <c r="A51" s="49" t="str">
        <f aca="false">IFERROR(INDEX(対訳マスタ!$C$2:$C$136,MATCH($Q51,対訳マスタ!$B$2:$B$136,0)),$Q51)</f>
        <v>コミュニケーション言語活動</v>
      </c>
      <c r="B51" s="49" t="str">
        <f aca="false">IF($R51="—","—",IFERROR(INDEX(対訳マスタ!$C$2:$C$136,MATCH($R51,対訳マスタ!$B$2:$B$136,0)),$R51))</f>
        <v>仲介</v>
      </c>
      <c r="C51" s="49" t="str">
        <f aca="false">IF($S51="—","—",IFERROR(INDEX(対訳マスタ!$C$2:$C$136,MATCH($S51,対訳マスタ!$B$2:$B$136,0)),$S51))</f>
        <v>テキストの仲介</v>
      </c>
      <c r="D51" s="49" t="str">
        <f aca="false">IFERROR(INDEX(対訳マスタ!$C$2:$C$136,MATCH($E51,対訳マスタ!$B$2:$B$136,0)),$E51)</f>
        <v>テキストの加工・要約（文章）</v>
      </c>
      <c r="E51" s="50" t="s">
        <v>1205</v>
      </c>
      <c r="F51" s="49" t="n">
        <f aca="false">COUNTIFS(Data!$B$2:$B$1833,$Q51,Data!$C$2:$C$1833,$R51,Data!$D$2:$D$1833,$S51,Data!$E$2:$E$1833,$E51,Data!$F$2:$F$1833,F$1,Data!$H$2:$H$1833,1)</f>
        <v>0</v>
      </c>
      <c r="G51" s="49" t="n">
        <f aca="false">COUNTIFS(Data!$B$2:$B$1833,$Q51,Data!$C$2:$C$1833,$R51,Data!$D$2:$D$1833,$S51,Data!$E$2:$E$1833,$E51,Data!$F$2:$F$1833,G$1,Data!$H$2:$H$1833,1)</f>
        <v>2</v>
      </c>
      <c r="H51" s="49" t="n">
        <f aca="false">COUNTIFS(Data!$B$2:$B$1833,$Q51,Data!$C$2:$C$1833,$R51,Data!$D$2:$D$1833,$S51,Data!$E$2:$E$1833,$E51,Data!$F$2:$F$1833,H$1,Data!$H$2:$H$1833,1)</f>
        <v>2</v>
      </c>
      <c r="I51" s="49" t="n">
        <f aca="false">COUNTIFS(Data!$B$2:$B$1833,$Q51,Data!$C$2:$C$1833,$R51,Data!$D$2:$D$1833,$S51,Data!$E$2:$E$1833,$E51,Data!$F$2:$F$1833,I$1,Data!$H$2:$H$1833,1)</f>
        <v>2</v>
      </c>
      <c r="J51" s="49" t="n">
        <f aca="false">COUNTIFS(Data!$B$2:$B$1833,$Q51,Data!$C$2:$C$1833,$R51,Data!$D$2:$D$1833,$S51,Data!$E$2:$E$1833,$E51,Data!$F$2:$F$1833,J$1,Data!$H$2:$H$1833,1)</f>
        <v>2</v>
      </c>
      <c r="K51" s="49" t="n">
        <f aca="false">COUNTIFS(Data!$B$2:$B$1833,$Q51,Data!$C$2:$C$1833,$R51,Data!$D$2:$D$1833,$S51,Data!$E$2:$E$1833,$E51,Data!$F$2:$F$1833,K$1,Data!$H$2:$H$1833,1)</f>
        <v>1</v>
      </c>
      <c r="L51" s="49" t="n">
        <f aca="false">COUNTIFS(Data!$B$2:$B$1833,$Q51,Data!$C$2:$C$1833,$R51,Data!$D$2:$D$1833,$S51,Data!$E$2:$E$1833,$E51,Data!$F$2:$F$1833,L$1,Data!$H$2:$H$1833,1)</f>
        <v>1</v>
      </c>
      <c r="M51" s="49" t="n">
        <f aca="false">COUNTIFS(Data!$B$2:$B$1833,$Q51,Data!$C$2:$C$1833,$R51,Data!$D$2:$D$1833,$S51,Data!$E$2:$E$1833,$E51,Data!$F$2:$F$1833,M$1,Data!$H$2:$H$1833,1)</f>
        <v>3</v>
      </c>
      <c r="N51" s="49" t="n">
        <f aca="false">COUNTIFS(Data!$B$2:$B$1833,$Q51,Data!$C$2:$C$1833,$R51,Data!$D$2:$D$1833,$S51,Data!$E$2:$E$1833,$E51,Data!$F$2:$F$1833,N$1,Data!$H$2:$H$1833,1)</f>
        <v>2</v>
      </c>
      <c r="O51" s="49" t="n">
        <f aca="false">COUNTIFS(Data!$B$2:$B$1833,$Q51,Data!$C$2:$C$1833,$R51,Data!$D$2:$D$1833,$S51,Data!$E$2:$E$1833,$E51,Data!$F$2:$F$1833,O$1,Data!$H$2:$H$1833,1)</f>
        <v>2</v>
      </c>
      <c r="P51" s="49" t="n">
        <f aca="false">SUM(F51:O51)</f>
        <v>17</v>
      </c>
      <c r="Q51" s="50" t="s">
        <v>395</v>
      </c>
      <c r="R51" s="50" t="s">
        <v>1123</v>
      </c>
      <c r="S51" s="50" t="s">
        <v>1134</v>
      </c>
    </row>
    <row r="52" customFormat="false" ht="15" hidden="false" customHeight="true" outlineLevel="0" collapsed="false">
      <c r="A52" s="49" t="str">
        <f aca="false">IFERROR(INDEX(対訳マスタ!$C$2:$C$136,MATCH($Q52,対訳マスタ!$B$2:$B$136,0)),$Q52)</f>
        <v>コミュニケーション言語活動</v>
      </c>
      <c r="B52" s="49" t="str">
        <f aca="false">IF($R52="—","—",IFERROR(INDEX(対訳マスタ!$C$2:$C$136,MATCH($R52,対訳マスタ!$B$2:$B$136,0)),$R52))</f>
        <v>仲介</v>
      </c>
      <c r="C52" s="49" t="str">
        <f aca="false">IF($S52="—","—",IFERROR(INDEX(対訳マスタ!$C$2:$C$136,MATCH($S52,対訳マスタ!$B$2:$B$136,0)),$S52))</f>
        <v>テキストの仲介</v>
      </c>
      <c r="D52" s="49" t="str">
        <f aca="false">IFERROR(INDEX(対訳マスタ!$C$2:$C$136,MATCH($E52,対訳マスタ!$B$2:$B$136,0)),$E52)</f>
        <v>書かれたテキストの翻訳（口頭・手話）</v>
      </c>
      <c r="E52" s="50" t="s">
        <v>1223</v>
      </c>
      <c r="F52" s="49" t="n">
        <f aca="false">COUNTIFS(Data!$B$2:$B$1833,$Q52,Data!$C$2:$C$1833,$R52,Data!$D$2:$D$1833,$S52,Data!$E$2:$E$1833,$E52,Data!$F$2:$F$1833,F$1,Data!$H$2:$H$1833,1)</f>
        <v>0</v>
      </c>
      <c r="G52" s="49" t="n">
        <f aca="false">COUNTIFS(Data!$B$2:$B$1833,$Q52,Data!$C$2:$C$1833,$R52,Data!$D$2:$D$1833,$S52,Data!$E$2:$E$1833,$E52,Data!$F$2:$F$1833,G$1,Data!$H$2:$H$1833,1)</f>
        <v>1</v>
      </c>
      <c r="H52" s="49" t="n">
        <f aca="false">COUNTIFS(Data!$B$2:$B$1833,$Q52,Data!$C$2:$C$1833,$R52,Data!$D$2:$D$1833,$S52,Data!$E$2:$E$1833,$E52,Data!$F$2:$F$1833,H$1,Data!$H$2:$H$1833,1)</f>
        <v>2</v>
      </c>
      <c r="I52" s="49" t="n">
        <f aca="false">COUNTIFS(Data!$B$2:$B$1833,$Q52,Data!$C$2:$C$1833,$R52,Data!$D$2:$D$1833,$S52,Data!$E$2:$E$1833,$E52,Data!$F$2:$F$1833,I$1,Data!$H$2:$H$1833,1)</f>
        <v>1</v>
      </c>
      <c r="J52" s="49" t="n">
        <f aca="false">COUNTIFS(Data!$B$2:$B$1833,$Q52,Data!$C$2:$C$1833,$R52,Data!$D$2:$D$1833,$S52,Data!$E$2:$E$1833,$E52,Data!$F$2:$F$1833,J$1,Data!$H$2:$H$1833,1)</f>
        <v>1</v>
      </c>
      <c r="K52" s="49" t="n">
        <f aca="false">COUNTIFS(Data!$B$2:$B$1833,$Q52,Data!$C$2:$C$1833,$R52,Data!$D$2:$D$1833,$S52,Data!$E$2:$E$1833,$E52,Data!$F$2:$F$1833,K$1,Data!$H$2:$H$1833,1)</f>
        <v>1</v>
      </c>
      <c r="L52" s="49" t="n">
        <f aca="false">COUNTIFS(Data!$B$2:$B$1833,$Q52,Data!$C$2:$C$1833,$R52,Data!$D$2:$D$1833,$S52,Data!$E$2:$E$1833,$E52,Data!$F$2:$F$1833,L$1,Data!$H$2:$H$1833,1)</f>
        <v>0</v>
      </c>
      <c r="M52" s="49" t="n">
        <f aca="false">COUNTIFS(Data!$B$2:$B$1833,$Q52,Data!$C$2:$C$1833,$R52,Data!$D$2:$D$1833,$S52,Data!$E$2:$E$1833,$E52,Data!$F$2:$F$1833,M$1,Data!$H$2:$H$1833,1)</f>
        <v>1</v>
      </c>
      <c r="N52" s="49" t="n">
        <f aca="false">COUNTIFS(Data!$B$2:$B$1833,$Q52,Data!$C$2:$C$1833,$R52,Data!$D$2:$D$1833,$S52,Data!$E$2:$E$1833,$E52,Data!$F$2:$F$1833,N$1,Data!$H$2:$H$1833,1)</f>
        <v>1</v>
      </c>
      <c r="O52" s="49" t="n">
        <f aca="false">COUNTIFS(Data!$B$2:$B$1833,$Q52,Data!$C$2:$C$1833,$R52,Data!$D$2:$D$1833,$S52,Data!$E$2:$E$1833,$E52,Data!$F$2:$F$1833,O$1,Data!$H$2:$H$1833,1)</f>
        <v>1</v>
      </c>
      <c r="P52" s="49" t="n">
        <f aca="false">SUM(F52:O52)</f>
        <v>9</v>
      </c>
      <c r="Q52" s="50" t="s">
        <v>395</v>
      </c>
      <c r="R52" s="50" t="s">
        <v>1123</v>
      </c>
      <c r="S52" s="50" t="s">
        <v>1134</v>
      </c>
    </row>
    <row r="53" customFormat="false" ht="15" hidden="false" customHeight="true" outlineLevel="0" collapsed="false">
      <c r="A53" s="49" t="str">
        <f aca="false">IFERROR(INDEX(対訳マスタ!$C$2:$C$136,MATCH($Q53,対訳マスタ!$B$2:$B$136,0)),$Q53)</f>
        <v>コミュニケーション言語活動</v>
      </c>
      <c r="B53" s="49" t="str">
        <f aca="false">IF($R53="—","—",IFERROR(INDEX(対訳マスタ!$C$2:$C$136,MATCH($R53,対訳マスタ!$B$2:$B$136,0)),$R53))</f>
        <v>仲介</v>
      </c>
      <c r="C53" s="49" t="str">
        <f aca="false">IF($S53="—","—",IFERROR(INDEX(対訳マスタ!$C$2:$C$136,MATCH($S53,対訳マスタ!$B$2:$B$136,0)),$S53))</f>
        <v>テキストの仲介</v>
      </c>
      <c r="D53" s="49" t="str">
        <f aca="false">IFERROR(INDEX(対訳マスタ!$C$2:$C$136,MATCH($E53,対訳マスタ!$B$2:$B$136,0)),$E53)</f>
        <v>書かれたテキストの翻訳（文章）</v>
      </c>
      <c r="E53" s="50" t="s">
        <v>1233</v>
      </c>
      <c r="F53" s="49" t="n">
        <f aca="false">COUNTIFS(Data!$B$2:$B$1833,$Q53,Data!$C$2:$C$1833,$R53,Data!$D$2:$D$1833,$S53,Data!$E$2:$E$1833,$E53,Data!$F$2:$F$1833,F$1,Data!$H$2:$H$1833,1)</f>
        <v>0</v>
      </c>
      <c r="G53" s="49" t="n">
        <f aca="false">COUNTIFS(Data!$B$2:$B$1833,$Q53,Data!$C$2:$C$1833,$R53,Data!$D$2:$D$1833,$S53,Data!$E$2:$E$1833,$E53,Data!$F$2:$F$1833,G$1,Data!$H$2:$H$1833,1)</f>
        <v>1</v>
      </c>
      <c r="H53" s="49" t="n">
        <f aca="false">COUNTIFS(Data!$B$2:$B$1833,$Q53,Data!$C$2:$C$1833,$R53,Data!$D$2:$D$1833,$S53,Data!$E$2:$E$1833,$E53,Data!$F$2:$F$1833,H$1,Data!$H$2:$H$1833,1)</f>
        <v>1</v>
      </c>
      <c r="I53" s="49" t="n">
        <f aca="false">COUNTIFS(Data!$B$2:$B$1833,$Q53,Data!$C$2:$C$1833,$R53,Data!$D$2:$D$1833,$S53,Data!$E$2:$E$1833,$E53,Data!$F$2:$F$1833,I$1,Data!$H$2:$H$1833,1)</f>
        <v>0</v>
      </c>
      <c r="J53" s="49" t="n">
        <f aca="false">COUNTIFS(Data!$B$2:$B$1833,$Q53,Data!$C$2:$C$1833,$R53,Data!$D$2:$D$1833,$S53,Data!$E$2:$E$1833,$E53,Data!$F$2:$F$1833,J$1,Data!$H$2:$H$1833,1)</f>
        <v>1</v>
      </c>
      <c r="K53" s="49" t="n">
        <f aca="false">COUNTIFS(Data!$B$2:$B$1833,$Q53,Data!$C$2:$C$1833,$R53,Data!$D$2:$D$1833,$S53,Data!$E$2:$E$1833,$E53,Data!$F$2:$F$1833,K$1,Data!$H$2:$H$1833,1)</f>
        <v>1</v>
      </c>
      <c r="L53" s="49" t="n">
        <f aca="false">COUNTIFS(Data!$B$2:$B$1833,$Q53,Data!$C$2:$C$1833,$R53,Data!$D$2:$D$1833,$S53,Data!$E$2:$E$1833,$E53,Data!$F$2:$F$1833,L$1,Data!$H$2:$H$1833,1)</f>
        <v>1</v>
      </c>
      <c r="M53" s="49" t="n">
        <f aca="false">COUNTIFS(Data!$B$2:$B$1833,$Q53,Data!$C$2:$C$1833,$R53,Data!$D$2:$D$1833,$S53,Data!$E$2:$E$1833,$E53,Data!$F$2:$F$1833,M$1,Data!$H$2:$H$1833,1)</f>
        <v>1</v>
      </c>
      <c r="N53" s="49" t="n">
        <f aca="false">COUNTIFS(Data!$B$2:$B$1833,$Q53,Data!$C$2:$C$1833,$R53,Data!$D$2:$D$1833,$S53,Data!$E$2:$E$1833,$E53,Data!$F$2:$F$1833,N$1,Data!$H$2:$H$1833,1)</f>
        <v>1</v>
      </c>
      <c r="O53" s="49" t="n">
        <f aca="false">COUNTIFS(Data!$B$2:$B$1833,$Q53,Data!$C$2:$C$1833,$R53,Data!$D$2:$D$1833,$S53,Data!$E$2:$E$1833,$E53,Data!$F$2:$F$1833,O$1,Data!$H$2:$H$1833,1)</f>
        <v>1</v>
      </c>
      <c r="P53" s="49" t="n">
        <f aca="false">SUM(F53:O53)</f>
        <v>8</v>
      </c>
      <c r="Q53" s="50" t="s">
        <v>395</v>
      </c>
      <c r="R53" s="50" t="s">
        <v>1123</v>
      </c>
      <c r="S53" s="50" t="s">
        <v>1134</v>
      </c>
    </row>
    <row r="54" customFormat="false" ht="15" hidden="false" customHeight="true" outlineLevel="0" collapsed="false">
      <c r="A54" s="49" t="str">
        <f aca="false">IFERROR(INDEX(対訳マスタ!$C$2:$C$136,MATCH($Q54,対訳マスタ!$B$2:$B$136,0)),$Q54)</f>
        <v>コミュニケーション言語活動</v>
      </c>
      <c r="B54" s="49" t="str">
        <f aca="false">IF($R54="—","—",IFERROR(INDEX(対訳マスタ!$C$2:$C$136,MATCH($R54,対訳マスタ!$B$2:$B$136,0)),$R54))</f>
        <v>仲介</v>
      </c>
      <c r="C54" s="49" t="str">
        <f aca="false">IF($S54="—","—",IFERROR(INDEX(対訳マスタ!$C$2:$C$136,MATCH($S54,対訳マスタ!$B$2:$B$136,0)),$S54))</f>
        <v>テキストの仲介</v>
      </c>
      <c r="D54" s="49" t="str">
        <f aca="false">IFERROR(INDEX(対訳マスタ!$C$2:$C$136,MATCH($E54,対訳マスタ!$B$2:$B$136,0)),$E54)</f>
        <v>ノートテイキング（講義・会議など）</v>
      </c>
      <c r="E54" s="50" t="s">
        <v>1242</v>
      </c>
      <c r="F54" s="49" t="n">
        <f aca="false">COUNTIFS(Data!$B$2:$B$1833,$Q54,Data!$C$2:$C$1833,$R54,Data!$D$2:$D$1833,$S54,Data!$E$2:$E$1833,$E54,Data!$F$2:$F$1833,F$1,Data!$H$2:$H$1833,1)</f>
        <v>0</v>
      </c>
      <c r="G54" s="49" t="n">
        <f aca="false">COUNTIFS(Data!$B$2:$B$1833,$Q54,Data!$C$2:$C$1833,$R54,Data!$D$2:$D$1833,$S54,Data!$E$2:$E$1833,$E54,Data!$F$2:$F$1833,G$1,Data!$H$2:$H$1833,1)</f>
        <v>0</v>
      </c>
      <c r="H54" s="49" t="n">
        <f aca="false">COUNTIFS(Data!$B$2:$B$1833,$Q54,Data!$C$2:$C$1833,$R54,Data!$D$2:$D$1833,$S54,Data!$E$2:$E$1833,$E54,Data!$F$2:$F$1833,H$1,Data!$H$2:$H$1833,1)</f>
        <v>1</v>
      </c>
      <c r="I54" s="49" t="n">
        <f aca="false">COUNTIFS(Data!$B$2:$B$1833,$Q54,Data!$C$2:$C$1833,$R54,Data!$D$2:$D$1833,$S54,Data!$E$2:$E$1833,$E54,Data!$F$2:$F$1833,I$1,Data!$H$2:$H$1833,1)</f>
        <v>0</v>
      </c>
      <c r="J54" s="49" t="n">
        <f aca="false">COUNTIFS(Data!$B$2:$B$1833,$Q54,Data!$C$2:$C$1833,$R54,Data!$D$2:$D$1833,$S54,Data!$E$2:$E$1833,$E54,Data!$F$2:$F$1833,J$1,Data!$H$2:$H$1833,1)</f>
        <v>2</v>
      </c>
      <c r="K54" s="49" t="n">
        <f aca="false">COUNTIFS(Data!$B$2:$B$1833,$Q54,Data!$C$2:$C$1833,$R54,Data!$D$2:$D$1833,$S54,Data!$E$2:$E$1833,$E54,Data!$F$2:$F$1833,K$1,Data!$H$2:$H$1833,1)</f>
        <v>1</v>
      </c>
      <c r="L54" s="49" t="n">
        <f aca="false">COUNTIFS(Data!$B$2:$B$1833,$Q54,Data!$C$2:$C$1833,$R54,Data!$D$2:$D$1833,$S54,Data!$E$2:$E$1833,$E54,Data!$F$2:$F$1833,L$1,Data!$H$2:$H$1833,1)</f>
        <v>2</v>
      </c>
      <c r="M54" s="49" t="n">
        <f aca="false">COUNTIFS(Data!$B$2:$B$1833,$Q54,Data!$C$2:$C$1833,$R54,Data!$D$2:$D$1833,$S54,Data!$E$2:$E$1833,$E54,Data!$F$2:$F$1833,M$1,Data!$H$2:$H$1833,1)</f>
        <v>0</v>
      </c>
      <c r="N54" s="49" t="n">
        <f aca="false">COUNTIFS(Data!$B$2:$B$1833,$Q54,Data!$C$2:$C$1833,$R54,Data!$D$2:$D$1833,$S54,Data!$E$2:$E$1833,$E54,Data!$F$2:$F$1833,N$1,Data!$H$2:$H$1833,1)</f>
        <v>3</v>
      </c>
      <c r="O54" s="49" t="n">
        <f aca="false">COUNTIFS(Data!$B$2:$B$1833,$Q54,Data!$C$2:$C$1833,$R54,Data!$D$2:$D$1833,$S54,Data!$E$2:$E$1833,$E54,Data!$F$2:$F$1833,O$1,Data!$H$2:$H$1833,1)</f>
        <v>3</v>
      </c>
      <c r="P54" s="49" t="n">
        <f aca="false">SUM(F54:O54)</f>
        <v>12</v>
      </c>
      <c r="Q54" s="50" t="s">
        <v>395</v>
      </c>
      <c r="R54" s="50" t="s">
        <v>1123</v>
      </c>
      <c r="S54" s="50" t="s">
        <v>1134</v>
      </c>
    </row>
    <row r="55" customFormat="false" ht="15" hidden="false" customHeight="true" outlineLevel="0" collapsed="false">
      <c r="A55" s="49" t="str">
        <f aca="false">IFERROR(INDEX(対訳マスタ!$C$2:$C$136,MATCH($Q55,対訳マスタ!$B$2:$B$136,0)),$Q55)</f>
        <v>コミュニケーション言語活動</v>
      </c>
      <c r="B55" s="49" t="str">
        <f aca="false">IF($R55="—","—",IFERROR(INDEX(対訳マスタ!$C$2:$C$136,MATCH($R55,対訳マスタ!$B$2:$B$136,0)),$R55))</f>
        <v>仲介</v>
      </c>
      <c r="C55" s="49" t="str">
        <f aca="false">IF($S55="—","—",IFERROR(INDEX(対訳マスタ!$C$2:$C$136,MATCH($S55,対訳マスタ!$B$2:$B$136,0)),$S55))</f>
        <v>テキストの仲介</v>
      </c>
      <c r="D55" s="49" t="str">
        <f aca="false">IFERROR(INDEX(対訳マスタ!$C$2:$C$136,MATCH($E55,対訳マスタ!$B$2:$B$136,0)),$E55)</f>
        <v>創作テキストへの個人的な反応の表現</v>
      </c>
      <c r="E55" s="50" t="s">
        <v>1255</v>
      </c>
      <c r="F55" s="49" t="n">
        <f aca="false">COUNTIFS(Data!$B$2:$B$1833,$Q55,Data!$C$2:$C$1833,$R55,Data!$D$2:$D$1833,$S55,Data!$E$2:$E$1833,$E55,Data!$F$2:$F$1833,F$1,Data!$H$2:$H$1833,1)</f>
        <v>0</v>
      </c>
      <c r="G55" s="49" t="n">
        <f aca="false">COUNTIFS(Data!$B$2:$B$1833,$Q55,Data!$C$2:$C$1833,$R55,Data!$D$2:$D$1833,$S55,Data!$E$2:$E$1833,$E55,Data!$F$2:$F$1833,G$1,Data!$H$2:$H$1833,1)</f>
        <v>1</v>
      </c>
      <c r="H55" s="49" t="n">
        <f aca="false">COUNTIFS(Data!$B$2:$B$1833,$Q55,Data!$C$2:$C$1833,$R55,Data!$D$2:$D$1833,$S55,Data!$E$2:$E$1833,$E55,Data!$F$2:$F$1833,H$1,Data!$H$2:$H$1833,1)</f>
        <v>3</v>
      </c>
      <c r="I55" s="49" t="n">
        <f aca="false">COUNTIFS(Data!$B$2:$B$1833,$Q55,Data!$C$2:$C$1833,$R55,Data!$D$2:$D$1833,$S55,Data!$E$2:$E$1833,$E55,Data!$F$2:$F$1833,I$1,Data!$H$2:$H$1833,1)</f>
        <v>0</v>
      </c>
      <c r="J55" s="49" t="n">
        <f aca="false">COUNTIFS(Data!$B$2:$B$1833,$Q55,Data!$C$2:$C$1833,$R55,Data!$D$2:$D$1833,$S55,Data!$E$2:$E$1833,$E55,Data!$F$2:$F$1833,J$1,Data!$H$2:$H$1833,1)</f>
        <v>8</v>
      </c>
      <c r="K55" s="49" t="n">
        <f aca="false">COUNTIFS(Data!$B$2:$B$1833,$Q55,Data!$C$2:$C$1833,$R55,Data!$D$2:$D$1833,$S55,Data!$E$2:$E$1833,$E55,Data!$F$2:$F$1833,K$1,Data!$H$2:$H$1833,1)</f>
        <v>0</v>
      </c>
      <c r="L55" s="49" t="n">
        <f aca="false">COUNTIFS(Data!$B$2:$B$1833,$Q55,Data!$C$2:$C$1833,$R55,Data!$D$2:$D$1833,$S55,Data!$E$2:$E$1833,$E55,Data!$F$2:$F$1833,L$1,Data!$H$2:$H$1833,1)</f>
        <v>4</v>
      </c>
      <c r="M55" s="49" t="n">
        <f aca="false">COUNTIFS(Data!$B$2:$B$1833,$Q55,Data!$C$2:$C$1833,$R55,Data!$D$2:$D$1833,$S55,Data!$E$2:$E$1833,$E55,Data!$F$2:$F$1833,M$1,Data!$H$2:$H$1833,1)</f>
        <v>0</v>
      </c>
      <c r="N55" s="49" t="n">
        <f aca="false">COUNTIFS(Data!$B$2:$B$1833,$Q55,Data!$C$2:$C$1833,$R55,Data!$D$2:$D$1833,$S55,Data!$E$2:$E$1833,$E55,Data!$F$2:$F$1833,N$1,Data!$H$2:$H$1833,1)</f>
        <v>2</v>
      </c>
      <c r="O55" s="49" t="n">
        <f aca="false">COUNTIFS(Data!$B$2:$B$1833,$Q55,Data!$C$2:$C$1833,$R55,Data!$D$2:$D$1833,$S55,Data!$E$2:$E$1833,$E55,Data!$F$2:$F$1833,O$1,Data!$H$2:$H$1833,1)</f>
        <v>0</v>
      </c>
      <c r="P55" s="49" t="n">
        <f aca="false">SUM(F55:O55)</f>
        <v>18</v>
      </c>
      <c r="Q55" s="50" t="s">
        <v>395</v>
      </c>
      <c r="R55" s="50" t="s">
        <v>1123</v>
      </c>
      <c r="S55" s="50" t="s">
        <v>1134</v>
      </c>
    </row>
    <row r="56" customFormat="false" ht="15" hidden="false" customHeight="true" outlineLevel="0" collapsed="false">
      <c r="A56" s="49" t="str">
        <f aca="false">IFERROR(INDEX(対訳マスタ!$C$2:$C$136,MATCH($Q56,対訳マスタ!$B$2:$B$136,0)),$Q56)</f>
        <v>コミュニケーション言語活動</v>
      </c>
      <c r="B56" s="49" t="str">
        <f aca="false">IF($R56="—","—",IFERROR(INDEX(対訳マスタ!$C$2:$C$136,MATCH($R56,対訳マスタ!$B$2:$B$136,0)),$R56))</f>
        <v>仲介</v>
      </c>
      <c r="C56" s="49" t="str">
        <f aca="false">IF($S56="—","—",IFERROR(INDEX(対訳マスタ!$C$2:$C$136,MATCH($S56,対訳マスタ!$B$2:$B$136,0)),$S56))</f>
        <v>テキストの仲介</v>
      </c>
      <c r="D56" s="49" t="str">
        <f aca="false">IFERROR(INDEX(対訳マスタ!$C$2:$C$136,MATCH($E56,対訳マスタ!$B$2:$B$136,0)),$E56)</f>
        <v>創作テキストの分析と批評（文学を含む）</v>
      </c>
      <c r="E56" s="50" t="s">
        <v>1274</v>
      </c>
      <c r="F56" s="49" t="n">
        <f aca="false">COUNTIFS(Data!$B$2:$B$1833,$Q56,Data!$C$2:$C$1833,$R56,Data!$D$2:$D$1833,$S56,Data!$E$2:$E$1833,$E56,Data!$F$2:$F$1833,F$1,Data!$H$2:$H$1833,1)</f>
        <v>0</v>
      </c>
      <c r="G56" s="49" t="n">
        <f aca="false">COUNTIFS(Data!$B$2:$B$1833,$Q56,Data!$C$2:$C$1833,$R56,Data!$D$2:$D$1833,$S56,Data!$E$2:$E$1833,$E56,Data!$F$2:$F$1833,G$1,Data!$H$2:$H$1833,1)</f>
        <v>0</v>
      </c>
      <c r="H56" s="49" t="n">
        <f aca="false">COUNTIFS(Data!$B$2:$B$1833,$Q56,Data!$C$2:$C$1833,$R56,Data!$D$2:$D$1833,$S56,Data!$E$2:$E$1833,$E56,Data!$F$2:$F$1833,H$1,Data!$H$2:$H$1833,1)</f>
        <v>1</v>
      </c>
      <c r="I56" s="49" t="n">
        <f aca="false">COUNTIFS(Data!$B$2:$B$1833,$Q56,Data!$C$2:$C$1833,$R56,Data!$D$2:$D$1833,$S56,Data!$E$2:$E$1833,$E56,Data!$F$2:$F$1833,I$1,Data!$H$2:$H$1833,1)</f>
        <v>0</v>
      </c>
      <c r="J56" s="49" t="n">
        <f aca="false">COUNTIFS(Data!$B$2:$B$1833,$Q56,Data!$C$2:$C$1833,$R56,Data!$D$2:$D$1833,$S56,Data!$E$2:$E$1833,$E56,Data!$F$2:$F$1833,J$1,Data!$H$2:$H$1833,1)</f>
        <v>2</v>
      </c>
      <c r="K56" s="49" t="n">
        <f aca="false">COUNTIFS(Data!$B$2:$B$1833,$Q56,Data!$C$2:$C$1833,$R56,Data!$D$2:$D$1833,$S56,Data!$E$2:$E$1833,$E56,Data!$F$2:$F$1833,K$1,Data!$H$2:$H$1833,1)</f>
        <v>0</v>
      </c>
      <c r="L56" s="49" t="n">
        <f aca="false">COUNTIFS(Data!$B$2:$B$1833,$Q56,Data!$C$2:$C$1833,$R56,Data!$D$2:$D$1833,$S56,Data!$E$2:$E$1833,$E56,Data!$F$2:$F$1833,L$1,Data!$H$2:$H$1833,1)</f>
        <v>4</v>
      </c>
      <c r="M56" s="49" t="n">
        <f aca="false">COUNTIFS(Data!$B$2:$B$1833,$Q56,Data!$C$2:$C$1833,$R56,Data!$D$2:$D$1833,$S56,Data!$E$2:$E$1833,$E56,Data!$F$2:$F$1833,M$1,Data!$H$2:$H$1833,1)</f>
        <v>0</v>
      </c>
      <c r="N56" s="49" t="n">
        <f aca="false">COUNTIFS(Data!$B$2:$B$1833,$Q56,Data!$C$2:$C$1833,$R56,Data!$D$2:$D$1833,$S56,Data!$E$2:$E$1833,$E56,Data!$F$2:$F$1833,N$1,Data!$H$2:$H$1833,1)</f>
        <v>3</v>
      </c>
      <c r="O56" s="49" t="n">
        <f aca="false">COUNTIFS(Data!$B$2:$B$1833,$Q56,Data!$C$2:$C$1833,$R56,Data!$D$2:$D$1833,$S56,Data!$E$2:$E$1833,$E56,Data!$F$2:$F$1833,O$1,Data!$H$2:$H$1833,1)</f>
        <v>4</v>
      </c>
      <c r="P56" s="49" t="n">
        <f aca="false">SUM(F56:O56)</f>
        <v>14</v>
      </c>
      <c r="Q56" s="50" t="s">
        <v>395</v>
      </c>
      <c r="R56" s="50" t="s">
        <v>1123</v>
      </c>
      <c r="S56" s="50" t="s">
        <v>1134</v>
      </c>
    </row>
    <row r="57" customFormat="false" ht="15" hidden="false" customHeight="true" outlineLevel="0" collapsed="false">
      <c r="A57" s="49" t="str">
        <f aca="false">IFERROR(INDEX(対訳マスタ!$C$2:$C$136,MATCH($Q57,対訳マスタ!$B$2:$B$136,0)),$Q57)</f>
        <v>コミュニケーション言語活動</v>
      </c>
      <c r="B57" s="49" t="str">
        <f aca="false">IF($R57="—","—",IFERROR(INDEX(対訳マスタ!$C$2:$C$136,MATCH($R57,対訳マスタ!$B$2:$B$136,0)),$R57))</f>
        <v>仲介</v>
      </c>
      <c r="C57" s="49" t="str">
        <f aca="false">IF($S57="—","—",IFERROR(INDEX(対訳マスタ!$C$2:$C$136,MATCH($S57,対訳マスタ!$B$2:$B$136,0)),$S57))</f>
        <v>概念の仲介</v>
      </c>
      <c r="D57" s="49" t="str">
        <f aca="false">IFERROR(INDEX(対訳マスタ!$C$2:$C$136,MATCH($E57,対訳マスタ!$B$2:$B$136,0)),$E57)</f>
        <v>仲間との協働的やりとりの促進</v>
      </c>
      <c r="E57" s="50" t="s">
        <v>1290</v>
      </c>
      <c r="F57" s="49" t="n">
        <f aca="false">COUNTIFS(Data!$B$2:$B$1833,$Q57,Data!$C$2:$C$1833,$R57,Data!$D$2:$D$1833,$S57,Data!$E$2:$E$1833,$E57,Data!$F$2:$F$1833,F$1,Data!$H$2:$H$1833,1)</f>
        <v>0</v>
      </c>
      <c r="G57" s="49" t="n">
        <f aca="false">COUNTIFS(Data!$B$2:$B$1833,$Q57,Data!$C$2:$C$1833,$R57,Data!$D$2:$D$1833,$S57,Data!$E$2:$E$1833,$E57,Data!$F$2:$F$1833,G$1,Data!$H$2:$H$1833,1)</f>
        <v>1</v>
      </c>
      <c r="H57" s="49" t="n">
        <f aca="false">COUNTIFS(Data!$B$2:$B$1833,$Q57,Data!$C$2:$C$1833,$R57,Data!$D$2:$D$1833,$S57,Data!$E$2:$E$1833,$E57,Data!$F$2:$F$1833,H$1,Data!$H$2:$H$1833,1)</f>
        <v>1</v>
      </c>
      <c r="I57" s="49" t="n">
        <f aca="false">COUNTIFS(Data!$B$2:$B$1833,$Q57,Data!$C$2:$C$1833,$R57,Data!$D$2:$D$1833,$S57,Data!$E$2:$E$1833,$E57,Data!$F$2:$F$1833,I$1,Data!$H$2:$H$1833,1)</f>
        <v>1</v>
      </c>
      <c r="J57" s="49" t="n">
        <f aca="false">COUNTIFS(Data!$B$2:$B$1833,$Q57,Data!$C$2:$C$1833,$R57,Data!$D$2:$D$1833,$S57,Data!$E$2:$E$1833,$E57,Data!$F$2:$F$1833,J$1,Data!$H$2:$H$1833,1)</f>
        <v>1</v>
      </c>
      <c r="K57" s="49" t="n">
        <f aca="false">COUNTIFS(Data!$B$2:$B$1833,$Q57,Data!$C$2:$C$1833,$R57,Data!$D$2:$D$1833,$S57,Data!$E$2:$E$1833,$E57,Data!$F$2:$F$1833,K$1,Data!$H$2:$H$1833,1)</f>
        <v>3</v>
      </c>
      <c r="L57" s="49" t="n">
        <f aca="false">COUNTIFS(Data!$B$2:$B$1833,$Q57,Data!$C$2:$C$1833,$R57,Data!$D$2:$D$1833,$S57,Data!$E$2:$E$1833,$E57,Data!$F$2:$F$1833,L$1,Data!$H$2:$H$1833,1)</f>
        <v>3</v>
      </c>
      <c r="M57" s="49" t="n">
        <f aca="false">COUNTIFS(Data!$B$2:$B$1833,$Q57,Data!$C$2:$C$1833,$R57,Data!$D$2:$D$1833,$S57,Data!$E$2:$E$1833,$E57,Data!$F$2:$F$1833,M$1,Data!$H$2:$H$1833,1)</f>
        <v>2</v>
      </c>
      <c r="N57" s="49" t="n">
        <f aca="false">COUNTIFS(Data!$B$2:$B$1833,$Q57,Data!$C$2:$C$1833,$R57,Data!$D$2:$D$1833,$S57,Data!$E$2:$E$1833,$E57,Data!$F$2:$F$1833,N$1,Data!$H$2:$H$1833,1)</f>
        <v>2</v>
      </c>
      <c r="O57" s="49" t="n">
        <f aca="false">COUNTIFS(Data!$B$2:$B$1833,$Q57,Data!$C$2:$C$1833,$R57,Data!$D$2:$D$1833,$S57,Data!$E$2:$E$1833,$E57,Data!$F$2:$F$1833,O$1,Data!$H$2:$H$1833,1)</f>
        <v>0</v>
      </c>
      <c r="P57" s="49" t="n">
        <f aca="false">SUM(F57:O57)</f>
        <v>14</v>
      </c>
      <c r="Q57" s="50" t="s">
        <v>395</v>
      </c>
      <c r="R57" s="50" t="s">
        <v>1123</v>
      </c>
      <c r="S57" s="50" t="s">
        <v>1289</v>
      </c>
    </row>
    <row r="58" customFormat="false" ht="15" hidden="false" customHeight="true" outlineLevel="0" collapsed="false">
      <c r="A58" s="49" t="str">
        <f aca="false">IFERROR(INDEX(対訳マスタ!$C$2:$C$136,MATCH($Q58,対訳マスタ!$B$2:$B$136,0)),$Q58)</f>
        <v>コミュニケーション言語活動</v>
      </c>
      <c r="B58" s="49" t="str">
        <f aca="false">IF($R58="—","—",IFERROR(INDEX(対訳マスタ!$C$2:$C$136,MATCH($R58,対訳マスタ!$B$2:$B$136,0)),$R58))</f>
        <v>仲介</v>
      </c>
      <c r="C58" s="49" t="str">
        <f aca="false">IF($S58="—","—",IFERROR(INDEX(対訳マスタ!$C$2:$C$136,MATCH($S58,対訳マスタ!$B$2:$B$136,0)),$S58))</f>
        <v>概念の仲介</v>
      </c>
      <c r="D58" s="49" t="str">
        <f aca="false">IFERROR(INDEX(対訳マスタ!$C$2:$C$136,MATCH($E58,対訳マスタ!$B$2:$B$136,0)),$E58)</f>
        <v>意味の共同構築</v>
      </c>
      <c r="E58" s="50" t="s">
        <v>1305</v>
      </c>
      <c r="F58" s="49" t="n">
        <f aca="false">COUNTIFS(Data!$B$2:$B$1833,$Q58,Data!$C$2:$C$1833,$R58,Data!$D$2:$D$1833,$S58,Data!$E$2:$E$1833,$E58,Data!$F$2:$F$1833,F$1,Data!$H$2:$H$1833,1)</f>
        <v>0</v>
      </c>
      <c r="G58" s="49" t="n">
        <f aca="false">COUNTIFS(Data!$B$2:$B$1833,$Q58,Data!$C$2:$C$1833,$R58,Data!$D$2:$D$1833,$S58,Data!$E$2:$E$1833,$E58,Data!$F$2:$F$1833,G$1,Data!$H$2:$H$1833,1)</f>
        <v>1</v>
      </c>
      <c r="H58" s="49" t="n">
        <f aca="false">COUNTIFS(Data!$B$2:$B$1833,$Q58,Data!$C$2:$C$1833,$R58,Data!$D$2:$D$1833,$S58,Data!$E$2:$E$1833,$E58,Data!$F$2:$F$1833,H$1,Data!$H$2:$H$1833,1)</f>
        <v>2</v>
      </c>
      <c r="I58" s="49" t="n">
        <f aca="false">COUNTIFS(Data!$B$2:$B$1833,$Q58,Data!$C$2:$C$1833,$R58,Data!$D$2:$D$1833,$S58,Data!$E$2:$E$1833,$E58,Data!$F$2:$F$1833,I$1,Data!$H$2:$H$1833,1)</f>
        <v>1</v>
      </c>
      <c r="J58" s="49" t="n">
        <f aca="false">COUNTIFS(Data!$B$2:$B$1833,$Q58,Data!$C$2:$C$1833,$R58,Data!$D$2:$D$1833,$S58,Data!$E$2:$E$1833,$E58,Data!$F$2:$F$1833,J$1,Data!$H$2:$H$1833,1)</f>
        <v>2</v>
      </c>
      <c r="K58" s="49" t="n">
        <f aca="false">COUNTIFS(Data!$B$2:$B$1833,$Q58,Data!$C$2:$C$1833,$R58,Data!$D$2:$D$1833,$S58,Data!$E$2:$E$1833,$E58,Data!$F$2:$F$1833,K$1,Data!$H$2:$H$1833,1)</f>
        <v>2</v>
      </c>
      <c r="L58" s="49" t="n">
        <f aca="false">COUNTIFS(Data!$B$2:$B$1833,$Q58,Data!$C$2:$C$1833,$R58,Data!$D$2:$D$1833,$S58,Data!$E$2:$E$1833,$E58,Data!$F$2:$F$1833,L$1,Data!$H$2:$H$1833,1)</f>
        <v>3</v>
      </c>
      <c r="M58" s="49" t="n">
        <f aca="false">COUNTIFS(Data!$B$2:$B$1833,$Q58,Data!$C$2:$C$1833,$R58,Data!$D$2:$D$1833,$S58,Data!$E$2:$E$1833,$E58,Data!$F$2:$F$1833,M$1,Data!$H$2:$H$1833,1)</f>
        <v>3</v>
      </c>
      <c r="N58" s="49" t="n">
        <f aca="false">COUNTIFS(Data!$B$2:$B$1833,$Q58,Data!$C$2:$C$1833,$R58,Data!$D$2:$D$1833,$S58,Data!$E$2:$E$1833,$E58,Data!$F$2:$F$1833,N$1,Data!$H$2:$H$1833,1)</f>
        <v>3</v>
      </c>
      <c r="O58" s="49" t="n">
        <f aca="false">COUNTIFS(Data!$B$2:$B$1833,$Q58,Data!$C$2:$C$1833,$R58,Data!$D$2:$D$1833,$S58,Data!$E$2:$E$1833,$E58,Data!$F$2:$F$1833,O$1,Data!$H$2:$H$1833,1)</f>
        <v>1</v>
      </c>
      <c r="P58" s="49" t="n">
        <f aca="false">SUM(F58:O58)</f>
        <v>18</v>
      </c>
      <c r="Q58" s="50" t="s">
        <v>395</v>
      </c>
      <c r="R58" s="50" t="s">
        <v>1123</v>
      </c>
      <c r="S58" s="50" t="s">
        <v>1289</v>
      </c>
    </row>
    <row r="59" customFormat="false" ht="15" hidden="false" customHeight="true" outlineLevel="0" collapsed="false">
      <c r="A59" s="49" t="str">
        <f aca="false">IFERROR(INDEX(対訳マスタ!$C$2:$C$136,MATCH($Q59,対訳マスタ!$B$2:$B$136,0)),$Q59)</f>
        <v>コミュニケーション言語活動</v>
      </c>
      <c r="B59" s="49" t="str">
        <f aca="false">IF($R59="—","—",IFERROR(INDEX(対訳マスタ!$C$2:$C$136,MATCH($R59,対訳マスタ!$B$2:$B$136,0)),$R59))</f>
        <v>仲介</v>
      </c>
      <c r="C59" s="49" t="str">
        <f aca="false">IF($S59="—","—",IFERROR(INDEX(対訳マスタ!$C$2:$C$136,MATCH($S59,対訳マスタ!$B$2:$B$136,0)),$S59))</f>
        <v>概念の仲介</v>
      </c>
      <c r="D59" s="49" t="str">
        <f aca="false">IFERROR(INDEX(対訳マスタ!$C$2:$C$136,MATCH($E59,対訳マスタ!$B$2:$B$136,0)),$E59)</f>
        <v>やりとりの運営（進行管理）</v>
      </c>
      <c r="E59" s="50" t="s">
        <v>1324</v>
      </c>
      <c r="F59" s="49" t="n">
        <f aca="false">COUNTIFS(Data!$B$2:$B$1833,$Q59,Data!$C$2:$C$1833,$R59,Data!$D$2:$D$1833,$S59,Data!$E$2:$E$1833,$E59,Data!$F$2:$F$1833,F$1,Data!$H$2:$H$1833,1)</f>
        <v>0</v>
      </c>
      <c r="G59" s="49" t="n">
        <f aca="false">COUNTIFS(Data!$B$2:$B$1833,$Q59,Data!$C$2:$C$1833,$R59,Data!$D$2:$D$1833,$S59,Data!$E$2:$E$1833,$E59,Data!$F$2:$F$1833,G$1,Data!$H$2:$H$1833,1)</f>
        <v>0</v>
      </c>
      <c r="H59" s="49" t="n">
        <f aca="false">COUNTIFS(Data!$B$2:$B$1833,$Q59,Data!$C$2:$C$1833,$R59,Data!$D$2:$D$1833,$S59,Data!$E$2:$E$1833,$E59,Data!$F$2:$F$1833,H$1,Data!$H$2:$H$1833,1)</f>
        <v>1</v>
      </c>
      <c r="I59" s="49" t="n">
        <f aca="false">COUNTIFS(Data!$B$2:$B$1833,$Q59,Data!$C$2:$C$1833,$R59,Data!$D$2:$D$1833,$S59,Data!$E$2:$E$1833,$E59,Data!$F$2:$F$1833,I$1,Data!$H$2:$H$1833,1)</f>
        <v>0</v>
      </c>
      <c r="J59" s="49" t="n">
        <f aca="false">COUNTIFS(Data!$B$2:$B$1833,$Q59,Data!$C$2:$C$1833,$R59,Data!$D$2:$D$1833,$S59,Data!$E$2:$E$1833,$E59,Data!$F$2:$F$1833,J$1,Data!$H$2:$H$1833,1)</f>
        <v>1</v>
      </c>
      <c r="K59" s="49" t="n">
        <f aca="false">COUNTIFS(Data!$B$2:$B$1833,$Q59,Data!$C$2:$C$1833,$R59,Data!$D$2:$D$1833,$S59,Data!$E$2:$E$1833,$E59,Data!$F$2:$F$1833,K$1,Data!$H$2:$H$1833,1)</f>
        <v>1</v>
      </c>
      <c r="L59" s="49" t="n">
        <f aca="false">COUNTIFS(Data!$B$2:$B$1833,$Q59,Data!$C$2:$C$1833,$R59,Data!$D$2:$D$1833,$S59,Data!$E$2:$E$1833,$E59,Data!$F$2:$F$1833,L$1,Data!$H$2:$H$1833,1)</f>
        <v>3</v>
      </c>
      <c r="M59" s="49" t="n">
        <f aca="false">COUNTIFS(Data!$B$2:$B$1833,$Q59,Data!$C$2:$C$1833,$R59,Data!$D$2:$D$1833,$S59,Data!$E$2:$E$1833,$E59,Data!$F$2:$F$1833,M$1,Data!$H$2:$H$1833,1)</f>
        <v>3</v>
      </c>
      <c r="N59" s="49" t="n">
        <f aca="false">COUNTIFS(Data!$B$2:$B$1833,$Q59,Data!$C$2:$C$1833,$R59,Data!$D$2:$D$1833,$S59,Data!$E$2:$E$1833,$E59,Data!$F$2:$F$1833,N$1,Data!$H$2:$H$1833,1)</f>
        <v>2</v>
      </c>
      <c r="O59" s="49" t="n">
        <f aca="false">COUNTIFS(Data!$B$2:$B$1833,$Q59,Data!$C$2:$C$1833,$R59,Data!$D$2:$D$1833,$S59,Data!$E$2:$E$1833,$E59,Data!$F$2:$F$1833,O$1,Data!$H$2:$H$1833,1)</f>
        <v>2</v>
      </c>
      <c r="P59" s="49" t="n">
        <f aca="false">SUM(F59:O59)</f>
        <v>13</v>
      </c>
      <c r="Q59" s="50" t="s">
        <v>395</v>
      </c>
      <c r="R59" s="50" t="s">
        <v>1123</v>
      </c>
      <c r="S59" s="50" t="s">
        <v>1289</v>
      </c>
    </row>
    <row r="60" customFormat="false" ht="15" hidden="false" customHeight="true" outlineLevel="0" collapsed="false">
      <c r="A60" s="49" t="str">
        <f aca="false">IFERROR(INDEX(対訳マスタ!$C$2:$C$136,MATCH($Q60,対訳マスタ!$B$2:$B$136,0)),$Q60)</f>
        <v>コミュニケーション言語活動</v>
      </c>
      <c r="B60" s="49" t="str">
        <f aca="false">IF($R60="—","—",IFERROR(INDEX(対訳マスタ!$C$2:$C$136,MATCH($R60,対訳マスタ!$B$2:$B$136,0)),$R60))</f>
        <v>仲介</v>
      </c>
      <c r="C60" s="49" t="str">
        <f aca="false">IF($S60="—","—",IFERROR(INDEX(対訳マスタ!$C$2:$C$136,MATCH($S60,対訳マスタ!$B$2:$B$136,0)),$S60))</f>
        <v>概念の仲介</v>
      </c>
      <c r="D60" s="49" t="str">
        <f aca="false">IFERROR(INDEX(対訳マスタ!$C$2:$C$136,MATCH($E60,対訳マスタ!$B$2:$B$136,0)),$E60)</f>
        <v>概念的な対話の促進</v>
      </c>
      <c r="E60" s="50" t="s">
        <v>1338</v>
      </c>
      <c r="F60" s="49" t="n">
        <f aca="false">COUNTIFS(Data!$B$2:$B$1833,$Q60,Data!$C$2:$C$1833,$R60,Data!$D$2:$D$1833,$S60,Data!$E$2:$E$1833,$E60,Data!$F$2:$F$1833,F$1,Data!$H$2:$H$1833,1)</f>
        <v>0</v>
      </c>
      <c r="G60" s="49" t="n">
        <f aca="false">COUNTIFS(Data!$B$2:$B$1833,$Q60,Data!$C$2:$C$1833,$R60,Data!$D$2:$D$1833,$S60,Data!$E$2:$E$1833,$E60,Data!$F$2:$F$1833,G$1,Data!$H$2:$H$1833,1)</f>
        <v>1</v>
      </c>
      <c r="H60" s="49" t="n">
        <f aca="false">COUNTIFS(Data!$B$2:$B$1833,$Q60,Data!$C$2:$C$1833,$R60,Data!$D$2:$D$1833,$S60,Data!$E$2:$E$1833,$E60,Data!$F$2:$F$1833,H$1,Data!$H$2:$H$1833,1)</f>
        <v>1</v>
      </c>
      <c r="I60" s="49" t="n">
        <f aca="false">COUNTIFS(Data!$B$2:$B$1833,$Q60,Data!$C$2:$C$1833,$R60,Data!$D$2:$D$1833,$S60,Data!$E$2:$E$1833,$E60,Data!$F$2:$F$1833,I$1,Data!$H$2:$H$1833,1)</f>
        <v>0</v>
      </c>
      <c r="J60" s="49" t="n">
        <f aca="false">COUNTIFS(Data!$B$2:$B$1833,$Q60,Data!$C$2:$C$1833,$R60,Data!$D$2:$D$1833,$S60,Data!$E$2:$E$1833,$E60,Data!$F$2:$F$1833,J$1,Data!$H$2:$H$1833,1)</f>
        <v>1</v>
      </c>
      <c r="K60" s="49" t="n">
        <f aca="false">COUNTIFS(Data!$B$2:$B$1833,$Q60,Data!$C$2:$C$1833,$R60,Data!$D$2:$D$1833,$S60,Data!$E$2:$E$1833,$E60,Data!$F$2:$F$1833,K$1,Data!$H$2:$H$1833,1)</f>
        <v>3</v>
      </c>
      <c r="L60" s="49" t="n">
        <f aca="false">COUNTIFS(Data!$B$2:$B$1833,$Q60,Data!$C$2:$C$1833,$R60,Data!$D$2:$D$1833,$S60,Data!$E$2:$E$1833,$E60,Data!$F$2:$F$1833,L$1,Data!$H$2:$H$1833,1)</f>
        <v>3</v>
      </c>
      <c r="M60" s="49" t="n">
        <f aca="false">COUNTIFS(Data!$B$2:$B$1833,$Q60,Data!$C$2:$C$1833,$R60,Data!$D$2:$D$1833,$S60,Data!$E$2:$E$1833,$E60,Data!$F$2:$F$1833,M$1,Data!$H$2:$H$1833,1)</f>
        <v>2</v>
      </c>
      <c r="N60" s="49" t="n">
        <f aca="false">COUNTIFS(Data!$B$2:$B$1833,$Q60,Data!$C$2:$C$1833,$R60,Data!$D$2:$D$1833,$S60,Data!$E$2:$E$1833,$E60,Data!$F$2:$F$1833,N$1,Data!$H$2:$H$1833,1)</f>
        <v>1</v>
      </c>
      <c r="O60" s="49" t="n">
        <f aca="false">COUNTIFS(Data!$B$2:$B$1833,$Q60,Data!$C$2:$C$1833,$R60,Data!$D$2:$D$1833,$S60,Data!$E$2:$E$1833,$E60,Data!$F$2:$F$1833,O$1,Data!$H$2:$H$1833,1)</f>
        <v>1</v>
      </c>
      <c r="P60" s="49" t="n">
        <f aca="false">SUM(F60:O60)</f>
        <v>13</v>
      </c>
      <c r="Q60" s="50" t="s">
        <v>395</v>
      </c>
      <c r="R60" s="50" t="s">
        <v>1123</v>
      </c>
      <c r="S60" s="50" t="s">
        <v>1289</v>
      </c>
    </row>
    <row r="61" customFormat="false" ht="15" hidden="false" customHeight="true" outlineLevel="0" collapsed="false">
      <c r="A61" s="49" t="str">
        <f aca="false">IFERROR(INDEX(対訳マスタ!$C$2:$C$136,MATCH($Q61,対訳マスタ!$B$2:$B$136,0)),$Q61)</f>
        <v>コミュニケーション言語活動</v>
      </c>
      <c r="B61" s="49" t="str">
        <f aca="false">IF($R61="—","—",IFERROR(INDEX(対訳マスタ!$C$2:$C$136,MATCH($R61,対訳マスタ!$B$2:$B$136,0)),$R61))</f>
        <v>仲介</v>
      </c>
      <c r="C61" s="49" t="str">
        <f aca="false">IF($S61="—","—",IFERROR(INDEX(対訳マスタ!$C$2:$C$136,MATCH($S61,対訳マスタ!$B$2:$B$136,0)),$S61))</f>
        <v>コミュニケーションの仲介</v>
      </c>
      <c r="D61" s="49" t="str">
        <f aca="false">IFERROR(INDEX(対訳マスタ!$C$2:$C$136,MATCH($E61,対訳マスタ!$B$2:$B$136,0)),$E61)</f>
        <v>複文化的な場の醸成</v>
      </c>
      <c r="E61" s="50" t="s">
        <v>1353</v>
      </c>
      <c r="F61" s="49" t="n">
        <f aca="false">COUNTIFS(Data!$B$2:$B$1833,$Q61,Data!$C$2:$C$1833,$R61,Data!$D$2:$D$1833,$S61,Data!$E$2:$E$1833,$E61,Data!$F$2:$F$1833,F$1,Data!$H$2:$H$1833,1)</f>
        <v>0</v>
      </c>
      <c r="G61" s="49" t="n">
        <f aca="false">COUNTIFS(Data!$B$2:$B$1833,$Q61,Data!$C$2:$C$1833,$R61,Data!$D$2:$D$1833,$S61,Data!$E$2:$E$1833,$E61,Data!$F$2:$F$1833,G$1,Data!$H$2:$H$1833,1)</f>
        <v>1</v>
      </c>
      <c r="H61" s="49" t="n">
        <f aca="false">COUNTIFS(Data!$B$2:$B$1833,$Q61,Data!$C$2:$C$1833,$R61,Data!$D$2:$D$1833,$S61,Data!$E$2:$E$1833,$E61,Data!$F$2:$F$1833,H$1,Data!$H$2:$H$1833,1)</f>
        <v>1</v>
      </c>
      <c r="I61" s="49" t="n">
        <f aca="false">COUNTIFS(Data!$B$2:$B$1833,$Q61,Data!$C$2:$C$1833,$R61,Data!$D$2:$D$1833,$S61,Data!$E$2:$E$1833,$E61,Data!$F$2:$F$1833,I$1,Data!$H$2:$H$1833,1)</f>
        <v>0</v>
      </c>
      <c r="J61" s="49" t="n">
        <f aca="false">COUNTIFS(Data!$B$2:$B$1833,$Q61,Data!$C$2:$C$1833,$R61,Data!$D$2:$D$1833,$S61,Data!$E$2:$E$1833,$E61,Data!$F$2:$F$1833,J$1,Data!$H$2:$H$1833,1)</f>
        <v>2</v>
      </c>
      <c r="K61" s="49" t="n">
        <f aca="false">COUNTIFS(Data!$B$2:$B$1833,$Q61,Data!$C$2:$C$1833,$R61,Data!$D$2:$D$1833,$S61,Data!$E$2:$E$1833,$E61,Data!$F$2:$F$1833,K$1,Data!$H$2:$H$1833,1)</f>
        <v>2</v>
      </c>
      <c r="L61" s="49" t="n">
        <f aca="false">COUNTIFS(Data!$B$2:$B$1833,$Q61,Data!$C$2:$C$1833,$R61,Data!$D$2:$D$1833,$S61,Data!$E$2:$E$1833,$E61,Data!$F$2:$F$1833,L$1,Data!$H$2:$H$1833,1)</f>
        <v>3</v>
      </c>
      <c r="M61" s="49" t="n">
        <f aca="false">COUNTIFS(Data!$B$2:$B$1833,$Q61,Data!$C$2:$C$1833,$R61,Data!$D$2:$D$1833,$S61,Data!$E$2:$E$1833,$E61,Data!$F$2:$F$1833,M$1,Data!$H$2:$H$1833,1)</f>
        <v>3</v>
      </c>
      <c r="N61" s="49" t="n">
        <f aca="false">COUNTIFS(Data!$B$2:$B$1833,$Q61,Data!$C$2:$C$1833,$R61,Data!$D$2:$D$1833,$S61,Data!$E$2:$E$1833,$E61,Data!$F$2:$F$1833,N$1,Data!$H$2:$H$1833,1)</f>
        <v>2</v>
      </c>
      <c r="O61" s="49" t="n">
        <f aca="false">COUNTIFS(Data!$B$2:$B$1833,$Q61,Data!$C$2:$C$1833,$R61,Data!$D$2:$D$1833,$S61,Data!$E$2:$E$1833,$E61,Data!$F$2:$F$1833,O$1,Data!$H$2:$H$1833,1)</f>
        <v>2</v>
      </c>
      <c r="P61" s="49" t="n">
        <f aca="false">SUM(F61:O61)</f>
        <v>16</v>
      </c>
      <c r="Q61" s="50" t="s">
        <v>395</v>
      </c>
      <c r="R61" s="50" t="s">
        <v>1123</v>
      </c>
      <c r="S61" s="50" t="s">
        <v>1352</v>
      </c>
    </row>
    <row r="62" customFormat="false" ht="15" hidden="false" customHeight="true" outlineLevel="0" collapsed="false">
      <c r="A62" s="49" t="str">
        <f aca="false">IFERROR(INDEX(対訳マスタ!$C$2:$C$136,MATCH($Q62,対訳マスタ!$B$2:$B$136,0)),$Q62)</f>
        <v>コミュニケーション言語活動</v>
      </c>
      <c r="B62" s="49" t="str">
        <f aca="false">IF($R62="—","—",IFERROR(INDEX(対訳マスタ!$C$2:$C$136,MATCH($R62,対訳マスタ!$B$2:$B$136,0)),$R62))</f>
        <v>仲介</v>
      </c>
      <c r="C62" s="49" t="str">
        <f aca="false">IF($S62="—","—",IFERROR(INDEX(対訳マスタ!$C$2:$C$136,MATCH($S62,対訳マスタ!$B$2:$B$136,0)),$S62))</f>
        <v>コミュニケーションの仲介</v>
      </c>
      <c r="D62" s="49" t="str">
        <f aca="false">IFERROR(INDEX(対訳マスタ!$C$2:$C$136,MATCH($E62,対訳マスタ!$B$2:$B$136,0)),$E62)</f>
        <v>インフォーマルな場面での橋渡し（友人・同僚間）</v>
      </c>
      <c r="E62" s="50" t="s">
        <v>1370</v>
      </c>
      <c r="F62" s="49" t="n">
        <f aca="false">COUNTIFS(Data!$B$2:$B$1833,$Q62,Data!$C$2:$C$1833,$R62,Data!$D$2:$D$1833,$S62,Data!$E$2:$E$1833,$E62,Data!$F$2:$F$1833,F$1,Data!$H$2:$H$1833,1)</f>
        <v>0</v>
      </c>
      <c r="G62" s="49" t="n">
        <f aca="false">COUNTIFS(Data!$B$2:$B$1833,$Q62,Data!$C$2:$C$1833,$R62,Data!$D$2:$D$1833,$S62,Data!$E$2:$E$1833,$E62,Data!$F$2:$F$1833,G$1,Data!$H$2:$H$1833,1)</f>
        <v>1</v>
      </c>
      <c r="H62" s="49" t="n">
        <f aca="false">COUNTIFS(Data!$B$2:$B$1833,$Q62,Data!$C$2:$C$1833,$R62,Data!$D$2:$D$1833,$S62,Data!$E$2:$E$1833,$E62,Data!$F$2:$F$1833,H$1,Data!$H$2:$H$1833,1)</f>
        <v>1</v>
      </c>
      <c r="I62" s="49" t="n">
        <f aca="false">COUNTIFS(Data!$B$2:$B$1833,$Q62,Data!$C$2:$C$1833,$R62,Data!$D$2:$D$1833,$S62,Data!$E$2:$E$1833,$E62,Data!$F$2:$F$1833,I$1,Data!$H$2:$H$1833,1)</f>
        <v>1</v>
      </c>
      <c r="J62" s="49" t="n">
        <f aca="false">COUNTIFS(Data!$B$2:$B$1833,$Q62,Data!$C$2:$C$1833,$R62,Data!$D$2:$D$1833,$S62,Data!$E$2:$E$1833,$E62,Data!$F$2:$F$1833,J$1,Data!$H$2:$H$1833,1)</f>
        <v>1</v>
      </c>
      <c r="K62" s="49" t="n">
        <f aca="false">COUNTIFS(Data!$B$2:$B$1833,$Q62,Data!$C$2:$C$1833,$R62,Data!$D$2:$D$1833,$S62,Data!$E$2:$E$1833,$E62,Data!$F$2:$F$1833,K$1,Data!$H$2:$H$1833,1)</f>
        <v>1</v>
      </c>
      <c r="L62" s="49" t="n">
        <f aca="false">COUNTIFS(Data!$B$2:$B$1833,$Q62,Data!$C$2:$C$1833,$R62,Data!$D$2:$D$1833,$S62,Data!$E$2:$E$1833,$E62,Data!$F$2:$F$1833,L$1,Data!$H$2:$H$1833,1)</f>
        <v>2</v>
      </c>
      <c r="M62" s="49" t="n">
        <f aca="false">COUNTIFS(Data!$B$2:$B$1833,$Q62,Data!$C$2:$C$1833,$R62,Data!$D$2:$D$1833,$S62,Data!$E$2:$E$1833,$E62,Data!$F$2:$F$1833,M$1,Data!$H$2:$H$1833,1)</f>
        <v>1</v>
      </c>
      <c r="N62" s="49" t="n">
        <f aca="false">COUNTIFS(Data!$B$2:$B$1833,$Q62,Data!$C$2:$C$1833,$R62,Data!$D$2:$D$1833,$S62,Data!$E$2:$E$1833,$E62,Data!$F$2:$F$1833,N$1,Data!$H$2:$H$1833,1)</f>
        <v>1</v>
      </c>
      <c r="O62" s="49" t="n">
        <f aca="false">COUNTIFS(Data!$B$2:$B$1833,$Q62,Data!$C$2:$C$1833,$R62,Data!$D$2:$D$1833,$S62,Data!$E$2:$E$1833,$E62,Data!$F$2:$F$1833,O$1,Data!$H$2:$H$1833,1)</f>
        <v>1</v>
      </c>
      <c r="P62" s="49" t="n">
        <f aca="false">SUM(F62:O62)</f>
        <v>10</v>
      </c>
      <c r="Q62" s="50" t="s">
        <v>395</v>
      </c>
      <c r="R62" s="50" t="s">
        <v>1123</v>
      </c>
      <c r="S62" s="50" t="s">
        <v>1352</v>
      </c>
    </row>
    <row r="63" customFormat="false" ht="15" hidden="false" customHeight="true" outlineLevel="0" collapsed="false">
      <c r="A63" s="49" t="str">
        <f aca="false">IFERROR(INDEX(対訳マスタ!$C$2:$C$136,MATCH($Q63,対訳マスタ!$B$2:$B$136,0)),$Q63)</f>
        <v>コミュニケーション言語活動</v>
      </c>
      <c r="B63" s="49" t="str">
        <f aca="false">IF($R63="—","—",IFERROR(INDEX(対訳マスタ!$C$2:$C$136,MATCH($R63,対訳マスタ!$B$2:$B$136,0)),$R63))</f>
        <v>仲介</v>
      </c>
      <c r="C63" s="49" t="str">
        <f aca="false">IF($S63="—","—",IFERROR(INDEX(対訳マスタ!$C$2:$C$136,MATCH($S63,対訳マスタ!$B$2:$B$136,0)),$S63))</f>
        <v>コミュニケーションの仲介</v>
      </c>
      <c r="D63" s="49" t="str">
        <f aca="false">IFERROR(INDEX(対訳マスタ!$C$2:$C$136,MATCH($E63,対訳マスタ!$B$2:$B$136,0)),$E63)</f>
        <v>デリケートな状況・対立の場でのコミュニケーション促進</v>
      </c>
      <c r="E63" s="50" t="s">
        <v>1381</v>
      </c>
      <c r="F63" s="49" t="n">
        <f aca="false">COUNTIFS(Data!$B$2:$B$1833,$Q63,Data!$C$2:$C$1833,$R63,Data!$D$2:$D$1833,$S63,Data!$E$2:$E$1833,$E63,Data!$F$2:$F$1833,F$1,Data!$H$2:$H$1833,1)</f>
        <v>0</v>
      </c>
      <c r="G63" s="49" t="n">
        <f aca="false">COUNTIFS(Data!$B$2:$B$1833,$Q63,Data!$C$2:$C$1833,$R63,Data!$D$2:$D$1833,$S63,Data!$E$2:$E$1833,$E63,Data!$F$2:$F$1833,G$1,Data!$H$2:$H$1833,1)</f>
        <v>1</v>
      </c>
      <c r="H63" s="49" t="n">
        <f aca="false">COUNTIFS(Data!$B$2:$B$1833,$Q63,Data!$C$2:$C$1833,$R63,Data!$D$2:$D$1833,$S63,Data!$E$2:$E$1833,$E63,Data!$F$2:$F$1833,H$1,Data!$H$2:$H$1833,1)</f>
        <v>1</v>
      </c>
      <c r="I63" s="49" t="n">
        <f aca="false">COUNTIFS(Data!$B$2:$B$1833,$Q63,Data!$C$2:$C$1833,$R63,Data!$D$2:$D$1833,$S63,Data!$E$2:$E$1833,$E63,Data!$F$2:$F$1833,I$1,Data!$H$2:$H$1833,1)</f>
        <v>0</v>
      </c>
      <c r="J63" s="49" t="n">
        <f aca="false">COUNTIFS(Data!$B$2:$B$1833,$Q63,Data!$C$2:$C$1833,$R63,Data!$D$2:$D$1833,$S63,Data!$E$2:$E$1833,$E63,Data!$F$2:$F$1833,J$1,Data!$H$2:$H$1833,1)</f>
        <v>1</v>
      </c>
      <c r="K63" s="49" t="n">
        <f aca="false">COUNTIFS(Data!$B$2:$B$1833,$Q63,Data!$C$2:$C$1833,$R63,Data!$D$2:$D$1833,$S63,Data!$E$2:$E$1833,$E63,Data!$F$2:$F$1833,K$1,Data!$H$2:$H$1833,1)</f>
        <v>1</v>
      </c>
      <c r="L63" s="49" t="n">
        <f aca="false">COUNTIFS(Data!$B$2:$B$1833,$Q63,Data!$C$2:$C$1833,$R63,Data!$D$2:$D$1833,$S63,Data!$E$2:$E$1833,$E63,Data!$F$2:$F$1833,L$1,Data!$H$2:$H$1833,1)</f>
        <v>3</v>
      </c>
      <c r="M63" s="49" t="n">
        <f aca="false">COUNTIFS(Data!$B$2:$B$1833,$Q63,Data!$C$2:$C$1833,$R63,Data!$D$2:$D$1833,$S63,Data!$E$2:$E$1833,$E63,Data!$F$2:$F$1833,M$1,Data!$H$2:$H$1833,1)</f>
        <v>3</v>
      </c>
      <c r="N63" s="49" t="n">
        <f aca="false">COUNTIFS(Data!$B$2:$B$1833,$Q63,Data!$C$2:$C$1833,$R63,Data!$D$2:$D$1833,$S63,Data!$E$2:$E$1833,$E63,Data!$F$2:$F$1833,N$1,Data!$H$2:$H$1833,1)</f>
        <v>3</v>
      </c>
      <c r="O63" s="49" t="n">
        <f aca="false">COUNTIFS(Data!$B$2:$B$1833,$Q63,Data!$C$2:$C$1833,$R63,Data!$D$2:$D$1833,$S63,Data!$E$2:$E$1833,$E63,Data!$F$2:$F$1833,O$1,Data!$H$2:$H$1833,1)</f>
        <v>2</v>
      </c>
      <c r="P63" s="49" t="n">
        <f aca="false">SUM(F63:O63)</f>
        <v>15</v>
      </c>
      <c r="Q63" s="50" t="s">
        <v>395</v>
      </c>
      <c r="R63" s="50" t="s">
        <v>1123</v>
      </c>
      <c r="S63" s="50" t="s">
        <v>1352</v>
      </c>
    </row>
    <row r="64" customFormat="false" ht="15" hidden="false" customHeight="true" outlineLevel="0" collapsed="false">
      <c r="A64" s="49" t="str">
        <f aca="false">IFERROR(INDEX(対訳マスタ!$C$2:$C$136,MATCH($Q64,対訳マスタ!$B$2:$B$136,0)),$Q64)</f>
        <v>コミュニケーション言語方略</v>
      </c>
      <c r="B64" s="49" t="str">
        <f aca="false">IF($R64="—","—",IFERROR(INDEX(対訳マスタ!$C$2:$C$136,MATCH($R64,対訳マスタ!$B$2:$B$136,0)),$R64))</f>
        <v>仲介</v>
      </c>
      <c r="C64" s="49" t="str">
        <f aca="false">IF($S64="—","—",IFERROR(INDEX(対訳マスタ!$C$2:$C$136,MATCH($S64,対訳マスタ!$B$2:$B$136,0)),$S64))</f>
        <v>新しい概念を説明する方略</v>
      </c>
      <c r="D64" s="49" t="str">
        <f aca="false">IFERROR(INDEX(対訳マスタ!$C$2:$C$136,MATCH($E64,対訳マスタ!$B$2:$B$136,0)),$E64)</f>
        <v>既有知識への結びつけ</v>
      </c>
      <c r="E64" s="50" t="s">
        <v>1398</v>
      </c>
      <c r="F64" s="49" t="n">
        <f aca="false">COUNTIFS(Data!$B$2:$B$1833,$Q64,Data!$C$2:$C$1833,$R64,Data!$D$2:$D$1833,$S64,Data!$E$2:$E$1833,$E64,Data!$F$2:$F$1833,F$1,Data!$H$2:$H$1833,1)</f>
        <v>0</v>
      </c>
      <c r="G64" s="49" t="n">
        <f aca="false">COUNTIFS(Data!$B$2:$B$1833,$Q64,Data!$C$2:$C$1833,$R64,Data!$D$2:$D$1833,$S64,Data!$E$2:$E$1833,$E64,Data!$F$2:$F$1833,G$1,Data!$H$2:$H$1833,1)</f>
        <v>0</v>
      </c>
      <c r="H64" s="49" t="n">
        <f aca="false">COUNTIFS(Data!$B$2:$B$1833,$Q64,Data!$C$2:$C$1833,$R64,Data!$D$2:$D$1833,$S64,Data!$E$2:$E$1833,$E64,Data!$F$2:$F$1833,H$1,Data!$H$2:$H$1833,1)</f>
        <v>0</v>
      </c>
      <c r="I64" s="49" t="n">
        <f aca="false">COUNTIFS(Data!$B$2:$B$1833,$Q64,Data!$C$2:$C$1833,$R64,Data!$D$2:$D$1833,$S64,Data!$E$2:$E$1833,$E64,Data!$F$2:$F$1833,I$1,Data!$H$2:$H$1833,1)</f>
        <v>0</v>
      </c>
      <c r="J64" s="49" t="n">
        <f aca="false">COUNTIFS(Data!$B$2:$B$1833,$Q64,Data!$C$2:$C$1833,$R64,Data!$D$2:$D$1833,$S64,Data!$E$2:$E$1833,$E64,Data!$F$2:$F$1833,J$1,Data!$H$2:$H$1833,1)</f>
        <v>1</v>
      </c>
      <c r="K64" s="49" t="n">
        <f aca="false">COUNTIFS(Data!$B$2:$B$1833,$Q64,Data!$C$2:$C$1833,$R64,Data!$D$2:$D$1833,$S64,Data!$E$2:$E$1833,$E64,Data!$F$2:$F$1833,K$1,Data!$H$2:$H$1833,1)</f>
        <v>1</v>
      </c>
      <c r="L64" s="49" t="n">
        <f aca="false">COUNTIFS(Data!$B$2:$B$1833,$Q64,Data!$C$2:$C$1833,$R64,Data!$D$2:$D$1833,$S64,Data!$E$2:$E$1833,$E64,Data!$F$2:$F$1833,L$1,Data!$H$2:$H$1833,1)</f>
        <v>2</v>
      </c>
      <c r="M64" s="49" t="n">
        <f aca="false">COUNTIFS(Data!$B$2:$B$1833,$Q64,Data!$C$2:$C$1833,$R64,Data!$D$2:$D$1833,$S64,Data!$E$2:$E$1833,$E64,Data!$F$2:$F$1833,M$1,Data!$H$2:$H$1833,1)</f>
        <v>1</v>
      </c>
      <c r="N64" s="49" t="n">
        <f aca="false">COUNTIFS(Data!$B$2:$B$1833,$Q64,Data!$C$2:$C$1833,$R64,Data!$D$2:$D$1833,$S64,Data!$E$2:$E$1833,$E64,Data!$F$2:$F$1833,N$1,Data!$H$2:$H$1833,1)</f>
        <v>1</v>
      </c>
      <c r="O64" s="49" t="n">
        <f aca="false">COUNTIFS(Data!$B$2:$B$1833,$Q64,Data!$C$2:$C$1833,$R64,Data!$D$2:$D$1833,$S64,Data!$E$2:$E$1833,$E64,Data!$F$2:$F$1833,O$1,Data!$H$2:$H$1833,1)</f>
        <v>1</v>
      </c>
      <c r="P64" s="49" t="n">
        <f aca="false">SUM(F64:O64)</f>
        <v>7</v>
      </c>
      <c r="Q64" s="50" t="s">
        <v>396</v>
      </c>
      <c r="R64" s="50" t="s">
        <v>1123</v>
      </c>
      <c r="S64" s="50" t="s">
        <v>1397</v>
      </c>
    </row>
    <row r="65" customFormat="false" ht="15" hidden="false" customHeight="true" outlineLevel="0" collapsed="false">
      <c r="A65" s="49" t="str">
        <f aca="false">IFERROR(INDEX(対訳マスタ!$C$2:$C$136,MATCH($Q65,対訳マスタ!$B$2:$B$136,0)),$Q65)</f>
        <v>コミュニケーション言語方略</v>
      </c>
      <c r="B65" s="49" t="str">
        <f aca="false">IF($R65="—","—",IFERROR(INDEX(対訳マスタ!$C$2:$C$136,MATCH($R65,対訳マスタ!$B$2:$B$136,0)),$R65))</f>
        <v>仲介</v>
      </c>
      <c r="C65" s="49" t="str">
        <f aca="false">IF($S65="—","—",IFERROR(INDEX(対訳マスタ!$C$2:$C$136,MATCH($S65,対訳マスタ!$B$2:$B$136,0)),$S65))</f>
        <v>新しい概念を説明する方略</v>
      </c>
      <c r="D65" s="49" t="str">
        <f aca="false">IFERROR(INDEX(対訳マスタ!$C$2:$C$136,MATCH($E65,対訳マスタ!$B$2:$B$136,0)),$E65)</f>
        <v>言葉づかいの調整</v>
      </c>
      <c r="E65" s="50" t="s">
        <v>1406</v>
      </c>
      <c r="F65" s="49" t="n">
        <f aca="false">COUNTIFS(Data!$B$2:$B$1833,$Q65,Data!$C$2:$C$1833,$R65,Data!$D$2:$D$1833,$S65,Data!$E$2:$E$1833,$E65,Data!$F$2:$F$1833,F$1,Data!$H$2:$H$1833,1)</f>
        <v>0</v>
      </c>
      <c r="G65" s="49" t="n">
        <f aca="false">COUNTIFS(Data!$B$2:$B$1833,$Q65,Data!$C$2:$C$1833,$R65,Data!$D$2:$D$1833,$S65,Data!$E$2:$E$1833,$E65,Data!$F$2:$F$1833,G$1,Data!$H$2:$H$1833,1)</f>
        <v>0</v>
      </c>
      <c r="H65" s="49" t="n">
        <f aca="false">COUNTIFS(Data!$B$2:$B$1833,$Q65,Data!$C$2:$C$1833,$R65,Data!$D$2:$D$1833,$S65,Data!$E$2:$E$1833,$E65,Data!$F$2:$F$1833,H$1,Data!$H$2:$H$1833,1)</f>
        <v>1</v>
      </c>
      <c r="I65" s="49" t="n">
        <f aca="false">COUNTIFS(Data!$B$2:$B$1833,$Q65,Data!$C$2:$C$1833,$R65,Data!$D$2:$D$1833,$S65,Data!$E$2:$E$1833,$E65,Data!$F$2:$F$1833,I$1,Data!$H$2:$H$1833,1)</f>
        <v>0</v>
      </c>
      <c r="J65" s="49" t="n">
        <f aca="false">COUNTIFS(Data!$B$2:$B$1833,$Q65,Data!$C$2:$C$1833,$R65,Data!$D$2:$D$1833,$S65,Data!$E$2:$E$1833,$E65,Data!$F$2:$F$1833,J$1,Data!$H$2:$H$1833,1)</f>
        <v>1</v>
      </c>
      <c r="K65" s="49" t="n">
        <f aca="false">COUNTIFS(Data!$B$2:$B$1833,$Q65,Data!$C$2:$C$1833,$R65,Data!$D$2:$D$1833,$S65,Data!$E$2:$E$1833,$E65,Data!$F$2:$F$1833,K$1,Data!$H$2:$H$1833,1)</f>
        <v>1</v>
      </c>
      <c r="L65" s="49" t="n">
        <f aca="false">COUNTIFS(Data!$B$2:$B$1833,$Q65,Data!$C$2:$C$1833,$R65,Data!$D$2:$D$1833,$S65,Data!$E$2:$E$1833,$E65,Data!$F$2:$F$1833,L$1,Data!$H$2:$H$1833,1)</f>
        <v>1</v>
      </c>
      <c r="M65" s="49" t="n">
        <f aca="false">COUNTIFS(Data!$B$2:$B$1833,$Q65,Data!$C$2:$C$1833,$R65,Data!$D$2:$D$1833,$S65,Data!$E$2:$E$1833,$E65,Data!$F$2:$F$1833,M$1,Data!$H$2:$H$1833,1)</f>
        <v>2</v>
      </c>
      <c r="N65" s="49" t="n">
        <f aca="false">COUNTIFS(Data!$B$2:$B$1833,$Q65,Data!$C$2:$C$1833,$R65,Data!$D$2:$D$1833,$S65,Data!$E$2:$E$1833,$E65,Data!$F$2:$F$1833,N$1,Data!$H$2:$H$1833,1)</f>
        <v>3</v>
      </c>
      <c r="O65" s="49" t="n">
        <f aca="false">COUNTIFS(Data!$B$2:$B$1833,$Q65,Data!$C$2:$C$1833,$R65,Data!$D$2:$D$1833,$S65,Data!$E$2:$E$1833,$E65,Data!$F$2:$F$1833,O$1,Data!$H$2:$H$1833,1)</f>
        <v>1</v>
      </c>
      <c r="P65" s="49" t="n">
        <f aca="false">SUM(F65:O65)</f>
        <v>10</v>
      </c>
      <c r="Q65" s="50" t="s">
        <v>396</v>
      </c>
      <c r="R65" s="50" t="s">
        <v>1123</v>
      </c>
      <c r="S65" s="50" t="s">
        <v>1397</v>
      </c>
    </row>
    <row r="66" customFormat="false" ht="15" hidden="false" customHeight="true" outlineLevel="0" collapsed="false">
      <c r="A66" s="49" t="str">
        <f aca="false">IFERROR(INDEX(対訳マスタ!$C$2:$C$136,MATCH($Q66,対訳マスタ!$B$2:$B$136,0)),$Q66)</f>
        <v>コミュニケーション言語方略</v>
      </c>
      <c r="B66" s="49" t="str">
        <f aca="false">IF($R66="—","—",IFERROR(INDEX(対訳マスタ!$C$2:$C$136,MATCH($R66,対訳マスタ!$B$2:$B$136,0)),$R66))</f>
        <v>仲介</v>
      </c>
      <c r="C66" s="49" t="str">
        <f aca="false">IF($S66="—","—",IFERROR(INDEX(対訳マスタ!$C$2:$C$136,MATCH($S66,対訳マスタ!$B$2:$B$136,0)),$S66))</f>
        <v>新しい概念を説明する方略</v>
      </c>
      <c r="D66" s="49" t="str">
        <f aca="false">IFERROR(INDEX(対訳マスタ!$C$2:$C$136,MATCH($E66,対訳マスタ!$B$2:$B$136,0)),$E66)</f>
        <v>複雑な情報の分解</v>
      </c>
      <c r="E66" s="50" t="s">
        <v>1417</v>
      </c>
      <c r="F66" s="49" t="n">
        <f aca="false">COUNTIFS(Data!$B$2:$B$1833,$Q66,Data!$C$2:$C$1833,$R66,Data!$D$2:$D$1833,$S66,Data!$E$2:$E$1833,$E66,Data!$F$2:$F$1833,F$1,Data!$H$2:$H$1833,1)</f>
        <v>0</v>
      </c>
      <c r="G66" s="49" t="n">
        <f aca="false">COUNTIFS(Data!$B$2:$B$1833,$Q66,Data!$C$2:$C$1833,$R66,Data!$D$2:$D$1833,$S66,Data!$E$2:$E$1833,$E66,Data!$F$2:$F$1833,G$1,Data!$H$2:$H$1833,1)</f>
        <v>0</v>
      </c>
      <c r="H66" s="49" t="n">
        <f aca="false">COUNTIFS(Data!$B$2:$B$1833,$Q66,Data!$C$2:$C$1833,$R66,Data!$D$2:$D$1833,$S66,Data!$E$2:$E$1833,$E66,Data!$F$2:$F$1833,H$1,Data!$H$2:$H$1833,1)</f>
        <v>0</v>
      </c>
      <c r="I66" s="49" t="n">
        <f aca="false">COUNTIFS(Data!$B$2:$B$1833,$Q66,Data!$C$2:$C$1833,$R66,Data!$D$2:$D$1833,$S66,Data!$E$2:$E$1833,$E66,Data!$F$2:$F$1833,I$1,Data!$H$2:$H$1833,1)</f>
        <v>0</v>
      </c>
      <c r="J66" s="49" t="n">
        <f aca="false">COUNTIFS(Data!$B$2:$B$1833,$Q66,Data!$C$2:$C$1833,$R66,Data!$D$2:$D$1833,$S66,Data!$E$2:$E$1833,$E66,Data!$F$2:$F$1833,J$1,Data!$H$2:$H$1833,1)</f>
        <v>1</v>
      </c>
      <c r="K66" s="49" t="n">
        <f aca="false">COUNTIFS(Data!$B$2:$B$1833,$Q66,Data!$C$2:$C$1833,$R66,Data!$D$2:$D$1833,$S66,Data!$E$2:$E$1833,$E66,Data!$F$2:$F$1833,K$1,Data!$H$2:$H$1833,1)</f>
        <v>1</v>
      </c>
      <c r="L66" s="49" t="n">
        <f aca="false">COUNTIFS(Data!$B$2:$B$1833,$Q66,Data!$C$2:$C$1833,$R66,Data!$D$2:$D$1833,$S66,Data!$E$2:$E$1833,$E66,Data!$F$2:$F$1833,L$1,Data!$H$2:$H$1833,1)</f>
        <v>1</v>
      </c>
      <c r="M66" s="49" t="n">
        <f aca="false">COUNTIFS(Data!$B$2:$B$1833,$Q66,Data!$C$2:$C$1833,$R66,Data!$D$2:$D$1833,$S66,Data!$E$2:$E$1833,$E66,Data!$F$2:$F$1833,M$1,Data!$H$2:$H$1833,1)</f>
        <v>1</v>
      </c>
      <c r="N66" s="49" t="n">
        <f aca="false">COUNTIFS(Data!$B$2:$B$1833,$Q66,Data!$C$2:$C$1833,$R66,Data!$D$2:$D$1833,$S66,Data!$E$2:$E$1833,$E66,Data!$F$2:$F$1833,N$1,Data!$H$2:$H$1833,1)</f>
        <v>1</v>
      </c>
      <c r="O66" s="49" t="n">
        <f aca="false">COUNTIFS(Data!$B$2:$B$1833,$Q66,Data!$C$2:$C$1833,$R66,Data!$D$2:$D$1833,$S66,Data!$E$2:$E$1833,$E66,Data!$F$2:$F$1833,O$1,Data!$H$2:$H$1833,1)</f>
        <v>1</v>
      </c>
      <c r="P66" s="49" t="n">
        <f aca="false">SUM(F66:O66)</f>
        <v>6</v>
      </c>
      <c r="Q66" s="50" t="s">
        <v>396</v>
      </c>
      <c r="R66" s="50" t="s">
        <v>1123</v>
      </c>
      <c r="S66" s="50" t="s">
        <v>1397</v>
      </c>
    </row>
    <row r="67" customFormat="false" ht="15" hidden="false" customHeight="true" outlineLevel="0" collapsed="false">
      <c r="A67" s="49" t="str">
        <f aca="false">IFERROR(INDEX(対訳マスタ!$C$2:$C$136,MATCH($Q67,対訳マスタ!$B$2:$B$136,0)),$Q67)</f>
        <v>コミュニケーション言語方略</v>
      </c>
      <c r="B67" s="49" t="str">
        <f aca="false">IF($R67="—","—",IFERROR(INDEX(対訳マスタ!$C$2:$C$136,MATCH($R67,対訳マスタ!$B$2:$B$136,0)),$R67))</f>
        <v>仲介</v>
      </c>
      <c r="C67" s="49" t="str">
        <f aca="false">IF($S67="—","—",IFERROR(INDEX(対訳マスタ!$C$2:$C$136,MATCH($S67,対訳マスタ!$B$2:$B$136,0)),$S67))</f>
        <v>テキストを簡略化する方略</v>
      </c>
      <c r="D67" s="49" t="str">
        <f aca="false">IFERROR(INDEX(対訳マスタ!$C$2:$C$136,MATCH($E67,対訳マスタ!$B$2:$B$136,0)),$E67)</f>
        <v>密度の高いテキストの展開・補足</v>
      </c>
      <c r="E67" s="50" t="s">
        <v>1425</v>
      </c>
      <c r="F67" s="49" t="n">
        <f aca="false">COUNTIFS(Data!$B$2:$B$1833,$Q67,Data!$C$2:$C$1833,$R67,Data!$D$2:$D$1833,$S67,Data!$E$2:$E$1833,$E67,Data!$F$2:$F$1833,F$1,Data!$H$2:$H$1833,1)</f>
        <v>0</v>
      </c>
      <c r="G67" s="49" t="n">
        <f aca="false">COUNTIFS(Data!$B$2:$B$1833,$Q67,Data!$C$2:$C$1833,$R67,Data!$D$2:$D$1833,$S67,Data!$E$2:$E$1833,$E67,Data!$F$2:$F$1833,G$1,Data!$H$2:$H$1833,1)</f>
        <v>0</v>
      </c>
      <c r="H67" s="49" t="n">
        <f aca="false">COUNTIFS(Data!$B$2:$B$1833,$Q67,Data!$C$2:$C$1833,$R67,Data!$D$2:$D$1833,$S67,Data!$E$2:$E$1833,$E67,Data!$F$2:$F$1833,H$1,Data!$H$2:$H$1833,1)</f>
        <v>0</v>
      </c>
      <c r="I67" s="49" t="n">
        <f aca="false">COUNTIFS(Data!$B$2:$B$1833,$Q67,Data!$C$2:$C$1833,$R67,Data!$D$2:$D$1833,$S67,Data!$E$2:$E$1833,$E67,Data!$F$2:$F$1833,I$1,Data!$H$2:$H$1833,1)</f>
        <v>0</v>
      </c>
      <c r="J67" s="49" t="n">
        <f aca="false">COUNTIFS(Data!$B$2:$B$1833,$Q67,Data!$C$2:$C$1833,$R67,Data!$D$2:$D$1833,$S67,Data!$E$2:$E$1833,$E67,Data!$F$2:$F$1833,J$1,Data!$H$2:$H$1833,1)</f>
        <v>1</v>
      </c>
      <c r="K67" s="49" t="n">
        <f aca="false">COUNTIFS(Data!$B$2:$B$1833,$Q67,Data!$C$2:$C$1833,$R67,Data!$D$2:$D$1833,$S67,Data!$E$2:$E$1833,$E67,Data!$F$2:$F$1833,K$1,Data!$H$2:$H$1833,1)</f>
        <v>1</v>
      </c>
      <c r="L67" s="49" t="n">
        <f aca="false">COUNTIFS(Data!$B$2:$B$1833,$Q67,Data!$C$2:$C$1833,$R67,Data!$D$2:$D$1833,$S67,Data!$E$2:$E$1833,$E67,Data!$F$2:$F$1833,L$1,Data!$H$2:$H$1833,1)</f>
        <v>2</v>
      </c>
      <c r="M67" s="49" t="n">
        <f aca="false">COUNTIFS(Data!$B$2:$B$1833,$Q67,Data!$C$2:$C$1833,$R67,Data!$D$2:$D$1833,$S67,Data!$E$2:$E$1833,$E67,Data!$F$2:$F$1833,M$1,Data!$H$2:$H$1833,1)</f>
        <v>1</v>
      </c>
      <c r="N67" s="49" t="n">
        <f aca="false">COUNTIFS(Data!$B$2:$B$1833,$Q67,Data!$C$2:$C$1833,$R67,Data!$D$2:$D$1833,$S67,Data!$E$2:$E$1833,$E67,Data!$F$2:$F$1833,N$1,Data!$H$2:$H$1833,1)</f>
        <v>2</v>
      </c>
      <c r="O67" s="49" t="n">
        <f aca="false">COUNTIFS(Data!$B$2:$B$1833,$Q67,Data!$C$2:$C$1833,$R67,Data!$D$2:$D$1833,$S67,Data!$E$2:$E$1833,$E67,Data!$F$2:$F$1833,O$1,Data!$H$2:$H$1833,1)</f>
        <v>1</v>
      </c>
      <c r="P67" s="49" t="n">
        <f aca="false">SUM(F67:O67)</f>
        <v>8</v>
      </c>
      <c r="Q67" s="50" t="s">
        <v>396</v>
      </c>
      <c r="R67" s="50" t="s">
        <v>1123</v>
      </c>
      <c r="S67" s="50" t="s">
        <v>1424</v>
      </c>
    </row>
    <row r="68" customFormat="false" ht="15" hidden="false" customHeight="true" outlineLevel="0" collapsed="false">
      <c r="A68" s="49" t="str">
        <f aca="false">IFERROR(INDEX(対訳マスタ!$C$2:$C$136,MATCH($Q68,対訳マスタ!$B$2:$B$136,0)),$Q68)</f>
        <v>コミュニケーション言語方略</v>
      </c>
      <c r="B68" s="49" t="str">
        <f aca="false">IF($R68="—","—",IFERROR(INDEX(対訳マスタ!$C$2:$C$136,MATCH($R68,対訳マスタ!$B$2:$B$136,0)),$R68))</f>
        <v>仲介</v>
      </c>
      <c r="C68" s="49" t="str">
        <f aca="false">IF($S68="—","—",IFERROR(INDEX(対訳マスタ!$C$2:$C$136,MATCH($S68,対訳マスタ!$B$2:$B$136,0)),$S68))</f>
        <v>テキストを簡略化する方略</v>
      </c>
      <c r="D68" s="49" t="str">
        <f aca="false">IFERROR(INDEX(対訳マスタ!$C$2:$C$136,MATCH($E68,対訳マスタ!$B$2:$B$136,0)),$E68)</f>
        <v>テキストの整理・簡素化</v>
      </c>
      <c r="E68" s="50" t="s">
        <v>1434</v>
      </c>
      <c r="F68" s="49" t="n">
        <f aca="false">COUNTIFS(Data!$B$2:$B$1833,$Q68,Data!$C$2:$C$1833,$R68,Data!$D$2:$D$1833,$S68,Data!$E$2:$E$1833,$E68,Data!$F$2:$F$1833,F$1,Data!$H$2:$H$1833,1)</f>
        <v>0</v>
      </c>
      <c r="G68" s="49" t="n">
        <f aca="false">COUNTIFS(Data!$B$2:$B$1833,$Q68,Data!$C$2:$C$1833,$R68,Data!$D$2:$D$1833,$S68,Data!$E$2:$E$1833,$E68,Data!$F$2:$F$1833,G$1,Data!$H$2:$H$1833,1)</f>
        <v>0</v>
      </c>
      <c r="H68" s="49" t="n">
        <f aca="false">COUNTIFS(Data!$B$2:$B$1833,$Q68,Data!$C$2:$C$1833,$R68,Data!$D$2:$D$1833,$S68,Data!$E$2:$E$1833,$E68,Data!$F$2:$F$1833,H$1,Data!$H$2:$H$1833,1)</f>
        <v>1</v>
      </c>
      <c r="I68" s="49" t="n">
        <f aca="false">COUNTIFS(Data!$B$2:$B$1833,$Q68,Data!$C$2:$C$1833,$R68,Data!$D$2:$D$1833,$S68,Data!$E$2:$E$1833,$E68,Data!$F$2:$F$1833,I$1,Data!$H$2:$H$1833,1)</f>
        <v>0</v>
      </c>
      <c r="J68" s="49" t="n">
        <f aca="false">COUNTIFS(Data!$B$2:$B$1833,$Q68,Data!$C$2:$C$1833,$R68,Data!$D$2:$D$1833,$S68,Data!$E$2:$E$1833,$E68,Data!$F$2:$F$1833,J$1,Data!$H$2:$H$1833,1)</f>
        <v>1</v>
      </c>
      <c r="K68" s="49" t="n">
        <f aca="false">COUNTIFS(Data!$B$2:$B$1833,$Q68,Data!$C$2:$C$1833,$R68,Data!$D$2:$D$1833,$S68,Data!$E$2:$E$1833,$E68,Data!$F$2:$F$1833,K$1,Data!$H$2:$H$1833,1)</f>
        <v>0</v>
      </c>
      <c r="L68" s="49" t="n">
        <f aca="false">COUNTIFS(Data!$B$2:$B$1833,$Q68,Data!$C$2:$C$1833,$R68,Data!$D$2:$D$1833,$S68,Data!$E$2:$E$1833,$E68,Data!$F$2:$F$1833,L$1,Data!$H$2:$H$1833,1)</f>
        <v>2</v>
      </c>
      <c r="M68" s="49" t="n">
        <f aca="false">COUNTIFS(Data!$B$2:$B$1833,$Q68,Data!$C$2:$C$1833,$R68,Data!$D$2:$D$1833,$S68,Data!$E$2:$E$1833,$E68,Data!$F$2:$F$1833,M$1,Data!$H$2:$H$1833,1)</f>
        <v>1</v>
      </c>
      <c r="N68" s="49" t="n">
        <f aca="false">COUNTIFS(Data!$B$2:$B$1833,$Q68,Data!$C$2:$C$1833,$R68,Data!$D$2:$D$1833,$S68,Data!$E$2:$E$1833,$E68,Data!$F$2:$F$1833,N$1,Data!$H$2:$H$1833,1)</f>
        <v>1</v>
      </c>
      <c r="O68" s="49" t="n">
        <f aca="false">COUNTIFS(Data!$B$2:$B$1833,$Q68,Data!$C$2:$C$1833,$R68,Data!$D$2:$D$1833,$S68,Data!$E$2:$E$1833,$E68,Data!$F$2:$F$1833,O$1,Data!$H$2:$H$1833,1)</f>
        <v>1</v>
      </c>
      <c r="P68" s="49" t="n">
        <f aca="false">SUM(F68:O68)</f>
        <v>7</v>
      </c>
      <c r="Q68" s="50" t="s">
        <v>396</v>
      </c>
      <c r="R68" s="50" t="s">
        <v>1123</v>
      </c>
      <c r="S68" s="50" t="s">
        <v>1424</v>
      </c>
    </row>
    <row r="69" customFormat="false" ht="15" hidden="false" customHeight="true" outlineLevel="0" collapsed="false">
      <c r="A69" s="49" t="str">
        <f aca="false">IFERROR(INDEX(対訳マスタ!$C$2:$C$136,MATCH($Q69,対訳マスタ!$B$2:$B$136,0)),$Q69)</f>
        <v>複言語・複文化能力</v>
      </c>
      <c r="B69" s="49" t="str">
        <f aca="false">IF($R69="—","—",IFERROR(INDEX(対訳マスタ!$C$2:$C$136,MATCH($R69,対訳マスタ!$B$2:$B$136,0)),$R69))</f>
        <v>—</v>
      </c>
      <c r="C69" s="49" t="str">
        <f aca="false">IF($S69="—","—",IFERROR(INDEX(対訳マスタ!$C$2:$C$136,MATCH($S69,対訳マスタ!$B$2:$B$136,0)),$S69))</f>
        <v>—</v>
      </c>
      <c r="D69" s="49" t="str">
        <f aca="false">IFERROR(INDEX(対訳マスタ!$C$2:$C$136,MATCH($E69,対訳マスタ!$B$2:$B$136,0)),$E69)</f>
        <v>複文化レパートリーの活用</v>
      </c>
      <c r="E69" s="50" t="s">
        <v>1442</v>
      </c>
      <c r="F69" s="49" t="n">
        <f aca="false">COUNTIFS(Data!$B$2:$B$1833,$Q69,Data!$C$2:$C$1833,$R69,Data!$D$2:$D$1833,$S69,Data!$E$2:$E$1833,$E69,Data!$F$2:$F$1833,F$1,Data!$H$2:$H$1833,1)</f>
        <v>0</v>
      </c>
      <c r="G69" s="49" t="n">
        <f aca="false">COUNTIFS(Data!$B$2:$B$1833,$Q69,Data!$C$2:$C$1833,$R69,Data!$D$2:$D$1833,$S69,Data!$E$2:$E$1833,$E69,Data!$F$2:$F$1833,G$1,Data!$H$2:$H$1833,1)</f>
        <v>1</v>
      </c>
      <c r="H69" s="49" t="n">
        <f aca="false">COUNTIFS(Data!$B$2:$B$1833,$Q69,Data!$C$2:$C$1833,$R69,Data!$D$2:$D$1833,$S69,Data!$E$2:$E$1833,$E69,Data!$F$2:$F$1833,H$1,Data!$H$2:$H$1833,1)</f>
        <v>4</v>
      </c>
      <c r="I69" s="49" t="n">
        <f aca="false">COUNTIFS(Data!$B$2:$B$1833,$Q69,Data!$C$2:$C$1833,$R69,Data!$D$2:$D$1833,$S69,Data!$E$2:$E$1833,$E69,Data!$F$2:$F$1833,I$1,Data!$H$2:$H$1833,1)</f>
        <v>0</v>
      </c>
      <c r="J69" s="49" t="n">
        <f aca="false">COUNTIFS(Data!$B$2:$B$1833,$Q69,Data!$C$2:$C$1833,$R69,Data!$D$2:$D$1833,$S69,Data!$E$2:$E$1833,$E69,Data!$F$2:$F$1833,J$1,Data!$H$2:$H$1833,1)</f>
        <v>6</v>
      </c>
      <c r="K69" s="49" t="n">
        <f aca="false">COUNTIFS(Data!$B$2:$B$1833,$Q69,Data!$C$2:$C$1833,$R69,Data!$D$2:$D$1833,$S69,Data!$E$2:$E$1833,$E69,Data!$F$2:$F$1833,K$1,Data!$H$2:$H$1833,1)</f>
        <v>0</v>
      </c>
      <c r="L69" s="49" t="n">
        <f aca="false">COUNTIFS(Data!$B$2:$B$1833,$Q69,Data!$C$2:$C$1833,$R69,Data!$D$2:$D$1833,$S69,Data!$E$2:$E$1833,$E69,Data!$F$2:$F$1833,L$1,Data!$H$2:$H$1833,1)</f>
        <v>8</v>
      </c>
      <c r="M69" s="49" t="n">
        <f aca="false">COUNTIFS(Data!$B$2:$B$1833,$Q69,Data!$C$2:$C$1833,$R69,Data!$D$2:$D$1833,$S69,Data!$E$2:$E$1833,$E69,Data!$F$2:$F$1833,M$1,Data!$H$2:$H$1833,1)</f>
        <v>0</v>
      </c>
      <c r="N69" s="49" t="n">
        <f aca="false">COUNTIFS(Data!$B$2:$B$1833,$Q69,Data!$C$2:$C$1833,$R69,Data!$D$2:$D$1833,$S69,Data!$E$2:$E$1833,$E69,Data!$F$2:$F$1833,N$1,Data!$H$2:$H$1833,1)</f>
        <v>3</v>
      </c>
      <c r="O69" s="49" t="n">
        <f aca="false">COUNTIFS(Data!$B$2:$B$1833,$Q69,Data!$C$2:$C$1833,$R69,Data!$D$2:$D$1833,$S69,Data!$E$2:$E$1833,$E69,Data!$F$2:$F$1833,O$1,Data!$H$2:$H$1833,1)</f>
        <v>1</v>
      </c>
      <c r="P69" s="49" t="n">
        <f aca="false">SUM(F69:O69)</f>
        <v>23</v>
      </c>
      <c r="Q69" s="50" t="s">
        <v>398</v>
      </c>
      <c r="R69" s="50" t="s">
        <v>624</v>
      </c>
      <c r="S69" s="50" t="s">
        <v>624</v>
      </c>
    </row>
    <row r="70" customFormat="false" ht="15" hidden="false" customHeight="true" outlineLevel="0" collapsed="false">
      <c r="A70" s="49" t="str">
        <f aca="false">IFERROR(INDEX(対訳マスタ!$C$2:$C$136,MATCH($Q70,対訳マスタ!$B$2:$B$136,0)),$Q70)</f>
        <v>複言語・複文化能力</v>
      </c>
      <c r="B70" s="49" t="str">
        <f aca="false">IF($R70="—","—",IFERROR(INDEX(対訳マスタ!$C$2:$C$136,MATCH($R70,対訳マスタ!$B$2:$B$136,0)),$R70))</f>
        <v>—</v>
      </c>
      <c r="C70" s="49" t="str">
        <f aca="false">IF($S70="—","—",IFERROR(INDEX(対訳マスタ!$C$2:$C$136,MATCH($S70,対訳マスタ!$B$2:$B$136,0)),$S70))</f>
        <v>—</v>
      </c>
      <c r="D70" s="49" t="str">
        <f aca="false">IFERROR(INDEX(対訳マスタ!$C$2:$C$136,MATCH($E70,対訳マスタ!$B$2:$B$136,0)),$E70)</f>
        <v>複言語理解</v>
      </c>
      <c r="E70" s="50" t="s">
        <v>1466</v>
      </c>
      <c r="F70" s="49" t="n">
        <f aca="false">COUNTIFS(Data!$B$2:$B$1833,$Q70,Data!$C$2:$C$1833,$R70,Data!$D$2:$D$1833,$S70,Data!$E$2:$E$1833,$E70,Data!$F$2:$F$1833,F$1,Data!$H$2:$H$1833,1)</f>
        <v>0</v>
      </c>
      <c r="G70" s="49" t="n">
        <f aca="false">COUNTIFS(Data!$B$2:$B$1833,$Q70,Data!$C$2:$C$1833,$R70,Data!$D$2:$D$1833,$S70,Data!$E$2:$E$1833,$E70,Data!$F$2:$F$1833,G$1,Data!$H$2:$H$1833,1)</f>
        <v>1</v>
      </c>
      <c r="H70" s="49" t="n">
        <f aca="false">COUNTIFS(Data!$B$2:$B$1833,$Q70,Data!$C$2:$C$1833,$R70,Data!$D$2:$D$1833,$S70,Data!$E$2:$E$1833,$E70,Data!$F$2:$F$1833,H$1,Data!$H$2:$H$1833,1)</f>
        <v>3</v>
      </c>
      <c r="I70" s="49" t="n">
        <f aca="false">COUNTIFS(Data!$B$2:$B$1833,$Q70,Data!$C$2:$C$1833,$R70,Data!$D$2:$D$1833,$S70,Data!$E$2:$E$1833,$E70,Data!$F$2:$F$1833,I$1,Data!$H$2:$H$1833,1)</f>
        <v>0</v>
      </c>
      <c r="J70" s="49" t="n">
        <f aca="false">COUNTIFS(Data!$B$2:$B$1833,$Q70,Data!$C$2:$C$1833,$R70,Data!$D$2:$D$1833,$S70,Data!$E$2:$E$1833,$E70,Data!$F$2:$F$1833,J$1,Data!$H$2:$H$1833,1)</f>
        <v>6</v>
      </c>
      <c r="K70" s="49" t="n">
        <f aca="false">COUNTIFS(Data!$B$2:$B$1833,$Q70,Data!$C$2:$C$1833,$R70,Data!$D$2:$D$1833,$S70,Data!$E$2:$E$1833,$E70,Data!$F$2:$F$1833,K$1,Data!$H$2:$H$1833,1)</f>
        <v>0</v>
      </c>
      <c r="L70" s="49" t="n">
        <f aca="false">COUNTIFS(Data!$B$2:$B$1833,$Q70,Data!$C$2:$C$1833,$R70,Data!$D$2:$D$1833,$S70,Data!$E$2:$E$1833,$E70,Data!$F$2:$F$1833,L$1,Data!$H$2:$H$1833,1)</f>
        <v>1</v>
      </c>
      <c r="M70" s="49" t="n">
        <f aca="false">COUNTIFS(Data!$B$2:$B$1833,$Q70,Data!$C$2:$C$1833,$R70,Data!$D$2:$D$1833,$S70,Data!$E$2:$E$1833,$E70,Data!$F$2:$F$1833,M$1,Data!$H$2:$H$1833,1)</f>
        <v>0</v>
      </c>
      <c r="N70" s="49" t="n">
        <f aca="false">COUNTIFS(Data!$B$2:$B$1833,$Q70,Data!$C$2:$C$1833,$R70,Data!$D$2:$D$1833,$S70,Data!$E$2:$E$1833,$E70,Data!$F$2:$F$1833,N$1,Data!$H$2:$H$1833,1)</f>
        <v>0</v>
      </c>
      <c r="O70" s="49" t="n">
        <f aca="false">COUNTIFS(Data!$B$2:$B$1833,$Q70,Data!$C$2:$C$1833,$R70,Data!$D$2:$D$1833,$S70,Data!$E$2:$E$1833,$E70,Data!$F$2:$F$1833,O$1,Data!$H$2:$H$1833,1)</f>
        <v>0</v>
      </c>
      <c r="P70" s="49" t="n">
        <f aca="false">SUM(F70:O70)</f>
        <v>11</v>
      </c>
      <c r="Q70" s="50" t="s">
        <v>398</v>
      </c>
      <c r="R70" s="50" t="s">
        <v>624</v>
      </c>
      <c r="S70" s="50" t="s">
        <v>624</v>
      </c>
    </row>
    <row r="71" customFormat="false" ht="15" hidden="false" customHeight="true" outlineLevel="0" collapsed="false">
      <c r="A71" s="49" t="str">
        <f aca="false">IFERROR(INDEX(対訳マスタ!$C$2:$C$136,MATCH($Q71,対訳マスタ!$B$2:$B$136,0)),$Q71)</f>
        <v>複言語・複文化能力</v>
      </c>
      <c r="B71" s="49" t="str">
        <f aca="false">IF($R71="—","—",IFERROR(INDEX(対訳マスタ!$C$2:$C$136,MATCH($R71,対訳マスタ!$B$2:$B$136,0)),$R71))</f>
        <v>—</v>
      </c>
      <c r="C71" s="49" t="str">
        <f aca="false">IF($S71="—","—",IFERROR(INDEX(対訳マスタ!$C$2:$C$136,MATCH($S71,対訳マスタ!$B$2:$B$136,0)),$S71))</f>
        <v>—</v>
      </c>
      <c r="D71" s="49" t="str">
        <f aca="false">IFERROR(INDEX(対訳マスタ!$C$2:$C$136,MATCH($E71,対訳マスタ!$B$2:$B$136,0)),$E71)</f>
        <v>複言語レパートリーの活用</v>
      </c>
      <c r="E71" s="50" t="s">
        <v>1478</v>
      </c>
      <c r="F71" s="49" t="n">
        <f aca="false">COUNTIFS(Data!$B$2:$B$1833,$Q71,Data!$C$2:$C$1833,$R71,Data!$D$2:$D$1833,$S71,Data!$E$2:$E$1833,$E71,Data!$F$2:$F$1833,F$1,Data!$H$2:$H$1833,1)</f>
        <v>0</v>
      </c>
      <c r="G71" s="49" t="n">
        <f aca="false">COUNTIFS(Data!$B$2:$B$1833,$Q71,Data!$C$2:$C$1833,$R71,Data!$D$2:$D$1833,$S71,Data!$E$2:$E$1833,$E71,Data!$F$2:$F$1833,G$1,Data!$H$2:$H$1833,1)</f>
        <v>1</v>
      </c>
      <c r="H71" s="49" t="n">
        <f aca="false">COUNTIFS(Data!$B$2:$B$1833,$Q71,Data!$C$2:$C$1833,$R71,Data!$D$2:$D$1833,$S71,Data!$E$2:$E$1833,$E71,Data!$F$2:$F$1833,H$1,Data!$H$2:$H$1833,1)</f>
        <v>3</v>
      </c>
      <c r="I71" s="49" t="n">
        <f aca="false">COUNTIFS(Data!$B$2:$B$1833,$Q71,Data!$C$2:$C$1833,$R71,Data!$D$2:$D$1833,$S71,Data!$E$2:$E$1833,$E71,Data!$F$2:$F$1833,I$1,Data!$H$2:$H$1833,1)</f>
        <v>0</v>
      </c>
      <c r="J71" s="49" t="n">
        <f aca="false">COUNTIFS(Data!$B$2:$B$1833,$Q71,Data!$C$2:$C$1833,$R71,Data!$D$2:$D$1833,$S71,Data!$E$2:$E$1833,$E71,Data!$F$2:$F$1833,J$1,Data!$H$2:$H$1833,1)</f>
        <v>1</v>
      </c>
      <c r="K71" s="49" t="n">
        <f aca="false">COUNTIFS(Data!$B$2:$B$1833,$Q71,Data!$C$2:$C$1833,$R71,Data!$D$2:$D$1833,$S71,Data!$E$2:$E$1833,$E71,Data!$F$2:$F$1833,K$1,Data!$H$2:$H$1833,1)</f>
        <v>0</v>
      </c>
      <c r="L71" s="49" t="n">
        <f aca="false">COUNTIFS(Data!$B$2:$B$1833,$Q71,Data!$C$2:$C$1833,$R71,Data!$D$2:$D$1833,$S71,Data!$E$2:$E$1833,$E71,Data!$F$2:$F$1833,L$1,Data!$H$2:$H$1833,1)</f>
        <v>6</v>
      </c>
      <c r="M71" s="49" t="n">
        <f aca="false">COUNTIFS(Data!$B$2:$B$1833,$Q71,Data!$C$2:$C$1833,$R71,Data!$D$2:$D$1833,$S71,Data!$E$2:$E$1833,$E71,Data!$F$2:$F$1833,M$1,Data!$H$2:$H$1833,1)</f>
        <v>0</v>
      </c>
      <c r="N71" s="49" t="n">
        <f aca="false">COUNTIFS(Data!$B$2:$B$1833,$Q71,Data!$C$2:$C$1833,$R71,Data!$D$2:$D$1833,$S71,Data!$E$2:$E$1833,$E71,Data!$F$2:$F$1833,N$1,Data!$H$2:$H$1833,1)</f>
        <v>5</v>
      </c>
      <c r="O71" s="49" t="n">
        <f aca="false">COUNTIFS(Data!$B$2:$B$1833,$Q71,Data!$C$2:$C$1833,$R71,Data!$D$2:$D$1833,$S71,Data!$E$2:$E$1833,$E71,Data!$F$2:$F$1833,O$1,Data!$H$2:$H$1833,1)</f>
        <v>2</v>
      </c>
      <c r="P71" s="49" t="n">
        <f aca="false">SUM(F71:O71)</f>
        <v>18</v>
      </c>
      <c r="Q71" s="50" t="s">
        <v>398</v>
      </c>
      <c r="R71" s="50" t="s">
        <v>624</v>
      </c>
      <c r="S71" s="50" t="s">
        <v>624</v>
      </c>
    </row>
    <row r="72" customFormat="false" ht="15" hidden="false" customHeight="true" outlineLevel="0" collapsed="false">
      <c r="A72" s="49" t="str">
        <f aca="false">IFERROR(INDEX(対訳マスタ!$C$2:$C$136,MATCH($Q72,対訳マスタ!$B$2:$B$136,0)),$Q72)</f>
        <v>コミュニケーション言語能力</v>
      </c>
      <c r="B72" s="49" t="str">
        <f aca="false">IF($R72="—","—",IFERROR(INDEX(対訳マスタ!$C$2:$C$136,MATCH($R72,対訳マスタ!$B$2:$B$136,0)),$R72))</f>
        <v>—</v>
      </c>
      <c r="C72" s="49" t="str">
        <f aca="false">IF($S72="—","—",IFERROR(INDEX(対訳マスタ!$C$2:$C$136,MATCH($S72,対訳マスタ!$B$2:$B$136,0)),$S72))</f>
        <v>言語能力</v>
      </c>
      <c r="D72" s="49" t="str">
        <f aca="false">IFERROR(INDEX(対訳マスタ!$C$2:$C$136,MATCH($E72,対訳マスタ!$B$2:$B$136,0)),$E72)</f>
        <v>言語レパートリー全般の幅</v>
      </c>
      <c r="E72" s="50" t="s">
        <v>1498</v>
      </c>
      <c r="F72" s="49" t="n">
        <f aca="false">COUNTIFS(Data!$B$2:$B$1833,$Q72,Data!$C$2:$C$1833,$R72,Data!$D$2:$D$1833,$S72,Data!$E$2:$E$1833,$E72,Data!$F$2:$F$1833,F$1,Data!$H$2:$H$1833,1)</f>
        <v>1</v>
      </c>
      <c r="G72" s="49" t="n">
        <f aca="false">COUNTIFS(Data!$B$2:$B$1833,$Q72,Data!$C$2:$C$1833,$R72,Data!$D$2:$D$1833,$S72,Data!$E$2:$E$1833,$E72,Data!$F$2:$F$1833,G$1,Data!$H$2:$H$1833,1)</f>
        <v>2</v>
      </c>
      <c r="H72" s="49" t="n">
        <f aca="false">COUNTIFS(Data!$B$2:$B$1833,$Q72,Data!$C$2:$C$1833,$R72,Data!$D$2:$D$1833,$S72,Data!$E$2:$E$1833,$E72,Data!$F$2:$F$1833,H$1,Data!$H$2:$H$1833,1)</f>
        <v>3</v>
      </c>
      <c r="I72" s="49" t="n">
        <f aca="false">COUNTIFS(Data!$B$2:$B$1833,$Q72,Data!$C$2:$C$1833,$R72,Data!$D$2:$D$1833,$S72,Data!$E$2:$E$1833,$E72,Data!$F$2:$F$1833,I$1,Data!$H$2:$H$1833,1)</f>
        <v>1</v>
      </c>
      <c r="J72" s="49" t="n">
        <f aca="false">COUNTIFS(Data!$B$2:$B$1833,$Q72,Data!$C$2:$C$1833,$R72,Data!$D$2:$D$1833,$S72,Data!$E$2:$E$1833,$E72,Data!$F$2:$F$1833,J$1,Data!$H$2:$H$1833,1)</f>
        <v>1</v>
      </c>
      <c r="K72" s="49" t="n">
        <f aca="false">COUNTIFS(Data!$B$2:$B$1833,$Q72,Data!$C$2:$C$1833,$R72,Data!$D$2:$D$1833,$S72,Data!$E$2:$E$1833,$E72,Data!$F$2:$F$1833,K$1,Data!$H$2:$H$1833,1)</f>
        <v>1</v>
      </c>
      <c r="L72" s="49" t="n">
        <f aca="false">COUNTIFS(Data!$B$2:$B$1833,$Q72,Data!$C$2:$C$1833,$R72,Data!$D$2:$D$1833,$S72,Data!$E$2:$E$1833,$E72,Data!$F$2:$F$1833,L$1,Data!$H$2:$H$1833,1)</f>
        <v>1</v>
      </c>
      <c r="M72" s="49" t="n">
        <f aca="false">COUNTIFS(Data!$B$2:$B$1833,$Q72,Data!$C$2:$C$1833,$R72,Data!$D$2:$D$1833,$S72,Data!$E$2:$E$1833,$E72,Data!$F$2:$F$1833,M$1,Data!$H$2:$H$1833,1)</f>
        <v>1</v>
      </c>
      <c r="N72" s="49" t="n">
        <f aca="false">COUNTIFS(Data!$B$2:$B$1833,$Q72,Data!$C$2:$C$1833,$R72,Data!$D$2:$D$1833,$S72,Data!$E$2:$E$1833,$E72,Data!$F$2:$F$1833,N$1,Data!$H$2:$H$1833,1)</f>
        <v>2</v>
      </c>
      <c r="O72" s="49" t="n">
        <f aca="false">COUNTIFS(Data!$B$2:$B$1833,$Q72,Data!$C$2:$C$1833,$R72,Data!$D$2:$D$1833,$S72,Data!$E$2:$E$1833,$E72,Data!$F$2:$F$1833,O$1,Data!$H$2:$H$1833,1)</f>
        <v>1</v>
      </c>
      <c r="P72" s="49" t="n">
        <f aca="false">SUM(F72:O72)</f>
        <v>14</v>
      </c>
      <c r="Q72" s="50" t="s">
        <v>397</v>
      </c>
      <c r="R72" s="50" t="s">
        <v>624</v>
      </c>
      <c r="S72" s="50" t="s">
        <v>1497</v>
      </c>
    </row>
    <row r="73" customFormat="false" ht="15" hidden="false" customHeight="true" outlineLevel="0" collapsed="false">
      <c r="A73" s="49" t="str">
        <f aca="false">IFERROR(INDEX(対訳マスタ!$C$2:$C$136,MATCH($Q73,対訳マスタ!$B$2:$B$136,0)),$Q73)</f>
        <v>コミュニケーション言語能力</v>
      </c>
      <c r="B73" s="49" t="str">
        <f aca="false">IF($R73="—","—",IFERROR(INDEX(対訳マスタ!$C$2:$C$136,MATCH($R73,対訳マスタ!$B$2:$B$136,0)),$R73))</f>
        <v>—</v>
      </c>
      <c r="C73" s="49" t="str">
        <f aca="false">IF($S73="—","—",IFERROR(INDEX(対訳マスタ!$C$2:$C$136,MATCH($S73,対訳マスタ!$B$2:$B$136,0)),$S73))</f>
        <v>言語能力</v>
      </c>
      <c r="D73" s="49" t="str">
        <f aca="false">IFERROR(INDEX(対訳マスタ!$C$2:$C$136,MATCH($E73,対訳マスタ!$B$2:$B$136,0)),$E73)</f>
        <v>語彙の幅</v>
      </c>
      <c r="E73" s="50" t="s">
        <v>1513</v>
      </c>
      <c r="F73" s="49" t="n">
        <f aca="false">COUNTIFS(Data!$B$2:$B$1833,$Q73,Data!$C$2:$C$1833,$R73,Data!$D$2:$D$1833,$S73,Data!$E$2:$E$1833,$E73,Data!$F$2:$F$1833,F$1,Data!$H$2:$H$1833,1)</f>
        <v>0</v>
      </c>
      <c r="G73" s="49" t="n">
        <f aca="false">COUNTIFS(Data!$B$2:$B$1833,$Q73,Data!$C$2:$C$1833,$R73,Data!$D$2:$D$1833,$S73,Data!$E$2:$E$1833,$E73,Data!$F$2:$F$1833,G$1,Data!$H$2:$H$1833,1)</f>
        <v>1</v>
      </c>
      <c r="H73" s="49" t="n">
        <f aca="false">COUNTIFS(Data!$B$2:$B$1833,$Q73,Data!$C$2:$C$1833,$R73,Data!$D$2:$D$1833,$S73,Data!$E$2:$E$1833,$E73,Data!$F$2:$F$1833,H$1,Data!$H$2:$H$1833,1)</f>
        <v>2</v>
      </c>
      <c r="I73" s="49" t="n">
        <f aca="false">COUNTIFS(Data!$B$2:$B$1833,$Q73,Data!$C$2:$C$1833,$R73,Data!$D$2:$D$1833,$S73,Data!$E$2:$E$1833,$E73,Data!$F$2:$F$1833,I$1,Data!$H$2:$H$1833,1)</f>
        <v>1</v>
      </c>
      <c r="J73" s="49" t="n">
        <f aca="false">COUNTIFS(Data!$B$2:$B$1833,$Q73,Data!$C$2:$C$1833,$R73,Data!$D$2:$D$1833,$S73,Data!$E$2:$E$1833,$E73,Data!$F$2:$F$1833,J$1,Data!$H$2:$H$1833,1)</f>
        <v>2</v>
      </c>
      <c r="K73" s="49" t="n">
        <f aca="false">COUNTIFS(Data!$B$2:$B$1833,$Q73,Data!$C$2:$C$1833,$R73,Data!$D$2:$D$1833,$S73,Data!$E$2:$E$1833,$E73,Data!$F$2:$F$1833,K$1,Data!$H$2:$H$1833,1)</f>
        <v>0</v>
      </c>
      <c r="L73" s="49" t="n">
        <f aca="false">COUNTIFS(Data!$B$2:$B$1833,$Q73,Data!$C$2:$C$1833,$R73,Data!$D$2:$D$1833,$S73,Data!$E$2:$E$1833,$E73,Data!$F$2:$F$1833,L$1,Data!$H$2:$H$1833,1)</f>
        <v>4</v>
      </c>
      <c r="M73" s="49" t="n">
        <f aca="false">COUNTIFS(Data!$B$2:$B$1833,$Q73,Data!$C$2:$C$1833,$R73,Data!$D$2:$D$1833,$S73,Data!$E$2:$E$1833,$E73,Data!$F$2:$F$1833,M$1,Data!$H$2:$H$1833,1)</f>
        <v>1</v>
      </c>
      <c r="N73" s="49" t="n">
        <f aca="false">COUNTIFS(Data!$B$2:$B$1833,$Q73,Data!$C$2:$C$1833,$R73,Data!$D$2:$D$1833,$S73,Data!$E$2:$E$1833,$E73,Data!$F$2:$F$1833,N$1,Data!$H$2:$H$1833,1)</f>
        <v>4</v>
      </c>
      <c r="O73" s="49" t="n">
        <f aca="false">COUNTIFS(Data!$B$2:$B$1833,$Q73,Data!$C$2:$C$1833,$R73,Data!$D$2:$D$1833,$S73,Data!$E$2:$E$1833,$E73,Data!$F$2:$F$1833,O$1,Data!$H$2:$H$1833,1)</f>
        <v>1</v>
      </c>
      <c r="P73" s="49" t="n">
        <f aca="false">SUM(F73:O73)</f>
        <v>16</v>
      </c>
      <c r="Q73" s="50" t="s">
        <v>397</v>
      </c>
      <c r="R73" s="50" t="s">
        <v>624</v>
      </c>
      <c r="S73" s="50" t="s">
        <v>1497</v>
      </c>
    </row>
    <row r="74" customFormat="false" ht="15" hidden="false" customHeight="true" outlineLevel="0" collapsed="false">
      <c r="A74" s="49" t="str">
        <f aca="false">IFERROR(INDEX(対訳マスタ!$C$2:$C$136,MATCH($Q74,対訳マスタ!$B$2:$B$136,0)),$Q74)</f>
        <v>コミュニケーション言語能力</v>
      </c>
      <c r="B74" s="49" t="str">
        <f aca="false">IF($R74="—","—",IFERROR(INDEX(対訳マスタ!$C$2:$C$136,MATCH($R74,対訳マスタ!$B$2:$B$136,0)),$R74))</f>
        <v>—</v>
      </c>
      <c r="C74" s="49" t="str">
        <f aca="false">IF($S74="—","—",IFERROR(INDEX(対訳マスタ!$C$2:$C$136,MATCH($S74,対訳マスタ!$B$2:$B$136,0)),$S74))</f>
        <v>言語能力</v>
      </c>
      <c r="D74" s="49" t="str">
        <f aca="false">IFERROR(INDEX(対訳マスタ!$C$2:$C$136,MATCH($E74,対訳マスタ!$B$2:$B$136,0)),$E74)</f>
        <v>文法的正確さ</v>
      </c>
      <c r="E74" s="50" t="s">
        <v>1530</v>
      </c>
      <c r="F74" s="49" t="n">
        <f aca="false">COUNTIFS(Data!$B$2:$B$1833,$Q74,Data!$C$2:$C$1833,$R74,Data!$D$2:$D$1833,$S74,Data!$E$2:$E$1833,$E74,Data!$F$2:$F$1833,F$1,Data!$H$2:$H$1833,1)</f>
        <v>1</v>
      </c>
      <c r="G74" s="49" t="n">
        <f aca="false">COUNTIFS(Data!$B$2:$B$1833,$Q74,Data!$C$2:$C$1833,$R74,Data!$D$2:$D$1833,$S74,Data!$E$2:$E$1833,$E74,Data!$F$2:$F$1833,G$1,Data!$H$2:$H$1833,1)</f>
        <v>1</v>
      </c>
      <c r="H74" s="49" t="n">
        <f aca="false">COUNTIFS(Data!$B$2:$B$1833,$Q74,Data!$C$2:$C$1833,$R74,Data!$D$2:$D$1833,$S74,Data!$E$2:$E$1833,$E74,Data!$F$2:$F$1833,H$1,Data!$H$2:$H$1833,1)</f>
        <v>1</v>
      </c>
      <c r="I74" s="49" t="n">
        <f aca="false">COUNTIFS(Data!$B$2:$B$1833,$Q74,Data!$C$2:$C$1833,$R74,Data!$D$2:$D$1833,$S74,Data!$E$2:$E$1833,$E74,Data!$F$2:$F$1833,I$1,Data!$H$2:$H$1833,1)</f>
        <v>0</v>
      </c>
      <c r="J74" s="49" t="n">
        <f aca="false">COUNTIFS(Data!$B$2:$B$1833,$Q74,Data!$C$2:$C$1833,$R74,Data!$D$2:$D$1833,$S74,Data!$E$2:$E$1833,$E74,Data!$F$2:$F$1833,J$1,Data!$H$2:$H$1833,1)</f>
        <v>1</v>
      </c>
      <c r="K74" s="49" t="n">
        <f aca="false">COUNTIFS(Data!$B$2:$B$1833,$Q74,Data!$C$2:$C$1833,$R74,Data!$D$2:$D$1833,$S74,Data!$E$2:$E$1833,$E74,Data!$F$2:$F$1833,K$1,Data!$H$2:$H$1833,1)</f>
        <v>1</v>
      </c>
      <c r="L74" s="49" t="n">
        <f aca="false">COUNTIFS(Data!$B$2:$B$1833,$Q74,Data!$C$2:$C$1833,$R74,Data!$D$2:$D$1833,$S74,Data!$E$2:$E$1833,$E74,Data!$F$2:$F$1833,L$1,Data!$H$2:$H$1833,1)</f>
        <v>2</v>
      </c>
      <c r="M74" s="49" t="n">
        <f aca="false">COUNTIFS(Data!$B$2:$B$1833,$Q74,Data!$C$2:$C$1833,$R74,Data!$D$2:$D$1833,$S74,Data!$E$2:$E$1833,$E74,Data!$F$2:$F$1833,M$1,Data!$H$2:$H$1833,1)</f>
        <v>1</v>
      </c>
      <c r="N74" s="49" t="n">
        <f aca="false">COUNTIFS(Data!$B$2:$B$1833,$Q74,Data!$C$2:$C$1833,$R74,Data!$D$2:$D$1833,$S74,Data!$E$2:$E$1833,$E74,Data!$F$2:$F$1833,N$1,Data!$H$2:$H$1833,1)</f>
        <v>1</v>
      </c>
      <c r="O74" s="49" t="n">
        <f aca="false">COUNTIFS(Data!$B$2:$B$1833,$Q74,Data!$C$2:$C$1833,$R74,Data!$D$2:$D$1833,$S74,Data!$E$2:$E$1833,$E74,Data!$F$2:$F$1833,O$1,Data!$H$2:$H$1833,1)</f>
        <v>1</v>
      </c>
      <c r="P74" s="49" t="n">
        <f aca="false">SUM(F74:O74)</f>
        <v>10</v>
      </c>
      <c r="Q74" s="50" t="s">
        <v>397</v>
      </c>
      <c r="R74" s="50" t="s">
        <v>624</v>
      </c>
      <c r="S74" s="50" t="s">
        <v>1497</v>
      </c>
    </row>
    <row r="75" customFormat="false" ht="15" hidden="false" customHeight="true" outlineLevel="0" collapsed="false">
      <c r="A75" s="49" t="str">
        <f aca="false">IFERROR(INDEX(対訳マスタ!$C$2:$C$136,MATCH($Q75,対訳マスタ!$B$2:$B$136,0)),$Q75)</f>
        <v>コミュニケーション言語能力</v>
      </c>
      <c r="B75" s="49" t="str">
        <f aca="false">IF($R75="—","—",IFERROR(INDEX(対訳マスタ!$C$2:$C$136,MATCH($R75,対訳マスタ!$B$2:$B$136,0)),$R75))</f>
        <v>—</v>
      </c>
      <c r="C75" s="49" t="str">
        <f aca="false">IF($S75="—","—",IFERROR(INDEX(対訳マスタ!$C$2:$C$136,MATCH($S75,対訳マスタ!$B$2:$B$136,0)),$S75))</f>
        <v>言語能力</v>
      </c>
      <c r="D75" s="49" t="str">
        <f aca="false">IFERROR(INDEX(対訳マスタ!$C$2:$C$136,MATCH($E75,対訳マスタ!$B$2:$B$136,0)),$E75)</f>
        <v>語彙の運用（使い分けの正確さ）</v>
      </c>
      <c r="E75" s="50" t="s">
        <v>1541</v>
      </c>
      <c r="F75" s="49" t="n">
        <f aca="false">COUNTIFS(Data!$B$2:$B$1833,$Q75,Data!$C$2:$C$1833,$R75,Data!$D$2:$D$1833,$S75,Data!$E$2:$E$1833,$E75,Data!$F$2:$F$1833,F$1,Data!$H$2:$H$1833,1)</f>
        <v>0</v>
      </c>
      <c r="G75" s="49" t="n">
        <f aca="false">COUNTIFS(Data!$B$2:$B$1833,$Q75,Data!$C$2:$C$1833,$R75,Data!$D$2:$D$1833,$S75,Data!$E$2:$E$1833,$E75,Data!$F$2:$F$1833,G$1,Data!$H$2:$H$1833,1)</f>
        <v>0</v>
      </c>
      <c r="H75" s="49" t="n">
        <f aca="false">COUNTIFS(Data!$B$2:$B$1833,$Q75,Data!$C$2:$C$1833,$R75,Data!$D$2:$D$1833,$S75,Data!$E$2:$E$1833,$E75,Data!$F$2:$F$1833,H$1,Data!$H$2:$H$1833,1)</f>
        <v>1</v>
      </c>
      <c r="I75" s="49" t="n">
        <f aca="false">COUNTIFS(Data!$B$2:$B$1833,$Q75,Data!$C$2:$C$1833,$R75,Data!$D$2:$D$1833,$S75,Data!$E$2:$E$1833,$E75,Data!$F$2:$F$1833,I$1,Data!$H$2:$H$1833,1)</f>
        <v>0</v>
      </c>
      <c r="J75" s="49" t="n">
        <f aca="false">COUNTIFS(Data!$B$2:$B$1833,$Q75,Data!$C$2:$C$1833,$R75,Data!$D$2:$D$1833,$S75,Data!$E$2:$E$1833,$E75,Data!$F$2:$F$1833,J$1,Data!$H$2:$H$1833,1)</f>
        <v>2</v>
      </c>
      <c r="K75" s="49" t="n">
        <f aca="false">COUNTIFS(Data!$B$2:$B$1833,$Q75,Data!$C$2:$C$1833,$R75,Data!$D$2:$D$1833,$S75,Data!$E$2:$E$1833,$E75,Data!$F$2:$F$1833,K$1,Data!$H$2:$H$1833,1)</f>
        <v>0</v>
      </c>
      <c r="L75" s="49" t="n">
        <f aca="false">COUNTIFS(Data!$B$2:$B$1833,$Q75,Data!$C$2:$C$1833,$R75,Data!$D$2:$D$1833,$S75,Data!$E$2:$E$1833,$E75,Data!$F$2:$F$1833,L$1,Data!$H$2:$H$1833,1)</f>
        <v>1</v>
      </c>
      <c r="M75" s="49" t="n">
        <f aca="false">COUNTIFS(Data!$B$2:$B$1833,$Q75,Data!$C$2:$C$1833,$R75,Data!$D$2:$D$1833,$S75,Data!$E$2:$E$1833,$E75,Data!$F$2:$F$1833,M$1,Data!$H$2:$H$1833,1)</f>
        <v>0</v>
      </c>
      <c r="N75" s="49" t="n">
        <f aca="false">COUNTIFS(Data!$B$2:$B$1833,$Q75,Data!$C$2:$C$1833,$R75,Data!$D$2:$D$1833,$S75,Data!$E$2:$E$1833,$E75,Data!$F$2:$F$1833,N$1,Data!$H$2:$H$1833,1)</f>
        <v>2</v>
      </c>
      <c r="O75" s="49" t="n">
        <f aca="false">COUNTIFS(Data!$B$2:$B$1833,$Q75,Data!$C$2:$C$1833,$R75,Data!$D$2:$D$1833,$S75,Data!$E$2:$E$1833,$E75,Data!$F$2:$F$1833,O$1,Data!$H$2:$H$1833,1)</f>
        <v>1</v>
      </c>
      <c r="P75" s="49" t="n">
        <f aca="false">SUM(F75:O75)</f>
        <v>7</v>
      </c>
      <c r="Q75" s="50" t="s">
        <v>397</v>
      </c>
      <c r="R75" s="50" t="s">
        <v>624</v>
      </c>
      <c r="S75" s="50" t="s">
        <v>1497</v>
      </c>
    </row>
    <row r="76" customFormat="false" ht="15" hidden="false" customHeight="true" outlineLevel="0" collapsed="false">
      <c r="A76" s="49" t="str">
        <f aca="false">IFERROR(INDEX(対訳マスタ!$C$2:$C$136,MATCH($Q76,対訳マスタ!$B$2:$B$136,0)),$Q76)</f>
        <v>コミュニケーション言語能力</v>
      </c>
      <c r="B76" s="49" t="str">
        <f aca="false">IF($R76="—","—",IFERROR(INDEX(対訳マスタ!$C$2:$C$136,MATCH($R76,対訳マスタ!$B$2:$B$136,0)),$R76))</f>
        <v>—</v>
      </c>
      <c r="C76" s="49" t="str">
        <f aca="false">IF($S76="—","—",IFERROR(INDEX(対訳マスタ!$C$2:$C$136,MATCH($S76,対訳マスタ!$B$2:$B$136,0)),$S76))</f>
        <v>言語能力</v>
      </c>
      <c r="D76" s="49" t="str">
        <f aca="false">IFERROR(INDEX(対訳マスタ!$C$2:$C$136,MATCH($E76,対訳マスタ!$B$2:$B$136,0)),$E76)</f>
        <v>音韻の運用（総合）</v>
      </c>
      <c r="E76" s="50" t="s">
        <v>1549</v>
      </c>
      <c r="F76" s="49" t="n">
        <f aca="false">COUNTIFS(Data!$B$2:$B$1833,$Q76,Data!$C$2:$C$1833,$R76,Data!$D$2:$D$1833,$S76,Data!$E$2:$E$1833,$E76,Data!$F$2:$F$1833,F$1,Data!$H$2:$H$1833,1)</f>
        <v>0</v>
      </c>
      <c r="G76" s="49" t="n">
        <f aca="false">COUNTIFS(Data!$B$2:$B$1833,$Q76,Data!$C$2:$C$1833,$R76,Data!$D$2:$D$1833,$S76,Data!$E$2:$E$1833,$E76,Data!$F$2:$F$1833,G$1,Data!$H$2:$H$1833,1)</f>
        <v>1</v>
      </c>
      <c r="H76" s="49" t="n">
        <f aca="false">COUNTIFS(Data!$B$2:$B$1833,$Q76,Data!$C$2:$C$1833,$R76,Data!$D$2:$D$1833,$S76,Data!$E$2:$E$1833,$E76,Data!$F$2:$F$1833,H$1,Data!$H$2:$H$1833,1)</f>
        <v>1</v>
      </c>
      <c r="I76" s="49" t="n">
        <f aca="false">COUNTIFS(Data!$B$2:$B$1833,$Q76,Data!$C$2:$C$1833,$R76,Data!$D$2:$D$1833,$S76,Data!$E$2:$E$1833,$E76,Data!$F$2:$F$1833,I$1,Data!$H$2:$H$1833,1)</f>
        <v>0</v>
      </c>
      <c r="J76" s="49" t="n">
        <f aca="false">COUNTIFS(Data!$B$2:$B$1833,$Q76,Data!$C$2:$C$1833,$R76,Data!$D$2:$D$1833,$S76,Data!$E$2:$E$1833,$E76,Data!$F$2:$F$1833,J$1,Data!$H$2:$H$1833,1)</f>
        <v>1</v>
      </c>
      <c r="K76" s="49" t="n">
        <f aca="false">COUNTIFS(Data!$B$2:$B$1833,$Q76,Data!$C$2:$C$1833,$R76,Data!$D$2:$D$1833,$S76,Data!$E$2:$E$1833,$E76,Data!$F$2:$F$1833,K$1,Data!$H$2:$H$1833,1)</f>
        <v>0</v>
      </c>
      <c r="L76" s="49" t="n">
        <f aca="false">COUNTIFS(Data!$B$2:$B$1833,$Q76,Data!$C$2:$C$1833,$R76,Data!$D$2:$D$1833,$S76,Data!$E$2:$E$1833,$E76,Data!$F$2:$F$1833,L$1,Data!$H$2:$H$1833,1)</f>
        <v>1</v>
      </c>
      <c r="M76" s="49" t="n">
        <f aca="false">COUNTIFS(Data!$B$2:$B$1833,$Q76,Data!$C$2:$C$1833,$R76,Data!$D$2:$D$1833,$S76,Data!$E$2:$E$1833,$E76,Data!$F$2:$F$1833,M$1,Data!$H$2:$H$1833,1)</f>
        <v>0</v>
      </c>
      <c r="N76" s="49" t="n">
        <f aca="false">COUNTIFS(Data!$B$2:$B$1833,$Q76,Data!$C$2:$C$1833,$R76,Data!$D$2:$D$1833,$S76,Data!$E$2:$E$1833,$E76,Data!$F$2:$F$1833,N$1,Data!$H$2:$H$1833,1)</f>
        <v>1</v>
      </c>
      <c r="O76" s="49" t="n">
        <f aca="false">COUNTIFS(Data!$B$2:$B$1833,$Q76,Data!$C$2:$C$1833,$R76,Data!$D$2:$D$1833,$S76,Data!$E$2:$E$1833,$E76,Data!$F$2:$F$1833,O$1,Data!$H$2:$H$1833,1)</f>
        <v>1</v>
      </c>
      <c r="P76" s="49" t="n">
        <f aca="false">SUM(F76:O76)</f>
        <v>6</v>
      </c>
      <c r="Q76" s="50" t="s">
        <v>397</v>
      </c>
      <c r="R76" s="50" t="s">
        <v>624</v>
      </c>
      <c r="S76" s="50" t="s">
        <v>1497</v>
      </c>
    </row>
    <row r="77" customFormat="false" ht="15" hidden="false" customHeight="true" outlineLevel="0" collapsed="false">
      <c r="A77" s="49" t="str">
        <f aca="false">IFERROR(INDEX(対訳マスタ!$C$2:$C$136,MATCH($Q77,対訳マスタ!$B$2:$B$136,0)),$Q77)</f>
        <v>コミュニケーション言語能力</v>
      </c>
      <c r="B77" s="49" t="str">
        <f aca="false">IF($R77="—","—",IFERROR(INDEX(対訳マスタ!$C$2:$C$136,MATCH($R77,対訳マスタ!$B$2:$B$136,0)),$R77))</f>
        <v>—</v>
      </c>
      <c r="C77" s="49" t="str">
        <f aca="false">IF($S77="—","—",IFERROR(INDEX(対訳マスタ!$C$2:$C$136,MATCH($S77,対訳マスタ!$B$2:$B$136,0)),$S77))</f>
        <v>言語能力</v>
      </c>
      <c r="D77" s="49" t="str">
        <f aca="false">IFERROR(INDEX(対訳マスタ!$C$2:$C$136,MATCH($E77,対訳マスタ!$B$2:$B$136,0)),$E77)</f>
        <v>個々の音の調音</v>
      </c>
      <c r="E77" s="50" t="s">
        <v>1556</v>
      </c>
      <c r="F77" s="49" t="n">
        <f aca="false">COUNTIFS(Data!$B$2:$B$1833,$Q77,Data!$C$2:$C$1833,$R77,Data!$D$2:$D$1833,$S77,Data!$E$2:$E$1833,$E77,Data!$F$2:$F$1833,F$1,Data!$H$2:$H$1833,1)</f>
        <v>0</v>
      </c>
      <c r="G77" s="49" t="n">
        <f aca="false">COUNTIFS(Data!$B$2:$B$1833,$Q77,Data!$C$2:$C$1833,$R77,Data!$D$2:$D$1833,$S77,Data!$E$2:$E$1833,$E77,Data!$F$2:$F$1833,G$1,Data!$H$2:$H$1833,1)</f>
        <v>2</v>
      </c>
      <c r="H77" s="49" t="n">
        <f aca="false">COUNTIFS(Data!$B$2:$B$1833,$Q77,Data!$C$2:$C$1833,$R77,Data!$D$2:$D$1833,$S77,Data!$E$2:$E$1833,$E77,Data!$F$2:$F$1833,H$1,Data!$H$2:$H$1833,1)</f>
        <v>2</v>
      </c>
      <c r="I77" s="49" t="n">
        <f aca="false">COUNTIFS(Data!$B$2:$B$1833,$Q77,Data!$C$2:$C$1833,$R77,Data!$D$2:$D$1833,$S77,Data!$E$2:$E$1833,$E77,Data!$F$2:$F$1833,I$1,Data!$H$2:$H$1833,1)</f>
        <v>0</v>
      </c>
      <c r="J77" s="49" t="n">
        <f aca="false">COUNTIFS(Data!$B$2:$B$1833,$Q77,Data!$C$2:$C$1833,$R77,Data!$D$2:$D$1833,$S77,Data!$E$2:$E$1833,$E77,Data!$F$2:$F$1833,J$1,Data!$H$2:$H$1833,1)</f>
        <v>1</v>
      </c>
      <c r="K77" s="49" t="n">
        <f aca="false">COUNTIFS(Data!$B$2:$B$1833,$Q77,Data!$C$2:$C$1833,$R77,Data!$D$2:$D$1833,$S77,Data!$E$2:$E$1833,$E77,Data!$F$2:$F$1833,K$1,Data!$H$2:$H$1833,1)</f>
        <v>0</v>
      </c>
      <c r="L77" s="49" t="n">
        <f aca="false">COUNTIFS(Data!$B$2:$B$1833,$Q77,Data!$C$2:$C$1833,$R77,Data!$D$2:$D$1833,$S77,Data!$E$2:$E$1833,$E77,Data!$F$2:$F$1833,L$1,Data!$H$2:$H$1833,1)</f>
        <v>2</v>
      </c>
      <c r="M77" s="49" t="n">
        <f aca="false">COUNTIFS(Data!$B$2:$B$1833,$Q77,Data!$C$2:$C$1833,$R77,Data!$D$2:$D$1833,$S77,Data!$E$2:$E$1833,$E77,Data!$F$2:$F$1833,M$1,Data!$H$2:$H$1833,1)</f>
        <v>0</v>
      </c>
      <c r="N77" s="49" t="n">
        <f aca="false">COUNTIFS(Data!$B$2:$B$1833,$Q77,Data!$C$2:$C$1833,$R77,Data!$D$2:$D$1833,$S77,Data!$E$2:$E$1833,$E77,Data!$F$2:$F$1833,N$1,Data!$H$2:$H$1833,1)</f>
        <v>1</v>
      </c>
      <c r="O77" s="49" t="n">
        <f aca="false">COUNTIFS(Data!$B$2:$B$1833,$Q77,Data!$C$2:$C$1833,$R77,Data!$D$2:$D$1833,$S77,Data!$E$2:$E$1833,$E77,Data!$F$2:$F$1833,O$1,Data!$H$2:$H$1833,1)</f>
        <v>1</v>
      </c>
      <c r="P77" s="49" t="n">
        <f aca="false">SUM(F77:O77)</f>
        <v>9</v>
      </c>
      <c r="Q77" s="50" t="s">
        <v>397</v>
      </c>
      <c r="R77" s="50" t="s">
        <v>624</v>
      </c>
      <c r="S77" s="50" t="s">
        <v>1497</v>
      </c>
    </row>
    <row r="78" customFormat="false" ht="15" hidden="false" customHeight="true" outlineLevel="0" collapsed="false">
      <c r="A78" s="49" t="str">
        <f aca="false">IFERROR(INDEX(対訳マスタ!$C$2:$C$136,MATCH($Q78,対訳マスタ!$B$2:$B$136,0)),$Q78)</f>
        <v>コミュニケーション言語能力</v>
      </c>
      <c r="B78" s="49" t="str">
        <f aca="false">IF($R78="—","—",IFERROR(INDEX(対訳マスタ!$C$2:$C$136,MATCH($R78,対訳マスタ!$B$2:$B$136,0)),$R78))</f>
        <v>—</v>
      </c>
      <c r="C78" s="49" t="str">
        <f aca="false">IF($S78="—","—",IFERROR(INDEX(対訳マスタ!$C$2:$C$136,MATCH($S78,対訳マスタ!$B$2:$B$136,0)),$S78))</f>
        <v>言語能力</v>
      </c>
      <c r="D78" s="49" t="str">
        <f aca="false">IFERROR(INDEX(対訳マスタ!$C$2:$C$136,MATCH($E78,対訳マスタ!$B$2:$B$136,0)),$E78)</f>
        <v>韻律（プロソディ）</v>
      </c>
      <c r="E78" s="50" t="s">
        <v>1566</v>
      </c>
      <c r="F78" s="49" t="n">
        <f aca="false">COUNTIFS(Data!$B$2:$B$1833,$Q78,Data!$C$2:$C$1833,$R78,Data!$D$2:$D$1833,$S78,Data!$E$2:$E$1833,$E78,Data!$F$2:$F$1833,F$1,Data!$H$2:$H$1833,1)</f>
        <v>0</v>
      </c>
      <c r="G78" s="49" t="n">
        <f aca="false">COUNTIFS(Data!$B$2:$B$1833,$Q78,Data!$C$2:$C$1833,$R78,Data!$D$2:$D$1833,$S78,Data!$E$2:$E$1833,$E78,Data!$F$2:$F$1833,G$1,Data!$H$2:$H$1833,1)</f>
        <v>1</v>
      </c>
      <c r="H78" s="49" t="n">
        <f aca="false">COUNTIFS(Data!$B$2:$B$1833,$Q78,Data!$C$2:$C$1833,$R78,Data!$D$2:$D$1833,$S78,Data!$E$2:$E$1833,$E78,Data!$F$2:$F$1833,H$1,Data!$H$2:$H$1833,1)</f>
        <v>2</v>
      </c>
      <c r="I78" s="49" t="n">
        <f aca="false">COUNTIFS(Data!$B$2:$B$1833,$Q78,Data!$C$2:$C$1833,$R78,Data!$D$2:$D$1833,$S78,Data!$E$2:$E$1833,$E78,Data!$F$2:$F$1833,I$1,Data!$H$2:$H$1833,1)</f>
        <v>0</v>
      </c>
      <c r="J78" s="49" t="n">
        <f aca="false">COUNTIFS(Data!$B$2:$B$1833,$Q78,Data!$C$2:$C$1833,$R78,Data!$D$2:$D$1833,$S78,Data!$E$2:$E$1833,$E78,Data!$F$2:$F$1833,J$1,Data!$H$2:$H$1833,1)</f>
        <v>1</v>
      </c>
      <c r="K78" s="49" t="n">
        <f aca="false">COUNTIFS(Data!$B$2:$B$1833,$Q78,Data!$C$2:$C$1833,$R78,Data!$D$2:$D$1833,$S78,Data!$E$2:$E$1833,$E78,Data!$F$2:$F$1833,K$1,Data!$H$2:$H$1833,1)</f>
        <v>0</v>
      </c>
      <c r="L78" s="49" t="n">
        <f aca="false">COUNTIFS(Data!$B$2:$B$1833,$Q78,Data!$C$2:$C$1833,$R78,Data!$D$2:$D$1833,$S78,Data!$E$2:$E$1833,$E78,Data!$F$2:$F$1833,L$1,Data!$H$2:$H$1833,1)</f>
        <v>1</v>
      </c>
      <c r="M78" s="49" t="n">
        <f aca="false">COUNTIFS(Data!$B$2:$B$1833,$Q78,Data!$C$2:$C$1833,$R78,Data!$D$2:$D$1833,$S78,Data!$E$2:$E$1833,$E78,Data!$F$2:$F$1833,M$1,Data!$H$2:$H$1833,1)</f>
        <v>0</v>
      </c>
      <c r="N78" s="49" t="n">
        <f aca="false">COUNTIFS(Data!$B$2:$B$1833,$Q78,Data!$C$2:$C$1833,$R78,Data!$D$2:$D$1833,$S78,Data!$E$2:$E$1833,$E78,Data!$F$2:$F$1833,N$1,Data!$H$2:$H$1833,1)</f>
        <v>2</v>
      </c>
      <c r="O78" s="49" t="n">
        <f aca="false">COUNTIFS(Data!$B$2:$B$1833,$Q78,Data!$C$2:$C$1833,$R78,Data!$D$2:$D$1833,$S78,Data!$E$2:$E$1833,$E78,Data!$F$2:$F$1833,O$1,Data!$H$2:$H$1833,1)</f>
        <v>1</v>
      </c>
      <c r="P78" s="49" t="n">
        <f aca="false">SUM(F78:O78)</f>
        <v>8</v>
      </c>
      <c r="Q78" s="50" t="s">
        <v>397</v>
      </c>
      <c r="R78" s="50" t="s">
        <v>624</v>
      </c>
      <c r="S78" s="50" t="s">
        <v>1497</v>
      </c>
    </row>
    <row r="79" customFormat="false" ht="15" hidden="false" customHeight="true" outlineLevel="0" collapsed="false">
      <c r="A79" s="49" t="str">
        <f aca="false">IFERROR(INDEX(対訳マスタ!$C$2:$C$136,MATCH($Q79,対訳マスタ!$B$2:$B$136,0)),$Q79)</f>
        <v>コミュニケーション言語能力</v>
      </c>
      <c r="B79" s="49" t="str">
        <f aca="false">IF($R79="—","—",IFERROR(INDEX(対訳マスタ!$C$2:$C$136,MATCH($R79,対訳マスタ!$B$2:$B$136,0)),$R79))</f>
        <v>—</v>
      </c>
      <c r="C79" s="49" t="str">
        <f aca="false">IF($S79="—","—",IFERROR(INDEX(対訳マスタ!$C$2:$C$136,MATCH($S79,対訳マスタ!$B$2:$B$136,0)),$S79))</f>
        <v>言語能力</v>
      </c>
      <c r="D79" s="49" t="str">
        <f aca="false">IFERROR(INDEX(対訳マスタ!$C$2:$C$136,MATCH($E79,対訳マスタ!$B$2:$B$136,0)),$E79)</f>
        <v>正書法（綴り・表記）の運用</v>
      </c>
      <c r="E79" s="50" t="s">
        <v>1575</v>
      </c>
      <c r="F79" s="49" t="n">
        <f aca="false">COUNTIFS(Data!$B$2:$B$1833,$Q79,Data!$C$2:$C$1833,$R79,Data!$D$2:$D$1833,$S79,Data!$E$2:$E$1833,$E79,Data!$F$2:$F$1833,F$1,Data!$H$2:$H$1833,1)</f>
        <v>0</v>
      </c>
      <c r="G79" s="49" t="n">
        <f aca="false">COUNTIFS(Data!$B$2:$B$1833,$Q79,Data!$C$2:$C$1833,$R79,Data!$D$2:$D$1833,$S79,Data!$E$2:$E$1833,$E79,Data!$F$2:$F$1833,G$1,Data!$H$2:$H$1833,1)</f>
        <v>3</v>
      </c>
      <c r="H79" s="49" t="n">
        <f aca="false">COUNTIFS(Data!$B$2:$B$1833,$Q79,Data!$C$2:$C$1833,$R79,Data!$D$2:$D$1833,$S79,Data!$E$2:$E$1833,$E79,Data!$F$2:$F$1833,H$1,Data!$H$2:$H$1833,1)</f>
        <v>2</v>
      </c>
      <c r="I79" s="49" t="n">
        <f aca="false">COUNTIFS(Data!$B$2:$B$1833,$Q79,Data!$C$2:$C$1833,$R79,Data!$D$2:$D$1833,$S79,Data!$E$2:$E$1833,$E79,Data!$F$2:$F$1833,I$1,Data!$H$2:$H$1833,1)</f>
        <v>0</v>
      </c>
      <c r="J79" s="49" t="n">
        <f aca="false">COUNTIFS(Data!$B$2:$B$1833,$Q79,Data!$C$2:$C$1833,$R79,Data!$D$2:$D$1833,$S79,Data!$E$2:$E$1833,$E79,Data!$F$2:$F$1833,J$1,Data!$H$2:$H$1833,1)</f>
        <v>2</v>
      </c>
      <c r="K79" s="49" t="n">
        <f aca="false">COUNTIFS(Data!$B$2:$B$1833,$Q79,Data!$C$2:$C$1833,$R79,Data!$D$2:$D$1833,$S79,Data!$E$2:$E$1833,$E79,Data!$F$2:$F$1833,K$1,Data!$H$2:$H$1833,1)</f>
        <v>0</v>
      </c>
      <c r="L79" s="49" t="n">
        <f aca="false">COUNTIFS(Data!$B$2:$B$1833,$Q79,Data!$C$2:$C$1833,$R79,Data!$D$2:$D$1833,$S79,Data!$E$2:$E$1833,$E79,Data!$F$2:$F$1833,L$1,Data!$H$2:$H$1833,1)</f>
        <v>2</v>
      </c>
      <c r="M79" s="49" t="n">
        <f aca="false">COUNTIFS(Data!$B$2:$B$1833,$Q79,Data!$C$2:$C$1833,$R79,Data!$D$2:$D$1833,$S79,Data!$E$2:$E$1833,$E79,Data!$F$2:$F$1833,M$1,Data!$H$2:$H$1833,1)</f>
        <v>0</v>
      </c>
      <c r="N79" s="49" t="n">
        <f aca="false">COUNTIFS(Data!$B$2:$B$1833,$Q79,Data!$C$2:$C$1833,$R79,Data!$D$2:$D$1833,$S79,Data!$E$2:$E$1833,$E79,Data!$F$2:$F$1833,N$1,Data!$H$2:$H$1833,1)</f>
        <v>2</v>
      </c>
      <c r="O79" s="49" t="n">
        <f aca="false">COUNTIFS(Data!$B$2:$B$1833,$Q79,Data!$C$2:$C$1833,$R79,Data!$D$2:$D$1833,$S79,Data!$E$2:$E$1833,$E79,Data!$F$2:$F$1833,O$1,Data!$H$2:$H$1833,1)</f>
        <v>1</v>
      </c>
      <c r="P79" s="49" t="n">
        <f aca="false">SUM(F79:O79)</f>
        <v>12</v>
      </c>
      <c r="Q79" s="50" t="s">
        <v>397</v>
      </c>
      <c r="R79" s="50" t="s">
        <v>624</v>
      </c>
      <c r="S79" s="50" t="s">
        <v>1497</v>
      </c>
    </row>
    <row r="80" customFormat="false" ht="15" hidden="false" customHeight="true" outlineLevel="0" collapsed="false">
      <c r="A80" s="49" t="str">
        <f aca="false">IFERROR(INDEX(対訳マスタ!$C$2:$C$136,MATCH($Q80,対訳マスタ!$B$2:$B$136,0)),$Q80)</f>
        <v>コミュニケーション言語能力</v>
      </c>
      <c r="B80" s="49" t="str">
        <f aca="false">IF($R80="—","—",IFERROR(INDEX(対訳マスタ!$C$2:$C$136,MATCH($R80,対訳マスタ!$B$2:$B$136,0)),$R80))</f>
        <v>—</v>
      </c>
      <c r="C80" s="49" t="str">
        <f aca="false">IF($S80="—","—",IFERROR(INDEX(対訳マスタ!$C$2:$C$136,MATCH($S80,対訳マスタ!$B$2:$B$136,0)),$S80))</f>
        <v>社会言語能力</v>
      </c>
      <c r="D80" s="49" t="str">
        <f aca="false">IFERROR(INDEX(対訳マスタ!$C$2:$C$136,MATCH($E80,対訳マスタ!$B$2:$B$136,0)),$E80)</f>
        <v>社会言語的適切さ（場にふさわしい言葉づかい）</v>
      </c>
      <c r="E80" s="50" t="s">
        <v>1589</v>
      </c>
      <c r="F80" s="49" t="n">
        <f aca="false">COUNTIFS(Data!$B$2:$B$1833,$Q80,Data!$C$2:$C$1833,$R80,Data!$D$2:$D$1833,$S80,Data!$E$2:$E$1833,$E80,Data!$F$2:$F$1833,F$1,Data!$H$2:$H$1833,1)</f>
        <v>0</v>
      </c>
      <c r="G80" s="49" t="n">
        <f aca="false">COUNTIFS(Data!$B$2:$B$1833,$Q80,Data!$C$2:$C$1833,$R80,Data!$D$2:$D$1833,$S80,Data!$E$2:$E$1833,$E80,Data!$F$2:$F$1833,G$1,Data!$H$2:$H$1833,1)</f>
        <v>1</v>
      </c>
      <c r="H80" s="49" t="n">
        <f aca="false">COUNTIFS(Data!$B$2:$B$1833,$Q80,Data!$C$2:$C$1833,$R80,Data!$D$2:$D$1833,$S80,Data!$E$2:$E$1833,$E80,Data!$F$2:$F$1833,H$1,Data!$H$2:$H$1833,1)</f>
        <v>2</v>
      </c>
      <c r="I80" s="49" t="n">
        <f aca="false">COUNTIFS(Data!$B$2:$B$1833,$Q80,Data!$C$2:$C$1833,$R80,Data!$D$2:$D$1833,$S80,Data!$E$2:$E$1833,$E80,Data!$F$2:$F$1833,I$1,Data!$H$2:$H$1833,1)</f>
        <v>2</v>
      </c>
      <c r="J80" s="49" t="n">
        <f aca="false">COUNTIFS(Data!$B$2:$B$1833,$Q80,Data!$C$2:$C$1833,$R80,Data!$D$2:$D$1833,$S80,Data!$E$2:$E$1833,$E80,Data!$F$2:$F$1833,J$1,Data!$H$2:$H$1833,1)</f>
        <v>3</v>
      </c>
      <c r="K80" s="49" t="n">
        <f aca="false">COUNTIFS(Data!$B$2:$B$1833,$Q80,Data!$C$2:$C$1833,$R80,Data!$D$2:$D$1833,$S80,Data!$E$2:$E$1833,$E80,Data!$F$2:$F$1833,K$1,Data!$H$2:$H$1833,1)</f>
        <v>0</v>
      </c>
      <c r="L80" s="49" t="n">
        <f aca="false">COUNTIFS(Data!$B$2:$B$1833,$Q80,Data!$C$2:$C$1833,$R80,Data!$D$2:$D$1833,$S80,Data!$E$2:$E$1833,$E80,Data!$F$2:$F$1833,L$1,Data!$H$2:$H$1833,1)</f>
        <v>3</v>
      </c>
      <c r="M80" s="49" t="n">
        <f aca="false">COUNTIFS(Data!$B$2:$B$1833,$Q80,Data!$C$2:$C$1833,$R80,Data!$D$2:$D$1833,$S80,Data!$E$2:$E$1833,$E80,Data!$F$2:$F$1833,M$1,Data!$H$2:$H$1833,1)</f>
        <v>3</v>
      </c>
      <c r="N80" s="49" t="n">
        <f aca="false">COUNTIFS(Data!$B$2:$B$1833,$Q80,Data!$C$2:$C$1833,$R80,Data!$D$2:$D$1833,$S80,Data!$E$2:$E$1833,$E80,Data!$F$2:$F$1833,N$1,Data!$H$2:$H$1833,1)</f>
        <v>6</v>
      </c>
      <c r="O80" s="49" t="n">
        <f aca="false">COUNTIFS(Data!$B$2:$B$1833,$Q80,Data!$C$2:$C$1833,$R80,Data!$D$2:$D$1833,$S80,Data!$E$2:$E$1833,$E80,Data!$F$2:$F$1833,O$1,Data!$H$2:$H$1833,1)</f>
        <v>4</v>
      </c>
      <c r="P80" s="49" t="n">
        <f aca="false">SUM(F80:O80)</f>
        <v>24</v>
      </c>
      <c r="Q80" s="50" t="s">
        <v>397</v>
      </c>
      <c r="R80" s="50" t="s">
        <v>624</v>
      </c>
      <c r="S80" s="50" t="s">
        <v>1588</v>
      </c>
    </row>
    <row r="81" customFormat="false" ht="15" hidden="false" customHeight="true" outlineLevel="0" collapsed="false">
      <c r="A81" s="49" t="str">
        <f aca="false">IFERROR(INDEX(対訳マスタ!$C$2:$C$136,MATCH($Q81,対訳マスタ!$B$2:$B$136,0)),$Q81)</f>
        <v>コミュニケーション言語能力</v>
      </c>
      <c r="B81" s="49" t="str">
        <f aca="false">IF($R81="—","—",IFERROR(INDEX(対訳マスタ!$C$2:$C$136,MATCH($R81,対訳マスタ!$B$2:$B$136,0)),$R81))</f>
        <v>—</v>
      </c>
      <c r="C81" s="49" t="str">
        <f aca="false">IF($S81="—","—",IFERROR(INDEX(対訳マスタ!$C$2:$C$136,MATCH($S81,対訳マスタ!$B$2:$B$136,0)),$S81))</f>
        <v>語用能力</v>
      </c>
      <c r="D81" s="49" t="str">
        <f aca="false">IFERROR(INDEX(対訳マスタ!$C$2:$C$136,MATCH($E81,対訳マスタ!$B$2:$B$136,0)),$E81)</f>
        <v>柔軟さ（言い回しの融通）</v>
      </c>
      <c r="E81" s="50" t="s">
        <v>1613</v>
      </c>
      <c r="F81" s="49" t="n">
        <f aca="false">COUNTIFS(Data!$B$2:$B$1833,$Q81,Data!$C$2:$C$1833,$R81,Data!$D$2:$D$1833,$S81,Data!$E$2:$E$1833,$E81,Data!$F$2:$F$1833,F$1,Data!$H$2:$H$1833,1)</f>
        <v>0</v>
      </c>
      <c r="G81" s="49" t="n">
        <f aca="false">COUNTIFS(Data!$B$2:$B$1833,$Q81,Data!$C$2:$C$1833,$R81,Data!$D$2:$D$1833,$S81,Data!$E$2:$E$1833,$E81,Data!$F$2:$F$1833,G$1,Data!$H$2:$H$1833,1)</f>
        <v>0</v>
      </c>
      <c r="H81" s="49" t="n">
        <f aca="false">COUNTIFS(Data!$B$2:$B$1833,$Q81,Data!$C$2:$C$1833,$R81,Data!$D$2:$D$1833,$S81,Data!$E$2:$E$1833,$E81,Data!$F$2:$F$1833,H$1,Data!$H$2:$H$1833,1)</f>
        <v>2</v>
      </c>
      <c r="I81" s="49" t="n">
        <f aca="false">COUNTIFS(Data!$B$2:$B$1833,$Q81,Data!$C$2:$C$1833,$R81,Data!$D$2:$D$1833,$S81,Data!$E$2:$E$1833,$E81,Data!$F$2:$F$1833,I$1,Data!$H$2:$H$1833,1)</f>
        <v>0</v>
      </c>
      <c r="J81" s="49" t="n">
        <f aca="false">COUNTIFS(Data!$B$2:$B$1833,$Q81,Data!$C$2:$C$1833,$R81,Data!$D$2:$D$1833,$S81,Data!$E$2:$E$1833,$E81,Data!$F$2:$F$1833,J$1,Data!$H$2:$H$1833,1)</f>
        <v>2</v>
      </c>
      <c r="K81" s="49" t="n">
        <f aca="false">COUNTIFS(Data!$B$2:$B$1833,$Q81,Data!$C$2:$C$1833,$R81,Data!$D$2:$D$1833,$S81,Data!$E$2:$E$1833,$E81,Data!$F$2:$F$1833,K$1,Data!$H$2:$H$1833,1)</f>
        <v>0</v>
      </c>
      <c r="L81" s="49" t="n">
        <f aca="false">COUNTIFS(Data!$B$2:$B$1833,$Q81,Data!$C$2:$C$1833,$R81,Data!$D$2:$D$1833,$S81,Data!$E$2:$E$1833,$E81,Data!$F$2:$F$1833,L$1,Data!$H$2:$H$1833,1)</f>
        <v>3</v>
      </c>
      <c r="M81" s="49" t="n">
        <f aca="false">COUNTIFS(Data!$B$2:$B$1833,$Q81,Data!$C$2:$C$1833,$R81,Data!$D$2:$D$1833,$S81,Data!$E$2:$E$1833,$E81,Data!$F$2:$F$1833,M$1,Data!$H$2:$H$1833,1)</f>
        <v>1</v>
      </c>
      <c r="N81" s="49" t="n">
        <f aca="false">COUNTIFS(Data!$B$2:$B$1833,$Q81,Data!$C$2:$C$1833,$R81,Data!$D$2:$D$1833,$S81,Data!$E$2:$E$1833,$E81,Data!$F$2:$F$1833,N$1,Data!$H$2:$H$1833,1)</f>
        <v>2</v>
      </c>
      <c r="O81" s="49" t="n">
        <f aca="false">COUNTIFS(Data!$B$2:$B$1833,$Q81,Data!$C$2:$C$1833,$R81,Data!$D$2:$D$1833,$S81,Data!$E$2:$E$1833,$E81,Data!$F$2:$F$1833,O$1,Data!$H$2:$H$1833,1)</f>
        <v>1</v>
      </c>
      <c r="P81" s="49" t="n">
        <f aca="false">SUM(F81:O81)</f>
        <v>11</v>
      </c>
      <c r="Q81" s="50" t="s">
        <v>397</v>
      </c>
      <c r="R81" s="50" t="s">
        <v>624</v>
      </c>
      <c r="S81" s="50" t="s">
        <v>1612</v>
      </c>
    </row>
    <row r="82" customFormat="false" ht="15" hidden="false" customHeight="true" outlineLevel="0" collapsed="false">
      <c r="A82" s="49" t="str">
        <f aca="false">IFERROR(INDEX(対訳マスタ!$C$2:$C$136,MATCH($Q82,対訳マスタ!$B$2:$B$136,0)),$Q82)</f>
        <v>コミュニケーション言語能力</v>
      </c>
      <c r="B82" s="49" t="str">
        <f aca="false">IF($R82="—","—",IFERROR(INDEX(対訳マスタ!$C$2:$C$136,MATCH($R82,対訳マスタ!$B$2:$B$136,0)),$R82))</f>
        <v>—</v>
      </c>
      <c r="C82" s="49" t="str">
        <f aca="false">IF($S82="—","—",IFERROR(INDEX(対訳マスタ!$C$2:$C$136,MATCH($S82,対訳マスタ!$B$2:$B$136,0)),$S82))</f>
        <v>語用能力</v>
      </c>
      <c r="D82" s="49" t="str">
        <f aca="false">IFERROR(INDEX(対訳マスタ!$C$2:$C$136,MATCH($E82,対訳マスタ!$B$2:$B$136,0)),$E82)</f>
        <v>発言権のやりとり（ターンテイキング）</v>
      </c>
      <c r="E82" s="50" t="s">
        <v>1087</v>
      </c>
      <c r="F82" s="49" t="n">
        <f aca="false">COUNTIFS(Data!$B$2:$B$1833,$Q82,Data!$C$2:$C$1833,$R82,Data!$D$2:$D$1833,$S82,Data!$E$2:$E$1833,$E82,Data!$F$2:$F$1833,F$1,Data!$H$2:$H$1833,1)</f>
        <v>0</v>
      </c>
      <c r="G82" s="49" t="n">
        <f aca="false">COUNTIFS(Data!$B$2:$B$1833,$Q82,Data!$C$2:$C$1833,$R82,Data!$D$2:$D$1833,$S82,Data!$E$2:$E$1833,$E82,Data!$F$2:$F$1833,G$1,Data!$H$2:$H$1833,1)</f>
        <v>0</v>
      </c>
      <c r="H82" s="49" t="n">
        <f aca="false">COUNTIFS(Data!$B$2:$B$1833,$Q82,Data!$C$2:$C$1833,$R82,Data!$D$2:$D$1833,$S82,Data!$E$2:$E$1833,$E82,Data!$F$2:$F$1833,H$1,Data!$H$2:$H$1833,1)</f>
        <v>1</v>
      </c>
      <c r="I82" s="49" t="n">
        <f aca="false">COUNTIFS(Data!$B$2:$B$1833,$Q82,Data!$C$2:$C$1833,$R82,Data!$D$2:$D$1833,$S82,Data!$E$2:$E$1833,$E82,Data!$F$2:$F$1833,I$1,Data!$H$2:$H$1833,1)</f>
        <v>2</v>
      </c>
      <c r="J82" s="49" t="n">
        <f aca="false">COUNTIFS(Data!$B$2:$B$1833,$Q82,Data!$C$2:$C$1833,$R82,Data!$D$2:$D$1833,$S82,Data!$E$2:$E$1833,$E82,Data!$F$2:$F$1833,J$1,Data!$H$2:$H$1833,1)</f>
        <v>1</v>
      </c>
      <c r="K82" s="49" t="n">
        <f aca="false">COUNTIFS(Data!$B$2:$B$1833,$Q82,Data!$C$2:$C$1833,$R82,Data!$D$2:$D$1833,$S82,Data!$E$2:$E$1833,$E82,Data!$F$2:$F$1833,K$1,Data!$H$2:$H$1833,1)</f>
        <v>1</v>
      </c>
      <c r="L82" s="49" t="n">
        <f aca="false">COUNTIFS(Data!$B$2:$B$1833,$Q82,Data!$C$2:$C$1833,$R82,Data!$D$2:$D$1833,$S82,Data!$E$2:$E$1833,$E82,Data!$F$2:$F$1833,L$1,Data!$H$2:$H$1833,1)</f>
        <v>4</v>
      </c>
      <c r="M82" s="49" t="n">
        <f aca="false">COUNTIFS(Data!$B$2:$B$1833,$Q82,Data!$C$2:$C$1833,$R82,Data!$D$2:$D$1833,$S82,Data!$E$2:$E$1833,$E82,Data!$F$2:$F$1833,M$1,Data!$H$2:$H$1833,1)</f>
        <v>0</v>
      </c>
      <c r="N82" s="49" t="n">
        <f aca="false">COUNTIFS(Data!$B$2:$B$1833,$Q82,Data!$C$2:$C$1833,$R82,Data!$D$2:$D$1833,$S82,Data!$E$2:$E$1833,$E82,Data!$F$2:$F$1833,N$1,Data!$H$2:$H$1833,1)</f>
        <v>1</v>
      </c>
      <c r="O82" s="49" t="n">
        <f aca="false">COUNTIFS(Data!$B$2:$B$1833,$Q82,Data!$C$2:$C$1833,$R82,Data!$D$2:$D$1833,$S82,Data!$E$2:$E$1833,$E82,Data!$F$2:$F$1833,O$1,Data!$H$2:$H$1833,1)</f>
        <v>0</v>
      </c>
      <c r="P82" s="49" t="n">
        <f aca="false">SUM(F82:O82)</f>
        <v>10</v>
      </c>
      <c r="Q82" s="50" t="s">
        <v>397</v>
      </c>
      <c r="R82" s="50" t="s">
        <v>624</v>
      </c>
      <c r="S82" s="50" t="s">
        <v>1612</v>
      </c>
    </row>
    <row r="83" customFormat="false" ht="15" hidden="false" customHeight="true" outlineLevel="0" collapsed="false">
      <c r="A83" s="49" t="str">
        <f aca="false">IFERROR(INDEX(対訳マスタ!$C$2:$C$136,MATCH($Q83,対訳マスタ!$B$2:$B$136,0)),$Q83)</f>
        <v>コミュニケーション言語能力</v>
      </c>
      <c r="B83" s="49" t="str">
        <f aca="false">IF($R83="—","—",IFERROR(INDEX(対訳マスタ!$C$2:$C$136,MATCH($R83,対訳マスタ!$B$2:$B$136,0)),$R83))</f>
        <v>—</v>
      </c>
      <c r="C83" s="49" t="str">
        <f aca="false">IF($S83="—","—",IFERROR(INDEX(対訳マスタ!$C$2:$C$136,MATCH($S83,対訳マスタ!$B$2:$B$136,0)),$S83))</f>
        <v>語用能力</v>
      </c>
      <c r="D83" s="49" t="str">
        <f aca="false">IFERROR(INDEX(対訳マスタ!$C$2:$C$136,MATCH($E83,対訳マスタ!$B$2:$B$136,0)),$E83)</f>
        <v>主題の展開</v>
      </c>
      <c r="E83" s="50" t="s">
        <v>1627</v>
      </c>
      <c r="F83" s="49" t="n">
        <f aca="false">COUNTIFS(Data!$B$2:$B$1833,$Q83,Data!$C$2:$C$1833,$R83,Data!$D$2:$D$1833,$S83,Data!$E$2:$E$1833,$E83,Data!$F$2:$F$1833,F$1,Data!$H$2:$H$1833,1)</f>
        <v>0</v>
      </c>
      <c r="G83" s="49" t="n">
        <f aca="false">COUNTIFS(Data!$B$2:$B$1833,$Q83,Data!$C$2:$C$1833,$R83,Data!$D$2:$D$1833,$S83,Data!$E$2:$E$1833,$E83,Data!$F$2:$F$1833,G$1,Data!$H$2:$H$1833,1)</f>
        <v>0</v>
      </c>
      <c r="H83" s="49" t="n">
        <f aca="false">COUNTIFS(Data!$B$2:$B$1833,$Q83,Data!$C$2:$C$1833,$R83,Data!$D$2:$D$1833,$S83,Data!$E$2:$E$1833,$E83,Data!$F$2:$F$1833,H$1,Data!$H$2:$H$1833,1)</f>
        <v>0</v>
      </c>
      <c r="I83" s="49" t="n">
        <f aca="false">COUNTIFS(Data!$B$2:$B$1833,$Q83,Data!$C$2:$C$1833,$R83,Data!$D$2:$D$1833,$S83,Data!$E$2:$E$1833,$E83,Data!$F$2:$F$1833,I$1,Data!$H$2:$H$1833,1)</f>
        <v>2</v>
      </c>
      <c r="J83" s="49" t="n">
        <f aca="false">COUNTIFS(Data!$B$2:$B$1833,$Q83,Data!$C$2:$C$1833,$R83,Data!$D$2:$D$1833,$S83,Data!$E$2:$E$1833,$E83,Data!$F$2:$F$1833,J$1,Data!$H$2:$H$1833,1)</f>
        <v>2</v>
      </c>
      <c r="K83" s="49" t="n">
        <f aca="false">COUNTIFS(Data!$B$2:$B$1833,$Q83,Data!$C$2:$C$1833,$R83,Data!$D$2:$D$1833,$S83,Data!$E$2:$E$1833,$E83,Data!$F$2:$F$1833,K$1,Data!$H$2:$H$1833,1)</f>
        <v>2</v>
      </c>
      <c r="L83" s="49" t="n">
        <f aca="false">COUNTIFS(Data!$B$2:$B$1833,$Q83,Data!$C$2:$C$1833,$R83,Data!$D$2:$D$1833,$S83,Data!$E$2:$E$1833,$E83,Data!$F$2:$F$1833,L$1,Data!$H$2:$H$1833,1)</f>
        <v>5</v>
      </c>
      <c r="M83" s="49" t="n">
        <f aca="false">COUNTIFS(Data!$B$2:$B$1833,$Q83,Data!$C$2:$C$1833,$R83,Data!$D$2:$D$1833,$S83,Data!$E$2:$E$1833,$E83,Data!$F$2:$F$1833,M$1,Data!$H$2:$H$1833,1)</f>
        <v>2</v>
      </c>
      <c r="N83" s="49" t="n">
        <f aca="false">COUNTIFS(Data!$B$2:$B$1833,$Q83,Data!$C$2:$C$1833,$R83,Data!$D$2:$D$1833,$S83,Data!$E$2:$E$1833,$E83,Data!$F$2:$F$1833,N$1,Data!$H$2:$H$1833,1)</f>
        <v>4</v>
      </c>
      <c r="O83" s="49" t="n">
        <f aca="false">COUNTIFS(Data!$B$2:$B$1833,$Q83,Data!$C$2:$C$1833,$R83,Data!$D$2:$D$1833,$S83,Data!$E$2:$E$1833,$E83,Data!$F$2:$F$1833,O$1,Data!$H$2:$H$1833,1)</f>
        <v>1</v>
      </c>
      <c r="P83" s="49" t="n">
        <f aca="false">SUM(F83:O83)</f>
        <v>18</v>
      </c>
      <c r="Q83" s="50" t="s">
        <v>397</v>
      </c>
      <c r="R83" s="50" t="s">
        <v>624</v>
      </c>
      <c r="S83" s="50" t="s">
        <v>1612</v>
      </c>
    </row>
    <row r="84" customFormat="false" ht="15" hidden="false" customHeight="true" outlineLevel="0" collapsed="false">
      <c r="A84" s="49" t="str">
        <f aca="false">IFERROR(INDEX(対訳マスタ!$C$2:$C$136,MATCH($Q84,対訳マスタ!$B$2:$B$136,0)),$Q84)</f>
        <v>コミュニケーション言語能力</v>
      </c>
      <c r="B84" s="49" t="str">
        <f aca="false">IF($R84="—","—",IFERROR(INDEX(対訳マスタ!$C$2:$C$136,MATCH($R84,対訳マスタ!$B$2:$B$136,0)),$R84))</f>
        <v>—</v>
      </c>
      <c r="C84" s="49" t="str">
        <f aca="false">IF($S84="—","—",IFERROR(INDEX(対訳マスタ!$C$2:$C$136,MATCH($S84,対訳マスタ!$B$2:$B$136,0)),$S84))</f>
        <v>語用能力</v>
      </c>
      <c r="D84" s="49" t="str">
        <f aca="false">IFERROR(INDEX(対訳マスタ!$C$2:$C$136,MATCH($E84,対訳マスタ!$B$2:$B$136,0)),$E84)</f>
        <v>一貫性と結束性</v>
      </c>
      <c r="E84" s="50" t="s">
        <v>1640</v>
      </c>
      <c r="F84" s="49" t="n">
        <f aca="false">COUNTIFS(Data!$B$2:$B$1833,$Q84,Data!$C$2:$C$1833,$R84,Data!$D$2:$D$1833,$S84,Data!$E$2:$E$1833,$E84,Data!$F$2:$F$1833,F$1,Data!$H$2:$H$1833,1)</f>
        <v>0</v>
      </c>
      <c r="G84" s="49" t="n">
        <f aca="false">COUNTIFS(Data!$B$2:$B$1833,$Q84,Data!$C$2:$C$1833,$R84,Data!$D$2:$D$1833,$S84,Data!$E$2:$E$1833,$E84,Data!$F$2:$F$1833,G$1,Data!$H$2:$H$1833,1)</f>
        <v>1</v>
      </c>
      <c r="H84" s="49" t="n">
        <f aca="false">COUNTIFS(Data!$B$2:$B$1833,$Q84,Data!$C$2:$C$1833,$R84,Data!$D$2:$D$1833,$S84,Data!$E$2:$E$1833,$E84,Data!$F$2:$F$1833,H$1,Data!$H$2:$H$1833,1)</f>
        <v>1</v>
      </c>
      <c r="I84" s="49" t="n">
        <f aca="false">COUNTIFS(Data!$B$2:$B$1833,$Q84,Data!$C$2:$C$1833,$R84,Data!$D$2:$D$1833,$S84,Data!$E$2:$E$1833,$E84,Data!$F$2:$F$1833,I$1,Data!$H$2:$H$1833,1)</f>
        <v>1</v>
      </c>
      <c r="J84" s="49" t="n">
        <f aca="false">COUNTIFS(Data!$B$2:$B$1833,$Q84,Data!$C$2:$C$1833,$R84,Data!$D$2:$D$1833,$S84,Data!$E$2:$E$1833,$E84,Data!$F$2:$F$1833,J$1,Data!$H$2:$H$1833,1)</f>
        <v>3</v>
      </c>
      <c r="K84" s="49" t="n">
        <f aca="false">COUNTIFS(Data!$B$2:$B$1833,$Q84,Data!$C$2:$C$1833,$R84,Data!$D$2:$D$1833,$S84,Data!$E$2:$E$1833,$E84,Data!$F$2:$F$1833,K$1,Data!$H$2:$H$1833,1)</f>
        <v>1</v>
      </c>
      <c r="L84" s="49" t="n">
        <f aca="false">COUNTIFS(Data!$B$2:$B$1833,$Q84,Data!$C$2:$C$1833,$R84,Data!$D$2:$D$1833,$S84,Data!$E$2:$E$1833,$E84,Data!$F$2:$F$1833,L$1,Data!$H$2:$H$1833,1)</f>
        <v>3</v>
      </c>
      <c r="M84" s="49" t="n">
        <f aca="false">COUNTIFS(Data!$B$2:$B$1833,$Q84,Data!$C$2:$C$1833,$R84,Data!$D$2:$D$1833,$S84,Data!$E$2:$E$1833,$E84,Data!$F$2:$F$1833,M$1,Data!$H$2:$H$1833,1)</f>
        <v>1</v>
      </c>
      <c r="N84" s="49" t="n">
        <f aca="false">COUNTIFS(Data!$B$2:$B$1833,$Q84,Data!$C$2:$C$1833,$R84,Data!$D$2:$D$1833,$S84,Data!$E$2:$E$1833,$E84,Data!$F$2:$F$1833,N$1,Data!$H$2:$H$1833,1)</f>
        <v>2</v>
      </c>
      <c r="O84" s="49" t="n">
        <f aca="false">COUNTIFS(Data!$B$2:$B$1833,$Q84,Data!$C$2:$C$1833,$R84,Data!$D$2:$D$1833,$S84,Data!$E$2:$E$1833,$E84,Data!$F$2:$F$1833,O$1,Data!$H$2:$H$1833,1)</f>
        <v>1</v>
      </c>
      <c r="P84" s="49" t="n">
        <f aca="false">SUM(F84:O84)</f>
        <v>14</v>
      </c>
      <c r="Q84" s="50" t="s">
        <v>397</v>
      </c>
      <c r="R84" s="50" t="s">
        <v>624</v>
      </c>
      <c r="S84" s="50" t="s">
        <v>1612</v>
      </c>
    </row>
    <row r="85" customFormat="false" ht="15" hidden="false" customHeight="true" outlineLevel="0" collapsed="false">
      <c r="A85" s="49" t="str">
        <f aca="false">IFERROR(INDEX(対訳マスタ!$C$2:$C$136,MATCH($Q85,対訳マスタ!$B$2:$B$136,0)),$Q85)</f>
        <v>コミュニケーション言語能力</v>
      </c>
      <c r="B85" s="49" t="str">
        <f aca="false">IF($R85="—","—",IFERROR(INDEX(対訳マスタ!$C$2:$C$136,MATCH($R85,対訳マスタ!$B$2:$B$136,0)),$R85))</f>
        <v>—</v>
      </c>
      <c r="C85" s="49" t="str">
        <f aca="false">IF($S85="—","—",IFERROR(INDEX(対訳マスタ!$C$2:$C$136,MATCH($S85,対訳マスタ!$B$2:$B$136,0)),$S85))</f>
        <v>語用能力</v>
      </c>
      <c r="D85" s="49" t="str">
        <f aca="false">IFERROR(INDEX(対訳マスタ!$C$2:$C$136,MATCH($E85,対訳マスタ!$B$2:$B$136,0)),$E85)</f>
        <v>命題の精密さ（言いたいことの精度）</v>
      </c>
      <c r="E85" s="50" t="s">
        <v>1655</v>
      </c>
      <c r="F85" s="49" t="n">
        <f aca="false">COUNTIFS(Data!$B$2:$B$1833,$Q85,Data!$C$2:$C$1833,$R85,Data!$D$2:$D$1833,$S85,Data!$E$2:$E$1833,$E85,Data!$F$2:$F$1833,F$1,Data!$H$2:$H$1833,1)</f>
        <v>1</v>
      </c>
      <c r="G85" s="49" t="n">
        <f aca="false">COUNTIFS(Data!$B$2:$B$1833,$Q85,Data!$C$2:$C$1833,$R85,Data!$D$2:$D$1833,$S85,Data!$E$2:$E$1833,$E85,Data!$F$2:$F$1833,G$1,Data!$H$2:$H$1833,1)</f>
        <v>1</v>
      </c>
      <c r="H85" s="49" t="n">
        <f aca="false">COUNTIFS(Data!$B$2:$B$1833,$Q85,Data!$C$2:$C$1833,$R85,Data!$D$2:$D$1833,$S85,Data!$E$2:$E$1833,$E85,Data!$F$2:$F$1833,H$1,Data!$H$2:$H$1833,1)</f>
        <v>1</v>
      </c>
      <c r="I85" s="49" t="n">
        <f aca="false">COUNTIFS(Data!$B$2:$B$1833,$Q85,Data!$C$2:$C$1833,$R85,Data!$D$2:$D$1833,$S85,Data!$E$2:$E$1833,$E85,Data!$F$2:$F$1833,I$1,Data!$H$2:$H$1833,1)</f>
        <v>0</v>
      </c>
      <c r="J85" s="49" t="n">
        <f aca="false">COUNTIFS(Data!$B$2:$B$1833,$Q85,Data!$C$2:$C$1833,$R85,Data!$D$2:$D$1833,$S85,Data!$E$2:$E$1833,$E85,Data!$F$2:$F$1833,J$1,Data!$H$2:$H$1833,1)</f>
        <v>2</v>
      </c>
      <c r="K85" s="49" t="n">
        <f aca="false">COUNTIFS(Data!$B$2:$B$1833,$Q85,Data!$C$2:$C$1833,$R85,Data!$D$2:$D$1833,$S85,Data!$E$2:$E$1833,$E85,Data!$F$2:$F$1833,K$1,Data!$H$2:$H$1833,1)</f>
        <v>1</v>
      </c>
      <c r="L85" s="49" t="n">
        <f aca="false">COUNTIFS(Data!$B$2:$B$1833,$Q85,Data!$C$2:$C$1833,$R85,Data!$D$2:$D$1833,$S85,Data!$E$2:$E$1833,$E85,Data!$F$2:$F$1833,L$1,Data!$H$2:$H$1833,1)</f>
        <v>2</v>
      </c>
      <c r="M85" s="49" t="n">
        <f aca="false">COUNTIFS(Data!$B$2:$B$1833,$Q85,Data!$C$2:$C$1833,$R85,Data!$D$2:$D$1833,$S85,Data!$E$2:$E$1833,$E85,Data!$F$2:$F$1833,M$1,Data!$H$2:$H$1833,1)</f>
        <v>0</v>
      </c>
      <c r="N85" s="49" t="n">
        <f aca="false">COUNTIFS(Data!$B$2:$B$1833,$Q85,Data!$C$2:$C$1833,$R85,Data!$D$2:$D$1833,$S85,Data!$E$2:$E$1833,$E85,Data!$F$2:$F$1833,N$1,Data!$H$2:$H$1833,1)</f>
        <v>2</v>
      </c>
      <c r="O85" s="49" t="n">
        <f aca="false">COUNTIFS(Data!$B$2:$B$1833,$Q85,Data!$C$2:$C$1833,$R85,Data!$D$2:$D$1833,$S85,Data!$E$2:$E$1833,$E85,Data!$F$2:$F$1833,O$1,Data!$H$2:$H$1833,1)</f>
        <v>2</v>
      </c>
      <c r="P85" s="49" t="n">
        <f aca="false">SUM(F85:O85)</f>
        <v>12</v>
      </c>
      <c r="Q85" s="50" t="s">
        <v>397</v>
      </c>
      <c r="R85" s="50" t="s">
        <v>624</v>
      </c>
      <c r="S85" s="50" t="s">
        <v>1612</v>
      </c>
    </row>
    <row r="86" customFormat="false" ht="15" hidden="false" customHeight="true" outlineLevel="0" collapsed="false">
      <c r="A86" s="49" t="str">
        <f aca="false">IFERROR(INDEX(対訳マスタ!$C$2:$C$136,MATCH($Q86,対訳マスタ!$B$2:$B$136,0)),$Q86)</f>
        <v>コミュニケーション言語能力</v>
      </c>
      <c r="B86" s="49" t="str">
        <f aca="false">IF($R86="—","—",IFERROR(INDEX(対訳マスタ!$C$2:$C$136,MATCH($R86,対訳マスタ!$B$2:$B$136,0)),$R86))</f>
        <v>—</v>
      </c>
      <c r="C86" s="49" t="str">
        <f aca="false">IF($S86="—","—",IFERROR(INDEX(対訳マスタ!$C$2:$C$136,MATCH($S86,対訳マスタ!$B$2:$B$136,0)),$S86))</f>
        <v>語用能力</v>
      </c>
      <c r="D86" s="49" t="str">
        <f aca="false">IFERROR(INDEX(対訳マスタ!$C$2:$C$136,MATCH($E86,対訳マスタ!$B$2:$B$136,0)),$E86)</f>
        <v>流暢さ</v>
      </c>
      <c r="E86" s="50" t="s">
        <v>1666</v>
      </c>
      <c r="F86" s="49" t="n">
        <f aca="false">COUNTIFS(Data!$B$2:$B$1833,$Q86,Data!$C$2:$C$1833,$R86,Data!$D$2:$D$1833,$S86,Data!$E$2:$E$1833,$E86,Data!$F$2:$F$1833,F$1,Data!$H$2:$H$1833,1)</f>
        <v>1</v>
      </c>
      <c r="G86" s="49" t="n">
        <f aca="false">COUNTIFS(Data!$B$2:$B$1833,$Q86,Data!$C$2:$C$1833,$R86,Data!$D$2:$D$1833,$S86,Data!$E$2:$E$1833,$E86,Data!$F$2:$F$1833,G$1,Data!$H$2:$H$1833,1)</f>
        <v>1</v>
      </c>
      <c r="H86" s="49" t="n">
        <f aca="false">COUNTIFS(Data!$B$2:$B$1833,$Q86,Data!$C$2:$C$1833,$R86,Data!$D$2:$D$1833,$S86,Data!$E$2:$E$1833,$E86,Data!$F$2:$F$1833,H$1,Data!$H$2:$H$1833,1)</f>
        <v>1</v>
      </c>
      <c r="I86" s="49" t="n">
        <f aca="false">COUNTIFS(Data!$B$2:$B$1833,$Q86,Data!$C$2:$C$1833,$R86,Data!$D$2:$D$1833,$S86,Data!$E$2:$E$1833,$E86,Data!$F$2:$F$1833,I$1,Data!$H$2:$H$1833,1)</f>
        <v>1</v>
      </c>
      <c r="J86" s="49" t="n">
        <f aca="false">COUNTIFS(Data!$B$2:$B$1833,$Q86,Data!$C$2:$C$1833,$R86,Data!$D$2:$D$1833,$S86,Data!$E$2:$E$1833,$E86,Data!$F$2:$F$1833,J$1,Data!$H$2:$H$1833,1)</f>
        <v>1</v>
      </c>
      <c r="K86" s="49" t="n">
        <f aca="false">COUNTIFS(Data!$B$2:$B$1833,$Q86,Data!$C$2:$C$1833,$R86,Data!$D$2:$D$1833,$S86,Data!$E$2:$E$1833,$E86,Data!$F$2:$F$1833,K$1,Data!$H$2:$H$1833,1)</f>
        <v>1</v>
      </c>
      <c r="L86" s="49" t="n">
        <f aca="false">COUNTIFS(Data!$B$2:$B$1833,$Q86,Data!$C$2:$C$1833,$R86,Data!$D$2:$D$1833,$S86,Data!$E$2:$E$1833,$E86,Data!$F$2:$F$1833,L$1,Data!$H$2:$H$1833,1)</f>
        <v>2</v>
      </c>
      <c r="M86" s="49" t="n">
        <f aca="false">COUNTIFS(Data!$B$2:$B$1833,$Q86,Data!$C$2:$C$1833,$R86,Data!$D$2:$D$1833,$S86,Data!$E$2:$E$1833,$E86,Data!$F$2:$F$1833,M$1,Data!$H$2:$H$1833,1)</f>
        <v>1</v>
      </c>
      <c r="N86" s="49" t="n">
        <f aca="false">COUNTIFS(Data!$B$2:$B$1833,$Q86,Data!$C$2:$C$1833,$R86,Data!$D$2:$D$1833,$S86,Data!$E$2:$E$1833,$E86,Data!$F$2:$F$1833,N$1,Data!$H$2:$H$1833,1)</f>
        <v>1</v>
      </c>
      <c r="O86" s="49" t="n">
        <f aca="false">COUNTIFS(Data!$B$2:$B$1833,$Q86,Data!$C$2:$C$1833,$R86,Data!$D$2:$D$1833,$S86,Data!$E$2:$E$1833,$E86,Data!$F$2:$F$1833,O$1,Data!$H$2:$H$1833,1)</f>
        <v>1</v>
      </c>
      <c r="P86" s="49" t="n">
        <f aca="false">SUM(F86:O86)</f>
        <v>11</v>
      </c>
      <c r="Q86" s="50" t="s">
        <v>397</v>
      </c>
      <c r="R86" s="50" t="s">
        <v>624</v>
      </c>
      <c r="S86" s="50" t="s">
        <v>1612</v>
      </c>
    </row>
    <row r="87" customFormat="false" ht="15" hidden="false" customHeight="true" outlineLevel="0" collapsed="false">
      <c r="A87" s="64" t="str">
        <f aca="false">IFERROR(INDEX(対訳マスタ!$C$2:$C$136,MATCH($Q87,対訳マスタ!$B$2:$B$136,0)),$Q87)</f>
        <v>手話能力</v>
      </c>
      <c r="B87" s="64" t="str">
        <f aca="false">IF($R87="—","—",IFERROR(INDEX(対訳マスタ!$C$2:$C$136,MATCH($R87,対訳マスタ!$B$2:$B$136,0)),$R87))</f>
        <v>受容</v>
      </c>
      <c r="C87" s="64" t="str">
        <f aca="false">IF($S87="—","—",IFERROR(INDEX(対訳マスタ!$C$2:$C$136,MATCH($S87,対訳マスタ!$B$2:$B$136,0)),$S87))</f>
        <v>言語能力</v>
      </c>
      <c r="D87" s="64" t="str">
        <f aca="false">IFERROR(INDEX(対訳マスタ!$C$2:$C$136,MATCH($E87,対訳マスタ!$B$2:$B$136,0)),$E87)</f>
        <v>手話レパートリー</v>
      </c>
      <c r="E87" s="65" t="s">
        <v>1678</v>
      </c>
      <c r="F87" s="64" t="n">
        <f aca="false">COUNTIFS(Data!$B$2:$B$1833,$Q87,Data!$C$2:$C$1833,$R87,Data!$D$2:$D$1833,$S87,Data!$E$2:$E$1833,$E87,Data!$F$2:$F$1833,F$1,Data!$H$2:$H$1833,1)</f>
        <v>0</v>
      </c>
      <c r="G87" s="64" t="n">
        <f aca="false">COUNTIFS(Data!$B$2:$B$1833,$Q87,Data!$C$2:$C$1833,$R87,Data!$D$2:$D$1833,$S87,Data!$E$2:$E$1833,$E87,Data!$F$2:$F$1833,G$1,Data!$H$2:$H$1833,1)</f>
        <v>11</v>
      </c>
      <c r="H87" s="64" t="n">
        <f aca="false">COUNTIFS(Data!$B$2:$B$1833,$Q87,Data!$C$2:$C$1833,$R87,Data!$D$2:$D$1833,$S87,Data!$E$2:$E$1833,$E87,Data!$F$2:$F$1833,H$1,Data!$H$2:$H$1833,1)</f>
        <v>6</v>
      </c>
      <c r="I87" s="64" t="n">
        <f aca="false">COUNTIFS(Data!$B$2:$B$1833,$Q87,Data!$C$2:$C$1833,$R87,Data!$D$2:$D$1833,$S87,Data!$E$2:$E$1833,$E87,Data!$F$2:$F$1833,I$1,Data!$H$2:$H$1833,1)</f>
        <v>5</v>
      </c>
      <c r="J87" s="64" t="n">
        <f aca="false">COUNTIFS(Data!$B$2:$B$1833,$Q87,Data!$C$2:$C$1833,$R87,Data!$D$2:$D$1833,$S87,Data!$E$2:$E$1833,$E87,Data!$F$2:$F$1833,J$1,Data!$H$2:$H$1833,1)</f>
        <v>4</v>
      </c>
      <c r="K87" s="64" t="n">
        <f aca="false">COUNTIFS(Data!$B$2:$B$1833,$Q87,Data!$C$2:$C$1833,$R87,Data!$D$2:$D$1833,$S87,Data!$E$2:$E$1833,$E87,Data!$F$2:$F$1833,K$1,Data!$H$2:$H$1833,1)</f>
        <v>4</v>
      </c>
      <c r="L87" s="64" t="n">
        <f aca="false">COUNTIFS(Data!$B$2:$B$1833,$Q87,Data!$C$2:$C$1833,$R87,Data!$D$2:$D$1833,$S87,Data!$E$2:$E$1833,$E87,Data!$F$2:$F$1833,L$1,Data!$H$2:$H$1833,1)</f>
        <v>2</v>
      </c>
      <c r="M87" s="64" t="n">
        <f aca="false">COUNTIFS(Data!$B$2:$B$1833,$Q87,Data!$C$2:$C$1833,$R87,Data!$D$2:$D$1833,$S87,Data!$E$2:$E$1833,$E87,Data!$F$2:$F$1833,M$1,Data!$H$2:$H$1833,1)</f>
        <v>4</v>
      </c>
      <c r="N87" s="64" t="n">
        <f aca="false">COUNTIFS(Data!$B$2:$B$1833,$Q87,Data!$C$2:$C$1833,$R87,Data!$D$2:$D$1833,$S87,Data!$E$2:$E$1833,$E87,Data!$F$2:$F$1833,N$1,Data!$H$2:$H$1833,1)</f>
        <v>3</v>
      </c>
      <c r="O87" s="64" t="n">
        <f aca="false">COUNTIFS(Data!$B$2:$B$1833,$Q87,Data!$C$2:$C$1833,$R87,Data!$D$2:$D$1833,$S87,Data!$E$2:$E$1833,$E87,Data!$F$2:$F$1833,O$1,Data!$H$2:$H$1833,1)</f>
        <v>3</v>
      </c>
      <c r="P87" s="64" t="n">
        <f aca="false">SUM(F87:O87)</f>
        <v>42</v>
      </c>
      <c r="Q87" s="50" t="s">
        <v>399</v>
      </c>
      <c r="R87" s="50" t="s">
        <v>408</v>
      </c>
      <c r="S87" s="50" t="s">
        <v>1497</v>
      </c>
    </row>
    <row r="88" customFormat="false" ht="15" hidden="false" customHeight="true" outlineLevel="0" collapsed="false">
      <c r="A88" s="64" t="str">
        <f aca="false">IFERROR(INDEX(対訳マスタ!$C$2:$C$136,MATCH($Q88,対訳マスタ!$B$2:$B$136,0)),$Q88)</f>
        <v>手話能力</v>
      </c>
      <c r="B88" s="64" t="str">
        <f aca="false">IF($R88="—","—",IFERROR(INDEX(対訳マスタ!$C$2:$C$136,MATCH($R88,対訳マスタ!$B$2:$B$136,0)),$R88))</f>
        <v>産出</v>
      </c>
      <c r="C88" s="64" t="str">
        <f aca="false">IF($S88="—","—",IFERROR(INDEX(対訳マスタ!$C$2:$C$136,MATCH($S88,対訳マスタ!$B$2:$B$136,0)),$S88))</f>
        <v>言語能力</v>
      </c>
      <c r="D88" s="64" t="str">
        <f aca="false">IFERROR(INDEX(対訳マスタ!$C$2:$C$136,MATCH($E88,対訳マスタ!$B$2:$B$136,0)),$E88)</f>
        <v>手話レパートリー</v>
      </c>
      <c r="E88" s="65" t="s">
        <v>1678</v>
      </c>
      <c r="F88" s="64" t="n">
        <f aca="false">COUNTIFS(Data!$B$2:$B$1833,$Q88,Data!$C$2:$C$1833,$R88,Data!$D$2:$D$1833,$S88,Data!$E$2:$E$1833,$E88,Data!$F$2:$F$1833,F$1,Data!$H$2:$H$1833,1)</f>
        <v>0</v>
      </c>
      <c r="G88" s="64" t="n">
        <f aca="false">COUNTIFS(Data!$B$2:$B$1833,$Q88,Data!$C$2:$C$1833,$R88,Data!$D$2:$D$1833,$S88,Data!$E$2:$E$1833,$E88,Data!$F$2:$F$1833,G$1,Data!$H$2:$H$1833,1)</f>
        <v>9</v>
      </c>
      <c r="H88" s="64" t="n">
        <f aca="false">COUNTIFS(Data!$B$2:$B$1833,$Q88,Data!$C$2:$C$1833,$R88,Data!$D$2:$D$1833,$S88,Data!$E$2:$E$1833,$E88,Data!$F$2:$F$1833,H$1,Data!$H$2:$H$1833,1)</f>
        <v>6</v>
      </c>
      <c r="I88" s="64" t="n">
        <f aca="false">COUNTIFS(Data!$B$2:$B$1833,$Q88,Data!$C$2:$C$1833,$R88,Data!$D$2:$D$1833,$S88,Data!$E$2:$E$1833,$E88,Data!$F$2:$F$1833,I$1,Data!$H$2:$H$1833,1)</f>
        <v>7</v>
      </c>
      <c r="J88" s="64" t="n">
        <f aca="false">COUNTIFS(Data!$B$2:$B$1833,$Q88,Data!$C$2:$C$1833,$R88,Data!$D$2:$D$1833,$S88,Data!$E$2:$E$1833,$E88,Data!$F$2:$F$1833,J$1,Data!$H$2:$H$1833,1)</f>
        <v>9</v>
      </c>
      <c r="K88" s="64" t="n">
        <f aca="false">COUNTIFS(Data!$B$2:$B$1833,$Q88,Data!$C$2:$C$1833,$R88,Data!$D$2:$D$1833,$S88,Data!$E$2:$E$1833,$E88,Data!$F$2:$F$1833,K$1,Data!$H$2:$H$1833,1)</f>
        <v>6</v>
      </c>
      <c r="L88" s="64" t="n">
        <f aca="false">COUNTIFS(Data!$B$2:$B$1833,$Q88,Data!$C$2:$C$1833,$R88,Data!$D$2:$D$1833,$S88,Data!$E$2:$E$1833,$E88,Data!$F$2:$F$1833,L$1,Data!$H$2:$H$1833,1)</f>
        <v>5</v>
      </c>
      <c r="M88" s="64" t="n">
        <f aca="false">COUNTIFS(Data!$B$2:$B$1833,$Q88,Data!$C$2:$C$1833,$R88,Data!$D$2:$D$1833,$S88,Data!$E$2:$E$1833,$E88,Data!$F$2:$F$1833,M$1,Data!$H$2:$H$1833,1)</f>
        <v>5</v>
      </c>
      <c r="N88" s="64" t="n">
        <f aca="false">COUNTIFS(Data!$B$2:$B$1833,$Q88,Data!$C$2:$C$1833,$R88,Data!$D$2:$D$1833,$S88,Data!$E$2:$E$1833,$E88,Data!$F$2:$F$1833,N$1,Data!$H$2:$H$1833,1)</f>
        <v>6</v>
      </c>
      <c r="O88" s="64" t="n">
        <f aca="false">COUNTIFS(Data!$B$2:$B$1833,$Q88,Data!$C$2:$C$1833,$R88,Data!$D$2:$D$1833,$S88,Data!$E$2:$E$1833,$E88,Data!$F$2:$F$1833,O$1,Data!$H$2:$H$1833,1)</f>
        <v>4</v>
      </c>
      <c r="P88" s="64" t="n">
        <f aca="false">SUM(F88:O88)</f>
        <v>57</v>
      </c>
      <c r="Q88" s="50" t="s">
        <v>399</v>
      </c>
      <c r="R88" s="50" t="s">
        <v>644</v>
      </c>
      <c r="S88" s="50" t="s">
        <v>1497</v>
      </c>
    </row>
    <row r="89" customFormat="false" ht="15" hidden="false" customHeight="true" outlineLevel="0" collapsed="false">
      <c r="A89" s="64" t="str">
        <f aca="false">IFERROR(INDEX(対訳マスタ!$C$2:$C$136,MATCH($Q89,対訳マスタ!$B$2:$B$136,0)),$Q89)</f>
        <v>手話能力</v>
      </c>
      <c r="B89" s="64" t="str">
        <f aca="false">IF($R89="—","—",IFERROR(INDEX(対訳マスタ!$C$2:$C$136,MATCH($R89,対訳マスタ!$B$2:$B$136,0)),$R89))</f>
        <v>受容</v>
      </c>
      <c r="C89" s="64" t="str">
        <f aca="false">IF($S89="—","—",IFERROR(INDEX(対訳マスタ!$C$2:$C$136,MATCH($S89,対訳マスタ!$B$2:$B$136,0)),$S89))</f>
        <v>言語能力</v>
      </c>
      <c r="D89" s="64" t="str">
        <f aca="false">IFERROR(INDEX(対訳マスタ!$C$2:$C$136,MATCH($E89,対訳マスタ!$B$2:$B$136,0)),$E89)</f>
        <v>空間文法の正確さ</v>
      </c>
      <c r="E89" s="65" t="s">
        <v>1778</v>
      </c>
      <c r="F89" s="64" t="n">
        <f aca="false">COUNTIFS(Data!$B$2:$B$1833,$Q89,Data!$C$2:$C$1833,$R89,Data!$D$2:$D$1833,$S89,Data!$E$2:$E$1833,$E89,Data!$F$2:$F$1833,F$1,Data!$H$2:$H$1833,1)</f>
        <v>0</v>
      </c>
      <c r="G89" s="64" t="n">
        <f aca="false">COUNTIFS(Data!$B$2:$B$1833,$Q89,Data!$C$2:$C$1833,$R89,Data!$D$2:$D$1833,$S89,Data!$E$2:$E$1833,$E89,Data!$F$2:$F$1833,G$1,Data!$H$2:$H$1833,1)</f>
        <v>6</v>
      </c>
      <c r="H89" s="64" t="n">
        <f aca="false">COUNTIFS(Data!$B$2:$B$1833,$Q89,Data!$C$2:$C$1833,$R89,Data!$D$2:$D$1833,$S89,Data!$E$2:$E$1833,$E89,Data!$F$2:$F$1833,H$1,Data!$H$2:$H$1833,1)</f>
        <v>7</v>
      </c>
      <c r="I89" s="64" t="n">
        <f aca="false">COUNTIFS(Data!$B$2:$B$1833,$Q89,Data!$C$2:$C$1833,$R89,Data!$D$2:$D$1833,$S89,Data!$E$2:$E$1833,$E89,Data!$F$2:$F$1833,I$1,Data!$H$2:$H$1833,1)</f>
        <v>5</v>
      </c>
      <c r="J89" s="64" t="n">
        <f aca="false">COUNTIFS(Data!$B$2:$B$1833,$Q89,Data!$C$2:$C$1833,$R89,Data!$D$2:$D$1833,$S89,Data!$E$2:$E$1833,$E89,Data!$F$2:$F$1833,J$1,Data!$H$2:$H$1833,1)</f>
        <v>5</v>
      </c>
      <c r="K89" s="64" t="n">
        <f aca="false">COUNTIFS(Data!$B$2:$B$1833,$Q89,Data!$C$2:$C$1833,$R89,Data!$D$2:$D$1833,$S89,Data!$E$2:$E$1833,$E89,Data!$F$2:$F$1833,K$1,Data!$H$2:$H$1833,1)</f>
        <v>2</v>
      </c>
      <c r="L89" s="64" t="n">
        <f aca="false">COUNTIFS(Data!$B$2:$B$1833,$Q89,Data!$C$2:$C$1833,$R89,Data!$D$2:$D$1833,$S89,Data!$E$2:$E$1833,$E89,Data!$F$2:$F$1833,L$1,Data!$H$2:$H$1833,1)</f>
        <v>4</v>
      </c>
      <c r="M89" s="64" t="n">
        <f aca="false">COUNTIFS(Data!$B$2:$B$1833,$Q89,Data!$C$2:$C$1833,$R89,Data!$D$2:$D$1833,$S89,Data!$E$2:$E$1833,$E89,Data!$F$2:$F$1833,M$1,Data!$H$2:$H$1833,1)</f>
        <v>7</v>
      </c>
      <c r="N89" s="64" t="n">
        <f aca="false">COUNTIFS(Data!$B$2:$B$1833,$Q89,Data!$C$2:$C$1833,$R89,Data!$D$2:$D$1833,$S89,Data!$E$2:$E$1833,$E89,Data!$F$2:$F$1833,N$1,Data!$H$2:$H$1833,1)</f>
        <v>0</v>
      </c>
      <c r="O89" s="64" t="n">
        <f aca="false">COUNTIFS(Data!$B$2:$B$1833,$Q89,Data!$C$2:$C$1833,$R89,Data!$D$2:$D$1833,$S89,Data!$E$2:$E$1833,$E89,Data!$F$2:$F$1833,O$1,Data!$H$2:$H$1833,1)</f>
        <v>0</v>
      </c>
      <c r="P89" s="64" t="n">
        <f aca="false">SUM(F89:O89)</f>
        <v>36</v>
      </c>
      <c r="Q89" s="50" t="s">
        <v>399</v>
      </c>
      <c r="R89" s="50" t="s">
        <v>408</v>
      </c>
      <c r="S89" s="50" t="s">
        <v>1497</v>
      </c>
    </row>
    <row r="90" customFormat="false" ht="15" hidden="false" customHeight="true" outlineLevel="0" collapsed="false">
      <c r="A90" s="64" t="str">
        <f aca="false">IFERROR(INDEX(対訳マスタ!$C$2:$C$136,MATCH($Q90,対訳マスタ!$B$2:$B$136,0)),$Q90)</f>
        <v>手話能力</v>
      </c>
      <c r="B90" s="64" t="str">
        <f aca="false">IF($R90="—","—",IFERROR(INDEX(対訳マスタ!$C$2:$C$136,MATCH($R90,対訳マスタ!$B$2:$B$136,0)),$R90))</f>
        <v>産出</v>
      </c>
      <c r="C90" s="64" t="str">
        <f aca="false">IF($S90="—","—",IFERROR(INDEX(対訳マスタ!$C$2:$C$136,MATCH($S90,対訳マスタ!$B$2:$B$136,0)),$S90))</f>
        <v>言語能力</v>
      </c>
      <c r="D90" s="64" t="str">
        <f aca="false">IFERROR(INDEX(対訳マスタ!$C$2:$C$136,MATCH($E90,対訳マスタ!$B$2:$B$136,0)),$E90)</f>
        <v>空間文法の正確さ</v>
      </c>
      <c r="E90" s="65" t="s">
        <v>1778</v>
      </c>
      <c r="F90" s="64" t="n">
        <f aca="false">COUNTIFS(Data!$B$2:$B$1833,$Q90,Data!$C$2:$C$1833,$R90,Data!$D$2:$D$1833,$S90,Data!$E$2:$E$1833,$E90,Data!$F$2:$F$1833,F$1,Data!$H$2:$H$1833,1)</f>
        <v>0</v>
      </c>
      <c r="G90" s="64" t="n">
        <f aca="false">COUNTIFS(Data!$B$2:$B$1833,$Q90,Data!$C$2:$C$1833,$R90,Data!$D$2:$D$1833,$S90,Data!$E$2:$E$1833,$E90,Data!$F$2:$F$1833,G$1,Data!$H$2:$H$1833,1)</f>
        <v>5</v>
      </c>
      <c r="H90" s="64" t="n">
        <f aca="false">COUNTIFS(Data!$B$2:$B$1833,$Q90,Data!$C$2:$C$1833,$R90,Data!$D$2:$D$1833,$S90,Data!$E$2:$E$1833,$E90,Data!$F$2:$F$1833,H$1,Data!$H$2:$H$1833,1)</f>
        <v>6</v>
      </c>
      <c r="I90" s="64" t="n">
        <f aca="false">COUNTIFS(Data!$B$2:$B$1833,$Q90,Data!$C$2:$C$1833,$R90,Data!$D$2:$D$1833,$S90,Data!$E$2:$E$1833,$E90,Data!$F$2:$F$1833,I$1,Data!$H$2:$H$1833,1)</f>
        <v>3</v>
      </c>
      <c r="J90" s="64" t="n">
        <f aca="false">COUNTIFS(Data!$B$2:$B$1833,$Q90,Data!$C$2:$C$1833,$R90,Data!$D$2:$D$1833,$S90,Data!$E$2:$E$1833,$E90,Data!$F$2:$F$1833,J$1,Data!$H$2:$H$1833,1)</f>
        <v>10</v>
      </c>
      <c r="K90" s="64" t="n">
        <f aca="false">COUNTIFS(Data!$B$2:$B$1833,$Q90,Data!$C$2:$C$1833,$R90,Data!$D$2:$D$1833,$S90,Data!$E$2:$E$1833,$E90,Data!$F$2:$F$1833,K$1,Data!$H$2:$H$1833,1)</f>
        <v>7</v>
      </c>
      <c r="L90" s="64" t="n">
        <f aca="false">COUNTIFS(Data!$B$2:$B$1833,$Q90,Data!$C$2:$C$1833,$R90,Data!$D$2:$D$1833,$S90,Data!$E$2:$E$1833,$E90,Data!$F$2:$F$1833,L$1,Data!$H$2:$H$1833,1)</f>
        <v>9</v>
      </c>
      <c r="M90" s="64" t="n">
        <f aca="false">COUNTIFS(Data!$B$2:$B$1833,$Q90,Data!$C$2:$C$1833,$R90,Data!$D$2:$D$1833,$S90,Data!$E$2:$E$1833,$E90,Data!$F$2:$F$1833,M$1,Data!$H$2:$H$1833,1)</f>
        <v>2</v>
      </c>
      <c r="N90" s="64" t="n">
        <f aca="false">COUNTIFS(Data!$B$2:$B$1833,$Q90,Data!$C$2:$C$1833,$R90,Data!$D$2:$D$1833,$S90,Data!$E$2:$E$1833,$E90,Data!$F$2:$F$1833,N$1,Data!$H$2:$H$1833,1)</f>
        <v>0</v>
      </c>
      <c r="O90" s="64" t="n">
        <f aca="false">COUNTIFS(Data!$B$2:$B$1833,$Q90,Data!$C$2:$C$1833,$R90,Data!$D$2:$D$1833,$S90,Data!$E$2:$E$1833,$E90,Data!$F$2:$F$1833,O$1,Data!$H$2:$H$1833,1)</f>
        <v>0</v>
      </c>
      <c r="P90" s="64" t="n">
        <f aca="false">SUM(F90:O90)</f>
        <v>42</v>
      </c>
      <c r="Q90" s="50" t="s">
        <v>399</v>
      </c>
      <c r="R90" s="50" t="s">
        <v>644</v>
      </c>
      <c r="S90" s="50" t="s">
        <v>1497</v>
      </c>
    </row>
    <row r="91" customFormat="false" ht="15" hidden="false" customHeight="true" outlineLevel="0" collapsed="false">
      <c r="A91" s="64" t="str">
        <f aca="false">IFERROR(INDEX(対訳マスタ!$C$2:$C$136,MATCH($Q91,対訳マスタ!$B$2:$B$136,0)),$Q91)</f>
        <v>手話能力</v>
      </c>
      <c r="B91" s="64" t="str">
        <f aca="false">IF($R91="—","—",IFERROR(INDEX(対訳マスタ!$C$2:$C$136,MATCH($R91,対訳マスタ!$B$2:$B$136,0)),$R91))</f>
        <v>受容</v>
      </c>
      <c r="C91" s="64" t="str">
        <f aca="false">IF($S91="—","—",IFERROR(INDEX(対訳マスタ!$C$2:$C$136,MATCH($S91,対訳マスタ!$B$2:$B$136,0)),$S91))</f>
        <v>社会言語能力</v>
      </c>
      <c r="D91" s="64" t="str">
        <f aca="false">IFERROR(INDEX(対訳マスタ!$C$2:$C$136,MATCH($E91,対訳マスタ!$B$2:$B$136,0)),$E91)</f>
        <v>社会言語的適切さと文化レパートリー</v>
      </c>
      <c r="E91" s="65" t="s">
        <v>1858</v>
      </c>
      <c r="F91" s="64" t="n">
        <f aca="false">COUNTIFS(Data!$B$2:$B$1833,$Q91,Data!$C$2:$C$1833,$R91,Data!$D$2:$D$1833,$S91,Data!$E$2:$E$1833,$E91,Data!$F$2:$F$1833,F$1,Data!$H$2:$H$1833,1)</f>
        <v>0</v>
      </c>
      <c r="G91" s="64" t="n">
        <f aca="false">COUNTIFS(Data!$B$2:$B$1833,$Q91,Data!$C$2:$C$1833,$R91,Data!$D$2:$D$1833,$S91,Data!$E$2:$E$1833,$E91,Data!$F$2:$F$1833,G$1,Data!$H$2:$H$1833,1)</f>
        <v>1</v>
      </c>
      <c r="H91" s="64" t="n">
        <f aca="false">COUNTIFS(Data!$B$2:$B$1833,$Q91,Data!$C$2:$C$1833,$R91,Data!$D$2:$D$1833,$S91,Data!$E$2:$E$1833,$E91,Data!$F$2:$F$1833,H$1,Data!$H$2:$H$1833,1)</f>
        <v>2</v>
      </c>
      <c r="I91" s="64" t="n">
        <f aca="false">COUNTIFS(Data!$B$2:$B$1833,$Q91,Data!$C$2:$C$1833,$R91,Data!$D$2:$D$1833,$S91,Data!$E$2:$E$1833,$E91,Data!$F$2:$F$1833,I$1,Data!$H$2:$H$1833,1)</f>
        <v>2</v>
      </c>
      <c r="J91" s="64" t="n">
        <f aca="false">COUNTIFS(Data!$B$2:$B$1833,$Q91,Data!$C$2:$C$1833,$R91,Data!$D$2:$D$1833,$S91,Data!$E$2:$E$1833,$E91,Data!$F$2:$F$1833,J$1,Data!$H$2:$H$1833,1)</f>
        <v>1</v>
      </c>
      <c r="K91" s="64" t="n">
        <f aca="false">COUNTIFS(Data!$B$2:$B$1833,$Q91,Data!$C$2:$C$1833,$R91,Data!$D$2:$D$1833,$S91,Data!$E$2:$E$1833,$E91,Data!$F$2:$F$1833,K$1,Data!$H$2:$H$1833,1)</f>
        <v>1</v>
      </c>
      <c r="L91" s="64" t="n">
        <f aca="false">COUNTIFS(Data!$B$2:$B$1833,$Q91,Data!$C$2:$C$1833,$R91,Data!$D$2:$D$1833,$S91,Data!$E$2:$E$1833,$E91,Data!$F$2:$F$1833,L$1,Data!$H$2:$H$1833,1)</f>
        <v>5</v>
      </c>
      <c r="M91" s="64" t="n">
        <f aca="false">COUNTIFS(Data!$B$2:$B$1833,$Q91,Data!$C$2:$C$1833,$R91,Data!$D$2:$D$1833,$S91,Data!$E$2:$E$1833,$E91,Data!$F$2:$F$1833,M$1,Data!$H$2:$H$1833,1)</f>
        <v>5</v>
      </c>
      <c r="N91" s="64" t="n">
        <f aca="false">COUNTIFS(Data!$B$2:$B$1833,$Q91,Data!$C$2:$C$1833,$R91,Data!$D$2:$D$1833,$S91,Data!$E$2:$E$1833,$E91,Data!$F$2:$F$1833,N$1,Data!$H$2:$H$1833,1)</f>
        <v>6</v>
      </c>
      <c r="O91" s="64" t="n">
        <f aca="false">COUNTIFS(Data!$B$2:$B$1833,$Q91,Data!$C$2:$C$1833,$R91,Data!$D$2:$D$1833,$S91,Data!$E$2:$E$1833,$E91,Data!$F$2:$F$1833,O$1,Data!$H$2:$H$1833,1)</f>
        <v>2</v>
      </c>
      <c r="P91" s="64" t="n">
        <f aca="false">SUM(F91:O91)</f>
        <v>25</v>
      </c>
      <c r="Q91" s="50" t="s">
        <v>399</v>
      </c>
      <c r="R91" s="50" t="s">
        <v>408</v>
      </c>
      <c r="S91" s="50" t="s">
        <v>1588</v>
      </c>
    </row>
    <row r="92" customFormat="false" ht="15" hidden="false" customHeight="true" outlineLevel="0" collapsed="false">
      <c r="A92" s="64" t="str">
        <f aca="false">IFERROR(INDEX(対訳マスタ!$C$2:$C$136,MATCH($Q92,対訳マスタ!$B$2:$B$136,0)),$Q92)</f>
        <v>手話能力</v>
      </c>
      <c r="B92" s="64" t="str">
        <f aca="false">IF($R92="—","—",IFERROR(INDEX(対訳マスタ!$C$2:$C$136,MATCH($R92,対訳マスタ!$B$2:$B$136,0)),$R92))</f>
        <v>産出</v>
      </c>
      <c r="C92" s="64" t="str">
        <f aca="false">IF($S92="—","—",IFERROR(INDEX(対訳マスタ!$C$2:$C$136,MATCH($S92,対訳マスタ!$B$2:$B$136,0)),$S92))</f>
        <v>社会言語能力</v>
      </c>
      <c r="D92" s="64" t="str">
        <f aca="false">IFERROR(INDEX(対訳マスタ!$C$2:$C$136,MATCH($E92,対訳マスタ!$B$2:$B$136,0)),$E92)</f>
        <v>社会言語的適切さと文化レパートリー</v>
      </c>
      <c r="E92" s="65" t="s">
        <v>1858</v>
      </c>
      <c r="F92" s="64" t="n">
        <f aca="false">COUNTIFS(Data!$B$2:$B$1833,$Q92,Data!$C$2:$C$1833,$R92,Data!$D$2:$D$1833,$S92,Data!$E$2:$E$1833,$E92,Data!$F$2:$F$1833,F$1,Data!$H$2:$H$1833,1)</f>
        <v>0</v>
      </c>
      <c r="G92" s="64" t="n">
        <f aca="false">COUNTIFS(Data!$B$2:$B$1833,$Q92,Data!$C$2:$C$1833,$R92,Data!$D$2:$D$1833,$S92,Data!$E$2:$E$1833,$E92,Data!$F$2:$F$1833,G$1,Data!$H$2:$H$1833,1)</f>
        <v>8</v>
      </c>
      <c r="H92" s="64" t="n">
        <f aca="false">COUNTIFS(Data!$B$2:$B$1833,$Q92,Data!$C$2:$C$1833,$R92,Data!$D$2:$D$1833,$S92,Data!$E$2:$E$1833,$E92,Data!$F$2:$F$1833,H$1,Data!$H$2:$H$1833,1)</f>
        <v>3</v>
      </c>
      <c r="I92" s="64" t="n">
        <f aca="false">COUNTIFS(Data!$B$2:$B$1833,$Q92,Data!$C$2:$C$1833,$R92,Data!$D$2:$D$1833,$S92,Data!$E$2:$E$1833,$E92,Data!$F$2:$F$1833,I$1,Data!$H$2:$H$1833,1)</f>
        <v>3</v>
      </c>
      <c r="J92" s="64" t="n">
        <f aca="false">COUNTIFS(Data!$B$2:$B$1833,$Q92,Data!$C$2:$C$1833,$R92,Data!$D$2:$D$1833,$S92,Data!$E$2:$E$1833,$E92,Data!$F$2:$F$1833,J$1,Data!$H$2:$H$1833,1)</f>
        <v>4</v>
      </c>
      <c r="K92" s="64" t="n">
        <f aca="false">COUNTIFS(Data!$B$2:$B$1833,$Q92,Data!$C$2:$C$1833,$R92,Data!$D$2:$D$1833,$S92,Data!$E$2:$E$1833,$E92,Data!$F$2:$F$1833,K$1,Data!$H$2:$H$1833,1)</f>
        <v>4</v>
      </c>
      <c r="L92" s="64" t="n">
        <f aca="false">COUNTIFS(Data!$B$2:$B$1833,$Q92,Data!$C$2:$C$1833,$R92,Data!$D$2:$D$1833,$S92,Data!$E$2:$E$1833,$E92,Data!$F$2:$F$1833,L$1,Data!$H$2:$H$1833,1)</f>
        <v>2</v>
      </c>
      <c r="M92" s="64" t="n">
        <f aca="false">COUNTIFS(Data!$B$2:$B$1833,$Q92,Data!$C$2:$C$1833,$R92,Data!$D$2:$D$1833,$S92,Data!$E$2:$E$1833,$E92,Data!$F$2:$F$1833,M$1,Data!$H$2:$H$1833,1)</f>
        <v>3</v>
      </c>
      <c r="N92" s="64" t="n">
        <f aca="false">COUNTIFS(Data!$B$2:$B$1833,$Q92,Data!$C$2:$C$1833,$R92,Data!$D$2:$D$1833,$S92,Data!$E$2:$E$1833,$E92,Data!$F$2:$F$1833,N$1,Data!$H$2:$H$1833,1)</f>
        <v>5</v>
      </c>
      <c r="O92" s="64" t="n">
        <f aca="false">COUNTIFS(Data!$B$2:$B$1833,$Q92,Data!$C$2:$C$1833,$R92,Data!$D$2:$D$1833,$S92,Data!$E$2:$E$1833,$E92,Data!$F$2:$F$1833,O$1,Data!$H$2:$H$1833,1)</f>
        <v>0</v>
      </c>
      <c r="P92" s="64" t="n">
        <f aca="false">SUM(F92:O92)</f>
        <v>32</v>
      </c>
      <c r="Q92" s="50" t="s">
        <v>399</v>
      </c>
      <c r="R92" s="50" t="s">
        <v>644</v>
      </c>
      <c r="S92" s="50" t="s">
        <v>1588</v>
      </c>
    </row>
    <row r="93" customFormat="false" ht="15" hidden="false" customHeight="true" outlineLevel="0" collapsed="false">
      <c r="A93" s="64" t="str">
        <f aca="false">IFERROR(INDEX(対訳マスタ!$C$2:$C$136,MATCH($Q93,対訳マスタ!$B$2:$B$136,0)),$Q93)</f>
        <v>手話能力</v>
      </c>
      <c r="B93" s="64" t="str">
        <f aca="false">IF($R93="—","—",IFERROR(INDEX(対訳マスタ!$C$2:$C$136,MATCH($R93,対訳マスタ!$B$2:$B$136,0)),$R93))</f>
        <v>受容</v>
      </c>
      <c r="C93" s="64" t="str">
        <f aca="false">IF($S93="—","—",IFERROR(INDEX(対訳マスタ!$C$2:$C$136,MATCH($S93,対訳マスタ!$B$2:$B$136,0)),$S93))</f>
        <v>語用能力</v>
      </c>
      <c r="D93" s="64" t="str">
        <f aca="false">IFERROR(INDEX(対訳マスタ!$C$2:$C$136,MATCH($E93,対訳マスタ!$B$2:$B$136,0)),$E93)</f>
        <v>手話テキストの構造</v>
      </c>
      <c r="E93" s="65" t="s">
        <v>1916</v>
      </c>
      <c r="F93" s="64" t="n">
        <f aca="false">COUNTIFS(Data!$B$2:$B$1833,$Q93,Data!$C$2:$C$1833,$R93,Data!$D$2:$D$1833,$S93,Data!$E$2:$E$1833,$E93,Data!$F$2:$F$1833,F$1,Data!$H$2:$H$1833,1)</f>
        <v>0</v>
      </c>
      <c r="G93" s="64" t="n">
        <f aca="false">COUNTIFS(Data!$B$2:$B$1833,$Q93,Data!$C$2:$C$1833,$R93,Data!$D$2:$D$1833,$S93,Data!$E$2:$E$1833,$E93,Data!$F$2:$F$1833,G$1,Data!$H$2:$H$1833,1)</f>
        <v>2</v>
      </c>
      <c r="H93" s="64" t="n">
        <f aca="false">COUNTIFS(Data!$B$2:$B$1833,$Q93,Data!$C$2:$C$1833,$R93,Data!$D$2:$D$1833,$S93,Data!$E$2:$E$1833,$E93,Data!$F$2:$F$1833,H$1,Data!$H$2:$H$1833,1)</f>
        <v>4</v>
      </c>
      <c r="I93" s="64" t="n">
        <f aca="false">COUNTIFS(Data!$B$2:$B$1833,$Q93,Data!$C$2:$C$1833,$R93,Data!$D$2:$D$1833,$S93,Data!$E$2:$E$1833,$E93,Data!$F$2:$F$1833,I$1,Data!$H$2:$H$1833,1)</f>
        <v>0</v>
      </c>
      <c r="J93" s="64" t="n">
        <f aca="false">COUNTIFS(Data!$B$2:$B$1833,$Q93,Data!$C$2:$C$1833,$R93,Data!$D$2:$D$1833,$S93,Data!$E$2:$E$1833,$E93,Data!$F$2:$F$1833,J$1,Data!$H$2:$H$1833,1)</f>
        <v>1</v>
      </c>
      <c r="K93" s="64" t="n">
        <f aca="false">COUNTIFS(Data!$B$2:$B$1833,$Q93,Data!$C$2:$C$1833,$R93,Data!$D$2:$D$1833,$S93,Data!$E$2:$E$1833,$E93,Data!$F$2:$F$1833,K$1,Data!$H$2:$H$1833,1)</f>
        <v>6</v>
      </c>
      <c r="L93" s="64" t="n">
        <f aca="false">COUNTIFS(Data!$B$2:$B$1833,$Q93,Data!$C$2:$C$1833,$R93,Data!$D$2:$D$1833,$S93,Data!$E$2:$E$1833,$E93,Data!$F$2:$F$1833,L$1,Data!$H$2:$H$1833,1)</f>
        <v>5</v>
      </c>
      <c r="M93" s="64" t="n">
        <f aca="false">COUNTIFS(Data!$B$2:$B$1833,$Q93,Data!$C$2:$C$1833,$R93,Data!$D$2:$D$1833,$S93,Data!$E$2:$E$1833,$E93,Data!$F$2:$F$1833,M$1,Data!$H$2:$H$1833,1)</f>
        <v>5</v>
      </c>
      <c r="N93" s="64" t="n">
        <f aca="false">COUNTIFS(Data!$B$2:$B$1833,$Q93,Data!$C$2:$C$1833,$R93,Data!$D$2:$D$1833,$S93,Data!$E$2:$E$1833,$E93,Data!$F$2:$F$1833,N$1,Data!$H$2:$H$1833,1)</f>
        <v>6</v>
      </c>
      <c r="O93" s="64" t="n">
        <f aca="false">COUNTIFS(Data!$B$2:$B$1833,$Q93,Data!$C$2:$C$1833,$R93,Data!$D$2:$D$1833,$S93,Data!$E$2:$E$1833,$E93,Data!$F$2:$F$1833,O$1,Data!$H$2:$H$1833,1)</f>
        <v>4</v>
      </c>
      <c r="P93" s="64" t="n">
        <f aca="false">SUM(F93:O93)</f>
        <v>33</v>
      </c>
      <c r="Q93" s="50" t="s">
        <v>399</v>
      </c>
      <c r="R93" s="50" t="s">
        <v>408</v>
      </c>
      <c r="S93" s="50" t="s">
        <v>1612</v>
      </c>
    </row>
    <row r="94" customFormat="false" ht="15" hidden="false" customHeight="true" outlineLevel="0" collapsed="false">
      <c r="A94" s="64" t="str">
        <f aca="false">IFERROR(INDEX(対訳マスタ!$C$2:$C$136,MATCH($Q94,対訳マスタ!$B$2:$B$136,0)),$Q94)</f>
        <v>手話能力</v>
      </c>
      <c r="B94" s="64" t="str">
        <f aca="false">IF($R94="—","—",IFERROR(INDEX(対訳マスタ!$C$2:$C$136,MATCH($R94,対訳マスタ!$B$2:$B$136,0)),$R94))</f>
        <v>産出</v>
      </c>
      <c r="C94" s="64" t="str">
        <f aca="false">IF($S94="—","—",IFERROR(INDEX(対訳マスタ!$C$2:$C$136,MATCH($S94,対訳マスタ!$B$2:$B$136,0)),$S94))</f>
        <v>語用能力</v>
      </c>
      <c r="D94" s="64" t="str">
        <f aca="false">IFERROR(INDEX(対訳マスタ!$C$2:$C$136,MATCH($E94,対訳マスタ!$B$2:$B$136,0)),$E94)</f>
        <v>手話テキストの構造</v>
      </c>
      <c r="E94" s="65" t="s">
        <v>1916</v>
      </c>
      <c r="F94" s="64" t="n">
        <f aca="false">COUNTIFS(Data!$B$2:$B$1833,$Q94,Data!$C$2:$C$1833,$R94,Data!$D$2:$D$1833,$S94,Data!$E$2:$E$1833,$E94,Data!$F$2:$F$1833,F$1,Data!$H$2:$H$1833,1)</f>
        <v>0</v>
      </c>
      <c r="G94" s="64" t="n">
        <f aca="false">COUNTIFS(Data!$B$2:$B$1833,$Q94,Data!$C$2:$C$1833,$R94,Data!$D$2:$D$1833,$S94,Data!$E$2:$E$1833,$E94,Data!$F$2:$F$1833,G$1,Data!$H$2:$H$1833,1)</f>
        <v>0</v>
      </c>
      <c r="H94" s="64" t="n">
        <f aca="false">COUNTIFS(Data!$B$2:$B$1833,$Q94,Data!$C$2:$C$1833,$R94,Data!$D$2:$D$1833,$S94,Data!$E$2:$E$1833,$E94,Data!$F$2:$F$1833,H$1,Data!$H$2:$H$1833,1)</f>
        <v>1</v>
      </c>
      <c r="I94" s="64" t="n">
        <f aca="false">COUNTIFS(Data!$B$2:$B$1833,$Q94,Data!$C$2:$C$1833,$R94,Data!$D$2:$D$1833,$S94,Data!$E$2:$E$1833,$E94,Data!$F$2:$F$1833,I$1,Data!$H$2:$H$1833,1)</f>
        <v>4</v>
      </c>
      <c r="J94" s="64" t="n">
        <f aca="false">COUNTIFS(Data!$B$2:$B$1833,$Q94,Data!$C$2:$C$1833,$R94,Data!$D$2:$D$1833,$S94,Data!$E$2:$E$1833,$E94,Data!$F$2:$F$1833,J$1,Data!$H$2:$H$1833,1)</f>
        <v>9</v>
      </c>
      <c r="K94" s="64" t="n">
        <f aca="false">COUNTIFS(Data!$B$2:$B$1833,$Q94,Data!$C$2:$C$1833,$R94,Data!$D$2:$D$1833,$S94,Data!$E$2:$E$1833,$E94,Data!$F$2:$F$1833,K$1,Data!$H$2:$H$1833,1)</f>
        <v>8</v>
      </c>
      <c r="L94" s="64" t="n">
        <f aca="false">COUNTIFS(Data!$B$2:$B$1833,$Q94,Data!$C$2:$C$1833,$R94,Data!$D$2:$D$1833,$S94,Data!$E$2:$E$1833,$E94,Data!$F$2:$F$1833,L$1,Data!$H$2:$H$1833,1)</f>
        <v>10</v>
      </c>
      <c r="M94" s="64" t="n">
        <f aca="false">COUNTIFS(Data!$B$2:$B$1833,$Q94,Data!$C$2:$C$1833,$R94,Data!$D$2:$D$1833,$S94,Data!$E$2:$E$1833,$E94,Data!$F$2:$F$1833,M$1,Data!$H$2:$H$1833,1)</f>
        <v>7</v>
      </c>
      <c r="N94" s="64" t="n">
        <f aca="false">COUNTIFS(Data!$B$2:$B$1833,$Q94,Data!$C$2:$C$1833,$R94,Data!$D$2:$D$1833,$S94,Data!$E$2:$E$1833,$E94,Data!$F$2:$F$1833,N$1,Data!$H$2:$H$1833,1)</f>
        <v>8</v>
      </c>
      <c r="O94" s="64" t="n">
        <f aca="false">COUNTIFS(Data!$B$2:$B$1833,$Q94,Data!$C$2:$C$1833,$R94,Data!$D$2:$D$1833,$S94,Data!$E$2:$E$1833,$E94,Data!$F$2:$F$1833,O$1,Data!$H$2:$H$1833,1)</f>
        <v>3</v>
      </c>
      <c r="P94" s="64" t="n">
        <f aca="false">SUM(F94:O94)</f>
        <v>50</v>
      </c>
      <c r="Q94" s="50" t="s">
        <v>399</v>
      </c>
      <c r="R94" s="50" t="s">
        <v>644</v>
      </c>
      <c r="S94" s="50" t="s">
        <v>1612</v>
      </c>
    </row>
    <row r="95" customFormat="false" ht="15" hidden="false" customHeight="true" outlineLevel="0" collapsed="false">
      <c r="A95" s="64" t="str">
        <f aca="false">IFERROR(INDEX(対訳マスタ!$C$2:$C$136,MATCH($Q95,対訳マスタ!$B$2:$B$136,0)),$Q95)</f>
        <v>手話能力</v>
      </c>
      <c r="B95" s="64" t="str">
        <f aca="false">IF($R95="—","—",IFERROR(INDEX(対訳マスタ!$C$2:$C$136,MATCH($R95,対訳マスタ!$B$2:$B$136,0)),$R95))</f>
        <v>受容</v>
      </c>
      <c r="C95" s="64" t="str">
        <f aca="false">IF($S95="—","—",IFERROR(INDEX(対訳マスタ!$C$2:$C$136,MATCH($S95,対訳マスタ!$B$2:$B$136,0)),$S95))</f>
        <v>語用能力</v>
      </c>
      <c r="D95" s="64" t="str">
        <f aca="false">IFERROR(INDEX(対訳マスタ!$C$2:$C$136,MATCH($E95,対訳マスタ!$B$2:$B$136,0)),$E95)</f>
        <v>場面設定と視点</v>
      </c>
      <c r="E95" s="65" t="s">
        <v>2000</v>
      </c>
      <c r="F95" s="64" t="n">
        <f aca="false">COUNTIFS(Data!$B$2:$B$1833,$Q95,Data!$C$2:$C$1833,$R95,Data!$D$2:$D$1833,$S95,Data!$E$2:$E$1833,$E95,Data!$F$2:$F$1833,F$1,Data!$H$2:$H$1833,1)</f>
        <v>0</v>
      </c>
      <c r="G95" s="64" t="n">
        <f aca="false">COUNTIFS(Data!$B$2:$B$1833,$Q95,Data!$C$2:$C$1833,$R95,Data!$D$2:$D$1833,$S95,Data!$E$2:$E$1833,$E95,Data!$F$2:$F$1833,G$1,Data!$H$2:$H$1833,1)</f>
        <v>0</v>
      </c>
      <c r="H95" s="64" t="n">
        <f aca="false">COUNTIFS(Data!$B$2:$B$1833,$Q95,Data!$C$2:$C$1833,$R95,Data!$D$2:$D$1833,$S95,Data!$E$2:$E$1833,$E95,Data!$F$2:$F$1833,H$1,Data!$H$2:$H$1833,1)</f>
        <v>1</v>
      </c>
      <c r="I95" s="64" t="n">
        <f aca="false">COUNTIFS(Data!$B$2:$B$1833,$Q95,Data!$C$2:$C$1833,$R95,Data!$D$2:$D$1833,$S95,Data!$E$2:$E$1833,$E95,Data!$F$2:$F$1833,I$1,Data!$H$2:$H$1833,1)</f>
        <v>0</v>
      </c>
      <c r="J95" s="64" t="n">
        <f aca="false">COUNTIFS(Data!$B$2:$B$1833,$Q95,Data!$C$2:$C$1833,$R95,Data!$D$2:$D$1833,$S95,Data!$E$2:$E$1833,$E95,Data!$F$2:$F$1833,J$1,Data!$H$2:$H$1833,1)</f>
        <v>2</v>
      </c>
      <c r="K95" s="64" t="n">
        <f aca="false">COUNTIFS(Data!$B$2:$B$1833,$Q95,Data!$C$2:$C$1833,$R95,Data!$D$2:$D$1833,$S95,Data!$E$2:$E$1833,$E95,Data!$F$2:$F$1833,K$1,Data!$H$2:$H$1833,1)</f>
        <v>4</v>
      </c>
      <c r="L95" s="64" t="n">
        <f aca="false">COUNTIFS(Data!$B$2:$B$1833,$Q95,Data!$C$2:$C$1833,$R95,Data!$D$2:$D$1833,$S95,Data!$E$2:$E$1833,$E95,Data!$F$2:$F$1833,L$1,Data!$H$2:$H$1833,1)</f>
        <v>2</v>
      </c>
      <c r="M95" s="64" t="n">
        <f aca="false">COUNTIFS(Data!$B$2:$B$1833,$Q95,Data!$C$2:$C$1833,$R95,Data!$D$2:$D$1833,$S95,Data!$E$2:$E$1833,$E95,Data!$F$2:$F$1833,M$1,Data!$H$2:$H$1833,1)</f>
        <v>1</v>
      </c>
      <c r="N95" s="64" t="n">
        <f aca="false">COUNTIFS(Data!$B$2:$B$1833,$Q95,Data!$C$2:$C$1833,$R95,Data!$D$2:$D$1833,$S95,Data!$E$2:$E$1833,$E95,Data!$F$2:$F$1833,N$1,Data!$H$2:$H$1833,1)</f>
        <v>6</v>
      </c>
      <c r="O95" s="64" t="n">
        <f aca="false">COUNTIFS(Data!$B$2:$B$1833,$Q95,Data!$C$2:$C$1833,$R95,Data!$D$2:$D$1833,$S95,Data!$E$2:$E$1833,$E95,Data!$F$2:$F$1833,O$1,Data!$H$2:$H$1833,1)</f>
        <v>3</v>
      </c>
      <c r="P95" s="64" t="n">
        <f aca="false">SUM(F95:O95)</f>
        <v>19</v>
      </c>
      <c r="Q95" s="50" t="s">
        <v>399</v>
      </c>
      <c r="R95" s="50" t="s">
        <v>408</v>
      </c>
      <c r="S95" s="50" t="s">
        <v>1612</v>
      </c>
    </row>
    <row r="96" customFormat="false" ht="15" hidden="false" customHeight="true" outlineLevel="0" collapsed="false">
      <c r="A96" s="64" t="str">
        <f aca="false">IFERROR(INDEX(対訳マスタ!$C$2:$C$136,MATCH($Q96,対訳マスタ!$B$2:$B$136,0)),$Q96)</f>
        <v>手話能力</v>
      </c>
      <c r="B96" s="64" t="str">
        <f aca="false">IF($R96="—","—",IFERROR(INDEX(対訳マスタ!$C$2:$C$136,MATCH($R96,対訳マスタ!$B$2:$B$136,0)),$R96))</f>
        <v>産出</v>
      </c>
      <c r="C96" s="64" t="str">
        <f aca="false">IF($S96="—","—",IFERROR(INDEX(対訳マスタ!$C$2:$C$136,MATCH($S96,対訳マスタ!$B$2:$B$136,0)),$S96))</f>
        <v>語用能力</v>
      </c>
      <c r="D96" s="64" t="str">
        <f aca="false">IFERROR(INDEX(対訳マスタ!$C$2:$C$136,MATCH($E96,対訳マスタ!$B$2:$B$136,0)),$E96)</f>
        <v>場面設定と視点</v>
      </c>
      <c r="E96" s="65" t="s">
        <v>2000</v>
      </c>
      <c r="F96" s="64" t="n">
        <f aca="false">COUNTIFS(Data!$B$2:$B$1833,$Q96,Data!$C$2:$C$1833,$R96,Data!$D$2:$D$1833,$S96,Data!$E$2:$E$1833,$E96,Data!$F$2:$F$1833,F$1,Data!$H$2:$H$1833,1)</f>
        <v>0</v>
      </c>
      <c r="G96" s="64" t="n">
        <f aca="false">COUNTIFS(Data!$B$2:$B$1833,$Q96,Data!$C$2:$C$1833,$R96,Data!$D$2:$D$1833,$S96,Data!$E$2:$E$1833,$E96,Data!$F$2:$F$1833,G$1,Data!$H$2:$H$1833,1)</f>
        <v>0</v>
      </c>
      <c r="H96" s="64" t="n">
        <f aca="false">COUNTIFS(Data!$B$2:$B$1833,$Q96,Data!$C$2:$C$1833,$R96,Data!$D$2:$D$1833,$S96,Data!$E$2:$E$1833,$E96,Data!$F$2:$F$1833,H$1,Data!$H$2:$H$1833,1)</f>
        <v>1</v>
      </c>
      <c r="I96" s="64" t="n">
        <f aca="false">COUNTIFS(Data!$B$2:$B$1833,$Q96,Data!$C$2:$C$1833,$R96,Data!$D$2:$D$1833,$S96,Data!$E$2:$E$1833,$E96,Data!$F$2:$F$1833,I$1,Data!$H$2:$H$1833,1)</f>
        <v>3</v>
      </c>
      <c r="J96" s="64" t="n">
        <f aca="false">COUNTIFS(Data!$B$2:$B$1833,$Q96,Data!$C$2:$C$1833,$R96,Data!$D$2:$D$1833,$S96,Data!$E$2:$E$1833,$E96,Data!$F$2:$F$1833,J$1,Data!$H$2:$H$1833,1)</f>
        <v>6</v>
      </c>
      <c r="K96" s="64" t="n">
        <f aca="false">COUNTIFS(Data!$B$2:$B$1833,$Q96,Data!$C$2:$C$1833,$R96,Data!$D$2:$D$1833,$S96,Data!$E$2:$E$1833,$E96,Data!$F$2:$F$1833,K$1,Data!$H$2:$H$1833,1)</f>
        <v>3</v>
      </c>
      <c r="L96" s="64" t="n">
        <f aca="false">COUNTIFS(Data!$B$2:$B$1833,$Q96,Data!$C$2:$C$1833,$R96,Data!$D$2:$D$1833,$S96,Data!$E$2:$E$1833,$E96,Data!$F$2:$F$1833,L$1,Data!$H$2:$H$1833,1)</f>
        <v>5</v>
      </c>
      <c r="M96" s="64" t="n">
        <f aca="false">COUNTIFS(Data!$B$2:$B$1833,$Q96,Data!$C$2:$C$1833,$R96,Data!$D$2:$D$1833,$S96,Data!$E$2:$E$1833,$E96,Data!$F$2:$F$1833,M$1,Data!$H$2:$H$1833,1)</f>
        <v>4</v>
      </c>
      <c r="N96" s="64" t="n">
        <f aca="false">COUNTIFS(Data!$B$2:$B$1833,$Q96,Data!$C$2:$C$1833,$R96,Data!$D$2:$D$1833,$S96,Data!$E$2:$E$1833,$E96,Data!$F$2:$F$1833,N$1,Data!$H$2:$H$1833,1)</f>
        <v>2</v>
      </c>
      <c r="O96" s="64" t="n">
        <f aca="false">COUNTIFS(Data!$B$2:$B$1833,$Q96,Data!$C$2:$C$1833,$R96,Data!$D$2:$D$1833,$S96,Data!$E$2:$E$1833,$E96,Data!$F$2:$F$1833,O$1,Data!$H$2:$H$1833,1)</f>
        <v>1</v>
      </c>
      <c r="P96" s="64" t="n">
        <f aca="false">SUM(F96:O96)</f>
        <v>25</v>
      </c>
      <c r="Q96" s="50" t="s">
        <v>399</v>
      </c>
      <c r="R96" s="50" t="s">
        <v>644</v>
      </c>
      <c r="S96" s="50" t="s">
        <v>1612</v>
      </c>
    </row>
    <row r="97" customFormat="false" ht="15" hidden="false" customHeight="true" outlineLevel="0" collapsed="false">
      <c r="A97" s="64" t="str">
        <f aca="false">IFERROR(INDEX(対訳マスタ!$C$2:$C$136,MATCH($Q97,対訳マスタ!$B$2:$B$136,0)),$Q97)</f>
        <v>手話能力</v>
      </c>
      <c r="B97" s="64" t="str">
        <f aca="false">IF($R97="—","—",IFERROR(INDEX(対訳マスタ!$C$2:$C$136,MATCH($R97,対訳マスタ!$B$2:$B$136,0)),$R97))</f>
        <v>—</v>
      </c>
      <c r="C97" s="64" t="str">
        <f aca="false">IF($S97="—","—",IFERROR(INDEX(対訳マスタ!$C$2:$C$136,MATCH($S97,対訳マスタ!$B$2:$B$136,0)),$S97))</f>
        <v>語用能力</v>
      </c>
      <c r="D97" s="64" t="str">
        <f aca="false">IFERROR(INDEX(対訳マスタ!$C$2:$C$136,MATCH($E97,対訳マスタ!$B$2:$B$136,0)),$E97)</f>
        <v>言語への気づきと解釈</v>
      </c>
      <c r="E97" s="65" t="s">
        <v>2046</v>
      </c>
      <c r="F97" s="64" t="n">
        <f aca="false">COUNTIFS(Data!$B$2:$B$1833,$Q97,Data!$C$2:$C$1833,$R97,Data!$D$2:$D$1833,$S97,Data!$E$2:$E$1833,$E97,Data!$F$2:$F$1833,F$1,Data!$H$2:$H$1833,1)</f>
        <v>0</v>
      </c>
      <c r="G97" s="64" t="n">
        <f aca="false">COUNTIFS(Data!$B$2:$B$1833,$Q97,Data!$C$2:$C$1833,$R97,Data!$D$2:$D$1833,$S97,Data!$E$2:$E$1833,$E97,Data!$F$2:$F$1833,G$1,Data!$H$2:$H$1833,1)</f>
        <v>2</v>
      </c>
      <c r="H97" s="64" t="n">
        <f aca="false">COUNTIFS(Data!$B$2:$B$1833,$Q97,Data!$C$2:$C$1833,$R97,Data!$D$2:$D$1833,$S97,Data!$E$2:$E$1833,$E97,Data!$F$2:$F$1833,H$1,Data!$H$2:$H$1833,1)</f>
        <v>5</v>
      </c>
      <c r="I97" s="64" t="n">
        <f aca="false">COUNTIFS(Data!$B$2:$B$1833,$Q97,Data!$C$2:$C$1833,$R97,Data!$D$2:$D$1833,$S97,Data!$E$2:$E$1833,$E97,Data!$F$2:$F$1833,I$1,Data!$H$2:$H$1833,1)</f>
        <v>4</v>
      </c>
      <c r="J97" s="64" t="n">
        <f aca="false">COUNTIFS(Data!$B$2:$B$1833,$Q97,Data!$C$2:$C$1833,$R97,Data!$D$2:$D$1833,$S97,Data!$E$2:$E$1833,$E97,Data!$F$2:$F$1833,J$1,Data!$H$2:$H$1833,1)</f>
        <v>6</v>
      </c>
      <c r="K97" s="64" t="n">
        <f aca="false">COUNTIFS(Data!$B$2:$B$1833,$Q97,Data!$C$2:$C$1833,$R97,Data!$D$2:$D$1833,$S97,Data!$E$2:$E$1833,$E97,Data!$F$2:$F$1833,K$1,Data!$H$2:$H$1833,1)</f>
        <v>7</v>
      </c>
      <c r="L97" s="64" t="n">
        <f aca="false">COUNTIFS(Data!$B$2:$B$1833,$Q97,Data!$C$2:$C$1833,$R97,Data!$D$2:$D$1833,$S97,Data!$E$2:$E$1833,$E97,Data!$F$2:$F$1833,L$1,Data!$H$2:$H$1833,1)</f>
        <v>7</v>
      </c>
      <c r="M97" s="64" t="n">
        <f aca="false">COUNTIFS(Data!$B$2:$B$1833,$Q97,Data!$C$2:$C$1833,$R97,Data!$D$2:$D$1833,$S97,Data!$E$2:$E$1833,$E97,Data!$F$2:$F$1833,M$1,Data!$H$2:$H$1833,1)</f>
        <v>7</v>
      </c>
      <c r="N97" s="64" t="n">
        <f aca="false">COUNTIFS(Data!$B$2:$B$1833,$Q97,Data!$C$2:$C$1833,$R97,Data!$D$2:$D$1833,$S97,Data!$E$2:$E$1833,$E97,Data!$F$2:$F$1833,N$1,Data!$H$2:$H$1833,1)</f>
        <v>8</v>
      </c>
      <c r="O97" s="64" t="n">
        <f aca="false">COUNTIFS(Data!$B$2:$B$1833,$Q97,Data!$C$2:$C$1833,$R97,Data!$D$2:$D$1833,$S97,Data!$E$2:$E$1833,$E97,Data!$F$2:$F$1833,O$1,Data!$H$2:$H$1833,1)</f>
        <v>7</v>
      </c>
      <c r="P97" s="64" t="n">
        <f aca="false">SUM(F97:O97)</f>
        <v>53</v>
      </c>
      <c r="Q97" s="50" t="s">
        <v>399</v>
      </c>
      <c r="R97" s="50" t="s">
        <v>624</v>
      </c>
      <c r="S97" s="50" t="s">
        <v>1612</v>
      </c>
    </row>
    <row r="98" customFormat="false" ht="15" hidden="false" customHeight="true" outlineLevel="0" collapsed="false">
      <c r="A98" s="64" t="str">
        <f aca="false">IFERROR(INDEX(対訳マスタ!$C$2:$C$136,MATCH($Q98,対訳マスタ!$B$2:$B$136,0)),$Q98)</f>
        <v>手話能力</v>
      </c>
      <c r="B98" s="64" t="str">
        <f aca="false">IF($R98="—","—",IFERROR(INDEX(対訳マスタ!$C$2:$C$136,MATCH($R98,対訳マスタ!$B$2:$B$136,0)),$R98))</f>
        <v>—</v>
      </c>
      <c r="C98" s="64" t="str">
        <f aca="false">IF($S98="—","—",IFERROR(INDEX(対訳マスタ!$C$2:$C$136,MATCH($S98,対訳マスタ!$B$2:$B$136,0)),$S98))</f>
        <v>語用能力</v>
      </c>
      <c r="D98" s="64" t="str">
        <f aca="false">IFERROR(INDEX(対訳マスタ!$C$2:$C$136,MATCH($E98,対訳マスタ!$B$2:$B$136,0)),$E98)</f>
        <v>存在感と効果</v>
      </c>
      <c r="E98" s="65" t="s">
        <v>2100</v>
      </c>
      <c r="F98" s="64" t="n">
        <f aca="false">COUNTIFS(Data!$B$2:$B$1833,$Q98,Data!$C$2:$C$1833,$R98,Data!$D$2:$D$1833,$S98,Data!$E$2:$E$1833,$E98,Data!$F$2:$F$1833,F$1,Data!$H$2:$H$1833,1)</f>
        <v>0</v>
      </c>
      <c r="G98" s="64" t="n">
        <f aca="false">COUNTIFS(Data!$B$2:$B$1833,$Q98,Data!$C$2:$C$1833,$R98,Data!$D$2:$D$1833,$S98,Data!$E$2:$E$1833,$E98,Data!$F$2:$F$1833,G$1,Data!$H$2:$H$1833,1)</f>
        <v>2</v>
      </c>
      <c r="H98" s="64" t="n">
        <f aca="false">COUNTIFS(Data!$B$2:$B$1833,$Q98,Data!$C$2:$C$1833,$R98,Data!$D$2:$D$1833,$S98,Data!$E$2:$E$1833,$E98,Data!$F$2:$F$1833,H$1,Data!$H$2:$H$1833,1)</f>
        <v>2</v>
      </c>
      <c r="I98" s="64" t="n">
        <f aca="false">COUNTIFS(Data!$B$2:$B$1833,$Q98,Data!$C$2:$C$1833,$R98,Data!$D$2:$D$1833,$S98,Data!$E$2:$E$1833,$E98,Data!$F$2:$F$1833,I$1,Data!$H$2:$H$1833,1)</f>
        <v>3</v>
      </c>
      <c r="J98" s="64" t="n">
        <f aca="false">COUNTIFS(Data!$B$2:$B$1833,$Q98,Data!$C$2:$C$1833,$R98,Data!$D$2:$D$1833,$S98,Data!$E$2:$E$1833,$E98,Data!$F$2:$F$1833,J$1,Data!$H$2:$H$1833,1)</f>
        <v>3</v>
      </c>
      <c r="K98" s="64" t="n">
        <f aca="false">COUNTIFS(Data!$B$2:$B$1833,$Q98,Data!$C$2:$C$1833,$R98,Data!$D$2:$D$1833,$S98,Data!$E$2:$E$1833,$E98,Data!$F$2:$F$1833,K$1,Data!$H$2:$H$1833,1)</f>
        <v>4</v>
      </c>
      <c r="L98" s="64" t="n">
        <f aca="false">COUNTIFS(Data!$B$2:$B$1833,$Q98,Data!$C$2:$C$1833,$R98,Data!$D$2:$D$1833,$S98,Data!$E$2:$E$1833,$E98,Data!$F$2:$F$1833,L$1,Data!$H$2:$H$1833,1)</f>
        <v>4</v>
      </c>
      <c r="M98" s="64" t="n">
        <f aca="false">COUNTIFS(Data!$B$2:$B$1833,$Q98,Data!$C$2:$C$1833,$R98,Data!$D$2:$D$1833,$S98,Data!$E$2:$E$1833,$E98,Data!$F$2:$F$1833,M$1,Data!$H$2:$H$1833,1)</f>
        <v>4</v>
      </c>
      <c r="N98" s="64" t="n">
        <f aca="false">COUNTIFS(Data!$B$2:$B$1833,$Q98,Data!$C$2:$C$1833,$R98,Data!$D$2:$D$1833,$S98,Data!$E$2:$E$1833,$E98,Data!$F$2:$F$1833,N$1,Data!$H$2:$H$1833,1)</f>
        <v>7</v>
      </c>
      <c r="O98" s="64" t="n">
        <f aca="false">COUNTIFS(Data!$B$2:$B$1833,$Q98,Data!$C$2:$C$1833,$R98,Data!$D$2:$D$1833,$S98,Data!$E$2:$E$1833,$E98,Data!$F$2:$F$1833,O$1,Data!$H$2:$H$1833,1)</f>
        <v>4</v>
      </c>
      <c r="P98" s="64" t="n">
        <f aca="false">SUM(F98:O98)</f>
        <v>33</v>
      </c>
      <c r="Q98" s="50" t="s">
        <v>399</v>
      </c>
      <c r="R98" s="50" t="s">
        <v>624</v>
      </c>
      <c r="S98" s="50" t="s">
        <v>1612</v>
      </c>
    </row>
    <row r="99" customFormat="false" ht="15" hidden="false" customHeight="true" outlineLevel="0" collapsed="false">
      <c r="A99" s="64" t="str">
        <f aca="false">IFERROR(INDEX(対訳マスタ!$C$2:$C$136,MATCH($Q99,対訳マスタ!$B$2:$B$136,0)),$Q99)</f>
        <v>手話能力</v>
      </c>
      <c r="B99" s="64" t="str">
        <f aca="false">IF($R99="—","—",IFERROR(INDEX(対訳マスタ!$C$2:$C$136,MATCH($R99,対訳マスタ!$B$2:$B$136,0)),$R99))</f>
        <v>—</v>
      </c>
      <c r="C99" s="64" t="str">
        <f aca="false">IF($S99="—","—",IFERROR(INDEX(対訳マスタ!$C$2:$C$136,MATCH($S99,対訳マスタ!$B$2:$B$136,0)),$S99))</f>
        <v>語用能力</v>
      </c>
      <c r="D99" s="64" t="str">
        <f aca="false">IFERROR(INDEX(対訳マスタ!$C$2:$C$136,MATCH($E99,対訳マスタ!$B$2:$B$136,0)),$E99)</f>
        <v>処理速度</v>
      </c>
      <c r="E99" s="65" t="s">
        <v>2134</v>
      </c>
      <c r="F99" s="64" t="n">
        <f aca="false">COUNTIFS(Data!$B$2:$B$1833,$Q99,Data!$C$2:$C$1833,$R99,Data!$D$2:$D$1833,$S99,Data!$E$2:$E$1833,$E99,Data!$F$2:$F$1833,F$1,Data!$H$2:$H$1833,1)</f>
        <v>0</v>
      </c>
      <c r="G99" s="64" t="n">
        <f aca="false">COUNTIFS(Data!$B$2:$B$1833,$Q99,Data!$C$2:$C$1833,$R99,Data!$D$2:$D$1833,$S99,Data!$E$2:$E$1833,$E99,Data!$F$2:$F$1833,G$1,Data!$H$2:$H$1833,1)</f>
        <v>1</v>
      </c>
      <c r="H99" s="64" t="n">
        <f aca="false">COUNTIFS(Data!$B$2:$B$1833,$Q99,Data!$C$2:$C$1833,$R99,Data!$D$2:$D$1833,$S99,Data!$E$2:$E$1833,$E99,Data!$F$2:$F$1833,H$1,Data!$H$2:$H$1833,1)</f>
        <v>1</v>
      </c>
      <c r="I99" s="64" t="n">
        <f aca="false">COUNTIFS(Data!$B$2:$B$1833,$Q99,Data!$C$2:$C$1833,$R99,Data!$D$2:$D$1833,$S99,Data!$E$2:$E$1833,$E99,Data!$F$2:$F$1833,I$1,Data!$H$2:$H$1833,1)</f>
        <v>1</v>
      </c>
      <c r="J99" s="64" t="n">
        <f aca="false">COUNTIFS(Data!$B$2:$B$1833,$Q99,Data!$C$2:$C$1833,$R99,Data!$D$2:$D$1833,$S99,Data!$E$2:$E$1833,$E99,Data!$F$2:$F$1833,J$1,Data!$H$2:$H$1833,1)</f>
        <v>3</v>
      </c>
      <c r="K99" s="64" t="n">
        <f aca="false">COUNTIFS(Data!$B$2:$B$1833,$Q99,Data!$C$2:$C$1833,$R99,Data!$D$2:$D$1833,$S99,Data!$E$2:$E$1833,$E99,Data!$F$2:$F$1833,K$1,Data!$H$2:$H$1833,1)</f>
        <v>4</v>
      </c>
      <c r="L99" s="64" t="n">
        <f aca="false">COUNTIFS(Data!$B$2:$B$1833,$Q99,Data!$C$2:$C$1833,$R99,Data!$D$2:$D$1833,$S99,Data!$E$2:$E$1833,$E99,Data!$F$2:$F$1833,L$1,Data!$H$2:$H$1833,1)</f>
        <v>3</v>
      </c>
      <c r="M99" s="64" t="n">
        <f aca="false">COUNTIFS(Data!$B$2:$B$1833,$Q99,Data!$C$2:$C$1833,$R99,Data!$D$2:$D$1833,$S99,Data!$E$2:$E$1833,$E99,Data!$F$2:$F$1833,M$1,Data!$H$2:$H$1833,1)</f>
        <v>1</v>
      </c>
      <c r="N99" s="64" t="n">
        <f aca="false">COUNTIFS(Data!$B$2:$B$1833,$Q99,Data!$C$2:$C$1833,$R99,Data!$D$2:$D$1833,$S99,Data!$E$2:$E$1833,$E99,Data!$F$2:$F$1833,N$1,Data!$H$2:$H$1833,1)</f>
        <v>8</v>
      </c>
      <c r="O99" s="64" t="n">
        <f aca="false">COUNTIFS(Data!$B$2:$B$1833,$Q99,Data!$C$2:$C$1833,$R99,Data!$D$2:$D$1833,$S99,Data!$E$2:$E$1833,$E99,Data!$F$2:$F$1833,O$1,Data!$H$2:$H$1833,1)</f>
        <v>4</v>
      </c>
      <c r="P99" s="64" t="n">
        <f aca="false">SUM(F99:O99)</f>
        <v>26</v>
      </c>
      <c r="Q99" s="50" t="s">
        <v>399</v>
      </c>
      <c r="R99" s="50" t="s">
        <v>624</v>
      </c>
      <c r="S99" s="50" t="s">
        <v>1612</v>
      </c>
    </row>
    <row r="100" customFormat="false" ht="15" hidden="false" customHeight="true" outlineLevel="0" collapsed="false">
      <c r="A100" s="64" t="str">
        <f aca="false">IFERROR(INDEX(対訳マスタ!$C$2:$C$136,MATCH($Q100,対訳マスタ!$B$2:$B$136,0)),$Q100)</f>
        <v>手話能力</v>
      </c>
      <c r="B100" s="64" t="str">
        <f aca="false">IF($R100="—","—",IFERROR(INDEX(対訳マスタ!$C$2:$C$136,MATCH($R100,対訳マスタ!$B$2:$B$136,0)),$R100))</f>
        <v>—</v>
      </c>
      <c r="C100" s="64" t="str">
        <f aca="false">IF($S100="—","—",IFERROR(INDEX(対訳マスタ!$C$2:$C$136,MATCH($S100,対訳マスタ!$B$2:$B$136,0)),$S100))</f>
        <v>語用能力</v>
      </c>
      <c r="D100" s="64" t="str">
        <f aca="false">IFERROR(INDEX(対訳マスタ!$C$2:$C$136,MATCH($E100,対訳マスタ!$B$2:$B$136,0)),$E100)</f>
        <v>手話の流暢さ</v>
      </c>
      <c r="E100" s="65" t="s">
        <v>2161</v>
      </c>
      <c r="F100" s="64" t="n">
        <f aca="false">COUNTIFS(Data!$B$2:$B$1833,$Q100,Data!$C$2:$C$1833,$R100,Data!$D$2:$D$1833,$S100,Data!$E$2:$E$1833,$E100,Data!$F$2:$F$1833,F$1,Data!$H$2:$H$1833,1)</f>
        <v>0</v>
      </c>
      <c r="G100" s="64" t="n">
        <f aca="false">COUNTIFS(Data!$B$2:$B$1833,$Q100,Data!$C$2:$C$1833,$R100,Data!$D$2:$D$1833,$S100,Data!$E$2:$E$1833,$E100,Data!$F$2:$F$1833,G$1,Data!$H$2:$H$1833,1)</f>
        <v>0</v>
      </c>
      <c r="H100" s="64" t="n">
        <f aca="false">COUNTIFS(Data!$B$2:$B$1833,$Q100,Data!$C$2:$C$1833,$R100,Data!$D$2:$D$1833,$S100,Data!$E$2:$E$1833,$E100,Data!$F$2:$F$1833,H$1,Data!$H$2:$H$1833,1)</f>
        <v>1</v>
      </c>
      <c r="I100" s="64" t="n">
        <f aca="false">COUNTIFS(Data!$B$2:$B$1833,$Q100,Data!$C$2:$C$1833,$R100,Data!$D$2:$D$1833,$S100,Data!$E$2:$E$1833,$E100,Data!$F$2:$F$1833,I$1,Data!$H$2:$H$1833,1)</f>
        <v>1</v>
      </c>
      <c r="J100" s="64" t="n">
        <f aca="false">COUNTIFS(Data!$B$2:$B$1833,$Q100,Data!$C$2:$C$1833,$R100,Data!$D$2:$D$1833,$S100,Data!$E$2:$E$1833,$E100,Data!$F$2:$F$1833,J$1,Data!$H$2:$H$1833,1)</f>
        <v>2</v>
      </c>
      <c r="K100" s="64" t="n">
        <f aca="false">COUNTIFS(Data!$B$2:$B$1833,$Q100,Data!$C$2:$C$1833,$R100,Data!$D$2:$D$1833,$S100,Data!$E$2:$E$1833,$E100,Data!$F$2:$F$1833,K$1,Data!$H$2:$H$1833,1)</f>
        <v>1</v>
      </c>
      <c r="L100" s="64" t="n">
        <f aca="false">COUNTIFS(Data!$B$2:$B$1833,$Q100,Data!$C$2:$C$1833,$R100,Data!$D$2:$D$1833,$S100,Data!$E$2:$E$1833,$E100,Data!$F$2:$F$1833,L$1,Data!$H$2:$H$1833,1)</f>
        <v>4</v>
      </c>
      <c r="M100" s="64" t="n">
        <f aca="false">COUNTIFS(Data!$B$2:$B$1833,$Q100,Data!$C$2:$C$1833,$R100,Data!$D$2:$D$1833,$S100,Data!$E$2:$E$1833,$E100,Data!$F$2:$F$1833,M$1,Data!$H$2:$H$1833,1)</f>
        <v>3</v>
      </c>
      <c r="N100" s="64" t="n">
        <f aca="false">COUNTIFS(Data!$B$2:$B$1833,$Q100,Data!$C$2:$C$1833,$R100,Data!$D$2:$D$1833,$S100,Data!$E$2:$E$1833,$E100,Data!$F$2:$F$1833,N$1,Data!$H$2:$H$1833,1)</f>
        <v>3</v>
      </c>
      <c r="O100" s="64" t="n">
        <f aca="false">COUNTIFS(Data!$B$2:$B$1833,$Q100,Data!$C$2:$C$1833,$R100,Data!$D$2:$D$1833,$S100,Data!$E$2:$E$1833,$E100,Data!$F$2:$F$1833,O$1,Data!$H$2:$H$1833,1)</f>
        <v>0</v>
      </c>
      <c r="P100" s="64" t="n">
        <f aca="false">SUM(F100:O100)</f>
        <v>15</v>
      </c>
      <c r="Q100" s="50" t="s">
        <v>399</v>
      </c>
      <c r="R100" s="50" t="s">
        <v>624</v>
      </c>
      <c r="S100" s="50" t="s">
        <v>1612</v>
      </c>
    </row>
    <row r="101" customFormat="false" ht="15" hidden="false" customHeight="true" outlineLevel="0" collapsed="false">
      <c r="D101" s="51" t="s">
        <v>2446</v>
      </c>
      <c r="F101" s="51" t="n">
        <f aca="false">SUM(F2:F100)</f>
        <v>47</v>
      </c>
      <c r="G101" s="51" t="n">
        <f aca="false">SUM(G2:G100)</f>
        <v>148</v>
      </c>
      <c r="H101" s="51" t="n">
        <f aca="false">SUM(H2:H100)</f>
        <v>204</v>
      </c>
      <c r="I101" s="51" t="n">
        <f aca="false">SUM(I2:I100)</f>
        <v>143</v>
      </c>
      <c r="J101" s="51" t="n">
        <f aca="false">SUM(J2:J100)</f>
        <v>252</v>
      </c>
      <c r="K101" s="51" t="n">
        <f aca="false">SUM(K2:K100)</f>
        <v>165</v>
      </c>
      <c r="L101" s="51" t="n">
        <f aca="false">SUM(L2:L100)</f>
        <v>254</v>
      </c>
      <c r="M101" s="51" t="n">
        <f aca="false">SUM(M2:M100)</f>
        <v>149</v>
      </c>
      <c r="N101" s="51" t="n">
        <f aca="false">SUM(N2:N100)</f>
        <v>226</v>
      </c>
      <c r="O101" s="51" t="n">
        <f aca="false">SUM(O2:O100)</f>
        <v>124</v>
      </c>
      <c r="P101" s="51" t="n">
        <f aca="false">SUM(P2:P100)</f>
        <v>1712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
    <col collapsed="false" customWidth="true" hidden="false" outlineLevel="0" max="3" min="3" style="1" width="22"/>
    <col collapsed="false" customWidth="true" hidden="false" outlineLevel="0" max="5" min="4" style="1" width="30"/>
    <col collapsed="false" customWidth="true" hidden="false" outlineLevel="0" max="6" min="6" style="1" width="7"/>
    <col collapsed="false" customWidth="true" hidden="false" outlineLevel="0" max="7" min="7" style="1" width="8"/>
    <col collapsed="false" customWidth="true" hidden="false" outlineLevel="0" max="8" min="8" style="1" width="7"/>
    <col collapsed="false" customWidth="true" hidden="false" outlineLevel="0" max="10" min="9" style="1" width="58"/>
    <col collapsed="false" customWidth="true" hidden="true" outlineLevel="0" max="15" min="12" style="1" width="13"/>
  </cols>
  <sheetData>
    <row r="1" customFormat="false" ht="15" hidden="false" customHeight="true" outlineLevel="0" collapsed="false">
      <c r="A1" s="4" t="s">
        <v>392</v>
      </c>
      <c r="B1" s="4" t="s">
        <v>2</v>
      </c>
      <c r="C1" s="4" t="s">
        <v>2192</v>
      </c>
      <c r="D1" s="4" t="s">
        <v>2442</v>
      </c>
      <c r="E1" s="5" t="s">
        <v>2443</v>
      </c>
      <c r="F1" s="4" t="s">
        <v>3</v>
      </c>
      <c r="G1" s="4" t="s">
        <v>330</v>
      </c>
      <c r="H1" s="4" t="s">
        <v>2447</v>
      </c>
      <c r="I1" s="4" t="s">
        <v>2448</v>
      </c>
      <c r="J1" s="4" t="s">
        <v>2449</v>
      </c>
      <c r="L1" s="5" t="s">
        <v>394</v>
      </c>
      <c r="M1" s="5" t="s">
        <v>2444</v>
      </c>
      <c r="N1" s="5" t="s">
        <v>2445</v>
      </c>
      <c r="O1" s="5" t="s">
        <v>2450</v>
      </c>
    </row>
    <row r="2" customFormat="false" ht="26.25" hidden="false" customHeight="true" outlineLevel="0" collapsed="false">
      <c r="A2" s="66" t="str">
        <f aca="false">IFERROR(INDEX(対訳マスタ!$C$2:$C$136,MATCH($L2,対訳マスタ!$B$2:$B$136,0)),$L2)</f>
        <v>コミュニケーション言語活動</v>
      </c>
      <c r="B2" s="66" t="str">
        <f aca="false">IF($M2="—","—",IFERROR(INDEX(対訳マスタ!$C$2:$C$136,MATCH($M2,対訳マスタ!$B$2:$B$136,0)),$M2))</f>
        <v>受容</v>
      </c>
      <c r="C2" s="66" t="str">
        <f aca="false">IF($N2="—","—",IFERROR(INDEX(対訳マスタ!$C$2:$C$136,MATCH($N2,対訳マスタ!$B$2:$B$136,0)),$N2))</f>
        <v>口頭理解（聞くこと）</v>
      </c>
      <c r="D2" s="66" t="str">
        <f aca="false">IFERROR(INDEX(対訳マスタ!$C$2:$C$136,MATCH($O2,対訳マスタ!$B$2:$B$136,0)),$O2)</f>
        <v>口頭理解（総合）</v>
      </c>
      <c r="E2" s="67" t="s">
        <v>410</v>
      </c>
      <c r="F2" s="67" t="s">
        <v>86</v>
      </c>
      <c r="G2" s="67" t="n">
        <f aca="false">COUNTIFS(Data!$B$2:$B$1833,$L2,Data!$C$2:$C$1833,$M2,Data!$D$2:$D$1833,$N2,Data!$E$2:$E$1833,$O2,Data!$F$2:$F$1833,$F2,Data!$H$2:$H$1833,1)</f>
        <v>3</v>
      </c>
      <c r="H2" s="67" t="n">
        <v>15</v>
      </c>
      <c r="I2" s="68" t="str">
        <f aca="false">INDEX(Data!$G$2:$G$1833,MATCH($H2,Data!$A$2:$A$1833,0))</f>
        <v>Can recognise everyday, familiar words/signs, provided they are delivered clearly and slowly in a clearly defined, familiar everyday context.</v>
      </c>
      <c r="J2" s="69" t="s">
        <v>2451</v>
      </c>
      <c r="L2" s="70" t="s">
        <v>395</v>
      </c>
      <c r="M2" s="70" t="s">
        <v>408</v>
      </c>
      <c r="N2" s="70" t="s">
        <v>409</v>
      </c>
      <c r="O2" s="70" t="s">
        <v>410</v>
      </c>
    </row>
    <row r="3" customFormat="false" ht="26.25" hidden="false" customHeight="true" outlineLevel="0" collapsed="false">
      <c r="A3" s="70"/>
      <c r="B3" s="70"/>
      <c r="C3" s="70"/>
      <c r="D3" s="70"/>
      <c r="E3" s="70"/>
      <c r="F3" s="70" t="s">
        <v>101</v>
      </c>
      <c r="G3" s="70" t="n">
        <f aca="false">COUNTIFS(Data!$B$2:$B$1833,$L3,Data!$C$2:$C$1833,$M3,Data!$D$2:$D$1833,$N3,Data!$E$2:$E$1833,$O3,Data!$F$2:$F$1833,$F3,Data!$H$2:$H$1833,1)</f>
        <v>2</v>
      </c>
      <c r="H3" s="70" t="n">
        <v>12</v>
      </c>
      <c r="I3" s="31" t="str">
        <f aca="false">INDEX(Data!$G$2:$G$1833,MATCH($H3,Data!$A$2:$A$1833,0))</f>
        <v>Can follow language which is very slow and carefully articulated, with long pauses for them to assimilate meaning.</v>
      </c>
      <c r="J3" s="71" t="s">
        <v>2452</v>
      </c>
      <c r="L3" s="70" t="s">
        <v>395</v>
      </c>
      <c r="M3" s="70" t="s">
        <v>408</v>
      </c>
      <c r="N3" s="70" t="s">
        <v>409</v>
      </c>
      <c r="O3" s="70" t="s">
        <v>410</v>
      </c>
    </row>
    <row r="4" customFormat="false" ht="32.25" hidden="false" customHeight="true" outlineLevel="0" collapsed="false">
      <c r="A4" s="70"/>
      <c r="B4" s="70"/>
      <c r="C4" s="70"/>
      <c r="D4" s="70"/>
      <c r="E4" s="70"/>
      <c r="F4" s="70" t="s">
        <v>13</v>
      </c>
      <c r="G4" s="70" t="n">
        <f aca="false">COUNTIFS(Data!$B$2:$B$1833,$L4,Data!$C$2:$C$1833,$M4,Data!$D$2:$D$1833,$N4,Data!$E$2:$E$1833,$O4,Data!$F$2:$F$1833,$F4,Data!$H$2:$H$1833,1)</f>
        <v>1</v>
      </c>
      <c r="H4" s="70" t="n">
        <v>11</v>
      </c>
      <c r="I4" s="31" t="str">
        <f aca="false">INDEX(Data!$G$2:$G$1833,MATCH($H4,Data!$A$2:$A$1833,0))</f>
        <v>Can understand phrases and expressions related to areas of most immediate priority (e.g. very basic personal and family information, shopping, local geography, employment), provided people articulate clearly and slowly.</v>
      </c>
      <c r="J4" s="71" t="s">
        <v>2453</v>
      </c>
      <c r="L4" s="70" t="s">
        <v>395</v>
      </c>
      <c r="M4" s="70" t="s">
        <v>408</v>
      </c>
      <c r="N4" s="70" t="s">
        <v>409</v>
      </c>
      <c r="O4" s="70" t="s">
        <v>410</v>
      </c>
    </row>
    <row r="5" customFormat="false" ht="26.25" hidden="false" customHeight="true" outlineLevel="0" collapsed="false">
      <c r="A5" s="70"/>
      <c r="B5" s="70"/>
      <c r="C5" s="70"/>
      <c r="D5" s="70"/>
      <c r="E5" s="70"/>
      <c r="F5" s="70" t="s">
        <v>123</v>
      </c>
      <c r="G5" s="70" t="n">
        <f aca="false">COUNTIFS(Data!$B$2:$B$1833,$L5,Data!$C$2:$C$1833,$M5,Data!$D$2:$D$1833,$N5,Data!$E$2:$E$1833,$O5,Data!$F$2:$F$1833,$F5,Data!$H$2:$H$1833,1)</f>
        <v>1</v>
      </c>
      <c r="H5" s="70" t="n">
        <v>10</v>
      </c>
      <c r="I5" s="31" t="str">
        <f aca="false">INDEX(Data!$G$2:$G$1833,MATCH($H5,Data!$A$2:$A$1833,0))</f>
        <v>Can understand enough to be able to meet needs of a concrete type, provided people articulate clearly and slowly.</v>
      </c>
      <c r="J5" s="71" t="s">
        <v>2454</v>
      </c>
      <c r="L5" s="70" t="s">
        <v>395</v>
      </c>
      <c r="M5" s="70" t="s">
        <v>408</v>
      </c>
      <c r="N5" s="70" t="s">
        <v>409</v>
      </c>
      <c r="O5" s="70" t="s">
        <v>410</v>
      </c>
    </row>
    <row r="6" customFormat="false" ht="32.25" hidden="false" customHeight="true" outlineLevel="0" collapsed="false">
      <c r="A6" s="70"/>
      <c r="B6" s="70"/>
      <c r="C6" s="70"/>
      <c r="D6" s="70"/>
      <c r="E6" s="70"/>
      <c r="F6" s="70" t="s">
        <v>21</v>
      </c>
      <c r="G6" s="70" t="n">
        <f aca="false">COUNTIFS(Data!$B$2:$B$1833,$L6,Data!$C$2:$C$1833,$M6,Data!$D$2:$D$1833,$N6,Data!$E$2:$E$1833,$O6,Data!$F$2:$F$1833,$F6,Data!$H$2:$H$1833,1)</f>
        <v>1</v>
      </c>
      <c r="H6" s="70" t="n">
        <v>9</v>
      </c>
      <c r="I6" s="31" t="str">
        <f aca="false">INDEX(Data!$G$2:$G$1833,MATCH($H6,Data!$A$2:$A$1833,0))</f>
        <v>Can understand the main points made in clear standard language or a familiar variety on familiar matters regularly encountered at work, school, leisure, etc., including short narratives. </v>
      </c>
      <c r="J6" s="71" t="s">
        <v>2455</v>
      </c>
      <c r="L6" s="70" t="s">
        <v>395</v>
      </c>
      <c r="M6" s="70" t="s">
        <v>408</v>
      </c>
      <c r="N6" s="70" t="s">
        <v>409</v>
      </c>
      <c r="O6" s="70" t="s">
        <v>410</v>
      </c>
    </row>
    <row r="7" customFormat="false" ht="39" hidden="false" customHeight="true" outlineLevel="0" collapsed="false">
      <c r="A7" s="70"/>
      <c r="B7" s="70"/>
      <c r="C7" s="70"/>
      <c r="D7" s="70"/>
      <c r="E7" s="70"/>
      <c r="F7" s="70" t="s">
        <v>52</v>
      </c>
      <c r="G7" s="70" t="n">
        <f aca="false">COUNTIFS(Data!$B$2:$B$1833,$L7,Data!$C$2:$C$1833,$M7,Data!$D$2:$D$1833,$N7,Data!$E$2:$E$1833,$O7,Data!$F$2:$F$1833,$F7,Data!$H$2:$H$1833,1)</f>
        <v>1</v>
      </c>
      <c r="H7" s="70" t="n">
        <v>8</v>
      </c>
      <c r="I7" s="31" t="str">
        <f aca="false">INDEX(Data!$G$2:$G$1833,MATCH($H7,Data!$A$2:$A$1833,0))</f>
        <v>Can understand straightforward factual information about common everyday or job-related topics, identifying both general messages and specific details, provided people articulate clearly in a generally familiar variety.</v>
      </c>
      <c r="J7" s="71" t="s">
        <v>2456</v>
      </c>
      <c r="L7" s="70" t="s">
        <v>395</v>
      </c>
      <c r="M7" s="70" t="s">
        <v>408</v>
      </c>
      <c r="N7" s="70" t="s">
        <v>409</v>
      </c>
      <c r="O7" s="70" t="s">
        <v>410</v>
      </c>
    </row>
    <row r="8" customFormat="false" ht="32.25" hidden="false" customHeight="true" outlineLevel="0" collapsed="false">
      <c r="A8" s="70"/>
      <c r="B8" s="70"/>
      <c r="C8" s="70"/>
      <c r="D8" s="70"/>
      <c r="E8" s="70"/>
      <c r="F8" s="70" t="s">
        <v>259</v>
      </c>
      <c r="G8" s="70" t="n">
        <f aca="false">COUNTIFS(Data!$B$2:$B$1833,$L8,Data!$C$2:$C$1833,$M8,Data!$D$2:$D$1833,$N8,Data!$E$2:$E$1833,$O8,Data!$F$2:$F$1833,$F8,Data!$H$2:$H$1833,1)</f>
        <v>2</v>
      </c>
      <c r="H8" s="70" t="n">
        <v>7</v>
      </c>
      <c r="I8" s="31" t="str">
        <f aca="false">INDEX(Data!$G$2:$G$1833,MATCH($H8,Data!$A$2:$A$1833,0))</f>
        <v>Can follow extended discourse and complex lines of argument, provided the topic is reasonably familiar, and the direction of the argument is signposted by explicit markers.</v>
      </c>
      <c r="J8" s="71" t="s">
        <v>2457</v>
      </c>
      <c r="L8" s="70" t="s">
        <v>395</v>
      </c>
      <c r="M8" s="70" t="s">
        <v>408</v>
      </c>
      <c r="N8" s="70" t="s">
        <v>409</v>
      </c>
      <c r="O8" s="70" t="s">
        <v>410</v>
      </c>
    </row>
    <row r="9" customFormat="false" ht="53.25" hidden="false" customHeight="true" outlineLevel="0" collapsed="false">
      <c r="A9" s="70"/>
      <c r="B9" s="70"/>
      <c r="C9" s="70"/>
      <c r="D9" s="70"/>
      <c r="E9" s="70"/>
      <c r="F9" s="70" t="s">
        <v>36</v>
      </c>
      <c r="G9" s="70" t="n">
        <f aca="false">COUNTIFS(Data!$B$2:$B$1833,$L9,Data!$C$2:$C$1833,$M9,Data!$D$2:$D$1833,$N9,Data!$E$2:$E$1833,$O9,Data!$F$2:$F$1833,$F9,Data!$H$2:$H$1833,1)</f>
        <v>1</v>
      </c>
      <c r="H9" s="70" t="n">
        <v>5</v>
      </c>
      <c r="I9" s="31" t="str">
        <f aca="false">INDEX(Data!$G$2:$G$1833,MATCH($H9,Data!$A$2:$A$1833,0))</f>
        <v>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v>
      </c>
      <c r="J9" s="71" t="s">
        <v>2458</v>
      </c>
      <c r="L9" s="70" t="s">
        <v>395</v>
      </c>
      <c r="M9" s="70" t="s">
        <v>408</v>
      </c>
      <c r="N9" s="70" t="s">
        <v>409</v>
      </c>
      <c r="O9" s="70" t="s">
        <v>410</v>
      </c>
    </row>
    <row r="10" customFormat="false" ht="26.25" hidden="false" customHeight="true" outlineLevel="0" collapsed="false">
      <c r="A10" s="70"/>
      <c r="B10" s="70"/>
      <c r="C10" s="70"/>
      <c r="D10" s="70"/>
      <c r="E10" s="70"/>
      <c r="F10" s="70" t="s">
        <v>74</v>
      </c>
      <c r="G10" s="70" t="n">
        <f aca="false">COUNTIFS(Data!$B$2:$B$1833,$L10,Data!$C$2:$C$1833,$M10,Data!$D$2:$D$1833,$N10,Data!$E$2:$E$1833,$O10,Data!$F$2:$F$1833,$F10,Data!$H$2:$H$1833,1)</f>
        <v>3</v>
      </c>
      <c r="H10" s="70" t="n">
        <v>3</v>
      </c>
      <c r="I10" s="31" t="str">
        <f aca="false">INDEX(Data!$G$2:$G$1833,MATCH($H10,Data!$A$2:$A$1833,0))</f>
        <v>Can recognise a wide range of idiomatic expressions and colloquialisms, appreciating register shifts.</v>
      </c>
      <c r="J10" s="71" t="s">
        <v>2459</v>
      </c>
      <c r="L10" s="70" t="s">
        <v>395</v>
      </c>
      <c r="M10" s="70" t="s">
        <v>408</v>
      </c>
      <c r="N10" s="70" t="s">
        <v>409</v>
      </c>
      <c r="O10" s="70" t="s">
        <v>410</v>
      </c>
    </row>
    <row r="11" customFormat="false" ht="26.25" hidden="false" customHeight="true" outlineLevel="0" collapsed="false">
      <c r="A11" s="70"/>
      <c r="B11" s="70"/>
      <c r="C11" s="70"/>
      <c r="D11" s="70"/>
      <c r="E11" s="70"/>
      <c r="F11" s="70" t="s">
        <v>331</v>
      </c>
      <c r="G11" s="70" t="n">
        <f aca="false">COUNTIFS(Data!$B$2:$B$1833,$L11,Data!$C$2:$C$1833,$M11,Data!$D$2:$D$1833,$N11,Data!$E$2:$E$1833,$O11,Data!$F$2:$F$1833,$F11,Data!$H$2:$H$1833,1)</f>
        <v>1</v>
      </c>
      <c r="H11" s="70" t="n">
        <v>1</v>
      </c>
      <c r="I11" s="31" t="str">
        <f aca="false">INDEX(Data!$G$2:$G$1833,MATCH($H11,Data!$A$2:$A$1833,0))</f>
        <v>Can understand with ease virtually any kind of language, whether live or broadcast, delivered at fast natural speed.</v>
      </c>
      <c r="J11" s="71" t="s">
        <v>2460</v>
      </c>
      <c r="L11" s="70" t="s">
        <v>395</v>
      </c>
      <c r="M11" s="70" t="s">
        <v>408</v>
      </c>
      <c r="N11" s="70" t="s">
        <v>409</v>
      </c>
      <c r="O11" s="70" t="s">
        <v>410</v>
      </c>
    </row>
    <row r="12" customFormat="false" ht="15" hidden="false" customHeight="true" outlineLevel="0" collapsed="false">
      <c r="A12" s="72" t="str">
        <f aca="false">IFERROR(INDEX(対訳マスタ!$C$2:$C$136,MATCH($L12,対訳マスタ!$B$2:$B$136,0)),$L12)</f>
        <v>コミュニケーション言語活動</v>
      </c>
      <c r="B12" s="72" t="str">
        <f aca="false">IF($M12="—","—",IFERROR(INDEX(対訳マスタ!$C$2:$C$136,MATCH($M12,対訳マスタ!$B$2:$B$136,0)),$M12))</f>
        <v>受容</v>
      </c>
      <c r="C12" s="72" t="str">
        <f aca="false">IF($N12="—","—",IFERROR(INDEX(対訳マスタ!$C$2:$C$136,MATCH($N12,対訳マスタ!$B$2:$B$136,0)),$N12))</f>
        <v>口頭理解（聞くこと）</v>
      </c>
      <c r="D12" s="72" t="str">
        <f aca="false">IFERROR(INDEX(対訳マスタ!$C$2:$C$136,MATCH($O12,対訳マスタ!$B$2:$B$136,0)),$O12)</f>
        <v>第三者どうしの会話の聞き取り</v>
      </c>
      <c r="E12" s="73" t="s">
        <v>427</v>
      </c>
      <c r="F12" s="73" t="s">
        <v>86</v>
      </c>
      <c r="G12" s="73" t="n">
        <f aca="false">COUNTIFS(Data!$B$2:$B$1833,$L12,Data!$C$2:$C$1833,$M12,Data!$D$2:$D$1833,$N12,Data!$E$2:$E$1833,$O12,Data!$F$2:$F$1833,$F12,Data!$H$2:$H$1833,1)</f>
        <v>0</v>
      </c>
      <c r="H12" s="73" t="s">
        <v>624</v>
      </c>
      <c r="I12" s="74" t="s">
        <v>624</v>
      </c>
      <c r="J12" s="74" t="s">
        <v>624</v>
      </c>
      <c r="L12" s="70" t="s">
        <v>395</v>
      </c>
      <c r="M12" s="70" t="s">
        <v>408</v>
      </c>
      <c r="N12" s="70" t="s">
        <v>409</v>
      </c>
      <c r="O12" s="70" t="s">
        <v>427</v>
      </c>
    </row>
    <row r="13" customFormat="false" ht="26.25" hidden="false" customHeight="true" outlineLevel="0" collapsed="false">
      <c r="A13" s="75"/>
      <c r="B13" s="75"/>
      <c r="C13" s="75"/>
      <c r="D13" s="75"/>
      <c r="E13" s="75"/>
      <c r="F13" s="75" t="s">
        <v>101</v>
      </c>
      <c r="G13" s="75" t="n">
        <f aca="false">COUNTIFS(Data!$B$2:$B$1833,$L13,Data!$C$2:$C$1833,$M13,Data!$D$2:$D$1833,$N13,Data!$E$2:$E$1833,$O13,Data!$F$2:$F$1833,$F13,Data!$H$2:$H$1833,1)</f>
        <v>2</v>
      </c>
      <c r="H13" s="75" t="n">
        <v>29</v>
      </c>
      <c r="I13" s="76" t="str">
        <f aca="false">INDEX(Data!$G$2:$G$1833,MATCH($H13,Data!$A$2:$A$1833,0))</f>
        <v>Can understand some expressions when people are discussing them, family, school, hobbies or surroundings, provided the delivery is slow and clear.</v>
      </c>
      <c r="J13" s="77" t="s">
        <v>2461</v>
      </c>
      <c r="L13" s="70" t="s">
        <v>395</v>
      </c>
      <c r="M13" s="70" t="s">
        <v>408</v>
      </c>
      <c r="N13" s="70" t="s">
        <v>409</v>
      </c>
      <c r="O13" s="70" t="s">
        <v>427</v>
      </c>
    </row>
    <row r="14" customFormat="false" ht="21.75" hidden="false" customHeight="true" outlineLevel="0" collapsed="false">
      <c r="A14" s="75"/>
      <c r="B14" s="75"/>
      <c r="C14" s="75"/>
      <c r="D14" s="75"/>
      <c r="E14" s="75"/>
      <c r="F14" s="75" t="s">
        <v>13</v>
      </c>
      <c r="G14" s="75" t="n">
        <f aca="false">COUNTIFS(Data!$B$2:$B$1833,$L14,Data!$C$2:$C$1833,$M14,Data!$D$2:$D$1833,$N14,Data!$E$2:$E$1833,$O14,Data!$F$2:$F$1833,$F14,Data!$H$2:$H$1833,1)</f>
        <v>1</v>
      </c>
      <c r="H14" s="75" t="n">
        <v>28</v>
      </c>
      <c r="I14" s="76" t="str">
        <f aca="false">INDEX(Data!$G$2:$G$1833,MATCH($H14,Data!$A$2:$A$1833,0))</f>
        <v>Can follow in outline short, simple social exchanges, conducted very slowly and clearly.</v>
      </c>
      <c r="J14" s="77" t="s">
        <v>2462</v>
      </c>
      <c r="L14" s="70" t="s">
        <v>395</v>
      </c>
      <c r="M14" s="70" t="s">
        <v>408</v>
      </c>
      <c r="N14" s="70" t="s">
        <v>409</v>
      </c>
      <c r="O14" s="70" t="s">
        <v>427</v>
      </c>
    </row>
    <row r="15" customFormat="false" ht="26.25" hidden="false" customHeight="true" outlineLevel="0" collapsed="false">
      <c r="A15" s="75"/>
      <c r="B15" s="75"/>
      <c r="C15" s="75"/>
      <c r="D15" s="75"/>
      <c r="E15" s="75"/>
      <c r="F15" s="75" t="s">
        <v>123</v>
      </c>
      <c r="G15" s="75" t="n">
        <f aca="false">COUNTIFS(Data!$B$2:$B$1833,$L15,Data!$C$2:$C$1833,$M15,Data!$D$2:$D$1833,$N15,Data!$E$2:$E$1833,$O15,Data!$F$2:$F$1833,$F15,Data!$H$2:$H$1833,1)</f>
        <v>2</v>
      </c>
      <c r="H15" s="75" t="n">
        <v>27</v>
      </c>
      <c r="I15" s="76" t="str">
        <f aca="false">INDEX(Data!$G$2:$G$1833,MATCH($H15,Data!$A$2:$A$1833,0))</f>
        <v>Can recognise when people agree and disagree in a conversation conducted slowly and clearly.</v>
      </c>
      <c r="J15" s="77" t="s">
        <v>2463</v>
      </c>
      <c r="L15" s="70" t="s">
        <v>395</v>
      </c>
      <c r="M15" s="70" t="s">
        <v>408</v>
      </c>
      <c r="N15" s="70" t="s">
        <v>409</v>
      </c>
      <c r="O15" s="70" t="s">
        <v>427</v>
      </c>
    </row>
    <row r="16" customFormat="false" ht="26.25" hidden="false" customHeight="true" outlineLevel="0" collapsed="false">
      <c r="A16" s="75"/>
      <c r="B16" s="75"/>
      <c r="C16" s="75"/>
      <c r="D16" s="75"/>
      <c r="E16" s="75"/>
      <c r="F16" s="75" t="s">
        <v>21</v>
      </c>
      <c r="G16" s="75" t="n">
        <f aca="false">COUNTIFS(Data!$B$2:$B$1833,$L16,Data!$C$2:$C$1833,$M16,Data!$D$2:$D$1833,$N16,Data!$E$2:$E$1833,$O16,Data!$F$2:$F$1833,$F16,Data!$H$2:$H$1833,1)</f>
        <v>1</v>
      </c>
      <c r="H16" s="75" t="n">
        <v>25</v>
      </c>
      <c r="I16" s="76" t="str">
        <f aca="false">INDEX(Data!$G$2:$G$1833,MATCH($H16,Data!$A$2:$A$1833,0))</f>
        <v>Can generally follow the main points of extended discussion around them, provided it is clearly articulated in standard language or a familiar variety.</v>
      </c>
      <c r="J16" s="77" t="s">
        <v>2464</v>
      </c>
      <c r="L16" s="70" t="s">
        <v>395</v>
      </c>
      <c r="M16" s="70" t="s">
        <v>408</v>
      </c>
      <c r="N16" s="70" t="s">
        <v>409</v>
      </c>
      <c r="O16" s="70" t="s">
        <v>427</v>
      </c>
    </row>
    <row r="17" customFormat="false" ht="26.25" hidden="false" customHeight="true" outlineLevel="0" collapsed="false">
      <c r="A17" s="75"/>
      <c r="B17" s="75"/>
      <c r="C17" s="75"/>
      <c r="D17" s="75"/>
      <c r="E17" s="75"/>
      <c r="F17" s="75" t="s">
        <v>52</v>
      </c>
      <c r="G17" s="75" t="n">
        <f aca="false">COUNTIFS(Data!$B$2:$B$1833,$L17,Data!$C$2:$C$1833,$M17,Data!$D$2:$D$1833,$N17,Data!$E$2:$E$1833,$O17,Data!$F$2:$F$1833,$F17,Data!$H$2:$H$1833,1)</f>
        <v>1</v>
      </c>
      <c r="H17" s="75" t="n">
        <v>24</v>
      </c>
      <c r="I17" s="76" t="str">
        <f aca="false">INDEX(Data!$G$2:$G$1833,MATCH($H17,Data!$A$2:$A$1833,0))</f>
        <v>Can follow much of everyday conversation and discussion, provided it is clearly articulated in standard language or in a familiar variety.</v>
      </c>
      <c r="J17" s="77" t="s">
        <v>2465</v>
      </c>
      <c r="L17" s="70" t="s">
        <v>395</v>
      </c>
      <c r="M17" s="70" t="s">
        <v>408</v>
      </c>
      <c r="N17" s="70" t="s">
        <v>409</v>
      </c>
      <c r="O17" s="70" t="s">
        <v>427</v>
      </c>
    </row>
    <row r="18" customFormat="false" ht="21.75" hidden="false" customHeight="true" outlineLevel="0" collapsed="false">
      <c r="A18" s="75"/>
      <c r="B18" s="75"/>
      <c r="C18" s="75"/>
      <c r="D18" s="75"/>
      <c r="E18" s="75"/>
      <c r="F18" s="75" t="s">
        <v>259</v>
      </c>
      <c r="G18" s="75" t="n">
        <f aca="false">COUNTIFS(Data!$B$2:$B$1833,$L18,Data!$C$2:$C$1833,$M18,Data!$D$2:$D$1833,$N18,Data!$E$2:$E$1833,$O18,Data!$F$2:$F$1833,$F18,Data!$H$2:$H$1833,1)</f>
        <v>3</v>
      </c>
      <c r="H18" s="75" t="n">
        <v>23</v>
      </c>
      <c r="I18" s="76" t="str">
        <f aca="false">INDEX(Data!$G$2:$G$1833,MATCH($H18,Data!$A$2:$A$1833,0))</f>
        <v>Can follow chronological sequence in extended informal discourse, e.g. in a story or anecdote.</v>
      </c>
      <c r="J18" s="77" t="s">
        <v>2466</v>
      </c>
      <c r="L18" s="70" t="s">
        <v>395</v>
      </c>
      <c r="M18" s="70" t="s">
        <v>408</v>
      </c>
      <c r="N18" s="70" t="s">
        <v>409</v>
      </c>
      <c r="O18" s="70" t="s">
        <v>427</v>
      </c>
    </row>
    <row r="19" customFormat="false" ht="21.75" hidden="false" customHeight="true" outlineLevel="0" collapsed="false">
      <c r="A19" s="75"/>
      <c r="B19" s="75"/>
      <c r="C19" s="75"/>
      <c r="D19" s="75"/>
      <c r="E19" s="75"/>
      <c r="F19" s="75" t="s">
        <v>36</v>
      </c>
      <c r="G19" s="75" t="n">
        <f aca="false">COUNTIFS(Data!$B$2:$B$1833,$L19,Data!$C$2:$C$1833,$M19,Data!$D$2:$D$1833,$N19,Data!$E$2:$E$1833,$O19,Data!$F$2:$F$1833,$F19,Data!$H$2:$H$1833,1)</f>
        <v>1</v>
      </c>
      <c r="H19" s="75" t="n">
        <v>20</v>
      </c>
      <c r="I19" s="76" t="str">
        <f aca="false">INDEX(Data!$G$2:$G$1833,MATCH($H19,Data!$A$2:$A$1833,0))</f>
        <v>Can keep up with an animated conversation between proficient users of the target language.</v>
      </c>
      <c r="J19" s="77" t="s">
        <v>2467</v>
      </c>
      <c r="L19" s="70" t="s">
        <v>395</v>
      </c>
      <c r="M19" s="70" t="s">
        <v>408</v>
      </c>
      <c r="N19" s="70" t="s">
        <v>409</v>
      </c>
      <c r="O19" s="70" t="s">
        <v>427</v>
      </c>
    </row>
    <row r="20" customFormat="false" ht="26.25" hidden="false" customHeight="true" outlineLevel="0" collapsed="false">
      <c r="A20" s="75"/>
      <c r="B20" s="75"/>
      <c r="C20" s="75"/>
      <c r="D20" s="75"/>
      <c r="E20" s="75"/>
      <c r="F20" s="75" t="s">
        <v>74</v>
      </c>
      <c r="G20" s="75" t="n">
        <f aca="false">COUNTIFS(Data!$B$2:$B$1833,$L20,Data!$C$2:$C$1833,$M20,Data!$D$2:$D$1833,$N20,Data!$E$2:$E$1833,$O20,Data!$F$2:$F$1833,$F20,Data!$H$2:$H$1833,1)</f>
        <v>2</v>
      </c>
      <c r="H20" s="75" t="n">
        <v>18</v>
      </c>
      <c r="I20" s="76" t="str">
        <f aca="false">INDEX(Data!$G$2:$G$1833,MATCH($H20,Data!$A$2:$A$1833,0))</f>
        <v>Can easily follow complex interactions between third parties in group discussion and debate, even on abstract, complex, unfamiliar topics.</v>
      </c>
      <c r="J20" s="77" t="s">
        <v>2468</v>
      </c>
      <c r="L20" s="70" t="s">
        <v>395</v>
      </c>
      <c r="M20" s="70" t="s">
        <v>408</v>
      </c>
      <c r="N20" s="70" t="s">
        <v>409</v>
      </c>
      <c r="O20" s="70" t="s">
        <v>427</v>
      </c>
    </row>
    <row r="21" customFormat="false" ht="26.25" hidden="false" customHeight="true" outlineLevel="0" collapsed="false">
      <c r="A21" s="75"/>
      <c r="B21" s="75"/>
      <c r="C21" s="75"/>
      <c r="D21" s="75"/>
      <c r="E21" s="75"/>
      <c r="F21" s="75" t="s">
        <v>331</v>
      </c>
      <c r="G21" s="75" t="n">
        <f aca="false">COUNTIFS(Data!$B$2:$B$1833,$L21,Data!$C$2:$C$1833,$M21,Data!$D$2:$D$1833,$N21,Data!$E$2:$E$1833,$O21,Data!$F$2:$F$1833,$F21,Data!$H$2:$H$1833,1)</f>
        <v>1</v>
      </c>
      <c r="H21" s="75" t="n">
        <v>17</v>
      </c>
      <c r="I21" s="76" t="str">
        <f aca="false">INDEX(Data!$G$2:$G$1833,MATCH($H21,Data!$A$2:$A$1833,0))</f>
        <v>Can identify the sociocultural implications of most of the language used in colloquial discussions that take place at a natural speed.</v>
      </c>
      <c r="J21" s="77" t="s">
        <v>2469</v>
      </c>
      <c r="L21" s="70" t="s">
        <v>395</v>
      </c>
      <c r="M21" s="70" t="s">
        <v>408</v>
      </c>
      <c r="N21" s="70" t="s">
        <v>409</v>
      </c>
      <c r="O21" s="70" t="s">
        <v>427</v>
      </c>
    </row>
    <row r="22" customFormat="false" ht="15" hidden="false" customHeight="true" outlineLevel="0" collapsed="false">
      <c r="A22" s="67" t="str">
        <f aca="false">IFERROR(INDEX(対訳マスタ!$C$2:$C$136,MATCH($L22,対訳マスタ!$B$2:$B$136,0)),$L22)</f>
        <v>コミュニケーション言語活動</v>
      </c>
      <c r="B22" s="67" t="str">
        <f aca="false">IF($M22="—","—",IFERROR(INDEX(対訳マスタ!$C$2:$C$136,MATCH($M22,対訳マスタ!$B$2:$B$136,0)),$M22))</f>
        <v>受容</v>
      </c>
      <c r="C22" s="67" t="str">
        <f aca="false">IF($N22="—","—",IFERROR(INDEX(対訳マスタ!$C$2:$C$136,MATCH($N22,対訳マスタ!$B$2:$B$136,0)),$N22))</f>
        <v>口頭理解（聞くこと）</v>
      </c>
      <c r="D22" s="67" t="str">
        <f aca="false">IFERROR(INDEX(対訳マスタ!$C$2:$C$136,MATCH($O22,対訳マスタ!$B$2:$B$136,0)),$O22)</f>
        <v>聴衆としての聞き取り（講演など）</v>
      </c>
      <c r="E22" s="67" t="s">
        <v>443</v>
      </c>
      <c r="F22" s="67" t="s">
        <v>86</v>
      </c>
      <c r="G22" s="67" t="n">
        <f aca="false">COUNTIFS(Data!$B$2:$B$1833,$L22,Data!$C$2:$C$1833,$M22,Data!$D$2:$D$1833,$N22,Data!$E$2:$E$1833,$O22,Data!$F$2:$F$1833,$F22,Data!$H$2:$H$1833,1)</f>
        <v>0</v>
      </c>
      <c r="H22" s="67" t="s">
        <v>624</v>
      </c>
      <c r="I22" s="68" t="s">
        <v>624</v>
      </c>
      <c r="J22" s="68" t="s">
        <v>624</v>
      </c>
      <c r="L22" s="70" t="s">
        <v>395</v>
      </c>
      <c r="M22" s="70" t="s">
        <v>408</v>
      </c>
      <c r="N22" s="70" t="s">
        <v>409</v>
      </c>
      <c r="O22" s="70" t="s">
        <v>443</v>
      </c>
    </row>
    <row r="23" customFormat="false" ht="32.25" hidden="false" customHeight="true" outlineLevel="0" collapsed="false">
      <c r="A23" s="70"/>
      <c r="B23" s="70"/>
      <c r="C23" s="70"/>
      <c r="D23" s="70"/>
      <c r="E23" s="70"/>
      <c r="F23" s="70" t="s">
        <v>101</v>
      </c>
      <c r="G23" s="70" t="n">
        <f aca="false">COUNTIFS(Data!$B$2:$B$1833,$L23,Data!$C$2:$C$1833,$M23,Data!$D$2:$D$1833,$N23,Data!$E$2:$E$1833,$O23,Data!$F$2:$F$1833,$F23,Data!$H$2:$H$1833,1)</f>
        <v>1</v>
      </c>
      <c r="H23" s="70" t="n">
        <v>49</v>
      </c>
      <c r="I23" s="31" t="str">
        <f aca="false">INDEX(Data!$G$2:$G$1833,MATCH($H23,Data!$A$2:$A$1833,0))</f>
        <v>Can understand in outline very simple information being explained in a predictable situation like a guided tour, provided the delivery is very slow and clear and that there are long pauses from time to time.</v>
      </c>
      <c r="J23" s="71" t="s">
        <v>2470</v>
      </c>
      <c r="L23" s="70" t="s">
        <v>395</v>
      </c>
      <c r="M23" s="70" t="s">
        <v>408</v>
      </c>
      <c r="N23" s="70" t="s">
        <v>409</v>
      </c>
      <c r="O23" s="70" t="s">
        <v>443</v>
      </c>
    </row>
    <row r="24" customFormat="false" ht="26.25" hidden="false" customHeight="true" outlineLevel="0" collapsed="false">
      <c r="A24" s="70"/>
      <c r="B24" s="70"/>
      <c r="C24" s="70"/>
      <c r="D24" s="70"/>
      <c r="E24" s="70"/>
      <c r="F24" s="70" t="s">
        <v>13</v>
      </c>
      <c r="G24" s="70" t="n">
        <f aca="false">COUNTIFS(Data!$B$2:$B$1833,$L24,Data!$C$2:$C$1833,$M24,Data!$D$2:$D$1833,$N24,Data!$E$2:$E$1833,$O24,Data!$F$2:$F$1833,$F24,Data!$H$2:$H$1833,1)</f>
        <v>2</v>
      </c>
      <c r="H24" s="70" t="n">
        <v>48</v>
      </c>
      <c r="I24" s="31" t="str">
        <f aca="false">INDEX(Data!$G$2:$G$1833,MATCH($H24,Data!$A$2:$A$1833,0))</f>
        <v>Can understand the outline of simple information given in a predictable situation, such as on a guided tour (e.g. “This is where the President lives”).</v>
      </c>
      <c r="J24" s="71" t="s">
        <v>2471</v>
      </c>
      <c r="L24" s="70" t="s">
        <v>395</v>
      </c>
      <c r="M24" s="70" t="s">
        <v>408</v>
      </c>
      <c r="N24" s="70" t="s">
        <v>409</v>
      </c>
      <c r="O24" s="70" t="s">
        <v>443</v>
      </c>
    </row>
    <row r="25" customFormat="false" ht="39" hidden="false" customHeight="true" outlineLevel="0" collapsed="false">
      <c r="A25" s="70"/>
      <c r="B25" s="70"/>
      <c r="C25" s="70"/>
      <c r="D25" s="70"/>
      <c r="E25" s="70"/>
      <c r="F25" s="70" t="s">
        <v>123</v>
      </c>
      <c r="G25" s="70" t="n">
        <f aca="false">COUNTIFS(Data!$B$2:$B$1833,$L25,Data!$C$2:$C$1833,$M25,Data!$D$2:$D$1833,$N25,Data!$E$2:$E$1833,$O25,Data!$F$2:$F$1833,$F25,Data!$H$2:$H$1833,1)</f>
        <v>1</v>
      </c>
      <c r="H25" s="70" t="n">
        <v>46</v>
      </c>
      <c r="I25" s="31" t="str">
        <f aca="false">INDEX(Data!$G$2:$G$1833,MATCH($H25,Data!$A$2:$A$1833,0))</f>
        <v>Can follow the general outline of a demonstration or presentation on a familiar or predictable topic, where the message is expressed slowly and clearly in simple language and there is visual support (e.g. slides, handouts).</v>
      </c>
      <c r="J25" s="71" t="s">
        <v>2472</v>
      </c>
      <c r="L25" s="70" t="s">
        <v>395</v>
      </c>
      <c r="M25" s="70" t="s">
        <v>408</v>
      </c>
      <c r="N25" s="70" t="s">
        <v>409</v>
      </c>
      <c r="O25" s="70" t="s">
        <v>443</v>
      </c>
    </row>
    <row r="26" customFormat="false" ht="32.25" hidden="false" customHeight="true" outlineLevel="0" collapsed="false">
      <c r="A26" s="70"/>
      <c r="B26" s="70"/>
      <c r="C26" s="70"/>
      <c r="D26" s="70"/>
      <c r="E26" s="70"/>
      <c r="F26" s="70" t="s">
        <v>21</v>
      </c>
      <c r="G26" s="70" t="n">
        <f aca="false">COUNTIFS(Data!$B$2:$B$1833,$L26,Data!$C$2:$C$1833,$M26,Data!$D$2:$D$1833,$N26,Data!$E$2:$E$1833,$O26,Data!$F$2:$F$1833,$F26,Data!$H$2:$H$1833,1)</f>
        <v>3</v>
      </c>
      <c r="H26" s="70" t="n">
        <v>45</v>
      </c>
      <c r="I26" s="31" t="str">
        <f aca="false">INDEX(Data!$G$2:$G$1833,MATCH($H26,Data!$A$2:$A$1833,0))</f>
        <v>Can understand the main points of what is said in a straightforward monologue (e.g. a guided tour), provided the delivery is clear and relatively slow.</v>
      </c>
      <c r="J26" s="71" t="s">
        <v>2473</v>
      </c>
      <c r="L26" s="70" t="s">
        <v>395</v>
      </c>
      <c r="M26" s="70" t="s">
        <v>408</v>
      </c>
      <c r="N26" s="70" t="s">
        <v>409</v>
      </c>
      <c r="O26" s="70" t="s">
        <v>443</v>
      </c>
    </row>
    <row r="27" customFormat="false" ht="26.25" hidden="false" customHeight="true" outlineLevel="0" collapsed="false">
      <c r="A27" s="70"/>
      <c r="B27" s="70"/>
      <c r="C27" s="70"/>
      <c r="D27" s="70"/>
      <c r="E27" s="70"/>
      <c r="F27" s="70" t="s">
        <v>52</v>
      </c>
      <c r="G27" s="70" t="n">
        <f aca="false">COUNTIFS(Data!$B$2:$B$1833,$L27,Data!$C$2:$C$1833,$M27,Data!$D$2:$D$1833,$N27,Data!$E$2:$E$1833,$O27,Data!$F$2:$F$1833,$F27,Data!$H$2:$H$1833,1)</f>
        <v>2</v>
      </c>
      <c r="H27" s="70" t="n">
        <v>41</v>
      </c>
      <c r="I27" s="31" t="str">
        <f aca="false">INDEX(Data!$G$2:$G$1833,MATCH($H27,Data!$A$2:$A$1833,0))</f>
        <v>Can follow a lecture or talk within their own field, provided the subject matter is familiar and the presentation straightforward and clearly structured.</v>
      </c>
      <c r="J27" s="71" t="s">
        <v>2474</v>
      </c>
      <c r="L27" s="70" t="s">
        <v>395</v>
      </c>
      <c r="M27" s="70" t="s">
        <v>408</v>
      </c>
      <c r="N27" s="70" t="s">
        <v>409</v>
      </c>
      <c r="O27" s="70" t="s">
        <v>443</v>
      </c>
    </row>
    <row r="28" customFormat="false" ht="21.75" hidden="false" customHeight="true" outlineLevel="0" collapsed="false">
      <c r="A28" s="70"/>
      <c r="B28" s="70"/>
      <c r="C28" s="70"/>
      <c r="D28" s="70"/>
      <c r="E28" s="70"/>
      <c r="F28" s="70" t="s">
        <v>259</v>
      </c>
      <c r="G28" s="70" t="n">
        <f aca="false">COUNTIFS(Data!$B$2:$B$1833,$L28,Data!$C$2:$C$1833,$M28,Data!$D$2:$D$1833,$N28,Data!$E$2:$E$1833,$O28,Data!$F$2:$F$1833,$F28,Data!$H$2:$H$1833,1)</f>
        <v>3</v>
      </c>
      <c r="H28" s="70" t="n">
        <v>40</v>
      </c>
      <c r="I28" s="31" t="str">
        <f aca="false">INDEX(Data!$G$2:$G$1833,MATCH($H28,Data!$A$2:$A$1833,0))</f>
        <v>Can recognise the point of view expressed and distinguish this from facts being reporting.</v>
      </c>
      <c r="J28" s="71" t="s">
        <v>2475</v>
      </c>
      <c r="L28" s="70" t="s">
        <v>395</v>
      </c>
      <c r="M28" s="70" t="s">
        <v>408</v>
      </c>
      <c r="N28" s="70" t="s">
        <v>409</v>
      </c>
      <c r="O28" s="70" t="s">
        <v>443</v>
      </c>
    </row>
    <row r="29" customFormat="false" ht="32.25" hidden="false" customHeight="true" outlineLevel="0" collapsed="false">
      <c r="A29" s="70"/>
      <c r="B29" s="70"/>
      <c r="C29" s="70"/>
      <c r="D29" s="70"/>
      <c r="E29" s="70"/>
      <c r="F29" s="70" t="s">
        <v>36</v>
      </c>
      <c r="G29" s="70" t="n">
        <f aca="false">COUNTIFS(Data!$B$2:$B$1833,$L29,Data!$C$2:$C$1833,$M29,Data!$D$2:$D$1833,$N29,Data!$E$2:$E$1833,$O29,Data!$F$2:$F$1833,$F29,Data!$H$2:$H$1833,1)</f>
        <v>2</v>
      </c>
      <c r="H29" s="70" t="n">
        <v>36</v>
      </c>
      <c r="I29" s="31" t="str">
        <f aca="false">INDEX(Data!$G$2:$G$1833,MATCH($H29,Data!$A$2:$A$1833,0))</f>
        <v>Can follow the essentials of lectures, talks and reports and other forms of academic/professional presentation which are propositionally and linguistically complex.</v>
      </c>
      <c r="J29" s="71" t="s">
        <v>2476</v>
      </c>
      <c r="L29" s="70" t="s">
        <v>395</v>
      </c>
      <c r="M29" s="70" t="s">
        <v>408</v>
      </c>
      <c r="N29" s="70" t="s">
        <v>409</v>
      </c>
      <c r="O29" s="70" t="s">
        <v>443</v>
      </c>
    </row>
    <row r="30" customFormat="false" ht="15" hidden="false" customHeight="true" outlineLevel="0" collapsed="false">
      <c r="A30" s="70"/>
      <c r="B30" s="70"/>
      <c r="C30" s="70"/>
      <c r="D30" s="70"/>
      <c r="E30" s="70"/>
      <c r="F30" s="70" t="s">
        <v>74</v>
      </c>
      <c r="G30" s="70" t="n">
        <f aca="false">COUNTIFS(Data!$B$2:$B$1833,$L30,Data!$C$2:$C$1833,$M30,Data!$D$2:$D$1833,$N30,Data!$E$2:$E$1833,$O30,Data!$F$2:$F$1833,$F30,Data!$H$2:$H$1833,1)</f>
        <v>1</v>
      </c>
      <c r="H30" s="70" t="n">
        <v>35</v>
      </c>
      <c r="I30" s="31" t="str">
        <f aca="false">INDEX(Data!$G$2:$G$1833,MATCH($H30,Data!$A$2:$A$1833,0))</f>
        <v>Can follow most lectures, discussions and debates with relative ease.</v>
      </c>
      <c r="J30" s="71" t="s">
        <v>2477</v>
      </c>
      <c r="L30" s="70" t="s">
        <v>395</v>
      </c>
      <c r="M30" s="70" t="s">
        <v>408</v>
      </c>
      <c r="N30" s="70" t="s">
        <v>409</v>
      </c>
      <c r="O30" s="70" t="s">
        <v>443</v>
      </c>
    </row>
    <row r="31" customFormat="false" ht="15" hidden="false" customHeight="true" outlineLevel="0" collapsed="false">
      <c r="A31" s="70"/>
      <c r="B31" s="70"/>
      <c r="C31" s="70"/>
      <c r="D31" s="70"/>
      <c r="E31" s="70"/>
      <c r="F31" s="70" t="s">
        <v>331</v>
      </c>
      <c r="G31" s="70" t="n">
        <f aca="false">COUNTIFS(Data!$B$2:$B$1833,$L31,Data!$C$2:$C$1833,$M31,Data!$D$2:$D$1833,$N31,Data!$E$2:$E$1833,$O31,Data!$F$2:$F$1833,$F31,Data!$H$2:$H$1833,1)</f>
        <v>3</v>
      </c>
      <c r="H31" s="70" t="n">
        <v>34</v>
      </c>
      <c r="I31" s="31" t="str">
        <f aca="false">INDEX(Data!$G$2:$G$1833,MATCH($H31,Data!$A$2:$A$1833,0))</f>
        <v>Can get the point of jokes or allusions in a presentation.</v>
      </c>
      <c r="J31" s="71" t="s">
        <v>2478</v>
      </c>
      <c r="L31" s="70" t="s">
        <v>395</v>
      </c>
      <c r="M31" s="70" t="s">
        <v>408</v>
      </c>
      <c r="N31" s="70" t="s">
        <v>409</v>
      </c>
      <c r="O31" s="70" t="s">
        <v>443</v>
      </c>
    </row>
    <row r="32" customFormat="false" ht="32.25" hidden="false" customHeight="true" outlineLevel="0" collapsed="false">
      <c r="A32" s="73" t="str">
        <f aca="false">IFERROR(INDEX(対訳マスタ!$C$2:$C$136,MATCH($L32,対訳マスタ!$B$2:$B$136,0)),$L32)</f>
        <v>コミュニケーション言語活動</v>
      </c>
      <c r="B32" s="73" t="str">
        <f aca="false">IF($M32="—","—",IFERROR(INDEX(対訳マスタ!$C$2:$C$136,MATCH($M32,対訳マスタ!$B$2:$B$136,0)),$M32))</f>
        <v>受容</v>
      </c>
      <c r="C32" s="73" t="str">
        <f aca="false">IF($N32="—","—",IFERROR(INDEX(対訳マスタ!$C$2:$C$136,MATCH($N32,対訳マスタ!$B$2:$B$136,0)),$N32))</f>
        <v>口頭理解（聞くこと）</v>
      </c>
      <c r="D32" s="73" t="str">
        <f aca="false">IFERROR(INDEX(対訳マスタ!$C$2:$C$136,MATCH($O32,対訳マスタ!$B$2:$B$136,0)),$O32)</f>
        <v>アナウンス・指示の聞き取り</v>
      </c>
      <c r="E32" s="73" t="s">
        <v>462</v>
      </c>
      <c r="F32" s="73" t="s">
        <v>86</v>
      </c>
      <c r="G32" s="73" t="n">
        <f aca="false">COUNTIFS(Data!$B$2:$B$1833,$L32,Data!$C$2:$C$1833,$M32,Data!$D$2:$D$1833,$N32,Data!$E$2:$E$1833,$O32,Data!$F$2:$F$1833,$F32,Data!$H$2:$H$1833,1)</f>
        <v>1</v>
      </c>
      <c r="H32" s="73" t="n">
        <v>67</v>
      </c>
      <c r="I32" s="74" t="str">
        <f aca="false">INDEX(Data!$G$2:$G$1833,MATCH($H32,Data!$A$2:$A$1833,0))</f>
        <v>Can understand short, simple instructions for actions such as “Stop”, “Close the door”, etc., provided they are delivered slowly face-to-face, accompanied by pictures or manual gestures and repeated if necessary.</v>
      </c>
      <c r="J32" s="78" t="s">
        <v>2479</v>
      </c>
      <c r="L32" s="70" t="s">
        <v>395</v>
      </c>
      <c r="M32" s="70" t="s">
        <v>408</v>
      </c>
      <c r="N32" s="70" t="s">
        <v>409</v>
      </c>
      <c r="O32" s="70" t="s">
        <v>462</v>
      </c>
    </row>
    <row r="33" customFormat="false" ht="26.25" hidden="false" customHeight="true" outlineLevel="0" collapsed="false">
      <c r="A33" s="75"/>
      <c r="B33" s="75"/>
      <c r="C33" s="75"/>
      <c r="D33" s="75"/>
      <c r="E33" s="75"/>
      <c r="F33" s="75" t="s">
        <v>101</v>
      </c>
      <c r="G33" s="75" t="n">
        <f aca="false">COUNTIFS(Data!$B$2:$B$1833,$L33,Data!$C$2:$C$1833,$M33,Data!$D$2:$D$1833,$N33,Data!$E$2:$E$1833,$O33,Data!$F$2:$F$1833,$F33,Data!$H$2:$H$1833,1)</f>
        <v>3</v>
      </c>
      <c r="H33" s="75" t="n">
        <v>64</v>
      </c>
      <c r="I33" s="76" t="str">
        <f aca="false">INDEX(Data!$G$2:$G$1833,MATCH($H33,Data!$A$2:$A$1833,0))</f>
        <v>Can understand instructions addressed carefully and slowly to them and follow short, simple directions.</v>
      </c>
      <c r="J33" s="77" t="s">
        <v>2480</v>
      </c>
      <c r="L33" s="70" t="s">
        <v>395</v>
      </c>
      <c r="M33" s="70" t="s">
        <v>408</v>
      </c>
      <c r="N33" s="70" t="s">
        <v>409</v>
      </c>
      <c r="O33" s="70" t="s">
        <v>462</v>
      </c>
    </row>
    <row r="34" customFormat="false" ht="21.75" hidden="false" customHeight="true" outlineLevel="0" collapsed="false">
      <c r="A34" s="75"/>
      <c r="B34" s="75"/>
      <c r="C34" s="75"/>
      <c r="D34" s="75"/>
      <c r="E34" s="75"/>
      <c r="F34" s="75" t="s">
        <v>13</v>
      </c>
      <c r="G34" s="75" t="n">
        <f aca="false">COUNTIFS(Data!$B$2:$B$1833,$L34,Data!$C$2:$C$1833,$M34,Data!$D$2:$D$1833,$N34,Data!$E$2:$E$1833,$O34,Data!$F$2:$F$1833,$F34,Data!$H$2:$H$1833,1)</f>
        <v>3</v>
      </c>
      <c r="H34" s="75" t="n">
        <v>61</v>
      </c>
      <c r="I34" s="76" t="str">
        <f aca="false">INDEX(Data!$G$2:$G$1833,MATCH($H34,Data!$A$2:$A$1833,0))</f>
        <v>Can catch the main point in short, clear, simple messages and announcements.</v>
      </c>
      <c r="J34" s="77" t="s">
        <v>2481</v>
      </c>
      <c r="L34" s="70" t="s">
        <v>395</v>
      </c>
      <c r="M34" s="70" t="s">
        <v>408</v>
      </c>
      <c r="N34" s="70" t="s">
        <v>409</v>
      </c>
      <c r="O34" s="70" t="s">
        <v>462</v>
      </c>
    </row>
    <row r="35" customFormat="false" ht="32.25" hidden="false" customHeight="true" outlineLevel="0" collapsed="false">
      <c r="A35" s="75"/>
      <c r="B35" s="75"/>
      <c r="C35" s="75"/>
      <c r="D35" s="75"/>
      <c r="E35" s="75"/>
      <c r="F35" s="75" t="s">
        <v>123</v>
      </c>
      <c r="G35" s="75" t="n">
        <f aca="false">COUNTIFS(Data!$B$2:$B$1833,$L35,Data!$C$2:$C$1833,$M35,Data!$D$2:$D$1833,$N35,Data!$E$2:$E$1833,$O35,Data!$F$2:$F$1833,$F35,Data!$H$2:$H$1833,1)</f>
        <v>2</v>
      </c>
      <c r="H35" s="75" t="n">
        <v>60</v>
      </c>
      <c r="I35" s="76" t="str">
        <f aca="false">INDEX(Data!$G$2:$G$1833,MATCH($H35,Data!$A$2:$A$1833,0))</f>
        <v>Can understand straightforward announcements (e.g. of a cinema programme or sports event, that a train has been delayed), provided the delivery is slow and clear.</v>
      </c>
      <c r="J35" s="77" t="s">
        <v>2482</v>
      </c>
      <c r="L35" s="70" t="s">
        <v>395</v>
      </c>
      <c r="M35" s="70" t="s">
        <v>408</v>
      </c>
      <c r="N35" s="70" t="s">
        <v>409</v>
      </c>
      <c r="O35" s="70" t="s">
        <v>462</v>
      </c>
    </row>
    <row r="36" customFormat="false" ht="15" hidden="false" customHeight="true" outlineLevel="0" collapsed="false">
      <c r="A36" s="75"/>
      <c r="B36" s="75"/>
      <c r="C36" s="75"/>
      <c r="D36" s="75"/>
      <c r="E36" s="75"/>
      <c r="F36" s="75" t="s">
        <v>21</v>
      </c>
      <c r="G36" s="75" t="n">
        <f aca="false">COUNTIFS(Data!$B$2:$B$1833,$L36,Data!$C$2:$C$1833,$M36,Data!$D$2:$D$1833,$N36,Data!$E$2:$E$1833,$O36,Data!$F$2:$F$1833,$F36,Data!$H$2:$H$1833,1)</f>
        <v>3</v>
      </c>
      <c r="H36" s="75" t="n">
        <v>57</v>
      </c>
      <c r="I36" s="76" t="str">
        <f aca="false">INDEX(Data!$G$2:$G$1833,MATCH($H36,Data!$A$2:$A$1833,0))</f>
        <v>Can follow detailed directions.</v>
      </c>
      <c r="J36" s="77" t="s">
        <v>2483</v>
      </c>
      <c r="L36" s="70" t="s">
        <v>395</v>
      </c>
      <c r="M36" s="70" t="s">
        <v>408</v>
      </c>
      <c r="N36" s="70" t="s">
        <v>409</v>
      </c>
      <c r="O36" s="70" t="s">
        <v>462</v>
      </c>
    </row>
    <row r="37" customFormat="false" ht="15" hidden="false" customHeight="true" outlineLevel="0" collapsed="false">
      <c r="A37" s="75"/>
      <c r="B37" s="75"/>
      <c r="C37" s="75"/>
      <c r="D37" s="75"/>
      <c r="E37" s="75"/>
      <c r="F37" s="75" t="s">
        <v>52</v>
      </c>
      <c r="G37" s="75" t="n">
        <f aca="false">COUNTIFS(Data!$B$2:$B$1833,$L37,Data!$C$2:$C$1833,$M37,Data!$D$2:$D$1833,$N37,Data!$E$2:$E$1833,$O37,Data!$F$2:$F$1833,$F37,Data!$H$2:$H$1833,1)</f>
        <v>0</v>
      </c>
      <c r="H37" s="75" t="s">
        <v>624</v>
      </c>
      <c r="I37" s="76" t="s">
        <v>624</v>
      </c>
      <c r="J37" s="76" t="s">
        <v>624</v>
      </c>
      <c r="L37" s="70" t="s">
        <v>395</v>
      </c>
      <c r="M37" s="70" t="s">
        <v>408</v>
      </c>
      <c r="N37" s="70" t="s">
        <v>409</v>
      </c>
      <c r="O37" s="70" t="s">
        <v>462</v>
      </c>
    </row>
    <row r="38" customFormat="false" ht="21.75" hidden="false" customHeight="true" outlineLevel="0" collapsed="false">
      <c r="A38" s="75"/>
      <c r="B38" s="75"/>
      <c r="C38" s="75"/>
      <c r="D38" s="75"/>
      <c r="E38" s="75"/>
      <c r="F38" s="75" t="s">
        <v>259</v>
      </c>
      <c r="G38" s="75" t="n">
        <f aca="false">COUNTIFS(Data!$B$2:$B$1833,$L38,Data!$C$2:$C$1833,$M38,Data!$D$2:$D$1833,$N38,Data!$E$2:$E$1833,$O38,Data!$F$2:$F$1833,$F38,Data!$H$2:$H$1833,1)</f>
        <v>2</v>
      </c>
      <c r="H38" s="75" t="n">
        <v>55</v>
      </c>
      <c r="I38" s="76" t="str">
        <f aca="false">INDEX(Data!$G$2:$G$1833,MATCH($H38,Data!$A$2:$A$1833,0))</f>
        <v>Can understand detailed instructions well enough to be able to follow them successfully.</v>
      </c>
      <c r="J38" s="77" t="s">
        <v>2484</v>
      </c>
      <c r="L38" s="70" t="s">
        <v>395</v>
      </c>
      <c r="M38" s="70" t="s">
        <v>408</v>
      </c>
      <c r="N38" s="70" t="s">
        <v>409</v>
      </c>
      <c r="O38" s="70" t="s">
        <v>462</v>
      </c>
    </row>
    <row r="39" customFormat="false" ht="15" hidden="false" customHeight="true" outlineLevel="0" collapsed="false">
      <c r="A39" s="75"/>
      <c r="B39" s="75"/>
      <c r="C39" s="75"/>
      <c r="D39" s="75"/>
      <c r="E39" s="75"/>
      <c r="F39" s="75" t="s">
        <v>36</v>
      </c>
      <c r="G39" s="75" t="n">
        <f aca="false">COUNTIFS(Data!$B$2:$B$1833,$L39,Data!$C$2:$C$1833,$M39,Data!$D$2:$D$1833,$N39,Data!$E$2:$E$1833,$O39,Data!$F$2:$F$1833,$F39,Data!$H$2:$H$1833,1)</f>
        <v>0</v>
      </c>
      <c r="H39" s="75" t="s">
        <v>624</v>
      </c>
      <c r="I39" s="76" t="s">
        <v>624</v>
      </c>
      <c r="J39" s="76" t="s">
        <v>624</v>
      </c>
      <c r="L39" s="70" t="s">
        <v>395</v>
      </c>
      <c r="M39" s="70" t="s">
        <v>408</v>
      </c>
      <c r="N39" s="70" t="s">
        <v>409</v>
      </c>
      <c r="O39" s="70" t="s">
        <v>462</v>
      </c>
    </row>
    <row r="40" customFormat="false" ht="26.25" hidden="false" customHeight="true" outlineLevel="0" collapsed="false">
      <c r="A40" s="75"/>
      <c r="B40" s="75"/>
      <c r="C40" s="75"/>
      <c r="D40" s="75"/>
      <c r="E40" s="75"/>
      <c r="F40" s="75" t="s">
        <v>74</v>
      </c>
      <c r="G40" s="75" t="n">
        <f aca="false">COUNTIFS(Data!$B$2:$B$1833,$L40,Data!$C$2:$C$1833,$M40,Data!$D$2:$D$1833,$N40,Data!$E$2:$E$1833,$O40,Data!$F$2:$F$1833,$F40,Data!$H$2:$H$1833,1)</f>
        <v>2</v>
      </c>
      <c r="H40" s="75" t="n">
        <v>53</v>
      </c>
      <c r="I40" s="76" t="str">
        <f aca="false">INDEX(Data!$G$2:$G$1833,MATCH($H40,Data!$A$2:$A$1833,0))</f>
        <v>Can understand complex technical information, such as operating instructions or specifications for familiar products and services.</v>
      </c>
      <c r="J40" s="77" t="s">
        <v>2485</v>
      </c>
      <c r="L40" s="70" t="s">
        <v>395</v>
      </c>
      <c r="M40" s="70" t="s">
        <v>408</v>
      </c>
      <c r="N40" s="70" t="s">
        <v>409</v>
      </c>
      <c r="O40" s="70" t="s">
        <v>462</v>
      </c>
    </row>
    <row r="41" customFormat="false" ht="15" hidden="false" customHeight="true" outlineLevel="0" collapsed="false">
      <c r="A41" s="75"/>
      <c r="B41" s="75"/>
      <c r="C41" s="75"/>
      <c r="D41" s="75"/>
      <c r="E41" s="75"/>
      <c r="F41" s="75" t="s">
        <v>331</v>
      </c>
      <c r="G41" s="75" t="n">
        <f aca="false">COUNTIFS(Data!$B$2:$B$1833,$L41,Data!$C$2:$C$1833,$M41,Data!$D$2:$D$1833,$N41,Data!$E$2:$E$1833,$O41,Data!$F$2:$F$1833,$F41,Data!$H$2:$H$1833,1)</f>
        <v>0</v>
      </c>
      <c r="H41" s="75" t="s">
        <v>624</v>
      </c>
      <c r="I41" s="76" t="s">
        <v>624</v>
      </c>
      <c r="J41" s="76" t="s">
        <v>624</v>
      </c>
      <c r="L41" s="70" t="s">
        <v>395</v>
      </c>
      <c r="M41" s="70" t="s">
        <v>408</v>
      </c>
      <c r="N41" s="70" t="s">
        <v>409</v>
      </c>
      <c r="O41" s="70" t="s">
        <v>462</v>
      </c>
    </row>
    <row r="42" customFormat="false" ht="26.25" hidden="false" customHeight="true" outlineLevel="0" collapsed="false">
      <c r="A42" s="67" t="str">
        <f aca="false">IFERROR(INDEX(対訳マスタ!$C$2:$C$136,MATCH($L42,対訳マスタ!$B$2:$B$136,0)),$L42)</f>
        <v>コミュニケーション言語活動</v>
      </c>
      <c r="B42" s="67" t="str">
        <f aca="false">IF($M42="—","—",IFERROR(INDEX(対訳マスタ!$C$2:$C$136,MATCH($M42,対訳マスタ!$B$2:$B$136,0)),$M42))</f>
        <v>受容</v>
      </c>
      <c r="C42" s="67" t="str">
        <f aca="false">IF($N42="—","—",IFERROR(INDEX(対訳マスタ!$C$2:$C$136,MATCH($N42,対訳マスタ!$B$2:$B$136,0)),$N42))</f>
        <v>口頭理解（聞くこと）</v>
      </c>
      <c r="D42" s="67" t="str">
        <f aca="false">IFERROR(INDEX(対訳マスタ!$C$2:$C$136,MATCH($O42,対訳マスタ!$B$2:$B$136,0)),$O42)</f>
        <v>音声メディア・録音の聞き取り</v>
      </c>
      <c r="E42" s="67" t="s">
        <v>480</v>
      </c>
      <c r="F42" s="67" t="s">
        <v>86</v>
      </c>
      <c r="G42" s="67" t="n">
        <f aca="false">COUNTIFS(Data!$B$2:$B$1833,$L42,Data!$C$2:$C$1833,$M42,Data!$D$2:$D$1833,$N42,Data!$E$2:$E$1833,$O42,Data!$F$2:$F$1833,$F42,Data!$H$2:$H$1833,1)</f>
        <v>1</v>
      </c>
      <c r="H42" s="67" t="n">
        <v>81</v>
      </c>
      <c r="I42" s="68" t="str">
        <f aca="false">INDEX(Data!$G$2:$G$1833,MATCH($H42,Data!$A$2:$A$1833,0))</f>
        <v>Can recognise words/signs, names and numbers that they already know in simple, short recordings, provided these are delivered very slowly and clearly.</v>
      </c>
      <c r="J42" s="69" t="s">
        <v>2486</v>
      </c>
      <c r="L42" s="70" t="s">
        <v>395</v>
      </c>
      <c r="M42" s="70" t="s">
        <v>408</v>
      </c>
      <c r="N42" s="70" t="s">
        <v>409</v>
      </c>
      <c r="O42" s="70" t="s">
        <v>480</v>
      </c>
    </row>
    <row r="43" customFormat="false" ht="32.25" hidden="false" customHeight="true" outlineLevel="0" collapsed="false">
      <c r="A43" s="70"/>
      <c r="B43" s="70"/>
      <c r="C43" s="70"/>
      <c r="D43" s="70"/>
      <c r="E43" s="70"/>
      <c r="F43" s="70" t="s">
        <v>101</v>
      </c>
      <c r="G43" s="70" t="n">
        <f aca="false">COUNTIFS(Data!$B$2:$B$1833,$L43,Data!$C$2:$C$1833,$M43,Data!$D$2:$D$1833,$N43,Data!$E$2:$E$1833,$O43,Data!$F$2:$F$1833,$F43,Data!$H$2:$H$1833,1)</f>
        <v>1</v>
      </c>
      <c r="H43" s="70" t="n">
        <v>80</v>
      </c>
      <c r="I43" s="31" t="str">
        <f aca="false">INDEX(Data!$G$2:$G$1833,MATCH($H43,Data!$A$2:$A$1833,0))</f>
        <v>Can pick out concrete information (e.g. places and times) from short recordings on familiar everyday topics, provided they are delivered very slowly and clearly.</v>
      </c>
      <c r="J43" s="71" t="s">
        <v>2487</v>
      </c>
      <c r="L43" s="70" t="s">
        <v>395</v>
      </c>
      <c r="M43" s="70" t="s">
        <v>408</v>
      </c>
      <c r="N43" s="70" t="s">
        <v>409</v>
      </c>
      <c r="O43" s="70" t="s">
        <v>480</v>
      </c>
    </row>
    <row r="44" customFormat="false" ht="21.75" hidden="false" customHeight="true" outlineLevel="0" collapsed="false">
      <c r="A44" s="70"/>
      <c r="B44" s="70"/>
      <c r="C44" s="70"/>
      <c r="D44" s="70"/>
      <c r="E44" s="70"/>
      <c r="F44" s="70" t="s">
        <v>13</v>
      </c>
      <c r="G44" s="70" t="n">
        <f aca="false">COUNTIFS(Data!$B$2:$B$1833,$L44,Data!$C$2:$C$1833,$M44,Data!$D$2:$D$1833,$N44,Data!$E$2:$E$1833,$O44,Data!$F$2:$F$1833,$F44,Data!$H$2:$H$1833,1)</f>
        <v>3</v>
      </c>
      <c r="H44" s="70" t="n">
        <v>79</v>
      </c>
      <c r="I44" s="31" t="str">
        <f aca="false">INDEX(Data!$G$2:$G$1833,MATCH($H44,Data!$A$2:$A$1833,0))</f>
        <v>Can understand the important points of a story and manage to follow the plot, provided the story is told slowly and clearly.</v>
      </c>
      <c r="J44" s="71" t="s">
        <v>2488</v>
      </c>
      <c r="L44" s="70" t="s">
        <v>395</v>
      </c>
      <c r="M44" s="70" t="s">
        <v>408</v>
      </c>
      <c r="N44" s="70" t="s">
        <v>409</v>
      </c>
      <c r="O44" s="70" t="s">
        <v>480</v>
      </c>
    </row>
    <row r="45" customFormat="false" ht="32.25" hidden="false" customHeight="true" outlineLevel="0" collapsed="false">
      <c r="A45" s="70"/>
      <c r="B45" s="70"/>
      <c r="C45" s="70"/>
      <c r="D45" s="70"/>
      <c r="E45" s="70"/>
      <c r="F45" s="70" t="s">
        <v>123</v>
      </c>
      <c r="G45" s="70" t="n">
        <f aca="false">COUNTIFS(Data!$B$2:$B$1833,$L45,Data!$C$2:$C$1833,$M45,Data!$D$2:$D$1833,$N45,Data!$E$2:$E$1833,$O45,Data!$F$2:$F$1833,$F45,Data!$H$2:$H$1833,1)</f>
        <v>2</v>
      </c>
      <c r="H45" s="70" t="n">
        <v>75</v>
      </c>
      <c r="I45" s="31" t="str">
        <f aca="false">INDEX(Data!$G$2:$G$1833,MATCH($H45,Data!$A$2:$A$1833,0))</f>
        <v>Can understand the most important information contained in short commercials concerning goods and services of interest (e.g. CDs, video games, travel).</v>
      </c>
      <c r="J45" s="71" t="s">
        <v>2489</v>
      </c>
      <c r="L45" s="70" t="s">
        <v>395</v>
      </c>
      <c r="M45" s="70" t="s">
        <v>408</v>
      </c>
      <c r="N45" s="70" t="s">
        <v>409</v>
      </c>
      <c r="O45" s="70" t="s">
        <v>480</v>
      </c>
    </row>
    <row r="46" customFormat="false" ht="26.25" hidden="false" customHeight="true" outlineLevel="0" collapsed="false">
      <c r="A46" s="70"/>
      <c r="B46" s="70"/>
      <c r="C46" s="70"/>
      <c r="D46" s="70"/>
      <c r="E46" s="70"/>
      <c r="F46" s="70" t="s">
        <v>21</v>
      </c>
      <c r="G46" s="70" t="n">
        <f aca="false">COUNTIFS(Data!$B$2:$B$1833,$L46,Data!$C$2:$C$1833,$M46,Data!$D$2:$D$1833,$N46,Data!$E$2:$E$1833,$O46,Data!$F$2:$F$1833,$F46,Data!$H$2:$H$1833,1)</f>
        <v>2</v>
      </c>
      <c r="H46" s="70" t="n">
        <v>73</v>
      </c>
      <c r="I46" s="31" t="str">
        <f aca="false">INDEX(Data!$G$2:$G$1833,MATCH($H46,Data!$A$2:$A$1833,0))</f>
        <v>Can understand the main points of news bulletins and simpler recorded material about familiar subjects delivered relatively slowly and clearly.</v>
      </c>
      <c r="J46" s="71" t="s">
        <v>2490</v>
      </c>
      <c r="L46" s="70" t="s">
        <v>395</v>
      </c>
      <c r="M46" s="70" t="s">
        <v>408</v>
      </c>
      <c r="N46" s="70" t="s">
        <v>409</v>
      </c>
      <c r="O46" s="70" t="s">
        <v>480</v>
      </c>
    </row>
    <row r="47" customFormat="false" ht="32.25" hidden="false" customHeight="true" outlineLevel="0" collapsed="false">
      <c r="A47" s="70"/>
      <c r="B47" s="70"/>
      <c r="C47" s="70"/>
      <c r="D47" s="70"/>
      <c r="E47" s="70"/>
      <c r="F47" s="70" t="s">
        <v>52</v>
      </c>
      <c r="G47" s="70" t="n">
        <f aca="false">COUNTIFS(Data!$B$2:$B$1833,$L47,Data!$C$2:$C$1833,$M47,Data!$D$2:$D$1833,$N47,Data!$E$2:$E$1833,$O47,Data!$F$2:$F$1833,$F47,Data!$H$2:$H$1833,1)</f>
        <v>1</v>
      </c>
      <c r="H47" s="70" t="n">
        <v>72</v>
      </c>
      <c r="I47" s="31" t="str">
        <f aca="false">INDEX(Data!$G$2:$G$1833,MATCH($H47,Data!$A$2:$A$1833,0))</f>
        <v>Can understand the information content of the majority of recorded or broadcast material on topics of personal interest delivered in clear standard language.</v>
      </c>
      <c r="J47" s="71" t="s">
        <v>2491</v>
      </c>
      <c r="L47" s="70" t="s">
        <v>395</v>
      </c>
      <c r="M47" s="70" t="s">
        <v>408</v>
      </c>
      <c r="N47" s="70" t="s">
        <v>409</v>
      </c>
      <c r="O47" s="70" t="s">
        <v>480</v>
      </c>
    </row>
    <row r="48" customFormat="false" ht="32.25" hidden="false" customHeight="true" outlineLevel="0" collapsed="false">
      <c r="A48" s="70"/>
      <c r="B48" s="70"/>
      <c r="C48" s="70"/>
      <c r="D48" s="70"/>
      <c r="E48" s="70"/>
      <c r="F48" s="70" t="s">
        <v>259</v>
      </c>
      <c r="G48" s="70" t="n">
        <f aca="false">COUNTIFS(Data!$B$2:$B$1833,$L48,Data!$C$2:$C$1833,$M48,Data!$D$2:$D$1833,$N48,Data!$E$2:$E$1833,$O48,Data!$F$2:$F$1833,$F48,Data!$H$2:$H$1833,1)</f>
        <v>1</v>
      </c>
      <c r="H48" s="70" t="n">
        <v>71</v>
      </c>
      <c r="I48" s="31" t="str">
        <f aca="false">INDEX(Data!$G$2:$G$1833,MATCH($H48,Data!$A$2:$A$1833,0))</f>
        <v>Can understand most documentaries and most other recorded or broadcast material delivered in the standard form of the language and can identify mood, attitude, etc.</v>
      </c>
      <c r="J48" s="71" t="s">
        <v>2492</v>
      </c>
      <c r="L48" s="70" t="s">
        <v>395</v>
      </c>
      <c r="M48" s="70" t="s">
        <v>408</v>
      </c>
      <c r="N48" s="70" t="s">
        <v>409</v>
      </c>
      <c r="O48" s="70" t="s">
        <v>480</v>
      </c>
    </row>
    <row r="49" customFormat="false" ht="32.25" hidden="false" customHeight="true" outlineLevel="0" collapsed="false">
      <c r="A49" s="70"/>
      <c r="B49" s="70"/>
      <c r="C49" s="70"/>
      <c r="D49" s="70"/>
      <c r="E49" s="70"/>
      <c r="F49" s="70" t="s">
        <v>36</v>
      </c>
      <c r="G49" s="70" t="n">
        <f aca="false">COUNTIFS(Data!$B$2:$B$1833,$L49,Data!$C$2:$C$1833,$M49,Data!$D$2:$D$1833,$N49,Data!$E$2:$E$1833,$O49,Data!$F$2:$F$1833,$F49,Data!$H$2:$H$1833,1)</f>
        <v>1</v>
      </c>
      <c r="H49" s="70" t="n">
        <v>70</v>
      </c>
      <c r="I49" s="31" t="str">
        <f aca="false">INDEX(Data!$G$2:$G$1833,MATCH($H49,Data!$A$2:$A$1833,0))</f>
        <v>Can understand recordings in the standard form of the language likely to be encountered in social, professional or academic life and identify viewpoints and attitudes as well as the information content.</v>
      </c>
      <c r="J49" s="71" t="s">
        <v>2493</v>
      </c>
      <c r="L49" s="70" t="s">
        <v>395</v>
      </c>
      <c r="M49" s="70" t="s">
        <v>408</v>
      </c>
      <c r="N49" s="70" t="s">
        <v>409</v>
      </c>
      <c r="O49" s="70" t="s">
        <v>480</v>
      </c>
    </row>
    <row r="50" customFormat="false" ht="32.25" hidden="false" customHeight="true" outlineLevel="0" collapsed="false">
      <c r="A50" s="70"/>
      <c r="B50" s="70"/>
      <c r="C50" s="70"/>
      <c r="D50" s="70"/>
      <c r="E50" s="70"/>
      <c r="F50" s="70" t="s">
        <v>74</v>
      </c>
      <c r="G50" s="70" t="n">
        <f aca="false">COUNTIFS(Data!$B$2:$B$1833,$L50,Data!$C$2:$C$1833,$M50,Data!$D$2:$D$1833,$N50,Data!$E$2:$E$1833,$O50,Data!$F$2:$F$1833,$F50,Data!$H$2:$H$1833,1)</f>
        <v>1</v>
      </c>
      <c r="H50" s="70" t="n">
        <v>69</v>
      </c>
      <c r="I50" s="31" t="str">
        <f aca="false">INDEX(Data!$G$2:$G$1833,MATCH($H50,Data!$A$2:$A$1833,0))</f>
        <v>Can understand a wide range of recorded and broadcast material, including some non-standard usage, and identify finer points of detail including implicit attitudes and relationships between people.</v>
      </c>
      <c r="J50" s="71" t="s">
        <v>2494</v>
      </c>
      <c r="L50" s="70" t="s">
        <v>395</v>
      </c>
      <c r="M50" s="70" t="s">
        <v>408</v>
      </c>
      <c r="N50" s="70" t="s">
        <v>409</v>
      </c>
      <c r="O50" s="70" t="s">
        <v>480</v>
      </c>
    </row>
    <row r="51" customFormat="false" ht="15" hidden="false" customHeight="true" outlineLevel="0" collapsed="false">
      <c r="A51" s="70"/>
      <c r="B51" s="70"/>
      <c r="C51" s="70"/>
      <c r="D51" s="70"/>
      <c r="E51" s="70"/>
      <c r="F51" s="70" t="s">
        <v>331</v>
      </c>
      <c r="G51" s="70" t="n">
        <f aca="false">COUNTIFS(Data!$B$2:$B$1833,$L51,Data!$C$2:$C$1833,$M51,Data!$D$2:$D$1833,$N51,Data!$E$2:$E$1833,$O51,Data!$F$2:$F$1833,$F51,Data!$H$2:$H$1833,1)</f>
        <v>0</v>
      </c>
      <c r="H51" s="70" t="s">
        <v>624</v>
      </c>
      <c r="I51" s="31" t="s">
        <v>624</v>
      </c>
      <c r="J51" s="31" t="s">
        <v>624</v>
      </c>
      <c r="L51" s="70" t="s">
        <v>395</v>
      </c>
      <c r="M51" s="70" t="s">
        <v>408</v>
      </c>
      <c r="N51" s="70" t="s">
        <v>409</v>
      </c>
      <c r="O51" s="70" t="s">
        <v>480</v>
      </c>
    </row>
    <row r="52" customFormat="false" ht="21.75" hidden="false" customHeight="true" outlineLevel="0" collapsed="false">
      <c r="A52" s="73" t="str">
        <f aca="false">IFERROR(INDEX(対訳マスタ!$C$2:$C$136,MATCH($L52,対訳マスタ!$B$2:$B$136,0)),$L52)</f>
        <v>コミュニケーション言語活動</v>
      </c>
      <c r="B52" s="73" t="str">
        <f aca="false">IF($M52="—","—",IFERROR(INDEX(対訳マスタ!$C$2:$C$136,MATCH($M52,対訳マスタ!$B$2:$B$136,0)),$M52))</f>
        <v>受容</v>
      </c>
      <c r="C52" s="73" t="str">
        <f aca="false">IF($N52="—","—",IFERROR(INDEX(対訳マスタ!$C$2:$C$136,MATCH($N52,対訳マスタ!$B$2:$B$136,0)),$N52))</f>
        <v>視聴覚理解</v>
      </c>
      <c r="D52" s="73" t="str">
        <f aca="false">IFERROR(INDEX(対訳マスタ!$C$2:$C$136,MATCH($O52,対訳マスタ!$B$2:$B$136,0)),$O52)</f>
        <v>テレビ・映画・動画の視聴</v>
      </c>
      <c r="E52" s="73" t="s">
        <v>495</v>
      </c>
      <c r="F52" s="73" t="s">
        <v>86</v>
      </c>
      <c r="G52" s="73" t="n">
        <f aca="false">COUNTIFS(Data!$B$2:$B$1833,$L52,Data!$C$2:$C$1833,$M52,Data!$D$2:$D$1833,$N52,Data!$E$2:$E$1833,$O52,Data!$F$2:$F$1833,$F52,Data!$H$2:$H$1833,1)</f>
        <v>1</v>
      </c>
      <c r="H52" s="73" t="n">
        <v>96</v>
      </c>
      <c r="I52" s="74" t="str">
        <f aca="false">INDEX(Data!$G$2:$G$1833,MATCH($H52,Data!$A$2:$A$1833,0))</f>
        <v>Can identify the subject of a video document on the basis of visual information and previous knowledge.</v>
      </c>
      <c r="J52" s="78" t="s">
        <v>2495</v>
      </c>
      <c r="L52" s="70" t="s">
        <v>395</v>
      </c>
      <c r="M52" s="70" t="s">
        <v>408</v>
      </c>
      <c r="N52" s="70" t="s">
        <v>494</v>
      </c>
      <c r="O52" s="70" t="s">
        <v>495</v>
      </c>
    </row>
    <row r="53" customFormat="false" ht="32.25" hidden="false" customHeight="true" outlineLevel="0" collapsed="false">
      <c r="A53" s="75"/>
      <c r="B53" s="75"/>
      <c r="C53" s="75"/>
      <c r="D53" s="75"/>
      <c r="E53" s="75"/>
      <c r="F53" s="75" t="s">
        <v>101</v>
      </c>
      <c r="G53" s="75" t="n">
        <f aca="false">COUNTIFS(Data!$B$2:$B$1833,$L53,Data!$C$2:$C$1833,$M53,Data!$D$2:$D$1833,$N53,Data!$E$2:$E$1833,$O53,Data!$F$2:$F$1833,$F53,Data!$H$2:$H$1833,1)</f>
        <v>1</v>
      </c>
      <c r="H53" s="75" t="n">
        <v>95</v>
      </c>
      <c r="I53" s="76" t="str">
        <f aca="false">INDEX(Data!$G$2:$G$1833,MATCH($H53,Data!$A$2:$A$1833,0))</f>
        <v>Can recognise familiar words/signs and phrases and identify the topics in headline news summaries and many of the products in advertisements, by exploiting visual information and general knowledge.</v>
      </c>
      <c r="J53" s="77" t="s">
        <v>2496</v>
      </c>
      <c r="L53" s="70" t="s">
        <v>395</v>
      </c>
      <c r="M53" s="70" t="s">
        <v>408</v>
      </c>
      <c r="N53" s="70" t="s">
        <v>494</v>
      </c>
      <c r="O53" s="70" t="s">
        <v>495</v>
      </c>
    </row>
    <row r="54" customFormat="false" ht="26.25" hidden="false" customHeight="true" outlineLevel="0" collapsed="false">
      <c r="A54" s="75"/>
      <c r="B54" s="75"/>
      <c r="C54" s="75"/>
      <c r="D54" s="75"/>
      <c r="E54" s="75"/>
      <c r="F54" s="75" t="s">
        <v>13</v>
      </c>
      <c r="G54" s="75" t="n">
        <f aca="false">COUNTIFS(Data!$B$2:$B$1833,$L54,Data!$C$2:$C$1833,$M54,Data!$D$2:$D$1833,$N54,Data!$E$2:$E$1833,$O54,Data!$F$2:$F$1833,$F54,Data!$H$2:$H$1833,1)</f>
        <v>1</v>
      </c>
      <c r="H54" s="75" t="n">
        <v>94</v>
      </c>
      <c r="I54" s="76" t="str">
        <f aca="false">INDEX(Data!$G$2:$G$1833,MATCH($H54,Data!$A$2:$A$1833,0))</f>
        <v>Can follow changes of topic of factual TV news items, and form an idea of the main content.</v>
      </c>
      <c r="J54" s="77" t="s">
        <v>2497</v>
      </c>
      <c r="L54" s="70" t="s">
        <v>395</v>
      </c>
      <c r="M54" s="70" t="s">
        <v>408</v>
      </c>
      <c r="N54" s="70" t="s">
        <v>494</v>
      </c>
      <c r="O54" s="70" t="s">
        <v>495</v>
      </c>
    </row>
    <row r="55" customFormat="false" ht="26.25" hidden="false" customHeight="true" outlineLevel="0" collapsed="false">
      <c r="A55" s="75"/>
      <c r="B55" s="75"/>
      <c r="C55" s="75"/>
      <c r="D55" s="75"/>
      <c r="E55" s="75"/>
      <c r="F55" s="75" t="s">
        <v>123</v>
      </c>
      <c r="G55" s="75" t="n">
        <f aca="false">COUNTIFS(Data!$B$2:$B$1833,$L55,Data!$C$2:$C$1833,$M55,Data!$D$2:$D$1833,$N55,Data!$E$2:$E$1833,$O55,Data!$F$2:$F$1833,$F55,Data!$H$2:$H$1833,1)</f>
        <v>2</v>
      </c>
      <c r="H55" s="75" t="n">
        <v>92</v>
      </c>
      <c r="I55" s="76" t="str">
        <f aca="false">INDEX(Data!$G$2:$G$1833,MATCH($H55,Data!$A$2:$A$1833,0))</f>
        <v>Can identify the main point of TV news items reporting events, accidents, etc. where the visuals support the commentary.</v>
      </c>
      <c r="J55" s="77" t="s">
        <v>2498</v>
      </c>
      <c r="L55" s="70" t="s">
        <v>395</v>
      </c>
      <c r="M55" s="70" t="s">
        <v>408</v>
      </c>
      <c r="N55" s="70" t="s">
        <v>494</v>
      </c>
      <c r="O55" s="70" t="s">
        <v>495</v>
      </c>
    </row>
    <row r="56" customFormat="false" ht="21.75" hidden="false" customHeight="true" outlineLevel="0" collapsed="false">
      <c r="A56" s="75"/>
      <c r="B56" s="75"/>
      <c r="C56" s="75"/>
      <c r="D56" s="75"/>
      <c r="E56" s="75"/>
      <c r="F56" s="75" t="s">
        <v>21</v>
      </c>
      <c r="G56" s="75" t="n">
        <f aca="false">COUNTIFS(Data!$B$2:$B$1833,$L56,Data!$C$2:$C$1833,$M56,Data!$D$2:$D$1833,$N56,Data!$E$2:$E$1833,$O56,Data!$F$2:$F$1833,$F56,Data!$H$2:$H$1833,1)</f>
        <v>2</v>
      </c>
      <c r="H56" s="75" t="n">
        <v>91</v>
      </c>
      <c r="I56" s="76" t="str">
        <f aca="false">INDEX(Data!$G$2:$G$1833,MATCH($H56,Data!$A$2:$A$1833,0))</f>
        <v>Can catch the main points in TV programmes on familiar topics when the delivery is relatively slow and clear.</v>
      </c>
      <c r="J56" s="77" t="s">
        <v>2499</v>
      </c>
      <c r="L56" s="70" t="s">
        <v>395</v>
      </c>
      <c r="M56" s="70" t="s">
        <v>408</v>
      </c>
      <c r="N56" s="70" t="s">
        <v>494</v>
      </c>
      <c r="O56" s="70" t="s">
        <v>495</v>
      </c>
    </row>
    <row r="57" customFormat="false" ht="32.25" hidden="false" customHeight="true" outlineLevel="0" collapsed="false">
      <c r="A57" s="75"/>
      <c r="B57" s="75"/>
      <c r="C57" s="75"/>
      <c r="D57" s="75"/>
      <c r="E57" s="75"/>
      <c r="F57" s="75" t="s">
        <v>52</v>
      </c>
      <c r="G57" s="75" t="n">
        <f aca="false">COUNTIFS(Data!$B$2:$B$1833,$L57,Data!$C$2:$C$1833,$M57,Data!$D$2:$D$1833,$N57,Data!$E$2:$E$1833,$O57,Data!$F$2:$F$1833,$F57,Data!$H$2:$H$1833,1)</f>
        <v>1</v>
      </c>
      <c r="H57" s="75" t="n">
        <v>89</v>
      </c>
      <c r="I57" s="76" t="str">
        <f aca="false">INDEX(Data!$G$2:$G$1833,MATCH($H57,Data!$A$2:$A$1833,0))</f>
        <v>Can understand a large part of many TV programmes on topics of personal interest such as interviews, short lectures and news reports when the delivery is relatively slow and clear.</v>
      </c>
      <c r="J57" s="77" t="s">
        <v>2500</v>
      </c>
      <c r="L57" s="70" t="s">
        <v>395</v>
      </c>
      <c r="M57" s="70" t="s">
        <v>408</v>
      </c>
      <c r="N57" s="70" t="s">
        <v>494</v>
      </c>
      <c r="O57" s="70" t="s">
        <v>495</v>
      </c>
    </row>
    <row r="58" customFormat="false" ht="15" hidden="false" customHeight="true" outlineLevel="0" collapsed="false">
      <c r="A58" s="75"/>
      <c r="B58" s="75"/>
      <c r="C58" s="75"/>
      <c r="D58" s="75"/>
      <c r="E58" s="75"/>
      <c r="F58" s="75" t="s">
        <v>259</v>
      </c>
      <c r="G58" s="75" t="n">
        <f aca="false">COUNTIFS(Data!$B$2:$B$1833,$L58,Data!$C$2:$C$1833,$M58,Data!$D$2:$D$1833,$N58,Data!$E$2:$E$1833,$O58,Data!$F$2:$F$1833,$F58,Data!$H$2:$H$1833,1)</f>
        <v>2</v>
      </c>
      <c r="H58" s="75" t="n">
        <v>87</v>
      </c>
      <c r="I58" s="76" t="str">
        <f aca="false">INDEX(Data!$G$2:$G$1833,MATCH($H58,Data!$A$2:$A$1833,0))</f>
        <v>Can understand most TV news and current affairs programmes.</v>
      </c>
      <c r="J58" s="77" t="s">
        <v>2501</v>
      </c>
      <c r="L58" s="70" t="s">
        <v>395</v>
      </c>
      <c r="M58" s="70" t="s">
        <v>408</v>
      </c>
      <c r="N58" s="70" t="s">
        <v>494</v>
      </c>
      <c r="O58" s="70" t="s">
        <v>495</v>
      </c>
    </row>
    <row r="59" customFormat="false" ht="21.75" hidden="false" customHeight="true" outlineLevel="0" collapsed="false">
      <c r="A59" s="75"/>
      <c r="B59" s="75"/>
      <c r="C59" s="75"/>
      <c r="D59" s="75"/>
      <c r="E59" s="75"/>
      <c r="F59" s="75" t="s">
        <v>36</v>
      </c>
      <c r="G59" s="75" t="n">
        <f aca="false">COUNTIFS(Data!$B$2:$B$1833,$L59,Data!$C$2:$C$1833,$M59,Data!$D$2:$D$1833,$N59,Data!$E$2:$E$1833,$O59,Data!$F$2:$F$1833,$F59,Data!$H$2:$H$1833,1)</f>
        <v>1</v>
      </c>
      <c r="H59" s="75" t="n">
        <v>86</v>
      </c>
      <c r="I59" s="76" t="str">
        <f aca="false">INDEX(Data!$G$2:$G$1833,MATCH($H59,Data!$A$2:$A$1833,0))</f>
        <v>Can extract the main points from the arguments and discussions in news and current affairs programmes.</v>
      </c>
      <c r="J59" s="77" t="s">
        <v>2502</v>
      </c>
      <c r="L59" s="70" t="s">
        <v>395</v>
      </c>
      <c r="M59" s="70" t="s">
        <v>408</v>
      </c>
      <c r="N59" s="70" t="s">
        <v>494</v>
      </c>
      <c r="O59" s="70" t="s">
        <v>495</v>
      </c>
    </row>
    <row r="60" customFormat="false" ht="21.75" hidden="false" customHeight="true" outlineLevel="0" collapsed="false">
      <c r="A60" s="75"/>
      <c r="B60" s="75"/>
      <c r="C60" s="75"/>
      <c r="D60" s="75"/>
      <c r="E60" s="75"/>
      <c r="F60" s="75" t="s">
        <v>74</v>
      </c>
      <c r="G60" s="75" t="n">
        <f aca="false">COUNTIFS(Data!$B$2:$B$1833,$L60,Data!$C$2:$C$1833,$M60,Data!$D$2:$D$1833,$N60,Data!$E$2:$E$1833,$O60,Data!$F$2:$F$1833,$F60,Data!$H$2:$H$1833,1)</f>
        <v>3</v>
      </c>
      <c r="H60" s="75" t="n">
        <v>83</v>
      </c>
      <c r="I60" s="76" t="str">
        <f aca="false">INDEX(Data!$G$2:$G$1833,MATCH($H60,Data!$A$2:$A$1833,0))</f>
        <v>Can follow films employing a considerable degree of slang and idiomatic usage.</v>
      </c>
      <c r="J60" s="77" t="s">
        <v>2503</v>
      </c>
      <c r="L60" s="70" t="s">
        <v>395</v>
      </c>
      <c r="M60" s="70" t="s">
        <v>408</v>
      </c>
      <c r="N60" s="70" t="s">
        <v>494</v>
      </c>
      <c r="O60" s="70" t="s">
        <v>495</v>
      </c>
    </row>
    <row r="61" customFormat="false" ht="15" hidden="false" customHeight="true" outlineLevel="0" collapsed="false">
      <c r="A61" s="75"/>
      <c r="B61" s="75"/>
      <c r="C61" s="75"/>
      <c r="D61" s="75"/>
      <c r="E61" s="75"/>
      <c r="F61" s="75" t="s">
        <v>331</v>
      </c>
      <c r="G61" s="75" t="n">
        <f aca="false">COUNTIFS(Data!$B$2:$B$1833,$L61,Data!$C$2:$C$1833,$M61,Data!$D$2:$D$1833,$N61,Data!$E$2:$E$1833,$O61,Data!$F$2:$F$1833,$F61,Data!$H$2:$H$1833,1)</f>
        <v>0</v>
      </c>
      <c r="H61" s="75" t="s">
        <v>624</v>
      </c>
      <c r="I61" s="76" t="s">
        <v>624</v>
      </c>
      <c r="J61" s="76" t="s">
        <v>624</v>
      </c>
      <c r="L61" s="70" t="s">
        <v>395</v>
      </c>
      <c r="M61" s="70" t="s">
        <v>408</v>
      </c>
      <c r="N61" s="70" t="s">
        <v>494</v>
      </c>
      <c r="O61" s="70" t="s">
        <v>495</v>
      </c>
    </row>
    <row r="62" customFormat="false" ht="32.25" hidden="false" customHeight="true" outlineLevel="0" collapsed="false">
      <c r="A62" s="67" t="str">
        <f aca="false">IFERROR(INDEX(対訳マスタ!$C$2:$C$136,MATCH($L62,対訳マスタ!$B$2:$B$136,0)),$L62)</f>
        <v>コミュニケーション言語活動</v>
      </c>
      <c r="B62" s="67" t="str">
        <f aca="false">IF($M62="—","—",IFERROR(INDEX(対訳マスタ!$C$2:$C$136,MATCH($M62,対訳マスタ!$B$2:$B$136,0)),$M62))</f>
        <v>受容</v>
      </c>
      <c r="C62" s="67" t="str">
        <f aca="false">IF($N62="—","—",IFERROR(INDEX(対訳マスタ!$C$2:$C$136,MATCH($N62,対訳マスタ!$B$2:$B$136,0)),$N62))</f>
        <v>読解（読むこと）</v>
      </c>
      <c r="D62" s="67" t="str">
        <f aca="false">IFERROR(INDEX(対訳マスタ!$C$2:$C$136,MATCH($O62,対訳マスタ!$B$2:$B$136,0)),$O62)</f>
        <v>読解（総合）</v>
      </c>
      <c r="E62" s="67" t="s">
        <v>511</v>
      </c>
      <c r="F62" s="67" t="s">
        <v>86</v>
      </c>
      <c r="G62" s="67" t="n">
        <f aca="false">COUNTIFS(Data!$B$2:$B$1833,$L62,Data!$C$2:$C$1833,$M62,Data!$D$2:$D$1833,$N62,Data!$E$2:$E$1833,$O62,Data!$F$2:$F$1833,$F62,Data!$H$2:$H$1833,1)</f>
        <v>1</v>
      </c>
      <c r="H62" s="67" t="n">
        <v>106</v>
      </c>
      <c r="I62" s="68" t="str">
        <f aca="false">INDEX(Data!$G$2:$G$1833,MATCH($H62,Data!$A$2:$A$1833,0))</f>
        <v>Can recognise familiar words/signs accompanied by pictures, such as a fast-food restaurant menu illustrated with photos or a picture book using familiar vocabulary.</v>
      </c>
      <c r="J62" s="69" t="s">
        <v>2504</v>
      </c>
      <c r="L62" s="70" t="s">
        <v>395</v>
      </c>
      <c r="M62" s="70" t="s">
        <v>408</v>
      </c>
      <c r="N62" s="70" t="s">
        <v>510</v>
      </c>
      <c r="O62" s="70" t="s">
        <v>511</v>
      </c>
    </row>
    <row r="63" customFormat="false" ht="26.25" hidden="false" customHeight="true" outlineLevel="0" collapsed="false">
      <c r="A63" s="70"/>
      <c r="B63" s="70"/>
      <c r="C63" s="70"/>
      <c r="D63" s="70"/>
      <c r="E63" s="70"/>
      <c r="F63" s="70" t="s">
        <v>101</v>
      </c>
      <c r="G63" s="70" t="n">
        <f aca="false">COUNTIFS(Data!$B$2:$B$1833,$L63,Data!$C$2:$C$1833,$M63,Data!$D$2:$D$1833,$N63,Data!$E$2:$E$1833,$O63,Data!$F$2:$F$1833,$F63,Data!$H$2:$H$1833,1)</f>
        <v>1</v>
      </c>
      <c r="H63" s="70" t="n">
        <v>105</v>
      </c>
      <c r="I63" s="31" t="str">
        <f aca="false">INDEX(Data!$G$2:$G$1833,MATCH($H63,Data!$A$2:$A$1833,0))</f>
        <v>Can understand very short, simple texts a single phrase at a time, picking up familiar names, words and basic phrases and rereading as required.</v>
      </c>
      <c r="J63" s="71" t="s">
        <v>2505</v>
      </c>
      <c r="L63" s="70" t="s">
        <v>395</v>
      </c>
      <c r="M63" s="70" t="s">
        <v>408</v>
      </c>
      <c r="N63" s="70" t="s">
        <v>510</v>
      </c>
      <c r="O63" s="70" t="s">
        <v>511</v>
      </c>
    </row>
    <row r="64" customFormat="false" ht="26.25" hidden="false" customHeight="true" outlineLevel="0" collapsed="false">
      <c r="A64" s="70"/>
      <c r="B64" s="70"/>
      <c r="C64" s="70"/>
      <c r="D64" s="70"/>
      <c r="E64" s="70"/>
      <c r="F64" s="70" t="s">
        <v>13</v>
      </c>
      <c r="G64" s="70" t="n">
        <f aca="false">COUNTIFS(Data!$B$2:$B$1833,$L64,Data!$C$2:$C$1833,$M64,Data!$D$2:$D$1833,$N64,Data!$E$2:$E$1833,$O64,Data!$F$2:$F$1833,$F64,Data!$H$2:$H$1833,1)</f>
        <v>1</v>
      </c>
      <c r="H64" s="70" t="n">
        <v>104</v>
      </c>
      <c r="I64" s="31" t="str">
        <f aca="false">INDEX(Data!$G$2:$G$1833,MATCH($H64,Data!$A$2:$A$1833,0))</f>
        <v>Can understand short, simple texts containing the highest frequency vocabulary, including a proportion of shared international vocabulary items.</v>
      </c>
      <c r="J64" s="71" t="s">
        <v>2506</v>
      </c>
      <c r="L64" s="70" t="s">
        <v>395</v>
      </c>
      <c r="M64" s="70" t="s">
        <v>408</v>
      </c>
      <c r="N64" s="70" t="s">
        <v>510</v>
      </c>
      <c r="O64" s="70" t="s">
        <v>511</v>
      </c>
    </row>
    <row r="65" customFormat="false" ht="26.25" hidden="false" customHeight="true" outlineLevel="0" collapsed="false">
      <c r="A65" s="70"/>
      <c r="B65" s="70"/>
      <c r="C65" s="70"/>
      <c r="D65" s="70"/>
      <c r="E65" s="70"/>
      <c r="F65" s="70" t="s">
        <v>123</v>
      </c>
      <c r="G65" s="70" t="n">
        <f aca="false">COUNTIFS(Data!$B$2:$B$1833,$L65,Data!$C$2:$C$1833,$M65,Data!$D$2:$D$1833,$N65,Data!$E$2:$E$1833,$O65,Data!$F$2:$F$1833,$F65,Data!$H$2:$H$1833,1)</f>
        <v>1</v>
      </c>
      <c r="H65" s="70" t="n">
        <v>103</v>
      </c>
      <c r="I65" s="31" t="str">
        <f aca="false">INDEX(Data!$G$2:$G$1833,MATCH($H65,Data!$A$2:$A$1833,0))</f>
        <v>Can understand short, simple texts on familiar matters of a concrete type which consist of high frequency everyday or job-related language.</v>
      </c>
      <c r="J65" s="71" t="s">
        <v>2507</v>
      </c>
      <c r="L65" s="70" t="s">
        <v>395</v>
      </c>
      <c r="M65" s="70" t="s">
        <v>408</v>
      </c>
      <c r="N65" s="70" t="s">
        <v>510</v>
      </c>
      <c r="O65" s="70" t="s">
        <v>511</v>
      </c>
    </row>
    <row r="66" customFormat="false" ht="21.75" hidden="false" customHeight="true" outlineLevel="0" collapsed="false">
      <c r="A66" s="70"/>
      <c r="B66" s="70"/>
      <c r="C66" s="70"/>
      <c r="D66" s="70"/>
      <c r="E66" s="70"/>
      <c r="F66" s="70" t="s">
        <v>21</v>
      </c>
      <c r="G66" s="70" t="n">
        <f aca="false">COUNTIFS(Data!$B$2:$B$1833,$L66,Data!$C$2:$C$1833,$M66,Data!$D$2:$D$1833,$N66,Data!$E$2:$E$1833,$O66,Data!$F$2:$F$1833,$F66,Data!$H$2:$H$1833,1)</f>
        <v>1</v>
      </c>
      <c r="H66" s="70" t="n">
        <v>102</v>
      </c>
      <c r="I66" s="31" t="str">
        <f aca="false">INDEX(Data!$G$2:$G$1833,MATCH($H66,Data!$A$2:$A$1833,0))</f>
        <v>Can read straightforward factual texts on subjects related to their field of interest with a satisfactory level of comprehension.</v>
      </c>
      <c r="J66" s="71" t="s">
        <v>2508</v>
      </c>
      <c r="L66" s="70" t="s">
        <v>395</v>
      </c>
      <c r="M66" s="70" t="s">
        <v>408</v>
      </c>
      <c r="N66" s="70" t="s">
        <v>510</v>
      </c>
      <c r="O66" s="70" t="s">
        <v>511</v>
      </c>
    </row>
    <row r="67" customFormat="false" ht="15" hidden="false" customHeight="true" outlineLevel="0" collapsed="false">
      <c r="A67" s="70"/>
      <c r="B67" s="70"/>
      <c r="C67" s="70"/>
      <c r="D67" s="70"/>
      <c r="E67" s="70"/>
      <c r="F67" s="70" t="s">
        <v>52</v>
      </c>
      <c r="G67" s="70" t="n">
        <f aca="false">COUNTIFS(Data!$B$2:$B$1833,$L67,Data!$C$2:$C$1833,$M67,Data!$D$2:$D$1833,$N67,Data!$E$2:$E$1833,$O67,Data!$F$2:$F$1833,$F67,Data!$H$2:$H$1833,1)</f>
        <v>0</v>
      </c>
      <c r="H67" s="70" t="s">
        <v>624</v>
      </c>
      <c r="I67" s="31" t="s">
        <v>624</v>
      </c>
      <c r="J67" s="31" t="s">
        <v>624</v>
      </c>
      <c r="L67" s="70" t="s">
        <v>395</v>
      </c>
      <c r="M67" s="70" t="s">
        <v>408</v>
      </c>
      <c r="N67" s="70" t="s">
        <v>510</v>
      </c>
      <c r="O67" s="70" t="s">
        <v>511</v>
      </c>
    </row>
    <row r="68" customFormat="false" ht="42.75" hidden="false" customHeight="true" outlineLevel="0" collapsed="false">
      <c r="A68" s="70"/>
      <c r="B68" s="70"/>
      <c r="C68" s="70"/>
      <c r="D68" s="70"/>
      <c r="E68" s="70"/>
      <c r="F68" s="70" t="s">
        <v>259</v>
      </c>
      <c r="G68" s="70" t="n">
        <f aca="false">COUNTIFS(Data!$B$2:$B$1833,$L68,Data!$C$2:$C$1833,$M68,Data!$D$2:$D$1833,$N68,Data!$E$2:$E$1833,$O68,Data!$F$2:$F$1833,$F68,Data!$H$2:$H$1833,1)</f>
        <v>1</v>
      </c>
      <c r="H68" s="70" t="n">
        <v>101</v>
      </c>
      <c r="I68" s="31" t="str">
        <f aca="false">INDEX(Data!$G$2:$G$1833,MATCH($H68,Data!$A$2:$A$1833,0))</f>
        <v>Can read with a large degree of independence, adapting style and speed of reading to different texts and purposes, and using appropriate reference sources selectively. Has a broad active reading vocabulary, but may experience some difficulty with low-frequency idioms.</v>
      </c>
      <c r="J68" s="71" t="s">
        <v>2509</v>
      </c>
      <c r="L68" s="70" t="s">
        <v>395</v>
      </c>
      <c r="M68" s="70" t="s">
        <v>408</v>
      </c>
      <c r="N68" s="70" t="s">
        <v>510</v>
      </c>
      <c r="O68" s="70" t="s">
        <v>511</v>
      </c>
    </row>
    <row r="69" customFormat="false" ht="15" hidden="false" customHeight="true" outlineLevel="0" collapsed="false">
      <c r="A69" s="70"/>
      <c r="B69" s="70"/>
      <c r="C69" s="70"/>
      <c r="D69" s="70"/>
      <c r="E69" s="70"/>
      <c r="F69" s="70" t="s">
        <v>36</v>
      </c>
      <c r="G69" s="70" t="n">
        <f aca="false">COUNTIFS(Data!$B$2:$B$1833,$L69,Data!$C$2:$C$1833,$M69,Data!$D$2:$D$1833,$N69,Data!$E$2:$E$1833,$O69,Data!$F$2:$F$1833,$F69,Data!$H$2:$H$1833,1)</f>
        <v>0</v>
      </c>
      <c r="H69" s="70" t="s">
        <v>624</v>
      </c>
      <c r="I69" s="31" t="s">
        <v>624</v>
      </c>
      <c r="J69" s="31" t="s">
        <v>624</v>
      </c>
      <c r="L69" s="70" t="s">
        <v>395</v>
      </c>
      <c r="M69" s="70" t="s">
        <v>408</v>
      </c>
      <c r="N69" s="70" t="s">
        <v>510</v>
      </c>
      <c r="O69" s="70" t="s">
        <v>511</v>
      </c>
    </row>
    <row r="70" customFormat="false" ht="26.25" hidden="false" customHeight="true" outlineLevel="0" collapsed="false">
      <c r="A70" s="70"/>
      <c r="B70" s="70"/>
      <c r="C70" s="70"/>
      <c r="D70" s="70"/>
      <c r="E70" s="70"/>
      <c r="F70" s="70" t="s">
        <v>74</v>
      </c>
      <c r="G70" s="70" t="n">
        <f aca="false">COUNTIFS(Data!$B$2:$B$1833,$L70,Data!$C$2:$C$1833,$M70,Data!$D$2:$D$1833,$N70,Data!$E$2:$E$1833,$O70,Data!$F$2:$F$1833,$F70,Data!$H$2:$H$1833,1)</f>
        <v>2</v>
      </c>
      <c r="H70" s="70" t="n">
        <v>99</v>
      </c>
      <c r="I70" s="31" t="str">
        <f aca="false">INDEX(Data!$G$2:$G$1833,MATCH($H70,Data!$A$2:$A$1833,0))</f>
        <v>Can understand in detail lengthy, complex texts, whether or not these relate to their own area of speciality, provided they can reread difficult sections.</v>
      </c>
      <c r="J70" s="71" t="s">
        <v>2510</v>
      </c>
      <c r="L70" s="70" t="s">
        <v>395</v>
      </c>
      <c r="M70" s="70" t="s">
        <v>408</v>
      </c>
      <c r="N70" s="70" t="s">
        <v>510</v>
      </c>
      <c r="O70" s="70" t="s">
        <v>511</v>
      </c>
    </row>
    <row r="71" customFormat="false" ht="26.25" hidden="false" customHeight="true" outlineLevel="0" collapsed="false">
      <c r="A71" s="70"/>
      <c r="B71" s="70"/>
      <c r="C71" s="70"/>
      <c r="D71" s="70"/>
      <c r="E71" s="70"/>
      <c r="F71" s="70" t="s">
        <v>331</v>
      </c>
      <c r="G71" s="70" t="n">
        <f aca="false">COUNTIFS(Data!$B$2:$B$1833,$L71,Data!$C$2:$C$1833,$M71,Data!$D$2:$D$1833,$N71,Data!$E$2:$E$1833,$O71,Data!$F$2:$F$1833,$F71,Data!$H$2:$H$1833,1)</f>
        <v>2</v>
      </c>
      <c r="H71" s="70" t="n">
        <v>98</v>
      </c>
      <c r="I71" s="31" t="str">
        <f aca="false">INDEX(Data!$G$2:$G$1833,MATCH($H71,Data!$A$2:$A$1833,0))</f>
        <v>Can understand a wide range of long and complex texts, appreciating subtle distinctions of style and implicit as well as explicit meaning.</v>
      </c>
      <c r="J71" s="71" t="s">
        <v>2511</v>
      </c>
      <c r="L71" s="70" t="s">
        <v>395</v>
      </c>
      <c r="M71" s="70" t="s">
        <v>408</v>
      </c>
      <c r="N71" s="70" t="s">
        <v>510</v>
      </c>
      <c r="O71" s="70" t="s">
        <v>511</v>
      </c>
    </row>
    <row r="72" customFormat="false" ht="26.25" hidden="false" customHeight="true" outlineLevel="0" collapsed="false">
      <c r="A72" s="73" t="str">
        <f aca="false">IFERROR(INDEX(対訳マスタ!$C$2:$C$136,MATCH($L72,対訳マスタ!$B$2:$B$136,0)),$L72)</f>
        <v>コミュニケーション言語活動</v>
      </c>
      <c r="B72" s="73" t="str">
        <f aca="false">IF($M72="—","—",IFERROR(INDEX(対訳マスタ!$C$2:$C$136,MATCH($M72,対訳マスタ!$B$2:$B$136,0)),$M72))</f>
        <v>受容</v>
      </c>
      <c r="C72" s="73" t="str">
        <f aca="false">IF($N72="—","—",IFERROR(INDEX(対訳マスタ!$C$2:$C$136,MATCH($N72,対訳マスタ!$B$2:$B$136,0)),$N72))</f>
        <v>読解（読むこと）</v>
      </c>
      <c r="D72" s="73" t="str">
        <f aca="false">IFERROR(INDEX(対訳マスタ!$C$2:$C$136,MATCH($O72,対訳マスタ!$B$2:$B$136,0)),$O72)</f>
        <v>手紙・メールを読む</v>
      </c>
      <c r="E72" s="73" t="s">
        <v>522</v>
      </c>
      <c r="F72" s="73" t="s">
        <v>86</v>
      </c>
      <c r="G72" s="73" t="n">
        <f aca="false">COUNTIFS(Data!$B$2:$B$1833,$L72,Data!$C$2:$C$1833,$M72,Data!$D$2:$D$1833,$N72,Data!$E$2:$E$1833,$O72,Data!$F$2:$F$1833,$F72,Data!$H$2:$H$1833,1)</f>
        <v>2</v>
      </c>
      <c r="H72" s="73" t="n">
        <v>123</v>
      </c>
      <c r="I72" s="74" t="str">
        <f aca="false">INDEX(Data!$G$2:$G$1833,MATCH($H72,Data!$A$2:$A$1833,0))</f>
        <v>Can understand from a letter, card or e-mail the event to which they are being invited and the information given about day, time and location.</v>
      </c>
      <c r="J72" s="78" t="s">
        <v>2512</v>
      </c>
      <c r="L72" s="70" t="s">
        <v>395</v>
      </c>
      <c r="M72" s="70" t="s">
        <v>408</v>
      </c>
      <c r="N72" s="70" t="s">
        <v>510</v>
      </c>
      <c r="O72" s="70" t="s">
        <v>522</v>
      </c>
    </row>
    <row r="73" customFormat="false" ht="15" hidden="false" customHeight="true" outlineLevel="0" collapsed="false">
      <c r="A73" s="75"/>
      <c r="B73" s="75"/>
      <c r="C73" s="75"/>
      <c r="D73" s="75"/>
      <c r="E73" s="75"/>
      <c r="F73" s="75" t="s">
        <v>101</v>
      </c>
      <c r="G73" s="75" t="n">
        <f aca="false">COUNTIFS(Data!$B$2:$B$1833,$L73,Data!$C$2:$C$1833,$M73,Data!$D$2:$D$1833,$N73,Data!$E$2:$E$1833,$O73,Data!$F$2:$F$1833,$F73,Data!$H$2:$H$1833,1)</f>
        <v>2</v>
      </c>
      <c r="H73" s="75" t="n">
        <v>121</v>
      </c>
      <c r="I73" s="76" t="str">
        <f aca="false">INDEX(Data!$G$2:$G$1833,MATCH($H73,Data!$A$2:$A$1833,0))</f>
        <v>Can understand short, simple messages on postcards.</v>
      </c>
      <c r="J73" s="77" t="s">
        <v>2513</v>
      </c>
      <c r="L73" s="70" t="s">
        <v>395</v>
      </c>
      <c r="M73" s="70" t="s">
        <v>408</v>
      </c>
      <c r="N73" s="70" t="s">
        <v>510</v>
      </c>
      <c r="O73" s="70" t="s">
        <v>522</v>
      </c>
    </row>
    <row r="74" customFormat="false" ht="15" hidden="false" customHeight="true" outlineLevel="0" collapsed="false">
      <c r="A74" s="75"/>
      <c r="B74" s="75"/>
      <c r="C74" s="75"/>
      <c r="D74" s="75"/>
      <c r="E74" s="75"/>
      <c r="F74" s="75" t="s">
        <v>13</v>
      </c>
      <c r="G74" s="75" t="n">
        <f aca="false">COUNTIFS(Data!$B$2:$B$1833,$L74,Data!$C$2:$C$1833,$M74,Data!$D$2:$D$1833,$N74,Data!$E$2:$E$1833,$O74,Data!$F$2:$F$1833,$F74,Data!$H$2:$H$1833,1)</f>
        <v>2</v>
      </c>
      <c r="H74" s="75" t="n">
        <v>119</v>
      </c>
      <c r="I74" s="76" t="str">
        <f aca="false">INDEX(Data!$G$2:$G$1833,MATCH($H74,Data!$A$2:$A$1833,0))</f>
        <v>Can understand short, simple personal letters.</v>
      </c>
      <c r="J74" s="77" t="s">
        <v>2514</v>
      </c>
      <c r="L74" s="70" t="s">
        <v>395</v>
      </c>
      <c r="M74" s="70" t="s">
        <v>408</v>
      </c>
      <c r="N74" s="70" t="s">
        <v>510</v>
      </c>
      <c r="O74" s="70" t="s">
        <v>522</v>
      </c>
    </row>
    <row r="75" customFormat="false" ht="26.25" hidden="false" customHeight="true" outlineLevel="0" collapsed="false">
      <c r="A75" s="75"/>
      <c r="B75" s="75"/>
      <c r="C75" s="75"/>
      <c r="D75" s="75"/>
      <c r="E75" s="75"/>
      <c r="F75" s="75" t="s">
        <v>123</v>
      </c>
      <c r="G75" s="75" t="n">
        <f aca="false">COUNTIFS(Data!$B$2:$B$1833,$L75,Data!$C$2:$C$1833,$M75,Data!$D$2:$D$1833,$N75,Data!$E$2:$E$1833,$O75,Data!$F$2:$F$1833,$F75,Data!$H$2:$H$1833,1)</f>
        <v>2</v>
      </c>
      <c r="H75" s="75" t="n">
        <v>118</v>
      </c>
      <c r="I75" s="76" t="str">
        <f aca="false">INDEX(Data!$G$2:$G$1833,MATCH($H75,Data!$A$2:$A$1833,0))</f>
        <v>Can understand basic types of standard routine letters and faxes (enquiries, orders, letters of confirmation, etc.) on familiar topics.</v>
      </c>
      <c r="J75" s="77" t="s">
        <v>2515</v>
      </c>
      <c r="L75" s="70" t="s">
        <v>395</v>
      </c>
      <c r="M75" s="70" t="s">
        <v>408</v>
      </c>
      <c r="N75" s="70" t="s">
        <v>510</v>
      </c>
      <c r="O75" s="70" t="s">
        <v>522</v>
      </c>
    </row>
    <row r="76" customFormat="false" ht="26.25" hidden="false" customHeight="true" outlineLevel="0" collapsed="false">
      <c r="A76" s="75"/>
      <c r="B76" s="75"/>
      <c r="C76" s="75"/>
      <c r="D76" s="75"/>
      <c r="E76" s="75"/>
      <c r="F76" s="75" t="s">
        <v>21</v>
      </c>
      <c r="G76" s="75" t="n">
        <f aca="false">COUNTIFS(Data!$B$2:$B$1833,$L76,Data!$C$2:$C$1833,$M76,Data!$D$2:$D$1833,$N76,Data!$E$2:$E$1833,$O76,Data!$F$2:$F$1833,$F76,Data!$H$2:$H$1833,1)</f>
        <v>3</v>
      </c>
      <c r="H76" s="75" t="n">
        <v>116</v>
      </c>
      <c r="I76" s="76" t="str">
        <f aca="false">INDEX(Data!$G$2:$G$1833,MATCH($H76,Data!$A$2:$A$1833,0))</f>
        <v>Can understand standard formal correspondence and online postings in their area of professional interest.</v>
      </c>
      <c r="J76" s="77" t="s">
        <v>2516</v>
      </c>
      <c r="L76" s="70" t="s">
        <v>395</v>
      </c>
      <c r="M76" s="70" t="s">
        <v>408</v>
      </c>
      <c r="N76" s="70" t="s">
        <v>510</v>
      </c>
      <c r="O76" s="70" t="s">
        <v>522</v>
      </c>
    </row>
    <row r="77" customFormat="false" ht="26.25" hidden="false" customHeight="true" outlineLevel="0" collapsed="false">
      <c r="A77" s="75"/>
      <c r="B77" s="75"/>
      <c r="C77" s="75"/>
      <c r="D77" s="75"/>
      <c r="E77" s="75"/>
      <c r="F77" s="75" t="s">
        <v>52</v>
      </c>
      <c r="G77" s="75" t="n">
        <f aca="false">COUNTIFS(Data!$B$2:$B$1833,$L77,Data!$C$2:$C$1833,$M77,Data!$D$2:$D$1833,$N77,Data!$E$2:$E$1833,$O77,Data!$F$2:$F$1833,$F77,Data!$H$2:$H$1833,1)</f>
        <v>1</v>
      </c>
      <c r="H77" s="75" t="n">
        <v>113</v>
      </c>
      <c r="I77" s="76" t="str">
        <f aca="false">INDEX(Data!$G$2:$G$1833,MATCH($H77,Data!$A$2:$A$1833,0))</f>
        <v>Can understand formal correspondence on less familiar subjects well enough to redirect it to someone else. </v>
      </c>
      <c r="J77" s="77" t="s">
        <v>2517</v>
      </c>
      <c r="L77" s="70" t="s">
        <v>395</v>
      </c>
      <c r="M77" s="70" t="s">
        <v>408</v>
      </c>
      <c r="N77" s="70" t="s">
        <v>510</v>
      </c>
      <c r="O77" s="70" t="s">
        <v>522</v>
      </c>
    </row>
    <row r="78" customFormat="false" ht="21.75" hidden="false" customHeight="true" outlineLevel="0" collapsed="false">
      <c r="A78" s="75"/>
      <c r="B78" s="75"/>
      <c r="C78" s="75"/>
      <c r="D78" s="75"/>
      <c r="E78" s="75"/>
      <c r="F78" s="75" t="s">
        <v>259</v>
      </c>
      <c r="G78" s="75" t="n">
        <f aca="false">COUNTIFS(Data!$B$2:$B$1833,$L78,Data!$C$2:$C$1833,$M78,Data!$D$2:$D$1833,$N78,Data!$E$2:$E$1833,$O78,Data!$F$2:$F$1833,$F78,Data!$H$2:$H$1833,1)</f>
        <v>2</v>
      </c>
      <c r="H78" s="75" t="n">
        <v>111</v>
      </c>
      <c r="I78" s="76" t="str">
        <f aca="false">INDEX(Data!$G$2:$G$1833,MATCH($H78,Data!$A$2:$A$1833,0))</f>
        <v>Can read correspondence relating to their field of interest and readily grasp the essential meaning.</v>
      </c>
      <c r="J78" s="77" t="s">
        <v>2518</v>
      </c>
      <c r="L78" s="70" t="s">
        <v>395</v>
      </c>
      <c r="M78" s="70" t="s">
        <v>408</v>
      </c>
      <c r="N78" s="70" t="s">
        <v>510</v>
      </c>
      <c r="O78" s="70" t="s">
        <v>522</v>
      </c>
    </row>
    <row r="79" customFormat="false" ht="15" hidden="false" customHeight="true" outlineLevel="0" collapsed="false">
      <c r="A79" s="75"/>
      <c r="B79" s="75"/>
      <c r="C79" s="75"/>
      <c r="D79" s="75"/>
      <c r="E79" s="75"/>
      <c r="F79" s="75" t="s">
        <v>36</v>
      </c>
      <c r="G79" s="75" t="n">
        <f aca="false">COUNTIFS(Data!$B$2:$B$1833,$L79,Data!$C$2:$C$1833,$M79,Data!$D$2:$D$1833,$N79,Data!$E$2:$E$1833,$O79,Data!$F$2:$F$1833,$F79,Data!$H$2:$H$1833,1)</f>
        <v>0</v>
      </c>
      <c r="H79" s="75" t="s">
        <v>624</v>
      </c>
      <c r="I79" s="76" t="s">
        <v>624</v>
      </c>
      <c r="J79" s="76" t="s">
        <v>624</v>
      </c>
      <c r="L79" s="70" t="s">
        <v>395</v>
      </c>
      <c r="M79" s="70" t="s">
        <v>408</v>
      </c>
      <c r="N79" s="70" t="s">
        <v>510</v>
      </c>
      <c r="O79" s="70" t="s">
        <v>522</v>
      </c>
    </row>
    <row r="80" customFormat="false" ht="21.75" hidden="false" customHeight="true" outlineLevel="0" collapsed="false">
      <c r="A80" s="75"/>
      <c r="B80" s="75"/>
      <c r="C80" s="75"/>
      <c r="D80" s="75"/>
      <c r="E80" s="75"/>
      <c r="F80" s="75" t="s">
        <v>74</v>
      </c>
      <c r="G80" s="75" t="n">
        <f aca="false">COUNTIFS(Data!$B$2:$B$1833,$L80,Data!$C$2:$C$1833,$M80,Data!$D$2:$D$1833,$N80,Data!$E$2:$E$1833,$O80,Data!$F$2:$F$1833,$F80,Data!$H$2:$H$1833,1)</f>
        <v>3</v>
      </c>
      <c r="H80" s="75" t="n">
        <v>108</v>
      </c>
      <c r="I80" s="76" t="str">
        <f aca="false">INDEX(Data!$G$2:$G$1833,MATCH($H80,Data!$A$2:$A$1833,0))</f>
        <v>Can understand any correspondence given the occasional use of a dictionary.</v>
      </c>
      <c r="J80" s="77" t="s">
        <v>2519</v>
      </c>
      <c r="L80" s="70" t="s">
        <v>395</v>
      </c>
      <c r="M80" s="70" t="s">
        <v>408</v>
      </c>
      <c r="N80" s="70" t="s">
        <v>510</v>
      </c>
      <c r="O80" s="70" t="s">
        <v>522</v>
      </c>
    </row>
    <row r="81" customFormat="false" ht="15" hidden="false" customHeight="true" outlineLevel="0" collapsed="false">
      <c r="A81" s="75"/>
      <c r="B81" s="75"/>
      <c r="C81" s="75"/>
      <c r="D81" s="75"/>
      <c r="E81" s="75"/>
      <c r="F81" s="75" t="s">
        <v>331</v>
      </c>
      <c r="G81" s="75" t="n">
        <f aca="false">COUNTIFS(Data!$B$2:$B$1833,$L81,Data!$C$2:$C$1833,$M81,Data!$D$2:$D$1833,$N81,Data!$E$2:$E$1833,$O81,Data!$F$2:$F$1833,$F81,Data!$H$2:$H$1833,1)</f>
        <v>1</v>
      </c>
      <c r="H81" s="75" t="n">
        <v>107</v>
      </c>
      <c r="I81" s="76" t="str">
        <f aca="false">INDEX(Data!$G$2:$G$1833,MATCH($H81,Data!$A$2:$A$1833,0))</f>
        <v>Can understand specialised, formal correspondence on a complex topic.</v>
      </c>
      <c r="J81" s="77" t="s">
        <v>2520</v>
      </c>
      <c r="L81" s="70" t="s">
        <v>395</v>
      </c>
      <c r="M81" s="70" t="s">
        <v>408</v>
      </c>
      <c r="N81" s="70" t="s">
        <v>510</v>
      </c>
      <c r="O81" s="70" t="s">
        <v>522</v>
      </c>
    </row>
    <row r="82" customFormat="false" ht="26.25" hidden="false" customHeight="true" outlineLevel="0" collapsed="false">
      <c r="A82" s="67" t="str">
        <f aca="false">IFERROR(INDEX(対訳マスタ!$C$2:$C$136,MATCH($L82,対訳マスタ!$B$2:$B$136,0)),$L82)</f>
        <v>コミュニケーション言語活動</v>
      </c>
      <c r="B82" s="67" t="str">
        <f aca="false">IF($M82="—","—",IFERROR(INDEX(対訳マスタ!$C$2:$C$136,MATCH($M82,対訳マスタ!$B$2:$B$136,0)),$M82))</f>
        <v>受容</v>
      </c>
      <c r="C82" s="67" t="str">
        <f aca="false">IF($N82="—","—",IFERROR(INDEX(対訳マスタ!$C$2:$C$136,MATCH($N82,対訳マスタ!$B$2:$B$136,0)),$N82))</f>
        <v>読解（読むこと）</v>
      </c>
      <c r="D82" s="67" t="str">
        <f aca="false">IFERROR(INDEX(対訳マスタ!$C$2:$C$136,MATCH($O82,対訳マスタ!$B$2:$B$136,0)),$O82)</f>
        <v>目当ての情報を探す読み（拾い読み）</v>
      </c>
      <c r="E82" s="67" t="s">
        <v>541</v>
      </c>
      <c r="F82" s="67" t="s">
        <v>86</v>
      </c>
      <c r="G82" s="67" t="n">
        <f aca="false">COUNTIFS(Data!$B$2:$B$1833,$L82,Data!$C$2:$C$1833,$M82,Data!$D$2:$D$1833,$N82,Data!$E$2:$E$1833,$O82,Data!$F$2:$F$1833,$F82,Data!$H$2:$H$1833,1)</f>
        <v>2</v>
      </c>
      <c r="H82" s="67" t="n">
        <v>146</v>
      </c>
      <c r="I82" s="68" t="str">
        <f aca="false">INDEX(Data!$G$2:$G$1833,MATCH($H82,Data!$A$2:$A$1833,0))</f>
        <v>Can find information about places, times and prices on posters, flyers and notices.</v>
      </c>
      <c r="J82" s="69" t="s">
        <v>2521</v>
      </c>
      <c r="L82" s="70" t="s">
        <v>395</v>
      </c>
      <c r="M82" s="70" t="s">
        <v>408</v>
      </c>
      <c r="N82" s="70" t="s">
        <v>510</v>
      </c>
      <c r="O82" s="70" t="s">
        <v>541</v>
      </c>
    </row>
    <row r="83" customFormat="false" ht="15" hidden="false" customHeight="true" outlineLevel="0" collapsed="false">
      <c r="A83" s="70"/>
      <c r="B83" s="70"/>
      <c r="C83" s="70"/>
      <c r="D83" s="70"/>
      <c r="E83" s="70"/>
      <c r="F83" s="70" t="s">
        <v>101</v>
      </c>
      <c r="G83" s="70" t="n">
        <f aca="false">COUNTIFS(Data!$B$2:$B$1833,$L83,Data!$C$2:$C$1833,$M83,Data!$D$2:$D$1833,$N83,Data!$E$2:$E$1833,$O83,Data!$F$2:$F$1833,$F83,Data!$H$2:$H$1833,1)</f>
        <v>4</v>
      </c>
      <c r="H83" s="70" t="n">
        <v>143</v>
      </c>
      <c r="I83" s="31" t="str">
        <f aca="false">INDEX(Data!$G$2:$G$1833,MATCH($H83,Data!$A$2:$A$1833,0))</f>
        <v>Can understand basic hotel information (e.g. times when meals are served).</v>
      </c>
      <c r="J83" s="71" t="s">
        <v>2522</v>
      </c>
      <c r="L83" s="70" t="s">
        <v>395</v>
      </c>
      <c r="M83" s="70" t="s">
        <v>408</v>
      </c>
      <c r="N83" s="70" t="s">
        <v>510</v>
      </c>
      <c r="O83" s="70" t="s">
        <v>541</v>
      </c>
    </row>
    <row r="84" customFormat="false" ht="26.25" hidden="false" customHeight="true" outlineLevel="0" collapsed="false">
      <c r="A84" s="70"/>
      <c r="B84" s="70"/>
      <c r="C84" s="70"/>
      <c r="D84" s="70"/>
      <c r="E84" s="70"/>
      <c r="F84" s="70" t="s">
        <v>13</v>
      </c>
      <c r="G84" s="70" t="n">
        <f aca="false">COUNTIFS(Data!$B$2:$B$1833,$L84,Data!$C$2:$C$1833,$M84,Data!$D$2:$D$1833,$N84,Data!$E$2:$E$1833,$O84,Data!$F$2:$F$1833,$F84,Data!$H$2:$H$1833,1)</f>
        <v>3</v>
      </c>
      <c r="H84" s="70" t="n">
        <v>139</v>
      </c>
      <c r="I84" s="31" t="str">
        <f aca="false">INDEX(Data!$G$2:$G$1833,MATCH($H84,Data!$A$2:$A$1833,0))</f>
        <v>Can locate specific information in lists and isolate the information required (e.g. use the Yellow Pages to find a service or tradesman).</v>
      </c>
      <c r="J84" s="71" t="s">
        <v>2523</v>
      </c>
      <c r="L84" s="70" t="s">
        <v>395</v>
      </c>
      <c r="M84" s="70" t="s">
        <v>408</v>
      </c>
      <c r="N84" s="70" t="s">
        <v>510</v>
      </c>
      <c r="O84" s="70" t="s">
        <v>541</v>
      </c>
    </row>
    <row r="85" customFormat="false" ht="26.25" hidden="false" customHeight="true" outlineLevel="0" collapsed="false">
      <c r="A85" s="70"/>
      <c r="B85" s="70"/>
      <c r="C85" s="70"/>
      <c r="D85" s="70"/>
      <c r="E85" s="70"/>
      <c r="F85" s="70" t="s">
        <v>123</v>
      </c>
      <c r="G85" s="70" t="n">
        <f aca="false">COUNTIFS(Data!$B$2:$B$1833,$L85,Data!$C$2:$C$1833,$M85,Data!$D$2:$D$1833,$N85,Data!$E$2:$E$1833,$O85,Data!$F$2:$F$1833,$F85,Data!$H$2:$H$1833,1)</f>
        <v>2</v>
      </c>
      <c r="H85" s="70" t="n">
        <v>137</v>
      </c>
      <c r="I85" s="31" t="str">
        <f aca="false">INDEX(Data!$G$2:$G$1833,MATCH($H85,Data!$A$2:$A$1833,0))</f>
        <v>Can understand the main information in short and simple descriptions of goods in brochures and websites (e.g. portable digital devices, cameras).</v>
      </c>
      <c r="J85" s="71" t="s">
        <v>2524</v>
      </c>
      <c r="L85" s="70" t="s">
        <v>395</v>
      </c>
      <c r="M85" s="70" t="s">
        <v>408</v>
      </c>
      <c r="N85" s="70" t="s">
        <v>510</v>
      </c>
      <c r="O85" s="70" t="s">
        <v>541</v>
      </c>
    </row>
    <row r="86" customFormat="false" ht="15" hidden="false" customHeight="true" outlineLevel="0" collapsed="false">
      <c r="A86" s="70"/>
      <c r="B86" s="70"/>
      <c r="C86" s="70"/>
      <c r="D86" s="70"/>
      <c r="E86" s="70"/>
      <c r="F86" s="70" t="s">
        <v>21</v>
      </c>
      <c r="G86" s="70" t="n">
        <f aca="false">COUNTIFS(Data!$B$2:$B$1833,$L86,Data!$C$2:$C$1833,$M86,Data!$D$2:$D$1833,$N86,Data!$E$2:$E$1833,$O86,Data!$F$2:$F$1833,$F86,Data!$H$2:$H$1833,1)</f>
        <v>4</v>
      </c>
      <c r="H86" s="70" t="n">
        <v>134</v>
      </c>
      <c r="I86" s="31" t="str">
        <f aca="false">INDEX(Data!$G$2:$G$1833,MATCH($H86,Data!$A$2:$A$1833,0))</f>
        <v>Can assess whether an article, report or review is on the required topic.</v>
      </c>
      <c r="J86" s="71" t="s">
        <v>2525</v>
      </c>
      <c r="L86" s="70" t="s">
        <v>395</v>
      </c>
      <c r="M86" s="70" t="s">
        <v>408</v>
      </c>
      <c r="N86" s="70" t="s">
        <v>510</v>
      </c>
      <c r="O86" s="70" t="s">
        <v>541</v>
      </c>
    </row>
    <row r="87" customFormat="false" ht="32.25" hidden="false" customHeight="true" outlineLevel="0" collapsed="false">
      <c r="A87" s="70"/>
      <c r="B87" s="70"/>
      <c r="C87" s="70"/>
      <c r="D87" s="70"/>
      <c r="E87" s="70"/>
      <c r="F87" s="70" t="s">
        <v>52</v>
      </c>
      <c r="G87" s="70" t="n">
        <f aca="false">COUNTIFS(Data!$B$2:$B$1833,$L87,Data!$C$2:$C$1833,$M87,Data!$D$2:$D$1833,$N87,Data!$E$2:$E$1833,$O87,Data!$F$2:$F$1833,$F87,Data!$H$2:$H$1833,1)</f>
        <v>2</v>
      </c>
      <c r="H87" s="70" t="n">
        <v>130</v>
      </c>
      <c r="I87" s="31" t="str">
        <f aca="false">INDEX(Data!$G$2:$G$1833,MATCH($H87,Data!$A$2:$A$1833,0))</f>
        <v>Can scan longer texts in order to locate desired information, and gather information from different parts of a text, or from different texts in order to fulfil a specific task.</v>
      </c>
      <c r="J87" s="71" t="s">
        <v>2526</v>
      </c>
      <c r="L87" s="70" t="s">
        <v>395</v>
      </c>
      <c r="M87" s="70" t="s">
        <v>408</v>
      </c>
      <c r="N87" s="70" t="s">
        <v>510</v>
      </c>
      <c r="O87" s="70" t="s">
        <v>541</v>
      </c>
    </row>
    <row r="88" customFormat="false" ht="15" hidden="false" customHeight="true" outlineLevel="0" collapsed="false">
      <c r="A88" s="70"/>
      <c r="B88" s="70"/>
      <c r="C88" s="70"/>
      <c r="D88" s="70"/>
      <c r="E88" s="70"/>
      <c r="F88" s="70" t="s">
        <v>259</v>
      </c>
      <c r="G88" s="70" t="n">
        <f aca="false">COUNTIFS(Data!$B$2:$B$1833,$L88,Data!$C$2:$C$1833,$M88,Data!$D$2:$D$1833,$N88,Data!$E$2:$E$1833,$O88,Data!$F$2:$F$1833,$F88,Data!$H$2:$H$1833,1)</f>
        <v>2</v>
      </c>
      <c r="H88" s="70" t="n">
        <v>128</v>
      </c>
      <c r="I88" s="31" t="str">
        <f aca="false">INDEX(Data!$G$2:$G$1833,MATCH($H88,Data!$A$2:$A$1833,0))</f>
        <v>Can scan quickly through long and complex texts, locating relevant details.</v>
      </c>
      <c r="J88" s="71" t="s">
        <v>2527</v>
      </c>
      <c r="L88" s="70" t="s">
        <v>395</v>
      </c>
      <c r="M88" s="70" t="s">
        <v>408</v>
      </c>
      <c r="N88" s="70" t="s">
        <v>510</v>
      </c>
      <c r="O88" s="70" t="s">
        <v>541</v>
      </c>
    </row>
    <row r="89" customFormat="false" ht="39" hidden="false" customHeight="true" outlineLevel="0" collapsed="false">
      <c r="A89" s="70"/>
      <c r="B89" s="70"/>
      <c r="C89" s="70"/>
      <c r="D89" s="70"/>
      <c r="E89" s="70"/>
      <c r="F89" s="70" t="s">
        <v>36</v>
      </c>
      <c r="G89" s="70" t="n">
        <f aca="false">COUNTIFS(Data!$B$2:$B$1833,$L89,Data!$C$2:$C$1833,$M89,Data!$D$2:$D$1833,$N89,Data!$E$2:$E$1833,$O89,Data!$F$2:$F$1833,$F89,Data!$H$2:$H$1833,1)</f>
        <v>1</v>
      </c>
      <c r="H89" s="70" t="n">
        <v>127</v>
      </c>
      <c r="I89" s="31" t="str">
        <f aca="false">INDEX(Data!$G$2:$G$1833,MATCH($H89,Data!$A$2:$A$1833,0))</f>
        <v>Can scan quickly through several sources (articles, reports, websites, books, etc.) in parallel, in both their own field and in related fields, and can identify the relevance and usefulness of particular sections for the task at hand.</v>
      </c>
      <c r="J89" s="71" t="s">
        <v>2528</v>
      </c>
      <c r="L89" s="70" t="s">
        <v>395</v>
      </c>
      <c r="M89" s="70" t="s">
        <v>408</v>
      </c>
      <c r="N89" s="70" t="s">
        <v>510</v>
      </c>
      <c r="O89" s="70" t="s">
        <v>541</v>
      </c>
    </row>
    <row r="90" customFormat="false" ht="15" hidden="false" customHeight="true" outlineLevel="0" collapsed="false">
      <c r="A90" s="70"/>
      <c r="B90" s="70"/>
      <c r="C90" s="70"/>
      <c r="D90" s="70"/>
      <c r="E90" s="70"/>
      <c r="F90" s="70" t="s">
        <v>74</v>
      </c>
      <c r="G90" s="70" t="n">
        <f aca="false">COUNTIFS(Data!$B$2:$B$1833,$L90,Data!$C$2:$C$1833,$M90,Data!$D$2:$D$1833,$N90,Data!$E$2:$E$1833,$O90,Data!$F$2:$F$1833,$F90,Data!$H$2:$H$1833,1)</f>
        <v>0</v>
      </c>
      <c r="H90" s="70" t="s">
        <v>624</v>
      </c>
      <c r="I90" s="31" t="s">
        <v>624</v>
      </c>
      <c r="J90" s="31" t="s">
        <v>624</v>
      </c>
      <c r="L90" s="70" t="s">
        <v>395</v>
      </c>
      <c r="M90" s="70" t="s">
        <v>408</v>
      </c>
      <c r="N90" s="70" t="s">
        <v>510</v>
      </c>
      <c r="O90" s="70" t="s">
        <v>541</v>
      </c>
    </row>
    <row r="91" customFormat="false" ht="15" hidden="false" customHeight="true" outlineLevel="0" collapsed="false">
      <c r="A91" s="70"/>
      <c r="B91" s="70"/>
      <c r="C91" s="70"/>
      <c r="D91" s="70"/>
      <c r="E91" s="70"/>
      <c r="F91" s="70" t="s">
        <v>331</v>
      </c>
      <c r="G91" s="70" t="n">
        <f aca="false">COUNTIFS(Data!$B$2:$B$1833,$L91,Data!$C$2:$C$1833,$M91,Data!$D$2:$D$1833,$N91,Data!$E$2:$E$1833,$O91,Data!$F$2:$F$1833,$F91,Data!$H$2:$H$1833,1)</f>
        <v>0</v>
      </c>
      <c r="H91" s="70" t="s">
        <v>624</v>
      </c>
      <c r="I91" s="31" t="s">
        <v>624</v>
      </c>
      <c r="J91" s="31" t="s">
        <v>624</v>
      </c>
      <c r="L91" s="70" t="s">
        <v>395</v>
      </c>
      <c r="M91" s="70" t="s">
        <v>408</v>
      </c>
      <c r="N91" s="70" t="s">
        <v>510</v>
      </c>
      <c r="O91" s="70" t="s">
        <v>541</v>
      </c>
    </row>
    <row r="92" customFormat="false" ht="32.25" hidden="false" customHeight="true" outlineLevel="0" collapsed="false">
      <c r="A92" s="73" t="str">
        <f aca="false">IFERROR(INDEX(対訳マスタ!$C$2:$C$136,MATCH($L92,対訳マスタ!$B$2:$B$136,0)),$L92)</f>
        <v>コミュニケーション言語活動</v>
      </c>
      <c r="B92" s="73" t="str">
        <f aca="false">IF($M92="—","—",IFERROR(INDEX(対訳マスタ!$C$2:$C$136,MATCH($M92,対訳マスタ!$B$2:$B$136,0)),$M92))</f>
        <v>受容</v>
      </c>
      <c r="C92" s="73" t="str">
        <f aca="false">IF($N92="—","—",IFERROR(INDEX(対訳マスタ!$C$2:$C$136,MATCH($N92,対訳マスタ!$B$2:$B$136,0)),$N92))</f>
        <v>読解（読むこと）</v>
      </c>
      <c r="D92" s="73" t="str">
        <f aca="false">IFERROR(INDEX(対訳マスタ!$C$2:$C$136,MATCH($O92,対訳マスタ!$B$2:$B$136,0)),$O92)</f>
        <v>情報・論旨の読み取り</v>
      </c>
      <c r="E92" s="73" t="s">
        <v>563</v>
      </c>
      <c r="F92" s="73" t="s">
        <v>86</v>
      </c>
      <c r="G92" s="73" t="n">
        <f aca="false">COUNTIFS(Data!$B$2:$B$1833,$L92,Data!$C$2:$C$1833,$M92,Data!$D$2:$D$1833,$N92,Data!$E$2:$E$1833,$O92,Data!$F$2:$F$1833,$F92,Data!$H$2:$H$1833,1)</f>
        <v>1</v>
      </c>
      <c r="H92" s="73" t="n">
        <v>172</v>
      </c>
      <c r="I92" s="74" t="str">
        <f aca="false">INDEX(Data!$G$2:$G$1833,MATCH($H92,Data!$A$2:$A$1833,0))</f>
        <v>Can understand the simplest informational material such as a fast-food restaurant menu illustrated with photos or an illustrated story formulated in very simple everyday words/signs.</v>
      </c>
      <c r="J92" s="78" t="s">
        <v>2529</v>
      </c>
      <c r="L92" s="70" t="s">
        <v>395</v>
      </c>
      <c r="M92" s="70" t="s">
        <v>408</v>
      </c>
      <c r="N92" s="70" t="s">
        <v>510</v>
      </c>
      <c r="O92" s="70" t="s">
        <v>563</v>
      </c>
    </row>
    <row r="93" customFormat="false" ht="26.25" hidden="false" customHeight="true" outlineLevel="0" collapsed="false">
      <c r="A93" s="75"/>
      <c r="B93" s="75"/>
      <c r="C93" s="75"/>
      <c r="D93" s="75"/>
      <c r="E93" s="75"/>
      <c r="F93" s="75" t="s">
        <v>101</v>
      </c>
      <c r="G93" s="75" t="n">
        <f aca="false">COUNTIFS(Data!$B$2:$B$1833,$L93,Data!$C$2:$C$1833,$M93,Data!$D$2:$D$1833,$N93,Data!$E$2:$E$1833,$O93,Data!$F$2:$F$1833,$F93,Data!$H$2:$H$1833,1)</f>
        <v>2</v>
      </c>
      <c r="H93" s="75" t="n">
        <v>170</v>
      </c>
      <c r="I93" s="76" t="str">
        <f aca="false">INDEX(Data!$G$2:$G$1833,MATCH($H93,Data!$A$2:$A$1833,0))</f>
        <v>Can get an idea of the content of simpler informational material and short, simple descriptions, especially if there is visual support.</v>
      </c>
      <c r="J93" s="77" t="s">
        <v>2530</v>
      </c>
      <c r="L93" s="70" t="s">
        <v>395</v>
      </c>
      <c r="M93" s="70" t="s">
        <v>408</v>
      </c>
      <c r="N93" s="70" t="s">
        <v>510</v>
      </c>
      <c r="O93" s="70" t="s">
        <v>563</v>
      </c>
    </row>
    <row r="94" customFormat="false" ht="26.25" hidden="false" customHeight="true" outlineLevel="0" collapsed="false">
      <c r="A94" s="75"/>
      <c r="B94" s="75"/>
      <c r="C94" s="75"/>
      <c r="D94" s="75"/>
      <c r="E94" s="75"/>
      <c r="F94" s="75" t="s">
        <v>13</v>
      </c>
      <c r="G94" s="75" t="n">
        <f aca="false">COUNTIFS(Data!$B$2:$B$1833,$L94,Data!$C$2:$C$1833,$M94,Data!$D$2:$D$1833,$N94,Data!$E$2:$E$1833,$O94,Data!$F$2:$F$1833,$F94,Data!$H$2:$H$1833,1)</f>
        <v>5</v>
      </c>
      <c r="H94" s="75" t="n">
        <v>166</v>
      </c>
      <c r="I94" s="76" t="str">
        <f aca="false">INDEX(Data!$G$2:$G$1833,MATCH($H94,Data!$A$2:$A$1833,0))</f>
        <v>Can understand information given in illustrated brochures and maps (e.g. the principal attractions of a city).</v>
      </c>
      <c r="J94" s="77" t="s">
        <v>2531</v>
      </c>
      <c r="L94" s="70" t="s">
        <v>395</v>
      </c>
      <c r="M94" s="70" t="s">
        <v>408</v>
      </c>
      <c r="N94" s="70" t="s">
        <v>510</v>
      </c>
      <c r="O94" s="70" t="s">
        <v>563</v>
      </c>
    </row>
    <row r="95" customFormat="false" ht="26.25" hidden="false" customHeight="true" outlineLevel="0" collapsed="false">
      <c r="A95" s="75"/>
      <c r="B95" s="75"/>
      <c r="C95" s="75"/>
      <c r="D95" s="75"/>
      <c r="E95" s="75"/>
      <c r="F95" s="75" t="s">
        <v>123</v>
      </c>
      <c r="G95" s="75" t="n">
        <f aca="false">COUNTIFS(Data!$B$2:$B$1833,$L95,Data!$C$2:$C$1833,$M95,Data!$D$2:$D$1833,$N95,Data!$E$2:$E$1833,$O95,Data!$F$2:$F$1833,$F95,Data!$H$2:$H$1833,1)</f>
        <v>4</v>
      </c>
      <c r="H95" s="75" t="n">
        <v>164</v>
      </c>
      <c r="I95" s="76" t="str">
        <f aca="false">INDEX(Data!$G$2:$G$1833,MATCH($H95,Data!$A$2:$A$1833,0))</f>
        <v>Can understand the main points of short texts dealing with everyday topics (e.g. lifestyle, hobbies, sports, weather).</v>
      </c>
      <c r="J95" s="77" t="s">
        <v>2532</v>
      </c>
      <c r="L95" s="70" t="s">
        <v>395</v>
      </c>
      <c r="M95" s="70" t="s">
        <v>408</v>
      </c>
      <c r="N95" s="70" t="s">
        <v>510</v>
      </c>
      <c r="O95" s="70" t="s">
        <v>563</v>
      </c>
    </row>
    <row r="96" customFormat="false" ht="21.75" hidden="false" customHeight="true" outlineLevel="0" collapsed="false">
      <c r="A96" s="75"/>
      <c r="B96" s="75"/>
      <c r="C96" s="75"/>
      <c r="D96" s="75"/>
      <c r="E96" s="75"/>
      <c r="F96" s="75" t="s">
        <v>21</v>
      </c>
      <c r="G96" s="75" t="n">
        <f aca="false">COUNTIFS(Data!$B$2:$B$1833,$L96,Data!$C$2:$C$1833,$M96,Data!$D$2:$D$1833,$N96,Data!$E$2:$E$1833,$O96,Data!$F$2:$F$1833,$F96,Data!$H$2:$H$1833,1)</f>
        <v>3</v>
      </c>
      <c r="H96" s="75" t="n">
        <v>158</v>
      </c>
      <c r="I96" s="76" t="str">
        <f aca="false">INDEX(Data!$G$2:$G$1833,MATCH($H96,Data!$A$2:$A$1833,0))</f>
        <v>Can recognise significant points in straightforward news articles on familiar subjects.</v>
      </c>
      <c r="J96" s="77" t="s">
        <v>2533</v>
      </c>
      <c r="L96" s="70" t="s">
        <v>395</v>
      </c>
      <c r="M96" s="70" t="s">
        <v>408</v>
      </c>
      <c r="N96" s="70" t="s">
        <v>510</v>
      </c>
      <c r="O96" s="70" t="s">
        <v>563</v>
      </c>
    </row>
    <row r="97" customFormat="false" ht="15" hidden="false" customHeight="true" outlineLevel="0" collapsed="false">
      <c r="A97" s="75"/>
      <c r="B97" s="75"/>
      <c r="C97" s="75"/>
      <c r="D97" s="75"/>
      <c r="E97" s="75"/>
      <c r="F97" s="75" t="s">
        <v>52</v>
      </c>
      <c r="G97" s="75" t="n">
        <f aca="false">COUNTIFS(Data!$B$2:$B$1833,$L97,Data!$C$2:$C$1833,$M97,Data!$D$2:$D$1833,$N97,Data!$E$2:$E$1833,$O97,Data!$F$2:$F$1833,$F97,Data!$H$2:$H$1833,1)</f>
        <v>4</v>
      </c>
      <c r="H97" s="75" t="n">
        <v>156</v>
      </c>
      <c r="I97" s="76" t="str">
        <f aca="false">INDEX(Data!$G$2:$G$1833,MATCH($H97,Data!$A$2:$A$1833,0))</f>
        <v>Can identify the main conclusions in clearly signalled argumentative texts.</v>
      </c>
      <c r="J97" s="77" t="s">
        <v>2534</v>
      </c>
      <c r="L97" s="70" t="s">
        <v>395</v>
      </c>
      <c r="M97" s="70" t="s">
        <v>408</v>
      </c>
      <c r="N97" s="70" t="s">
        <v>510</v>
      </c>
      <c r="O97" s="70" t="s">
        <v>563</v>
      </c>
    </row>
    <row r="98" customFormat="false" ht="26.25" hidden="false" customHeight="true" outlineLevel="0" collapsed="false">
      <c r="A98" s="75"/>
      <c r="B98" s="75"/>
      <c r="C98" s="75"/>
      <c r="D98" s="75"/>
      <c r="E98" s="75"/>
      <c r="F98" s="75" t="s">
        <v>259</v>
      </c>
      <c r="G98" s="75" t="n">
        <f aca="false">COUNTIFS(Data!$B$2:$B$1833,$L98,Data!$C$2:$C$1833,$M98,Data!$D$2:$D$1833,$N98,Data!$E$2:$E$1833,$O98,Data!$F$2:$F$1833,$F98,Data!$H$2:$H$1833,1)</f>
        <v>3</v>
      </c>
      <c r="H98" s="75" t="n">
        <v>152</v>
      </c>
      <c r="I98" s="76" t="str">
        <f aca="false">INDEX(Data!$G$2:$G$1833,MATCH($H98,Data!$A$2:$A$1833,0))</f>
        <v>Can recognise when a text provides factual information and when it seeks to convince readers of something.</v>
      </c>
      <c r="J98" s="77" t="s">
        <v>2535</v>
      </c>
      <c r="L98" s="70" t="s">
        <v>395</v>
      </c>
      <c r="M98" s="70" t="s">
        <v>408</v>
      </c>
      <c r="N98" s="70" t="s">
        <v>510</v>
      </c>
      <c r="O98" s="70" t="s">
        <v>563</v>
      </c>
    </row>
    <row r="99" customFormat="false" ht="26.25" hidden="false" customHeight="true" outlineLevel="0" collapsed="false">
      <c r="A99" s="75"/>
      <c r="B99" s="75"/>
      <c r="C99" s="75"/>
      <c r="D99" s="75"/>
      <c r="E99" s="75"/>
      <c r="F99" s="75" t="s">
        <v>36</v>
      </c>
      <c r="G99" s="75" t="n">
        <f aca="false">COUNTIFS(Data!$B$2:$B$1833,$L99,Data!$C$2:$C$1833,$M99,Data!$D$2:$D$1833,$N99,Data!$E$2:$E$1833,$O99,Data!$F$2:$F$1833,$F99,Data!$H$2:$H$1833,1)</f>
        <v>2</v>
      </c>
      <c r="H99" s="75" t="n">
        <v>149</v>
      </c>
      <c r="I99" s="76" t="str">
        <f aca="false">INDEX(Data!$G$2:$G$1833,MATCH($H99,Data!$A$2:$A$1833,0))</f>
        <v>Can obtain information, ideas and opinions from highly specialised sources within their field.</v>
      </c>
      <c r="J99" s="77" t="s">
        <v>2536</v>
      </c>
      <c r="L99" s="70" t="s">
        <v>395</v>
      </c>
      <c r="M99" s="70" t="s">
        <v>408</v>
      </c>
      <c r="N99" s="70" t="s">
        <v>510</v>
      </c>
      <c r="O99" s="70" t="s">
        <v>563</v>
      </c>
    </row>
    <row r="100" customFormat="false" ht="39" hidden="false" customHeight="true" outlineLevel="0" collapsed="false">
      <c r="A100" s="75"/>
      <c r="B100" s="75"/>
      <c r="C100" s="75"/>
      <c r="D100" s="75"/>
      <c r="E100" s="75"/>
      <c r="F100" s="75" t="s">
        <v>74</v>
      </c>
      <c r="G100" s="75" t="n">
        <f aca="false">COUNTIFS(Data!$B$2:$B$1833,$L100,Data!$C$2:$C$1833,$M100,Data!$D$2:$D$1833,$N100,Data!$E$2:$E$1833,$O100,Data!$F$2:$F$1833,$F100,Data!$H$2:$H$1833,1)</f>
        <v>1</v>
      </c>
      <c r="H100" s="75" t="n">
        <v>148</v>
      </c>
      <c r="I100" s="76" t="str">
        <f aca="false">INDEX(Data!$G$2:$G$1833,MATCH($H100,Data!$A$2:$A$1833,0))</f>
        <v>Can understand in detail a wide range of lengthy, complex texts likely to be encountered in social, professional or academic life, identifying finer points of detail including attitudes and implied as well as stated opinions.</v>
      </c>
      <c r="J100" s="77" t="s">
        <v>2537</v>
      </c>
      <c r="L100" s="70" t="s">
        <v>395</v>
      </c>
      <c r="M100" s="70" t="s">
        <v>408</v>
      </c>
      <c r="N100" s="70" t="s">
        <v>510</v>
      </c>
      <c r="O100" s="70" t="s">
        <v>563</v>
      </c>
    </row>
    <row r="101" customFormat="false" ht="21.75" hidden="false" customHeight="true" outlineLevel="0" collapsed="false">
      <c r="A101" s="75"/>
      <c r="B101" s="75"/>
      <c r="C101" s="75"/>
      <c r="D101" s="75"/>
      <c r="E101" s="75"/>
      <c r="F101" s="75" t="s">
        <v>331</v>
      </c>
      <c r="G101" s="75" t="n">
        <f aca="false">COUNTIFS(Data!$B$2:$B$1833,$L101,Data!$C$2:$C$1833,$M101,Data!$D$2:$D$1833,$N101,Data!$E$2:$E$1833,$O101,Data!$F$2:$F$1833,$F101,Data!$H$2:$H$1833,1)</f>
        <v>1</v>
      </c>
      <c r="H101" s="75" t="n">
        <v>147</v>
      </c>
      <c r="I101" s="76" t="str">
        <f aca="false">INDEX(Data!$G$2:$G$1833,MATCH($H101,Data!$A$2:$A$1833,0))</f>
        <v>Can understand the finer points and implications of a complex report or article even outside their area of specialisation.</v>
      </c>
      <c r="J101" s="77" t="s">
        <v>2538</v>
      </c>
      <c r="L101" s="70" t="s">
        <v>395</v>
      </c>
      <c r="M101" s="70" t="s">
        <v>408</v>
      </c>
      <c r="N101" s="70" t="s">
        <v>510</v>
      </c>
      <c r="O101" s="70" t="s">
        <v>563</v>
      </c>
    </row>
    <row r="102" customFormat="false" ht="32.25" hidden="false" customHeight="true" outlineLevel="0" collapsed="false">
      <c r="A102" s="67" t="str">
        <f aca="false">IFERROR(INDEX(対訳マスタ!$C$2:$C$136,MATCH($L102,対訳マスタ!$B$2:$B$136,0)),$L102)</f>
        <v>コミュニケーション言語活動</v>
      </c>
      <c r="B102" s="67" t="str">
        <f aca="false">IF($M102="—","—",IFERROR(INDEX(対訳マスタ!$C$2:$C$136,MATCH($M102,対訳マスタ!$B$2:$B$136,0)),$M102))</f>
        <v>受容</v>
      </c>
      <c r="C102" s="67" t="str">
        <f aca="false">IF($N102="—","—",IFERROR(INDEX(対訳マスタ!$C$2:$C$136,MATCH($N102,対訳マスタ!$B$2:$B$136,0)),$N102))</f>
        <v>読解（読むこと）</v>
      </c>
      <c r="D102" s="67" t="str">
        <f aca="false">IFERROR(INDEX(対訳マスタ!$C$2:$C$136,MATCH($O102,対訳マスタ!$B$2:$B$136,0)),$O102)</f>
        <v>説明書・指示を読む</v>
      </c>
      <c r="E102" s="67" t="s">
        <v>590</v>
      </c>
      <c r="F102" s="67" t="s">
        <v>86</v>
      </c>
      <c r="G102" s="67" t="n">
        <f aca="false">COUNTIFS(Data!$B$2:$B$1833,$L102,Data!$C$2:$C$1833,$M102,Data!$D$2:$D$1833,$N102,Data!$E$2:$E$1833,$O102,Data!$F$2:$F$1833,$F102,Data!$H$2:$H$1833,1)</f>
        <v>1</v>
      </c>
      <c r="H102" s="67" t="n">
        <v>187</v>
      </c>
      <c r="I102" s="68" t="str">
        <f aca="false">INDEX(Data!$G$2:$G$1833,MATCH($H102,Data!$A$2:$A$1833,0))</f>
        <v>Can understand very short, simple, instructions used in familiar everyday contexts (e.g. “No parking”, “No food or drink”), especially if there are illustrations.</v>
      </c>
      <c r="J102" s="69" t="s">
        <v>2539</v>
      </c>
      <c r="L102" s="70" t="s">
        <v>395</v>
      </c>
      <c r="M102" s="70" t="s">
        <v>408</v>
      </c>
      <c r="N102" s="70" t="s">
        <v>510</v>
      </c>
      <c r="O102" s="70" t="s">
        <v>590</v>
      </c>
    </row>
    <row r="103" customFormat="false" ht="15" hidden="false" customHeight="true" outlineLevel="0" collapsed="false">
      <c r="A103" s="70"/>
      <c r="B103" s="70"/>
      <c r="C103" s="70"/>
      <c r="D103" s="70"/>
      <c r="E103" s="70"/>
      <c r="F103" s="70" t="s">
        <v>101</v>
      </c>
      <c r="G103" s="70" t="n">
        <f aca="false">COUNTIFS(Data!$B$2:$B$1833,$L103,Data!$C$2:$C$1833,$M103,Data!$D$2:$D$1833,$N103,Data!$E$2:$E$1833,$O103,Data!$F$2:$F$1833,$F103,Data!$H$2:$H$1833,1)</f>
        <v>1</v>
      </c>
      <c r="H103" s="70" t="n">
        <v>186</v>
      </c>
      <c r="I103" s="31" t="str">
        <f aca="false">INDEX(Data!$G$2:$G$1833,MATCH($H103,Data!$A$2:$A$1833,0))</f>
        <v>Can follow short, simple directions (e.g. to go from X to Y).</v>
      </c>
      <c r="J103" s="71" t="s">
        <v>2540</v>
      </c>
      <c r="L103" s="70" t="s">
        <v>395</v>
      </c>
      <c r="M103" s="70" t="s">
        <v>408</v>
      </c>
      <c r="N103" s="70" t="s">
        <v>510</v>
      </c>
      <c r="O103" s="70" t="s">
        <v>590</v>
      </c>
    </row>
    <row r="104" customFormat="false" ht="21.75" hidden="false" customHeight="true" outlineLevel="0" collapsed="false">
      <c r="A104" s="70"/>
      <c r="B104" s="70"/>
      <c r="C104" s="70"/>
      <c r="D104" s="70"/>
      <c r="E104" s="70"/>
      <c r="F104" s="70" t="s">
        <v>13</v>
      </c>
      <c r="G104" s="70" t="n">
        <f aca="false">COUNTIFS(Data!$B$2:$B$1833,$L104,Data!$C$2:$C$1833,$M104,Data!$D$2:$D$1833,$N104,Data!$E$2:$E$1833,$O104,Data!$F$2:$F$1833,$F104,Data!$H$2:$H$1833,1)</f>
        <v>4</v>
      </c>
      <c r="H104" s="70" t="n">
        <v>185</v>
      </c>
      <c r="I104" s="31" t="str">
        <f aca="false">INDEX(Data!$G$2:$G$1833,MATCH($H104,Data!$A$2:$A$1833,0))</f>
        <v>Can follow a simple recipe, especially if there are pictures to illustrate the most important steps.</v>
      </c>
      <c r="J104" s="71" t="s">
        <v>2541</v>
      </c>
      <c r="L104" s="70" t="s">
        <v>395</v>
      </c>
      <c r="M104" s="70" t="s">
        <v>408</v>
      </c>
      <c r="N104" s="70" t="s">
        <v>510</v>
      </c>
      <c r="O104" s="70" t="s">
        <v>590</v>
      </c>
    </row>
    <row r="105" customFormat="false" ht="21.75" hidden="false" customHeight="true" outlineLevel="0" collapsed="false">
      <c r="A105" s="70"/>
      <c r="B105" s="70"/>
      <c r="C105" s="70"/>
      <c r="D105" s="70"/>
      <c r="E105" s="70"/>
      <c r="F105" s="70" t="s">
        <v>123</v>
      </c>
      <c r="G105" s="70" t="n">
        <f aca="false">COUNTIFS(Data!$B$2:$B$1833,$L105,Data!$C$2:$C$1833,$M105,Data!$D$2:$D$1833,$N105,Data!$E$2:$E$1833,$O105,Data!$F$2:$F$1833,$F105,Data!$H$2:$H$1833,1)</f>
        <v>2</v>
      </c>
      <c r="H105" s="70" t="n">
        <v>180</v>
      </c>
      <c r="I105" s="31" t="str">
        <f aca="false">INDEX(Data!$G$2:$G$1833,MATCH($H105,Data!$A$2:$A$1833,0))</f>
        <v>Can understand regulations, for example safety, when expressed in simple language.</v>
      </c>
      <c r="J105" s="71" t="s">
        <v>2542</v>
      </c>
      <c r="L105" s="70" t="s">
        <v>395</v>
      </c>
      <c r="M105" s="70" t="s">
        <v>408</v>
      </c>
      <c r="N105" s="70" t="s">
        <v>510</v>
      </c>
      <c r="O105" s="70" t="s">
        <v>590</v>
      </c>
    </row>
    <row r="106" customFormat="false" ht="15" hidden="false" customHeight="true" outlineLevel="0" collapsed="false">
      <c r="A106" s="70"/>
      <c r="B106" s="70"/>
      <c r="C106" s="70"/>
      <c r="D106" s="70"/>
      <c r="E106" s="70"/>
      <c r="F106" s="70" t="s">
        <v>21</v>
      </c>
      <c r="G106" s="70" t="n">
        <f aca="false">COUNTIFS(Data!$B$2:$B$1833,$L106,Data!$C$2:$C$1833,$M106,Data!$D$2:$D$1833,$N106,Data!$E$2:$E$1833,$O106,Data!$F$2:$F$1833,$F106,Data!$H$2:$H$1833,1)</f>
        <v>3</v>
      </c>
      <c r="H106" s="70" t="n">
        <v>178</v>
      </c>
      <c r="I106" s="31" t="str">
        <f aca="false">INDEX(Data!$G$2:$G$1833,MATCH($H106,Data!$A$2:$A$1833,0))</f>
        <v>Can follow simple instructions given on packaging (e.g. cooking instructions).</v>
      </c>
      <c r="J106" s="71" t="s">
        <v>2543</v>
      </c>
      <c r="L106" s="70" t="s">
        <v>395</v>
      </c>
      <c r="M106" s="70" t="s">
        <v>408</v>
      </c>
      <c r="N106" s="70" t="s">
        <v>510</v>
      </c>
      <c r="O106" s="70" t="s">
        <v>590</v>
      </c>
    </row>
    <row r="107" customFormat="false" ht="32.25" hidden="false" customHeight="true" outlineLevel="0" collapsed="false">
      <c r="A107" s="70"/>
      <c r="B107" s="70"/>
      <c r="C107" s="70"/>
      <c r="D107" s="70"/>
      <c r="E107" s="70"/>
      <c r="F107" s="70" t="s">
        <v>52</v>
      </c>
      <c r="G107" s="70" t="n">
        <f aca="false">COUNTIFS(Data!$B$2:$B$1833,$L107,Data!$C$2:$C$1833,$M107,Data!$D$2:$D$1833,$N107,Data!$E$2:$E$1833,$O107,Data!$F$2:$F$1833,$F107,Data!$H$2:$H$1833,1)</f>
        <v>1</v>
      </c>
      <c r="H107" s="70" t="n">
        <v>176</v>
      </c>
      <c r="I107" s="31" t="str">
        <f aca="false">INDEX(Data!$G$2:$G$1833,MATCH($H107,Data!$A$2:$A$1833,0))</f>
        <v>Can understand instructions and procedures in the form of a continuous text, for instance in a manual, provided they are familiar with the type of process or product concerned.</v>
      </c>
      <c r="J107" s="71" t="s">
        <v>2544</v>
      </c>
      <c r="L107" s="70" t="s">
        <v>395</v>
      </c>
      <c r="M107" s="70" t="s">
        <v>408</v>
      </c>
      <c r="N107" s="70" t="s">
        <v>510</v>
      </c>
      <c r="O107" s="70" t="s">
        <v>590</v>
      </c>
    </row>
    <row r="108" customFormat="false" ht="26.25" hidden="false" customHeight="true" outlineLevel="0" collapsed="false">
      <c r="A108" s="70"/>
      <c r="B108" s="70"/>
      <c r="C108" s="70"/>
      <c r="D108" s="70"/>
      <c r="E108" s="70"/>
      <c r="F108" s="70" t="s">
        <v>259</v>
      </c>
      <c r="G108" s="70" t="n">
        <f aca="false">COUNTIFS(Data!$B$2:$B$1833,$L108,Data!$C$2:$C$1833,$M108,Data!$D$2:$D$1833,$N108,Data!$E$2:$E$1833,$O108,Data!$F$2:$F$1833,$F108,Data!$H$2:$H$1833,1)</f>
        <v>1</v>
      </c>
      <c r="H108" s="70" t="n">
        <v>175</v>
      </c>
      <c r="I108" s="31" t="str">
        <f aca="false">INDEX(Data!$G$2:$G$1833,MATCH($H108,Data!$A$2:$A$1833,0))</f>
        <v>Can understand lengthy, complex instructions in their field, including details on conditions and warnings, provided they can reread difficult sections.</v>
      </c>
      <c r="J108" s="71" t="s">
        <v>2545</v>
      </c>
      <c r="L108" s="70" t="s">
        <v>395</v>
      </c>
      <c r="M108" s="70" t="s">
        <v>408</v>
      </c>
      <c r="N108" s="70" t="s">
        <v>510</v>
      </c>
      <c r="O108" s="70" t="s">
        <v>590</v>
      </c>
    </row>
    <row r="109" customFormat="false" ht="15" hidden="false" customHeight="true" outlineLevel="0" collapsed="false">
      <c r="A109" s="70"/>
      <c r="B109" s="70"/>
      <c r="C109" s="70"/>
      <c r="D109" s="70"/>
      <c r="E109" s="70"/>
      <c r="F109" s="70" t="s">
        <v>36</v>
      </c>
      <c r="G109" s="70" t="n">
        <f aca="false">COUNTIFS(Data!$B$2:$B$1833,$L109,Data!$C$2:$C$1833,$M109,Data!$D$2:$D$1833,$N109,Data!$E$2:$E$1833,$O109,Data!$F$2:$F$1833,$F109,Data!$H$2:$H$1833,1)</f>
        <v>0</v>
      </c>
      <c r="H109" s="70" t="s">
        <v>624</v>
      </c>
      <c r="I109" s="31" t="s">
        <v>624</v>
      </c>
      <c r="J109" s="31" t="s">
        <v>624</v>
      </c>
      <c r="L109" s="70" t="s">
        <v>395</v>
      </c>
      <c r="M109" s="70" t="s">
        <v>408</v>
      </c>
      <c r="N109" s="70" t="s">
        <v>510</v>
      </c>
      <c r="O109" s="70" t="s">
        <v>590</v>
      </c>
    </row>
    <row r="110" customFormat="false" ht="32.25" hidden="false" customHeight="true" outlineLevel="0" collapsed="false">
      <c r="A110" s="70"/>
      <c r="B110" s="70"/>
      <c r="C110" s="70"/>
      <c r="D110" s="70"/>
      <c r="E110" s="70"/>
      <c r="F110" s="70" t="s">
        <v>74</v>
      </c>
      <c r="G110" s="70" t="n">
        <f aca="false">COUNTIFS(Data!$B$2:$B$1833,$L110,Data!$C$2:$C$1833,$M110,Data!$D$2:$D$1833,$N110,Data!$E$2:$E$1833,$O110,Data!$F$2:$F$1833,$F110,Data!$H$2:$H$1833,1)</f>
        <v>1</v>
      </c>
      <c r="H110" s="70" t="n">
        <v>174</v>
      </c>
      <c r="I110" s="31" t="str">
        <f aca="false">INDEX(Data!$G$2:$G$1833,MATCH($H110,Data!$A$2:$A$1833,0))</f>
        <v>Can understand in detail lengthy, complex instructions on a new machine or procedure, whether or not the instructions relate to their own area of speciality, provided they can reread difficult sections.</v>
      </c>
      <c r="J110" s="71" t="s">
        <v>2546</v>
      </c>
      <c r="L110" s="70" t="s">
        <v>395</v>
      </c>
      <c r="M110" s="70" t="s">
        <v>408</v>
      </c>
      <c r="N110" s="70" t="s">
        <v>510</v>
      </c>
      <c r="O110" s="70" t="s">
        <v>590</v>
      </c>
    </row>
    <row r="111" customFormat="false" ht="15" hidden="false" customHeight="true" outlineLevel="0" collapsed="false">
      <c r="A111" s="70"/>
      <c r="B111" s="70"/>
      <c r="C111" s="70"/>
      <c r="D111" s="70"/>
      <c r="E111" s="70"/>
      <c r="F111" s="70" t="s">
        <v>331</v>
      </c>
      <c r="G111" s="70" t="n">
        <f aca="false">COUNTIFS(Data!$B$2:$B$1833,$L111,Data!$C$2:$C$1833,$M111,Data!$D$2:$D$1833,$N111,Data!$E$2:$E$1833,$O111,Data!$F$2:$F$1833,$F111,Data!$H$2:$H$1833,1)</f>
        <v>0</v>
      </c>
      <c r="H111" s="70" t="s">
        <v>624</v>
      </c>
      <c r="I111" s="31" t="s">
        <v>624</v>
      </c>
      <c r="J111" s="31" t="s">
        <v>624</v>
      </c>
      <c r="L111" s="70" t="s">
        <v>395</v>
      </c>
      <c r="M111" s="70" t="s">
        <v>408</v>
      </c>
      <c r="N111" s="70" t="s">
        <v>510</v>
      </c>
      <c r="O111" s="70" t="s">
        <v>590</v>
      </c>
    </row>
    <row r="112" customFormat="false" ht="15" hidden="false" customHeight="true" outlineLevel="0" collapsed="false">
      <c r="A112" s="73" t="str">
        <f aca="false">IFERROR(INDEX(対訳マスタ!$C$2:$C$136,MATCH($L112,対訳マスタ!$B$2:$B$136,0)),$L112)</f>
        <v>コミュニケーション言語活動</v>
      </c>
      <c r="B112" s="73" t="str">
        <f aca="false">IF($M112="—","—",IFERROR(INDEX(対訳マスタ!$C$2:$C$136,MATCH($M112,対訳マスタ!$B$2:$B$136,0)),$M112))</f>
        <v>受容</v>
      </c>
      <c r="C112" s="73" t="str">
        <f aca="false">IF($N112="—","—",IFERROR(INDEX(対訳マスタ!$C$2:$C$136,MATCH($N112,対訳マスタ!$B$2:$B$136,0)),$N112))</f>
        <v>読解（読むこと）</v>
      </c>
      <c r="D112" s="73" t="str">
        <f aca="false">IFERROR(INDEX(対訳マスタ!$C$2:$C$136,MATCH($O112,対訳マスタ!$B$2:$B$136,0)),$O112)</f>
        <v>娯楽としての読書</v>
      </c>
      <c r="E112" s="73" t="s">
        <v>605</v>
      </c>
      <c r="F112" s="73" t="s">
        <v>86</v>
      </c>
      <c r="G112" s="73" t="n">
        <f aca="false">COUNTIFS(Data!$B$2:$B$1833,$L112,Data!$C$2:$C$1833,$M112,Data!$D$2:$D$1833,$N112,Data!$E$2:$E$1833,$O112,Data!$F$2:$F$1833,$F112,Data!$H$2:$H$1833,1)</f>
        <v>0</v>
      </c>
      <c r="H112" s="73" t="s">
        <v>624</v>
      </c>
      <c r="I112" s="74" t="s">
        <v>624</v>
      </c>
      <c r="J112" s="74" t="s">
        <v>624</v>
      </c>
      <c r="L112" s="70" t="s">
        <v>395</v>
      </c>
      <c r="M112" s="70" t="s">
        <v>408</v>
      </c>
      <c r="N112" s="70" t="s">
        <v>510</v>
      </c>
      <c r="O112" s="70" t="s">
        <v>605</v>
      </c>
    </row>
    <row r="113" customFormat="false" ht="26.25" hidden="false" customHeight="true" outlineLevel="0" collapsed="false">
      <c r="A113" s="75"/>
      <c r="B113" s="75"/>
      <c r="C113" s="75"/>
      <c r="D113" s="75"/>
      <c r="E113" s="75"/>
      <c r="F113" s="75" t="s">
        <v>101</v>
      </c>
      <c r="G113" s="75" t="n">
        <f aca="false">COUNTIFS(Data!$B$2:$B$1833,$L113,Data!$C$2:$C$1833,$M113,Data!$D$2:$D$1833,$N113,Data!$E$2:$E$1833,$O113,Data!$F$2:$F$1833,$F113,Data!$H$2:$H$1833,1)</f>
        <v>2</v>
      </c>
      <c r="H113" s="75" t="n">
        <v>204</v>
      </c>
      <c r="I113" s="76" t="str">
        <f aca="false">INDEX(Data!$G$2:$G$1833,MATCH($H113,Data!$A$2:$A$1833,0))</f>
        <v>Can understand short, illustrated narratives about everyday activities described in simple words.</v>
      </c>
      <c r="J113" s="77" t="s">
        <v>2547</v>
      </c>
      <c r="L113" s="70" t="s">
        <v>395</v>
      </c>
      <c r="M113" s="70" t="s">
        <v>408</v>
      </c>
      <c r="N113" s="70" t="s">
        <v>510</v>
      </c>
      <c r="O113" s="70" t="s">
        <v>605</v>
      </c>
    </row>
    <row r="114" customFormat="false" ht="21.75" hidden="false" customHeight="true" outlineLevel="0" collapsed="false">
      <c r="A114" s="75"/>
      <c r="B114" s="75"/>
      <c r="C114" s="75"/>
      <c r="D114" s="75"/>
      <c r="E114" s="75"/>
      <c r="F114" s="75" t="s">
        <v>13</v>
      </c>
      <c r="G114" s="75" t="n">
        <f aca="false">COUNTIFS(Data!$B$2:$B$1833,$L114,Data!$C$2:$C$1833,$M114,Data!$D$2:$D$1833,$N114,Data!$E$2:$E$1833,$O114,Data!$F$2:$F$1833,$F114,Data!$H$2:$H$1833,1)</f>
        <v>4</v>
      </c>
      <c r="H114" s="75" t="n">
        <v>200</v>
      </c>
      <c r="I114" s="76" t="str">
        <f aca="false">INDEX(Data!$G$2:$G$1833,MATCH($H114,Data!$A$2:$A$1833,0))</f>
        <v>Can understand short narratives and descriptions of someone’s life composed in simple language.</v>
      </c>
      <c r="J114" s="77" t="s">
        <v>2548</v>
      </c>
      <c r="L114" s="70" t="s">
        <v>395</v>
      </c>
      <c r="M114" s="70" t="s">
        <v>408</v>
      </c>
      <c r="N114" s="70" t="s">
        <v>510</v>
      </c>
      <c r="O114" s="70" t="s">
        <v>605</v>
      </c>
    </row>
    <row r="115" customFormat="false" ht="32.25" hidden="false" customHeight="true" outlineLevel="0" collapsed="false">
      <c r="A115" s="75"/>
      <c r="B115" s="75"/>
      <c r="C115" s="75"/>
      <c r="D115" s="75"/>
      <c r="E115" s="75"/>
      <c r="F115" s="75" t="s">
        <v>123</v>
      </c>
      <c r="G115" s="75" t="n">
        <f aca="false">COUNTIFS(Data!$B$2:$B$1833,$L115,Data!$C$2:$C$1833,$M115,Data!$D$2:$D$1833,$N115,Data!$E$2:$E$1833,$O115,Data!$F$2:$F$1833,$F115,Data!$H$2:$H$1833,1)</f>
        <v>2</v>
      </c>
      <c r="H115" s="75" t="n">
        <v>198</v>
      </c>
      <c r="I115" s="76" t="str">
        <f aca="false">INDEX(Data!$G$2:$G$1833,MATCH($H115,Data!$A$2:$A$1833,0))</f>
        <v>Can understand enough to read short, simple stories and comic strips involving familiar, concrete situations described in high frequency everyday language.</v>
      </c>
      <c r="J115" s="77" t="s">
        <v>2549</v>
      </c>
      <c r="L115" s="70" t="s">
        <v>395</v>
      </c>
      <c r="M115" s="70" t="s">
        <v>408</v>
      </c>
      <c r="N115" s="70" t="s">
        <v>510</v>
      </c>
      <c r="O115" s="70" t="s">
        <v>605</v>
      </c>
    </row>
    <row r="116" customFormat="false" ht="21.75" hidden="false" customHeight="true" outlineLevel="0" collapsed="false">
      <c r="A116" s="75"/>
      <c r="B116" s="75"/>
      <c r="C116" s="75"/>
      <c r="D116" s="75"/>
      <c r="E116" s="75"/>
      <c r="F116" s="75" t="s">
        <v>21</v>
      </c>
      <c r="G116" s="75" t="n">
        <f aca="false">COUNTIFS(Data!$B$2:$B$1833,$L116,Data!$C$2:$C$1833,$M116,Data!$D$2:$D$1833,$N116,Data!$E$2:$E$1833,$O116,Data!$F$2:$F$1833,$F116,Data!$H$2:$H$1833,1)</f>
        <v>3</v>
      </c>
      <c r="H116" s="75" t="n">
        <v>196</v>
      </c>
      <c r="I116" s="76" t="str">
        <f aca="false">INDEX(Data!$G$2:$G$1833,MATCH($H116,Data!$A$2:$A$1833,0))</f>
        <v>Can understand a travel diary mainly describing the events of a journey and the experiences and discoveries of the writer.</v>
      </c>
      <c r="J116" s="77" t="s">
        <v>2550</v>
      </c>
      <c r="L116" s="70" t="s">
        <v>395</v>
      </c>
      <c r="M116" s="70" t="s">
        <v>408</v>
      </c>
      <c r="N116" s="70" t="s">
        <v>510</v>
      </c>
      <c r="O116" s="70" t="s">
        <v>605</v>
      </c>
    </row>
    <row r="117" customFormat="false" ht="21.75" hidden="false" customHeight="true" outlineLevel="0" collapsed="false">
      <c r="A117" s="75"/>
      <c r="B117" s="75"/>
      <c r="C117" s="75"/>
      <c r="D117" s="75"/>
      <c r="E117" s="75"/>
      <c r="F117" s="75" t="s">
        <v>52</v>
      </c>
      <c r="G117" s="75" t="n">
        <f aca="false">COUNTIFS(Data!$B$2:$B$1833,$L117,Data!$C$2:$C$1833,$M117,Data!$D$2:$D$1833,$N117,Data!$E$2:$E$1833,$O117,Data!$F$2:$F$1833,$F117,Data!$H$2:$H$1833,1)</f>
        <v>2</v>
      </c>
      <c r="H117" s="75" t="n">
        <v>194</v>
      </c>
      <c r="I117" s="76" t="str">
        <f aca="false">INDEX(Data!$G$2:$G$1833,MATCH($H117,Data!$A$2:$A$1833,0))</f>
        <v>Can understand simple poems and song lyrics provided these employ straightforward language and style.</v>
      </c>
      <c r="J117" s="77" t="s">
        <v>2551</v>
      </c>
      <c r="L117" s="70" t="s">
        <v>395</v>
      </c>
      <c r="M117" s="70" t="s">
        <v>408</v>
      </c>
      <c r="N117" s="70" t="s">
        <v>510</v>
      </c>
      <c r="O117" s="70" t="s">
        <v>605</v>
      </c>
    </row>
    <row r="118" customFormat="false" ht="32.25" hidden="false" customHeight="true" outlineLevel="0" collapsed="false">
      <c r="A118" s="75"/>
      <c r="B118" s="75"/>
      <c r="C118" s="75"/>
      <c r="D118" s="75"/>
      <c r="E118" s="75"/>
      <c r="F118" s="75" t="s">
        <v>259</v>
      </c>
      <c r="G118" s="75" t="n">
        <f aca="false">COUNTIFS(Data!$B$2:$B$1833,$L118,Data!$C$2:$C$1833,$M118,Data!$D$2:$D$1833,$N118,Data!$E$2:$E$1833,$O118,Data!$F$2:$F$1833,$F118,Data!$H$2:$H$1833,1)</f>
        <v>2</v>
      </c>
      <c r="H118" s="75" t="n">
        <v>192</v>
      </c>
      <c r="I118" s="76" t="str">
        <f aca="false">INDEX(Data!$G$2:$G$1833,MATCH($H118,Data!$A$2:$A$1833,0))</f>
        <v>Can read novels with a strong, narrative plot and that use straightforward, unelaborated language, provided they can take their time and use a dictionary.</v>
      </c>
      <c r="J118" s="77" t="s">
        <v>2552</v>
      </c>
      <c r="L118" s="70" t="s">
        <v>395</v>
      </c>
      <c r="M118" s="70" t="s">
        <v>408</v>
      </c>
      <c r="N118" s="70" t="s">
        <v>510</v>
      </c>
      <c r="O118" s="70" t="s">
        <v>605</v>
      </c>
    </row>
    <row r="119" customFormat="false" ht="15" hidden="false" customHeight="true" outlineLevel="0" collapsed="false">
      <c r="A119" s="75"/>
      <c r="B119" s="75"/>
      <c r="C119" s="75"/>
      <c r="D119" s="75"/>
      <c r="E119" s="75"/>
      <c r="F119" s="75" t="s">
        <v>36</v>
      </c>
      <c r="G119" s="75" t="n">
        <f aca="false">COUNTIFS(Data!$B$2:$B$1833,$L119,Data!$C$2:$C$1833,$M119,Data!$D$2:$D$1833,$N119,Data!$E$2:$E$1833,$O119,Data!$F$2:$F$1833,$F119,Data!$H$2:$H$1833,1)</f>
        <v>0</v>
      </c>
      <c r="H119" s="75" t="s">
        <v>624</v>
      </c>
      <c r="I119" s="76" t="s">
        <v>624</v>
      </c>
      <c r="J119" s="76" t="s">
        <v>624</v>
      </c>
      <c r="L119" s="70" t="s">
        <v>395</v>
      </c>
      <c r="M119" s="70" t="s">
        <v>408</v>
      </c>
      <c r="N119" s="70" t="s">
        <v>510</v>
      </c>
      <c r="O119" s="70" t="s">
        <v>605</v>
      </c>
    </row>
    <row r="120" customFormat="false" ht="26.25" hidden="false" customHeight="true" outlineLevel="0" collapsed="false">
      <c r="A120" s="75"/>
      <c r="B120" s="75"/>
      <c r="C120" s="75"/>
      <c r="D120" s="75"/>
      <c r="E120" s="75"/>
      <c r="F120" s="75" t="s">
        <v>74</v>
      </c>
      <c r="G120" s="75" t="n">
        <f aca="false">COUNTIFS(Data!$B$2:$B$1833,$L120,Data!$C$2:$C$1833,$M120,Data!$D$2:$D$1833,$N120,Data!$E$2:$E$1833,$O120,Data!$F$2:$F$1833,$F120,Data!$H$2:$H$1833,1)</f>
        <v>2</v>
      </c>
      <c r="H120" s="75" t="n">
        <v>189</v>
      </c>
      <c r="I120" s="76" t="str">
        <f aca="false">INDEX(Data!$G$2:$G$1833,MATCH($H120,Data!$A$2:$A$1833,0))</f>
        <v>Can read and appreciate a variety of literary texts, provided they can reread certain sections and that they can access reference tools if they wish.</v>
      </c>
      <c r="J120" s="77" t="s">
        <v>2553</v>
      </c>
      <c r="L120" s="70" t="s">
        <v>395</v>
      </c>
      <c r="M120" s="70" t="s">
        <v>408</v>
      </c>
      <c r="N120" s="70" t="s">
        <v>510</v>
      </c>
      <c r="O120" s="70" t="s">
        <v>605</v>
      </c>
    </row>
    <row r="121" customFormat="false" ht="39" hidden="false" customHeight="true" outlineLevel="0" collapsed="false">
      <c r="A121" s="75"/>
      <c r="B121" s="75"/>
      <c r="C121" s="75"/>
      <c r="D121" s="75"/>
      <c r="E121" s="75"/>
      <c r="F121" s="75" t="s">
        <v>331</v>
      </c>
      <c r="G121" s="75" t="n">
        <f aca="false">COUNTIFS(Data!$B$2:$B$1833,$L121,Data!$C$2:$C$1833,$M121,Data!$D$2:$D$1833,$N121,Data!$E$2:$E$1833,$O121,Data!$F$2:$F$1833,$F121,Data!$H$2:$H$1833,1)</f>
        <v>1</v>
      </c>
      <c r="H121" s="75" t="n">
        <v>188</v>
      </c>
      <c r="I121" s="76" t="str">
        <f aca="false">INDEX(Data!$G$2:$G$1833,MATCH($H121,Data!$A$2:$A$1833,0))</f>
        <v>Can read virtually all forms of texts including classical or colloquial literary and non-literary texts in different genres, appreciating subtle distinctions of style and implicit as well as explicit meaning.</v>
      </c>
      <c r="J121" s="77" t="s">
        <v>2554</v>
      </c>
      <c r="L121" s="70" t="s">
        <v>395</v>
      </c>
      <c r="M121" s="70" t="s">
        <v>408</v>
      </c>
      <c r="N121" s="70" t="s">
        <v>510</v>
      </c>
      <c r="O121" s="70" t="s">
        <v>605</v>
      </c>
    </row>
    <row r="122" customFormat="false" ht="21.75" hidden="false" customHeight="true" outlineLevel="0" collapsed="false">
      <c r="A122" s="67" t="str">
        <f aca="false">IFERROR(INDEX(対訳マスタ!$C$2:$C$136,MATCH($L122,対訳マスタ!$B$2:$B$136,0)),$L122)</f>
        <v>コミュニケーション言語方略</v>
      </c>
      <c r="B122" s="67" t="str">
        <f aca="false">IF($M122="—","—",IFERROR(INDEX(対訳マスタ!$C$2:$C$136,MATCH($M122,対訳マスタ!$B$2:$B$136,0)),$M122))</f>
        <v>受容</v>
      </c>
      <c r="C122" s="67" t="str">
        <f aca="false">IF($N122="—","—",IFERROR(INDEX(対訳マスタ!$C$2:$C$136,MATCH($N122,対訳マスタ!$B$2:$B$136,0)),$N122))</f>
        <v>—</v>
      </c>
      <c r="D122" s="67" t="str">
        <f aca="false">IFERROR(INDEX(対訳マスタ!$C$2:$C$136,MATCH($O122,対訳マスタ!$B$2:$B$136,0)),$O122)</f>
        <v>手がかりの特定と推論</v>
      </c>
      <c r="E122" s="67" t="s">
        <v>625</v>
      </c>
      <c r="F122" s="67" t="s">
        <v>86</v>
      </c>
      <c r="G122" s="67" t="n">
        <f aca="false">COUNTIFS(Data!$B$2:$B$1833,$L122,Data!$C$2:$C$1833,$M122,Data!$D$2:$D$1833,$N122,Data!$E$2:$E$1833,$O122,Data!$F$2:$F$1833,$F122,Data!$H$2:$H$1833,1)</f>
        <v>1</v>
      </c>
      <c r="H122" s="67" t="n">
        <v>225</v>
      </c>
      <c r="I122" s="68" t="str">
        <f aca="false">INDEX(Data!$G$2:$G$1833,MATCH($H122,Data!$A$2:$A$1833,0))</f>
        <v>Can deduce the meaning of a word/sign from an accompanying picture or icon.</v>
      </c>
      <c r="J122" s="69" t="s">
        <v>2555</v>
      </c>
      <c r="L122" s="70" t="s">
        <v>396</v>
      </c>
      <c r="M122" s="70" t="s">
        <v>408</v>
      </c>
      <c r="N122" s="70" t="s">
        <v>624</v>
      </c>
      <c r="O122" s="70" t="s">
        <v>625</v>
      </c>
    </row>
    <row r="123" customFormat="false" ht="21.75" hidden="false" customHeight="true" outlineLevel="0" collapsed="false">
      <c r="A123" s="70"/>
      <c r="B123" s="70"/>
      <c r="C123" s="70"/>
      <c r="D123" s="70"/>
      <c r="E123" s="70"/>
      <c r="F123" s="70" t="s">
        <v>101</v>
      </c>
      <c r="G123" s="70" t="n">
        <f aca="false">COUNTIFS(Data!$B$2:$B$1833,$L123,Data!$C$2:$C$1833,$M123,Data!$D$2:$D$1833,$N123,Data!$E$2:$E$1833,$O123,Data!$F$2:$F$1833,$F123,Data!$H$2:$H$1833,1)</f>
        <v>2</v>
      </c>
      <c r="H123" s="70" t="n">
        <v>224</v>
      </c>
      <c r="I123" s="31" t="str">
        <f aca="false">INDEX(Data!$G$2:$G$1833,MATCH($H123,Data!$A$2:$A$1833,0))</f>
        <v>Can guess the probable meaning of an unknown word/sign that is similar to one in the language they normally use.</v>
      </c>
      <c r="J123" s="71" t="s">
        <v>2556</v>
      </c>
      <c r="L123" s="70" t="s">
        <v>396</v>
      </c>
      <c r="M123" s="70" t="s">
        <v>408</v>
      </c>
      <c r="N123" s="70" t="s">
        <v>624</v>
      </c>
      <c r="O123" s="70" t="s">
        <v>625</v>
      </c>
    </row>
    <row r="124" customFormat="false" ht="26.25" hidden="false" customHeight="true" outlineLevel="0" collapsed="false">
      <c r="A124" s="70"/>
      <c r="B124" s="70"/>
      <c r="C124" s="70"/>
      <c r="D124" s="70"/>
      <c r="E124" s="70"/>
      <c r="F124" s="70" t="s">
        <v>13</v>
      </c>
      <c r="G124" s="70" t="n">
        <f aca="false">COUNTIFS(Data!$B$2:$B$1833,$L124,Data!$C$2:$C$1833,$M124,Data!$D$2:$D$1833,$N124,Data!$E$2:$E$1833,$O124,Data!$F$2:$F$1833,$F124,Data!$H$2:$H$1833,1)</f>
        <v>3</v>
      </c>
      <c r="H124" s="70" t="n">
        <v>221</v>
      </c>
      <c r="I124" s="31" t="str">
        <f aca="false">INDEX(Data!$G$2:$G$1833,MATCH($H124,Data!$A$2:$A$1833,0))</f>
        <v>Can exploit numbers, dates, names, proper nouns, etc. to identify the topic of a text.</v>
      </c>
      <c r="J124" s="71" t="s">
        <v>2557</v>
      </c>
      <c r="L124" s="70" t="s">
        <v>396</v>
      </c>
      <c r="M124" s="70" t="s">
        <v>408</v>
      </c>
      <c r="N124" s="70" t="s">
        <v>624</v>
      </c>
      <c r="O124" s="70" t="s">
        <v>625</v>
      </c>
    </row>
    <row r="125" customFormat="false" ht="32.25" hidden="false" customHeight="true" outlineLevel="0" collapsed="false">
      <c r="A125" s="70"/>
      <c r="B125" s="70"/>
      <c r="C125" s="70"/>
      <c r="D125" s="70"/>
      <c r="E125" s="70"/>
      <c r="F125" s="70" t="s">
        <v>123</v>
      </c>
      <c r="G125" s="70" t="n">
        <f aca="false">COUNTIFS(Data!$B$2:$B$1833,$L125,Data!$C$2:$C$1833,$M125,Data!$D$2:$D$1833,$N125,Data!$E$2:$E$1833,$O125,Data!$F$2:$F$1833,$F125,Data!$H$2:$H$1833,1)</f>
        <v>2</v>
      </c>
      <c r="H125" s="70" t="n">
        <v>219</v>
      </c>
      <c r="I125" s="31" t="str">
        <f aca="false">INDEX(Data!$G$2:$G$1833,MATCH($H125,Data!$A$2:$A$1833,0))</f>
        <v>Can exploit their recognition of known words/signs to deduce the meaning of unfamiliar words/signs in short expressions used in routine everyday contexts.</v>
      </c>
      <c r="J125" s="71" t="s">
        <v>2558</v>
      </c>
      <c r="L125" s="70" t="s">
        <v>396</v>
      </c>
      <c r="M125" s="70" t="s">
        <v>408</v>
      </c>
      <c r="N125" s="70" t="s">
        <v>624</v>
      </c>
      <c r="O125" s="70" t="s">
        <v>625</v>
      </c>
    </row>
    <row r="126" customFormat="false" ht="15" hidden="false" customHeight="true" outlineLevel="0" collapsed="false">
      <c r="A126" s="70"/>
      <c r="B126" s="70"/>
      <c r="C126" s="70"/>
      <c r="D126" s="70"/>
      <c r="E126" s="70"/>
      <c r="F126" s="70" t="s">
        <v>21</v>
      </c>
      <c r="G126" s="70" t="n">
        <f aca="false">COUNTIFS(Data!$B$2:$B$1833,$L126,Data!$C$2:$C$1833,$M126,Data!$D$2:$D$1833,$N126,Data!$E$2:$E$1833,$O126,Data!$F$2:$F$1833,$F126,Data!$H$2:$H$1833,1)</f>
        <v>4</v>
      </c>
      <c r="H126" s="70" t="n">
        <v>215</v>
      </c>
      <c r="I126" s="31" t="str">
        <f aca="false">INDEX(Data!$G$2:$G$1833,MATCH($H126,Data!$A$2:$A$1833,0))</f>
        <v>Can watch or listen to a short narrative and predict what will happen next.</v>
      </c>
      <c r="J126" s="71" t="s">
        <v>2559</v>
      </c>
      <c r="L126" s="70" t="s">
        <v>396</v>
      </c>
      <c r="M126" s="70" t="s">
        <v>408</v>
      </c>
      <c r="N126" s="70" t="s">
        <v>624</v>
      </c>
      <c r="O126" s="70" t="s">
        <v>625</v>
      </c>
    </row>
    <row r="127" customFormat="false" ht="21.75" hidden="false" customHeight="true" outlineLevel="0" collapsed="false">
      <c r="A127" s="70"/>
      <c r="B127" s="70"/>
      <c r="C127" s="70"/>
      <c r="D127" s="70"/>
      <c r="E127" s="70"/>
      <c r="F127" s="70" t="s">
        <v>52</v>
      </c>
      <c r="G127" s="70" t="n">
        <f aca="false">COUNTIFS(Data!$B$2:$B$1833,$L127,Data!$C$2:$C$1833,$M127,Data!$D$2:$D$1833,$N127,Data!$E$2:$E$1833,$O127,Data!$F$2:$F$1833,$F127,Data!$H$2:$H$1833,1)</f>
        <v>4</v>
      </c>
      <c r="H127" s="70" t="n">
        <v>211</v>
      </c>
      <c r="I127" s="31" t="str">
        <f aca="false">INDEX(Data!$G$2:$G$1833,MATCH($H127,Data!$A$2:$A$1833,0))</f>
        <v>Can extrapolate the meaning of a section of a text by taking into account the text as a whole.</v>
      </c>
      <c r="J127" s="71" t="s">
        <v>2560</v>
      </c>
      <c r="L127" s="70" t="s">
        <v>396</v>
      </c>
      <c r="M127" s="70" t="s">
        <v>408</v>
      </c>
      <c r="N127" s="70" t="s">
        <v>624</v>
      </c>
      <c r="O127" s="70" t="s">
        <v>625</v>
      </c>
    </row>
    <row r="128" customFormat="false" ht="26.25" hidden="false" customHeight="true" outlineLevel="0" collapsed="false">
      <c r="A128" s="70"/>
      <c r="B128" s="70"/>
      <c r="C128" s="70"/>
      <c r="D128" s="70"/>
      <c r="E128" s="70"/>
      <c r="F128" s="70" t="s">
        <v>259</v>
      </c>
      <c r="G128" s="70" t="n">
        <f aca="false">COUNTIFS(Data!$B$2:$B$1833,$L128,Data!$C$2:$C$1833,$M128,Data!$D$2:$D$1833,$N128,Data!$E$2:$E$1833,$O128,Data!$F$2:$F$1833,$F128,Data!$H$2:$H$1833,1)</f>
        <v>1</v>
      </c>
      <c r="H128" s="70" t="n">
        <v>209</v>
      </c>
      <c r="I128" s="31" t="str">
        <f aca="false">INDEX(Data!$G$2:$G$1833,MATCH($H128,Data!$A$2:$A$1833,0))</f>
        <v>Can use a variety of strategies to achieve comprehension, including watching out for main points and checking comprehension by using contextual clues.</v>
      </c>
      <c r="J128" s="71" t="s">
        <v>2561</v>
      </c>
      <c r="L128" s="70" t="s">
        <v>396</v>
      </c>
      <c r="M128" s="70" t="s">
        <v>408</v>
      </c>
      <c r="N128" s="70" t="s">
        <v>624</v>
      </c>
      <c r="O128" s="70" t="s">
        <v>625</v>
      </c>
    </row>
    <row r="129" customFormat="false" ht="15" hidden="false" customHeight="true" outlineLevel="0" collapsed="false">
      <c r="A129" s="70"/>
      <c r="B129" s="70"/>
      <c r="C129" s="70"/>
      <c r="D129" s="70"/>
      <c r="E129" s="70"/>
      <c r="F129" s="70" t="s">
        <v>36</v>
      </c>
      <c r="G129" s="70" t="n">
        <f aca="false">COUNTIFS(Data!$B$2:$B$1833,$L129,Data!$C$2:$C$1833,$M129,Data!$D$2:$D$1833,$N129,Data!$E$2:$E$1833,$O129,Data!$F$2:$F$1833,$F129,Data!$H$2:$H$1833,1)</f>
        <v>0</v>
      </c>
      <c r="H129" s="70" t="s">
        <v>624</v>
      </c>
      <c r="I129" s="31" t="s">
        <v>624</v>
      </c>
      <c r="J129" s="31" t="s">
        <v>624</v>
      </c>
      <c r="L129" s="70" t="s">
        <v>396</v>
      </c>
      <c r="M129" s="70" t="s">
        <v>408</v>
      </c>
      <c r="N129" s="70" t="s">
        <v>624</v>
      </c>
      <c r="O129" s="70" t="s">
        <v>625</v>
      </c>
    </row>
    <row r="130" customFormat="false" ht="26.25" hidden="false" customHeight="true" outlineLevel="0" collapsed="false">
      <c r="A130" s="70"/>
      <c r="B130" s="70"/>
      <c r="C130" s="70"/>
      <c r="D130" s="70"/>
      <c r="E130" s="70"/>
      <c r="F130" s="70" t="s">
        <v>74</v>
      </c>
      <c r="G130" s="70" t="n">
        <f aca="false">COUNTIFS(Data!$B$2:$B$1833,$L130,Data!$C$2:$C$1833,$M130,Data!$D$2:$D$1833,$N130,Data!$E$2:$E$1833,$O130,Data!$F$2:$F$1833,$F130,Data!$H$2:$H$1833,1)</f>
        <v>1</v>
      </c>
      <c r="H130" s="70" t="n">
        <v>208</v>
      </c>
      <c r="I130" s="31" t="str">
        <f aca="false">INDEX(Data!$G$2:$G$1833,MATCH($H130,Data!$A$2:$A$1833,0))</f>
        <v>Is skilled at using contextual, grammatical and lexical cues to infer attitude, mood and intentions and anticipate what will come next.</v>
      </c>
      <c r="J130" s="71" t="s">
        <v>2562</v>
      </c>
      <c r="L130" s="70" t="s">
        <v>396</v>
      </c>
      <c r="M130" s="70" t="s">
        <v>408</v>
      </c>
      <c r="N130" s="70" t="s">
        <v>624</v>
      </c>
      <c r="O130" s="70" t="s">
        <v>625</v>
      </c>
    </row>
    <row r="131" customFormat="false" ht="15" hidden="false" customHeight="true" outlineLevel="0" collapsed="false">
      <c r="A131" s="70"/>
      <c r="B131" s="70"/>
      <c r="C131" s="70"/>
      <c r="D131" s="70"/>
      <c r="E131" s="70"/>
      <c r="F131" s="70" t="s">
        <v>331</v>
      </c>
      <c r="G131" s="70" t="n">
        <f aca="false">COUNTIFS(Data!$B$2:$B$1833,$L131,Data!$C$2:$C$1833,$M131,Data!$D$2:$D$1833,$N131,Data!$E$2:$E$1833,$O131,Data!$F$2:$F$1833,$F131,Data!$H$2:$H$1833,1)</f>
        <v>0</v>
      </c>
      <c r="H131" s="70" t="s">
        <v>624</v>
      </c>
      <c r="I131" s="31" t="s">
        <v>624</v>
      </c>
      <c r="J131" s="31" t="s">
        <v>624</v>
      </c>
      <c r="L131" s="70" t="s">
        <v>396</v>
      </c>
      <c r="M131" s="70" t="s">
        <v>408</v>
      </c>
      <c r="N131" s="70" t="s">
        <v>624</v>
      </c>
      <c r="O131" s="70" t="s">
        <v>625</v>
      </c>
    </row>
    <row r="132" customFormat="false" ht="26.25" hidden="false" customHeight="true" outlineLevel="0" collapsed="false">
      <c r="A132" s="73" t="str">
        <f aca="false">IFERROR(INDEX(対訳マスタ!$C$2:$C$136,MATCH($L132,対訳マスタ!$B$2:$B$136,0)),$L132)</f>
        <v>コミュニケーション言語活動</v>
      </c>
      <c r="B132" s="73" t="str">
        <f aca="false">IF($M132="—","—",IFERROR(INDEX(対訳マスタ!$C$2:$C$136,MATCH($M132,対訳マスタ!$B$2:$B$136,0)),$M132))</f>
        <v>産出</v>
      </c>
      <c r="C132" s="73" t="str">
        <f aca="false">IF($N132="—","—",IFERROR(INDEX(対訳マスタ!$C$2:$C$136,MATCH($N132,対訳マスタ!$B$2:$B$136,0)),$N132))</f>
        <v>口頭産出（話すこと）</v>
      </c>
      <c r="D132" s="73" t="str">
        <f aca="false">IFERROR(INDEX(対訳マスタ!$C$2:$C$136,MATCH($O132,対訳マスタ!$B$2:$B$136,0)),$O132)</f>
        <v>口頭産出（総合）</v>
      </c>
      <c r="E132" s="73" t="s">
        <v>646</v>
      </c>
      <c r="F132" s="73" t="s">
        <v>86</v>
      </c>
      <c r="G132" s="73" t="n">
        <f aca="false">COUNTIFS(Data!$B$2:$B$1833,$L132,Data!$C$2:$C$1833,$M132,Data!$D$2:$D$1833,$N132,Data!$E$2:$E$1833,$O132,Data!$F$2:$F$1833,$F132,Data!$H$2:$H$1833,1)</f>
        <v>1</v>
      </c>
      <c r="H132" s="73" t="n">
        <v>233</v>
      </c>
      <c r="I132" s="74" t="str">
        <f aca="false">INDEX(Data!$G$2:$G$1833,MATCH($H132,Data!$A$2:$A$1833,0))</f>
        <v>Can produce short phrases about themselves, giving basic personal information (e.g. name, address, family, nationality).</v>
      </c>
      <c r="J132" s="78" t="s">
        <v>2563</v>
      </c>
      <c r="L132" s="70" t="s">
        <v>395</v>
      </c>
      <c r="M132" s="70" t="s">
        <v>644</v>
      </c>
      <c r="N132" s="70" t="s">
        <v>645</v>
      </c>
      <c r="O132" s="70" t="s">
        <v>646</v>
      </c>
    </row>
    <row r="133" customFormat="false" ht="15" hidden="false" customHeight="true" outlineLevel="0" collapsed="false">
      <c r="A133" s="75"/>
      <c r="B133" s="75"/>
      <c r="C133" s="75"/>
      <c r="D133" s="75"/>
      <c r="E133" s="75"/>
      <c r="F133" s="75" t="s">
        <v>101</v>
      </c>
      <c r="G133" s="75" t="n">
        <f aca="false">COUNTIFS(Data!$B$2:$B$1833,$L133,Data!$C$2:$C$1833,$M133,Data!$D$2:$D$1833,$N133,Data!$E$2:$E$1833,$O133,Data!$F$2:$F$1833,$F133,Data!$H$2:$H$1833,1)</f>
        <v>1</v>
      </c>
      <c r="H133" s="75" t="n">
        <v>232</v>
      </c>
      <c r="I133" s="76" t="str">
        <f aca="false">INDEX(Data!$G$2:$G$1833,MATCH($H133,Data!$A$2:$A$1833,0))</f>
        <v>Can produce simple, mainly isolated phrases about people and places.</v>
      </c>
      <c r="J133" s="77" t="s">
        <v>2564</v>
      </c>
      <c r="L133" s="70" t="s">
        <v>395</v>
      </c>
      <c r="M133" s="70" t="s">
        <v>644</v>
      </c>
      <c r="N133" s="70" t="s">
        <v>645</v>
      </c>
      <c r="O133" s="70" t="s">
        <v>646</v>
      </c>
    </row>
    <row r="134" customFormat="false" ht="32.25" hidden="false" customHeight="true" outlineLevel="0" collapsed="false">
      <c r="A134" s="75"/>
      <c r="B134" s="75"/>
      <c r="C134" s="75"/>
      <c r="D134" s="75"/>
      <c r="E134" s="75"/>
      <c r="F134" s="75" t="s">
        <v>13</v>
      </c>
      <c r="G134" s="75" t="n">
        <f aca="false">COUNTIFS(Data!$B$2:$B$1833,$L134,Data!$C$2:$C$1833,$M134,Data!$D$2:$D$1833,$N134,Data!$E$2:$E$1833,$O134,Data!$F$2:$F$1833,$F134,Data!$H$2:$H$1833,1)</f>
        <v>1</v>
      </c>
      <c r="H134" s="75" t="n">
        <v>231</v>
      </c>
      <c r="I134" s="76" t="str">
        <f aca="false">INDEX(Data!$G$2:$G$1833,MATCH($H134,Data!$A$2:$A$1833,0))</f>
        <v>Can give a simple description or presentation of people, living or working conditions, daily routines. likes/dislikes, etc. as a short series of simple phrases and sentences linked into a list.</v>
      </c>
      <c r="J134" s="77" t="s">
        <v>2565</v>
      </c>
      <c r="L134" s="70" t="s">
        <v>395</v>
      </c>
      <c r="M134" s="70" t="s">
        <v>644</v>
      </c>
      <c r="N134" s="70" t="s">
        <v>645</v>
      </c>
      <c r="O134" s="70" t="s">
        <v>646</v>
      </c>
    </row>
    <row r="135" customFormat="false" ht="15" hidden="false" customHeight="true" outlineLevel="0" collapsed="false">
      <c r="A135" s="75"/>
      <c r="B135" s="75"/>
      <c r="C135" s="75"/>
      <c r="D135" s="75"/>
      <c r="E135" s="75"/>
      <c r="F135" s="75" t="s">
        <v>123</v>
      </c>
      <c r="G135" s="75" t="n">
        <f aca="false">COUNTIFS(Data!$B$2:$B$1833,$L135,Data!$C$2:$C$1833,$M135,Data!$D$2:$D$1833,$N135,Data!$E$2:$E$1833,$O135,Data!$F$2:$F$1833,$F135,Data!$H$2:$H$1833,1)</f>
        <v>0</v>
      </c>
      <c r="H135" s="75" t="s">
        <v>624</v>
      </c>
      <c r="I135" s="76" t="s">
        <v>624</v>
      </c>
      <c r="J135" s="76" t="s">
        <v>624</v>
      </c>
      <c r="L135" s="70" t="s">
        <v>395</v>
      </c>
      <c r="M135" s="70" t="s">
        <v>644</v>
      </c>
      <c r="N135" s="70" t="s">
        <v>645</v>
      </c>
      <c r="O135" s="70" t="s">
        <v>646</v>
      </c>
    </row>
    <row r="136" customFormat="false" ht="32.25" hidden="false" customHeight="true" outlineLevel="0" collapsed="false">
      <c r="A136" s="75"/>
      <c r="B136" s="75"/>
      <c r="C136" s="75"/>
      <c r="D136" s="75"/>
      <c r="E136" s="75"/>
      <c r="F136" s="75" t="s">
        <v>21</v>
      </c>
      <c r="G136" s="75" t="n">
        <f aca="false">COUNTIFS(Data!$B$2:$B$1833,$L136,Data!$C$2:$C$1833,$M136,Data!$D$2:$D$1833,$N136,Data!$E$2:$E$1833,$O136,Data!$F$2:$F$1833,$F136,Data!$H$2:$H$1833,1)</f>
        <v>1</v>
      </c>
      <c r="H136" s="75" t="n">
        <v>230</v>
      </c>
      <c r="I136" s="76" t="str">
        <f aca="false">INDEX(Data!$G$2:$G$1833,MATCH($H136,Data!$A$2:$A$1833,0))</f>
        <v>Can reasonably fluently sustain a straightforward description of one of a variety of subjects within their field of interest, presenting it as a linear sequence of points.</v>
      </c>
      <c r="J136" s="77" t="s">
        <v>2566</v>
      </c>
      <c r="L136" s="70" t="s">
        <v>395</v>
      </c>
      <c r="M136" s="70" t="s">
        <v>644</v>
      </c>
      <c r="N136" s="70" t="s">
        <v>645</v>
      </c>
      <c r="O136" s="70" t="s">
        <v>646</v>
      </c>
    </row>
    <row r="137" customFormat="false" ht="15" hidden="false" customHeight="true" outlineLevel="0" collapsed="false">
      <c r="A137" s="75"/>
      <c r="B137" s="75"/>
      <c r="C137" s="75"/>
      <c r="D137" s="75"/>
      <c r="E137" s="75"/>
      <c r="F137" s="75" t="s">
        <v>52</v>
      </c>
      <c r="G137" s="75" t="n">
        <f aca="false">COUNTIFS(Data!$B$2:$B$1833,$L137,Data!$C$2:$C$1833,$M137,Data!$D$2:$D$1833,$N137,Data!$E$2:$E$1833,$O137,Data!$F$2:$F$1833,$F137,Data!$H$2:$H$1833,1)</f>
        <v>0</v>
      </c>
      <c r="H137" s="75" t="s">
        <v>624</v>
      </c>
      <c r="I137" s="76" t="s">
        <v>624</v>
      </c>
      <c r="J137" s="76" t="s">
        <v>624</v>
      </c>
      <c r="L137" s="70" t="s">
        <v>395</v>
      </c>
      <c r="M137" s="70" t="s">
        <v>644</v>
      </c>
      <c r="N137" s="70" t="s">
        <v>645</v>
      </c>
      <c r="O137" s="70" t="s">
        <v>646</v>
      </c>
    </row>
    <row r="138" customFormat="false" ht="32.25" hidden="false" customHeight="true" outlineLevel="0" collapsed="false">
      <c r="A138" s="75"/>
      <c r="B138" s="75"/>
      <c r="C138" s="75"/>
      <c r="D138" s="75"/>
      <c r="E138" s="75"/>
      <c r="F138" s="75" t="s">
        <v>259</v>
      </c>
      <c r="G138" s="75" t="n">
        <f aca="false">COUNTIFS(Data!$B$2:$B$1833,$L138,Data!$C$2:$C$1833,$M138,Data!$D$2:$D$1833,$N138,Data!$E$2:$E$1833,$O138,Data!$F$2:$F$1833,$F138,Data!$H$2:$H$1833,1)</f>
        <v>1</v>
      </c>
      <c r="H138" s="75" t="n">
        <v>229</v>
      </c>
      <c r="I138" s="76" t="str">
        <f aca="false">INDEX(Data!$G$2:$G$1833,MATCH($H138,Data!$A$2:$A$1833,0))</f>
        <v>Can give clear, detailed descriptions and presentations on a wide range of subjects related to their field of interest, expanding and supporting ideas with subsidiary points and relevant examples.</v>
      </c>
      <c r="J138" s="77" t="s">
        <v>2567</v>
      </c>
      <c r="L138" s="70" t="s">
        <v>395</v>
      </c>
      <c r="M138" s="70" t="s">
        <v>644</v>
      </c>
      <c r="N138" s="70" t="s">
        <v>645</v>
      </c>
      <c r="O138" s="70" t="s">
        <v>646</v>
      </c>
    </row>
    <row r="139" customFormat="false" ht="26.25" hidden="false" customHeight="true" outlineLevel="0" collapsed="false">
      <c r="A139" s="75"/>
      <c r="B139" s="75"/>
      <c r="C139" s="75"/>
      <c r="D139" s="75"/>
      <c r="E139" s="75"/>
      <c r="F139" s="75" t="s">
        <v>36</v>
      </c>
      <c r="G139" s="75" t="n">
        <f aca="false">COUNTIFS(Data!$B$2:$B$1833,$L139,Data!$C$2:$C$1833,$M139,Data!$D$2:$D$1833,$N139,Data!$E$2:$E$1833,$O139,Data!$F$2:$F$1833,$F139,Data!$H$2:$H$1833,1)</f>
        <v>1</v>
      </c>
      <c r="H139" s="75" t="n">
        <v>228</v>
      </c>
      <c r="I139" s="76" t="str">
        <f aca="false">INDEX(Data!$G$2:$G$1833,MATCH($H139,Data!$A$2:$A$1833,0))</f>
        <v>Can give clear, systematically developed descriptions and presentations, with appropriate highlighting of significant points, and relevant supporting detail.</v>
      </c>
      <c r="J139" s="77" t="s">
        <v>2568</v>
      </c>
      <c r="L139" s="70" t="s">
        <v>395</v>
      </c>
      <c r="M139" s="70" t="s">
        <v>644</v>
      </c>
      <c r="N139" s="70" t="s">
        <v>645</v>
      </c>
      <c r="O139" s="70" t="s">
        <v>646</v>
      </c>
    </row>
    <row r="140" customFormat="false" ht="32.25" hidden="false" customHeight="true" outlineLevel="0" collapsed="false">
      <c r="A140" s="75"/>
      <c r="B140" s="75"/>
      <c r="C140" s="75"/>
      <c r="D140" s="75"/>
      <c r="E140" s="75"/>
      <c r="F140" s="75" t="s">
        <v>74</v>
      </c>
      <c r="G140" s="75" t="n">
        <f aca="false">COUNTIFS(Data!$B$2:$B$1833,$L140,Data!$C$2:$C$1833,$M140,Data!$D$2:$D$1833,$N140,Data!$E$2:$E$1833,$O140,Data!$F$2:$F$1833,$F140,Data!$H$2:$H$1833,1)</f>
        <v>1</v>
      </c>
      <c r="H140" s="75" t="n">
        <v>227</v>
      </c>
      <c r="I140" s="76" t="str">
        <f aca="false">INDEX(Data!$G$2:$G$1833,MATCH($H140,Data!$A$2:$A$1833,0))</f>
        <v>Can give clear, detailed descriptions and presentations on complex subjects, integrating sub-themes, developing particular points and rounding off with an appropriate conclusion.</v>
      </c>
      <c r="J140" s="77" t="s">
        <v>2569</v>
      </c>
      <c r="L140" s="70" t="s">
        <v>395</v>
      </c>
      <c r="M140" s="70" t="s">
        <v>644</v>
      </c>
      <c r="N140" s="70" t="s">
        <v>645</v>
      </c>
      <c r="O140" s="70" t="s">
        <v>646</v>
      </c>
    </row>
    <row r="141" customFormat="false" ht="32.25" hidden="false" customHeight="true" outlineLevel="0" collapsed="false">
      <c r="A141" s="75"/>
      <c r="B141" s="75"/>
      <c r="C141" s="75"/>
      <c r="D141" s="75"/>
      <c r="E141" s="75"/>
      <c r="F141" s="75" t="s">
        <v>331</v>
      </c>
      <c r="G141" s="75" t="n">
        <f aca="false">COUNTIFS(Data!$B$2:$B$1833,$L141,Data!$C$2:$C$1833,$M141,Data!$D$2:$D$1833,$N141,Data!$E$2:$E$1833,$O141,Data!$F$2:$F$1833,$F141,Data!$H$2:$H$1833,1)</f>
        <v>1</v>
      </c>
      <c r="H141" s="75" t="n">
        <v>226</v>
      </c>
      <c r="I141" s="76" t="str">
        <f aca="false">INDEX(Data!$G$2:$G$1833,MATCH($H141,Data!$A$2:$A$1833,0))</f>
        <v>Can produce clear, smoothly flowing, well-structured discourse with an effective logical structure which helps the recipient to notice and remember significant points.</v>
      </c>
      <c r="J141" s="77" t="s">
        <v>2570</v>
      </c>
      <c r="L141" s="70" t="s">
        <v>395</v>
      </c>
      <c r="M141" s="70" t="s">
        <v>644</v>
      </c>
      <c r="N141" s="70" t="s">
        <v>645</v>
      </c>
      <c r="O141" s="70" t="s">
        <v>646</v>
      </c>
    </row>
    <row r="142" customFormat="false" ht="26.25" hidden="false" customHeight="true" outlineLevel="0" collapsed="false">
      <c r="A142" s="67" t="str">
        <f aca="false">IFERROR(INDEX(対訳マスタ!$C$2:$C$136,MATCH($L142,対訳マスタ!$B$2:$B$136,0)),$L142)</f>
        <v>コミュニケーション言語活動</v>
      </c>
      <c r="B142" s="67" t="str">
        <f aca="false">IF($M142="—","—",IFERROR(INDEX(対訳マスタ!$C$2:$C$136,MATCH($M142,対訳マスタ!$B$2:$B$136,0)),$M142))</f>
        <v>産出</v>
      </c>
      <c r="C142" s="67" t="str">
        <f aca="false">IF($N142="—","—",IFERROR(INDEX(対訳マスタ!$C$2:$C$136,MATCH($N142,対訳マスタ!$B$2:$B$136,0)),$N142))</f>
        <v>口頭産出（話すこと）</v>
      </c>
      <c r="D142" s="67" t="str">
        <f aca="false">IFERROR(INDEX(対訳マスタ!$C$2:$C$136,MATCH($O142,対訳マスタ!$B$2:$B$136,0)),$O142)</f>
        <v>長めの一人語り：経験の描写</v>
      </c>
      <c r="E142" s="67" t="s">
        <v>655</v>
      </c>
      <c r="F142" s="67" t="s">
        <v>86</v>
      </c>
      <c r="G142" s="67" t="n">
        <f aca="false">COUNTIFS(Data!$B$2:$B$1833,$L142,Data!$C$2:$C$1833,$M142,Data!$D$2:$D$1833,$N142,Data!$E$2:$E$1833,$O142,Data!$F$2:$F$1833,$F142,Data!$H$2:$H$1833,1)</f>
        <v>2</v>
      </c>
      <c r="H142" s="67" t="n">
        <v>261</v>
      </c>
      <c r="I142" s="68" t="str">
        <f aca="false">INDEX(Data!$G$2:$G$1833,MATCH($H142,Data!$A$2:$A$1833,0))</f>
        <v>Can express how they are feeling using simple adjectives like “happy” or “tired”, accompanied by body language.</v>
      </c>
      <c r="J142" s="69" t="s">
        <v>2571</v>
      </c>
      <c r="L142" s="70" t="s">
        <v>395</v>
      </c>
      <c r="M142" s="70" t="s">
        <v>644</v>
      </c>
      <c r="N142" s="70" t="s">
        <v>645</v>
      </c>
      <c r="O142" s="70" t="s">
        <v>655</v>
      </c>
    </row>
    <row r="143" customFormat="false" ht="15" hidden="false" customHeight="true" outlineLevel="0" collapsed="false">
      <c r="A143" s="70"/>
      <c r="B143" s="70"/>
      <c r="C143" s="70"/>
      <c r="D143" s="70"/>
      <c r="E143" s="70"/>
      <c r="F143" s="70" t="s">
        <v>101</v>
      </c>
      <c r="G143" s="70" t="n">
        <f aca="false">COUNTIFS(Data!$B$2:$B$1833,$L143,Data!$C$2:$C$1833,$M143,Data!$D$2:$D$1833,$N143,Data!$E$2:$E$1833,$O143,Data!$F$2:$F$1833,$F143,Data!$H$2:$H$1833,1)</f>
        <v>2</v>
      </c>
      <c r="H143" s="70" t="n">
        <v>258</v>
      </c>
      <c r="I143" s="31" t="str">
        <f aca="false">INDEX(Data!$G$2:$G$1833,MATCH($H143,Data!$A$2:$A$1833,0))</f>
        <v>Can describe themselves, what they do and where they live.</v>
      </c>
      <c r="J143" s="71" t="s">
        <v>2572</v>
      </c>
      <c r="L143" s="70" t="s">
        <v>395</v>
      </c>
      <c r="M143" s="70" t="s">
        <v>644</v>
      </c>
      <c r="N143" s="70" t="s">
        <v>645</v>
      </c>
      <c r="O143" s="70" t="s">
        <v>655</v>
      </c>
    </row>
    <row r="144" customFormat="false" ht="15" hidden="false" customHeight="true" outlineLevel="0" collapsed="false">
      <c r="A144" s="70"/>
      <c r="B144" s="70"/>
      <c r="C144" s="70"/>
      <c r="D144" s="70"/>
      <c r="E144" s="70"/>
      <c r="F144" s="70" t="s">
        <v>13</v>
      </c>
      <c r="G144" s="70" t="n">
        <f aca="false">COUNTIFS(Data!$B$2:$B$1833,$L144,Data!$C$2:$C$1833,$M144,Data!$D$2:$D$1833,$N144,Data!$E$2:$E$1833,$O144,Data!$F$2:$F$1833,$F144,Data!$H$2:$H$1833,1)</f>
        <v>4</v>
      </c>
      <c r="H144" s="70" t="n">
        <v>255</v>
      </c>
      <c r="I144" s="31" t="str">
        <f aca="false">INDEX(Data!$G$2:$G$1833,MATCH($H144,Data!$A$2:$A$1833,0))</f>
        <v>Can describe people, places and possessions in simple terms.</v>
      </c>
      <c r="J144" s="71" t="s">
        <v>2573</v>
      </c>
      <c r="L144" s="70" t="s">
        <v>395</v>
      </c>
      <c r="M144" s="70" t="s">
        <v>644</v>
      </c>
      <c r="N144" s="70" t="s">
        <v>645</v>
      </c>
      <c r="O144" s="70" t="s">
        <v>655</v>
      </c>
    </row>
    <row r="145" customFormat="false" ht="15" hidden="false" customHeight="true" outlineLevel="0" collapsed="false">
      <c r="A145" s="70"/>
      <c r="B145" s="70"/>
      <c r="C145" s="70"/>
      <c r="D145" s="70"/>
      <c r="E145" s="70"/>
      <c r="F145" s="70" t="s">
        <v>123</v>
      </c>
      <c r="G145" s="70" t="n">
        <f aca="false">COUNTIFS(Data!$B$2:$B$1833,$L145,Data!$C$2:$C$1833,$M145,Data!$D$2:$D$1833,$N145,Data!$E$2:$E$1833,$O145,Data!$F$2:$F$1833,$F145,Data!$H$2:$H$1833,1)</f>
        <v>6</v>
      </c>
      <c r="H145" s="70" t="n">
        <v>253</v>
      </c>
      <c r="I145" s="31" t="str">
        <f aca="false">INDEX(Data!$G$2:$G$1833,MATCH($H145,Data!$A$2:$A$1833,0))</f>
        <v>Can explain what they like or dislike about something.</v>
      </c>
      <c r="J145" s="71" t="s">
        <v>2574</v>
      </c>
      <c r="L145" s="70" t="s">
        <v>395</v>
      </c>
      <c r="M145" s="70" t="s">
        <v>644</v>
      </c>
      <c r="N145" s="70" t="s">
        <v>645</v>
      </c>
      <c r="O145" s="70" t="s">
        <v>655</v>
      </c>
    </row>
    <row r="146" customFormat="false" ht="15" hidden="false" customHeight="true" outlineLevel="0" collapsed="false">
      <c r="A146" s="70"/>
      <c r="B146" s="70"/>
      <c r="C146" s="70"/>
      <c r="D146" s="70"/>
      <c r="E146" s="70"/>
      <c r="F146" s="70" t="s">
        <v>21</v>
      </c>
      <c r="G146" s="70" t="n">
        <f aca="false">COUNTIFS(Data!$B$2:$B$1833,$L146,Data!$C$2:$C$1833,$M146,Data!$D$2:$D$1833,$N146,Data!$E$2:$E$1833,$O146,Data!$F$2:$F$1833,$F146,Data!$H$2:$H$1833,1)</f>
        <v>8</v>
      </c>
      <c r="H146" s="70" t="n">
        <v>247</v>
      </c>
      <c r="I146" s="31" t="str">
        <f aca="false">INDEX(Data!$G$2:$G$1833,MATCH($H146,Data!$A$2:$A$1833,0))</f>
        <v>Can narrate a story.</v>
      </c>
      <c r="J146" s="71" t="s">
        <v>2575</v>
      </c>
      <c r="L146" s="70" t="s">
        <v>395</v>
      </c>
      <c r="M146" s="70" t="s">
        <v>644</v>
      </c>
      <c r="N146" s="70" t="s">
        <v>645</v>
      </c>
      <c r="O146" s="70" t="s">
        <v>655</v>
      </c>
    </row>
    <row r="147" customFormat="false" ht="21.75" hidden="false" customHeight="true" outlineLevel="0" collapsed="false">
      <c r="A147" s="70"/>
      <c r="B147" s="70"/>
      <c r="C147" s="70"/>
      <c r="D147" s="70"/>
      <c r="E147" s="70"/>
      <c r="F147" s="70" t="s">
        <v>52</v>
      </c>
      <c r="G147" s="70" t="n">
        <f aca="false">COUNTIFS(Data!$B$2:$B$1833,$L147,Data!$C$2:$C$1833,$M147,Data!$D$2:$D$1833,$N147,Data!$E$2:$E$1833,$O147,Data!$F$2:$F$1833,$F147,Data!$H$2:$H$1833,1)</f>
        <v>1</v>
      </c>
      <c r="H147" s="70" t="n">
        <v>239</v>
      </c>
      <c r="I147" s="31" t="str">
        <f aca="false">INDEX(Data!$G$2:$G$1833,MATCH($H147,Data!$A$2:$A$1833,0))</f>
        <v>Can clearly express feelings about something experienced and give reasons to explain those feelings.</v>
      </c>
      <c r="J147" s="71" t="s">
        <v>2576</v>
      </c>
      <c r="L147" s="70" t="s">
        <v>395</v>
      </c>
      <c r="M147" s="70" t="s">
        <v>644</v>
      </c>
      <c r="N147" s="70" t="s">
        <v>645</v>
      </c>
      <c r="O147" s="70" t="s">
        <v>655</v>
      </c>
    </row>
    <row r="148" customFormat="false" ht="15" hidden="false" customHeight="true" outlineLevel="0" collapsed="false">
      <c r="A148" s="70"/>
      <c r="B148" s="70"/>
      <c r="C148" s="70"/>
      <c r="D148" s="70"/>
      <c r="E148" s="70"/>
      <c r="F148" s="70" t="s">
        <v>259</v>
      </c>
      <c r="G148" s="70" t="n">
        <f aca="false">COUNTIFS(Data!$B$2:$B$1833,$L148,Data!$C$2:$C$1833,$M148,Data!$D$2:$D$1833,$N148,Data!$E$2:$E$1833,$O148,Data!$F$2:$F$1833,$F148,Data!$H$2:$H$1833,1)</f>
        <v>2</v>
      </c>
      <c r="H148" s="70" t="n">
        <v>238</v>
      </c>
      <c r="I148" s="31" t="str">
        <f aca="false">INDEX(Data!$G$2:$G$1833,MATCH($H148,Data!$A$2:$A$1833,0))</f>
        <v>Can describe the personal significance of events and experiences in detail.</v>
      </c>
      <c r="J148" s="71" t="s">
        <v>2577</v>
      </c>
      <c r="L148" s="70" t="s">
        <v>395</v>
      </c>
      <c r="M148" s="70" t="s">
        <v>644</v>
      </c>
      <c r="N148" s="70" t="s">
        <v>645</v>
      </c>
      <c r="O148" s="70" t="s">
        <v>655</v>
      </c>
    </row>
    <row r="149" customFormat="false" ht="15" hidden="false" customHeight="true" outlineLevel="0" collapsed="false">
      <c r="A149" s="70"/>
      <c r="B149" s="70"/>
      <c r="C149" s="70"/>
      <c r="D149" s="70"/>
      <c r="E149" s="70"/>
      <c r="F149" s="70" t="s">
        <v>36</v>
      </c>
      <c r="G149" s="70" t="n">
        <f aca="false">COUNTIFS(Data!$B$2:$B$1833,$L149,Data!$C$2:$C$1833,$M149,Data!$D$2:$D$1833,$N149,Data!$E$2:$E$1833,$O149,Data!$F$2:$F$1833,$F149,Data!$H$2:$H$1833,1)</f>
        <v>0</v>
      </c>
      <c r="H149" s="70" t="s">
        <v>624</v>
      </c>
      <c r="I149" s="31" t="s">
        <v>624</v>
      </c>
      <c r="J149" s="31" t="s">
        <v>624</v>
      </c>
      <c r="L149" s="70" t="s">
        <v>395</v>
      </c>
      <c r="M149" s="70" t="s">
        <v>644</v>
      </c>
      <c r="N149" s="70" t="s">
        <v>645</v>
      </c>
      <c r="O149" s="70" t="s">
        <v>655</v>
      </c>
    </row>
    <row r="150" customFormat="false" ht="15" hidden="false" customHeight="true" outlineLevel="0" collapsed="false">
      <c r="A150" s="70"/>
      <c r="B150" s="70"/>
      <c r="C150" s="70"/>
      <c r="D150" s="70"/>
      <c r="E150" s="70"/>
      <c r="F150" s="70" t="s">
        <v>74</v>
      </c>
      <c r="G150" s="70" t="n">
        <f aca="false">COUNTIFS(Data!$B$2:$B$1833,$L150,Data!$C$2:$C$1833,$M150,Data!$D$2:$D$1833,$N150,Data!$E$2:$E$1833,$O150,Data!$F$2:$F$1833,$F150,Data!$H$2:$H$1833,1)</f>
        <v>2</v>
      </c>
      <c r="H150" s="70" t="n">
        <v>235</v>
      </c>
      <c r="I150" s="31" t="str">
        <f aca="false">INDEX(Data!$G$2:$G$1833,MATCH($H150,Data!$A$2:$A$1833,0))</f>
        <v>Can give clear, detailed descriptions of complex subjects.</v>
      </c>
      <c r="J150" s="71" t="s">
        <v>2578</v>
      </c>
      <c r="L150" s="70" t="s">
        <v>395</v>
      </c>
      <c r="M150" s="70" t="s">
        <v>644</v>
      </c>
      <c r="N150" s="70" t="s">
        <v>645</v>
      </c>
      <c r="O150" s="70" t="s">
        <v>655</v>
      </c>
    </row>
    <row r="151" customFormat="false" ht="21.75" hidden="false" customHeight="true" outlineLevel="0" collapsed="false">
      <c r="A151" s="70"/>
      <c r="B151" s="70"/>
      <c r="C151" s="70"/>
      <c r="D151" s="70"/>
      <c r="E151" s="70"/>
      <c r="F151" s="70" t="s">
        <v>331</v>
      </c>
      <c r="G151" s="70" t="n">
        <f aca="false">COUNTIFS(Data!$B$2:$B$1833,$L151,Data!$C$2:$C$1833,$M151,Data!$D$2:$D$1833,$N151,Data!$E$2:$E$1833,$O151,Data!$F$2:$F$1833,$F151,Data!$H$2:$H$1833,1)</f>
        <v>1</v>
      </c>
      <c r="H151" s="70" t="n">
        <v>234</v>
      </c>
      <c r="I151" s="31" t="str">
        <f aca="false">INDEX(Data!$G$2:$G$1833,MATCH($H151,Data!$A$2:$A$1833,0))</f>
        <v>Can give clear, smoothly flowing, elaborate and often memorable descriptions.</v>
      </c>
      <c r="J151" s="71" t="s">
        <v>2579</v>
      </c>
      <c r="L151" s="70" t="s">
        <v>395</v>
      </c>
      <c r="M151" s="70" t="s">
        <v>644</v>
      </c>
      <c r="N151" s="70" t="s">
        <v>645</v>
      </c>
      <c r="O151" s="70" t="s">
        <v>655</v>
      </c>
    </row>
    <row r="152" customFormat="false" ht="15" hidden="false" customHeight="true" outlineLevel="0" collapsed="false">
      <c r="A152" s="73" t="str">
        <f aca="false">IFERROR(INDEX(対訳マスタ!$C$2:$C$136,MATCH($L152,対訳マスタ!$B$2:$B$136,0)),$L152)</f>
        <v>コミュニケーション言語活動</v>
      </c>
      <c r="B152" s="73" t="str">
        <f aca="false">IF($M152="—","—",IFERROR(INDEX(対訳マスタ!$C$2:$C$136,MATCH($M152,対訳マスタ!$B$2:$B$136,0)),$M152))</f>
        <v>産出</v>
      </c>
      <c r="C152" s="73" t="str">
        <f aca="false">IF($N152="—","—",IFERROR(INDEX(対訳マスタ!$C$2:$C$136,MATCH($N152,対訳マスタ!$B$2:$B$136,0)),$N152))</f>
        <v>口頭産出（話すこと）</v>
      </c>
      <c r="D152" s="73" t="str">
        <f aca="false">IFERROR(INDEX(対訳マスタ!$C$2:$C$136,MATCH($O152,対訳マスタ!$B$2:$B$136,0)),$O152)</f>
        <v>長めの一人語り：情報提供</v>
      </c>
      <c r="E152" s="73" t="s">
        <v>684</v>
      </c>
      <c r="F152" s="73" t="s">
        <v>86</v>
      </c>
      <c r="G152" s="73" t="n">
        <f aca="false">COUNTIFS(Data!$B$2:$B$1833,$L152,Data!$C$2:$C$1833,$M152,Data!$D$2:$D$1833,$N152,Data!$E$2:$E$1833,$O152,Data!$F$2:$F$1833,$F152,Data!$H$2:$H$1833,1)</f>
        <v>0</v>
      </c>
      <c r="H152" s="73" t="s">
        <v>624</v>
      </c>
      <c r="I152" s="74" t="s">
        <v>624</v>
      </c>
      <c r="J152" s="74" t="s">
        <v>624</v>
      </c>
      <c r="L152" s="70" t="s">
        <v>395</v>
      </c>
      <c r="M152" s="70" t="s">
        <v>644</v>
      </c>
      <c r="N152" s="70" t="s">
        <v>645</v>
      </c>
      <c r="O152" s="70" t="s">
        <v>684</v>
      </c>
    </row>
    <row r="153" customFormat="false" ht="32.25" hidden="false" customHeight="true" outlineLevel="0" collapsed="false">
      <c r="A153" s="75"/>
      <c r="B153" s="75"/>
      <c r="C153" s="75"/>
      <c r="D153" s="75"/>
      <c r="E153" s="75"/>
      <c r="F153" s="75" t="s">
        <v>101</v>
      </c>
      <c r="G153" s="75" t="n">
        <f aca="false">COUNTIFS(Data!$B$2:$B$1833,$L153,Data!$C$2:$C$1833,$M153,Data!$D$2:$D$1833,$N153,Data!$E$2:$E$1833,$O153,Data!$F$2:$F$1833,$F153,Data!$H$2:$H$1833,1)</f>
        <v>1</v>
      </c>
      <c r="H153" s="75" t="n">
        <v>272</v>
      </c>
      <c r="I153" s="76" t="str">
        <f aca="false">INDEX(Data!$G$2:$G$1833,MATCH($H153,Data!$A$2:$A$1833,0))</f>
        <v>Can name an object and indicate its shape and colour while showing it to others using basic words/signs, phrases and formulaic expressions, provided they can prepare in advance.</v>
      </c>
      <c r="J153" s="77" t="s">
        <v>2580</v>
      </c>
      <c r="L153" s="70" t="s">
        <v>395</v>
      </c>
      <c r="M153" s="70" t="s">
        <v>644</v>
      </c>
      <c r="N153" s="70" t="s">
        <v>645</v>
      </c>
      <c r="O153" s="70" t="s">
        <v>684</v>
      </c>
    </row>
    <row r="154" customFormat="false" ht="39" hidden="false" customHeight="true" outlineLevel="0" collapsed="false">
      <c r="A154" s="75"/>
      <c r="B154" s="75"/>
      <c r="C154" s="75"/>
      <c r="D154" s="75"/>
      <c r="E154" s="75"/>
      <c r="F154" s="75" t="s">
        <v>13</v>
      </c>
      <c r="G154" s="75" t="n">
        <f aca="false">COUNTIFS(Data!$B$2:$B$1833,$L154,Data!$C$2:$C$1833,$M154,Data!$D$2:$D$1833,$N154,Data!$E$2:$E$1833,$O154,Data!$F$2:$F$1833,$F154,Data!$H$2:$H$1833,1)</f>
        <v>1</v>
      </c>
      <c r="H154" s="75" t="n">
        <v>271</v>
      </c>
      <c r="I154" s="76" t="str">
        <f aca="false">INDEX(Data!$G$2:$G$1833,MATCH($H154,Data!$A$2:$A$1833,0))</f>
        <v>Can give simple directions on how to get from X to Y, using basic expressions such as “turn right” and “go straight” along with sequential connectors such as “first”, “then” and “next”.</v>
      </c>
      <c r="J154" s="77" t="s">
        <v>2581</v>
      </c>
      <c r="L154" s="70" t="s">
        <v>395</v>
      </c>
      <c r="M154" s="70" t="s">
        <v>644</v>
      </c>
      <c r="N154" s="70" t="s">
        <v>645</v>
      </c>
      <c r="O154" s="70" t="s">
        <v>684</v>
      </c>
    </row>
    <row r="155" customFormat="false" ht="15" hidden="false" customHeight="true" outlineLevel="0" collapsed="false">
      <c r="A155" s="75"/>
      <c r="B155" s="75"/>
      <c r="C155" s="75"/>
      <c r="D155" s="75"/>
      <c r="E155" s="75"/>
      <c r="F155" s="75" t="s">
        <v>123</v>
      </c>
      <c r="G155" s="75" t="n">
        <f aca="false">COUNTIFS(Data!$B$2:$B$1833,$L155,Data!$C$2:$C$1833,$M155,Data!$D$2:$D$1833,$N155,Data!$E$2:$E$1833,$O155,Data!$F$2:$F$1833,$F155,Data!$H$2:$H$1833,1)</f>
        <v>0</v>
      </c>
      <c r="H155" s="75" t="s">
        <v>624</v>
      </c>
      <c r="I155" s="76" t="s">
        <v>624</v>
      </c>
      <c r="J155" s="76" t="s">
        <v>624</v>
      </c>
      <c r="L155" s="70" t="s">
        <v>395</v>
      </c>
      <c r="M155" s="70" t="s">
        <v>644</v>
      </c>
      <c r="N155" s="70" t="s">
        <v>645</v>
      </c>
      <c r="O155" s="70" t="s">
        <v>684</v>
      </c>
    </row>
    <row r="156" customFormat="false" ht="32.25" hidden="false" customHeight="true" outlineLevel="0" collapsed="false">
      <c r="A156" s="75"/>
      <c r="B156" s="75"/>
      <c r="C156" s="75"/>
      <c r="D156" s="75"/>
      <c r="E156" s="75"/>
      <c r="F156" s="75" t="s">
        <v>21</v>
      </c>
      <c r="G156" s="75" t="n">
        <f aca="false">COUNTIFS(Data!$B$2:$B$1833,$L156,Data!$C$2:$C$1833,$M156,Data!$D$2:$D$1833,$N156,Data!$E$2:$E$1833,$O156,Data!$F$2:$F$1833,$F156,Data!$H$2:$H$1833,1)</f>
        <v>1</v>
      </c>
      <c r="H156" s="75" t="n">
        <v>270</v>
      </c>
      <c r="I156" s="76" t="str">
        <f aca="false">INDEX(Data!$G$2:$G$1833,MATCH($H156,Data!$A$2:$A$1833,0))</f>
        <v>Can report straightforward factual information on a familiar topic, for example to indicate the nature of a problem or to give detailed directions, provided they can prepare beforehand.</v>
      </c>
      <c r="J156" s="77" t="s">
        <v>2582</v>
      </c>
      <c r="L156" s="70" t="s">
        <v>395</v>
      </c>
      <c r="M156" s="70" t="s">
        <v>644</v>
      </c>
      <c r="N156" s="70" t="s">
        <v>645</v>
      </c>
      <c r="O156" s="70" t="s">
        <v>684</v>
      </c>
    </row>
    <row r="157" customFormat="false" ht="15" hidden="false" customHeight="true" outlineLevel="0" collapsed="false">
      <c r="A157" s="75"/>
      <c r="B157" s="75"/>
      <c r="C157" s="75"/>
      <c r="D157" s="75"/>
      <c r="E157" s="75"/>
      <c r="F157" s="75" t="s">
        <v>52</v>
      </c>
      <c r="G157" s="75" t="n">
        <f aca="false">COUNTIFS(Data!$B$2:$B$1833,$L157,Data!$C$2:$C$1833,$M157,Data!$D$2:$D$1833,$N157,Data!$E$2:$E$1833,$O157,Data!$F$2:$F$1833,$F157,Data!$H$2:$H$1833,1)</f>
        <v>2</v>
      </c>
      <c r="H157" s="75" t="n">
        <v>269</v>
      </c>
      <c r="I157" s="76" t="str">
        <f aca="false">INDEX(Data!$G$2:$G$1833,MATCH($H157,Data!$A$2:$A$1833,0))</f>
        <v>Can describe how to do something, giving detailed instructions.</v>
      </c>
      <c r="J157" s="77" t="s">
        <v>2583</v>
      </c>
      <c r="L157" s="70" t="s">
        <v>395</v>
      </c>
      <c r="M157" s="70" t="s">
        <v>644</v>
      </c>
      <c r="N157" s="70" t="s">
        <v>645</v>
      </c>
      <c r="O157" s="70" t="s">
        <v>684</v>
      </c>
    </row>
    <row r="158" customFormat="false" ht="15" hidden="false" customHeight="true" outlineLevel="0" collapsed="false">
      <c r="A158" s="75"/>
      <c r="B158" s="75"/>
      <c r="C158" s="75"/>
      <c r="D158" s="75"/>
      <c r="E158" s="75"/>
      <c r="F158" s="75" t="s">
        <v>259</v>
      </c>
      <c r="G158" s="75" t="n">
        <f aca="false">COUNTIFS(Data!$B$2:$B$1833,$L158,Data!$C$2:$C$1833,$M158,Data!$D$2:$D$1833,$N158,Data!$E$2:$E$1833,$O158,Data!$F$2:$F$1833,$F158,Data!$H$2:$H$1833,1)</f>
        <v>2</v>
      </c>
      <c r="H158" s="75" t="n">
        <v>266</v>
      </c>
      <c r="I158" s="76" t="str">
        <f aca="false">INDEX(Data!$G$2:$G$1833,MATCH($H158,Data!$A$2:$A$1833,0))</f>
        <v>Can communicate detailed information reliably.</v>
      </c>
      <c r="J158" s="77" t="s">
        <v>2584</v>
      </c>
      <c r="L158" s="70" t="s">
        <v>395</v>
      </c>
      <c r="M158" s="70" t="s">
        <v>644</v>
      </c>
      <c r="N158" s="70" t="s">
        <v>645</v>
      </c>
      <c r="O158" s="70" t="s">
        <v>684</v>
      </c>
    </row>
    <row r="159" customFormat="false" ht="26.25" hidden="false" customHeight="true" outlineLevel="0" collapsed="false">
      <c r="A159" s="75"/>
      <c r="B159" s="75"/>
      <c r="C159" s="75"/>
      <c r="D159" s="75"/>
      <c r="E159" s="75"/>
      <c r="F159" s="75" t="s">
        <v>36</v>
      </c>
      <c r="G159" s="75" t="n">
        <f aca="false">COUNTIFS(Data!$B$2:$B$1833,$L159,Data!$C$2:$C$1833,$M159,Data!$D$2:$D$1833,$N159,Data!$E$2:$E$1833,$O159,Data!$F$2:$F$1833,$F159,Data!$H$2:$H$1833,1)</f>
        <v>1</v>
      </c>
      <c r="H159" s="75" t="n">
        <v>265</v>
      </c>
      <c r="I159" s="76" t="str">
        <f aca="false">INDEX(Data!$G$2:$G$1833,MATCH($H159,Data!$A$2:$A$1833,0))</f>
        <v>Can communicate complex information and advice on the full range of matters related to their occupational role.</v>
      </c>
      <c r="J159" s="77" t="s">
        <v>2585</v>
      </c>
      <c r="L159" s="70" t="s">
        <v>395</v>
      </c>
      <c r="M159" s="70" t="s">
        <v>644</v>
      </c>
      <c r="N159" s="70" t="s">
        <v>645</v>
      </c>
      <c r="O159" s="70" t="s">
        <v>684</v>
      </c>
    </row>
    <row r="160" customFormat="false" ht="21.75" hidden="false" customHeight="true" outlineLevel="0" collapsed="false">
      <c r="A160" s="75"/>
      <c r="B160" s="75"/>
      <c r="C160" s="75"/>
      <c r="D160" s="75"/>
      <c r="E160" s="75"/>
      <c r="F160" s="75" t="s">
        <v>74</v>
      </c>
      <c r="G160" s="75" t="n">
        <f aca="false">COUNTIFS(Data!$B$2:$B$1833,$L160,Data!$C$2:$C$1833,$M160,Data!$D$2:$D$1833,$N160,Data!$E$2:$E$1833,$O160,Data!$F$2:$F$1833,$F160,Data!$H$2:$H$1833,1)</f>
        <v>2</v>
      </c>
      <c r="H160" s="75" t="n">
        <v>264</v>
      </c>
      <c r="I160" s="76" t="str">
        <f aca="false">INDEX(Data!$G$2:$G$1833,MATCH($H160,Data!$A$2:$A$1833,0))</f>
        <v>Can give instructions on carrying out a series of complex professional or academic procedures.</v>
      </c>
      <c r="J160" s="77" t="s">
        <v>2586</v>
      </c>
      <c r="L160" s="70" t="s">
        <v>395</v>
      </c>
      <c r="M160" s="70" t="s">
        <v>644</v>
      </c>
      <c r="N160" s="70" t="s">
        <v>645</v>
      </c>
      <c r="O160" s="70" t="s">
        <v>684</v>
      </c>
    </row>
    <row r="161" customFormat="false" ht="15" hidden="false" customHeight="true" outlineLevel="0" collapsed="false">
      <c r="A161" s="75"/>
      <c r="B161" s="75"/>
      <c r="C161" s="75"/>
      <c r="D161" s="75"/>
      <c r="E161" s="75"/>
      <c r="F161" s="75" t="s">
        <v>331</v>
      </c>
      <c r="G161" s="75" t="n">
        <f aca="false">COUNTIFS(Data!$B$2:$B$1833,$L161,Data!$C$2:$C$1833,$M161,Data!$D$2:$D$1833,$N161,Data!$E$2:$E$1833,$O161,Data!$F$2:$F$1833,$F161,Data!$H$2:$H$1833,1)</f>
        <v>0</v>
      </c>
      <c r="H161" s="75" t="s">
        <v>624</v>
      </c>
      <c r="I161" s="76" t="s">
        <v>624</v>
      </c>
      <c r="J161" s="76" t="s">
        <v>624</v>
      </c>
      <c r="L161" s="70" t="s">
        <v>395</v>
      </c>
      <c r="M161" s="70" t="s">
        <v>644</v>
      </c>
      <c r="N161" s="70" t="s">
        <v>645</v>
      </c>
      <c r="O161" s="70" t="s">
        <v>684</v>
      </c>
    </row>
    <row r="162" customFormat="false" ht="15" hidden="false" customHeight="true" outlineLevel="0" collapsed="false">
      <c r="A162" s="67" t="str">
        <f aca="false">IFERROR(INDEX(対訳マスタ!$C$2:$C$136,MATCH($L162,対訳マスタ!$B$2:$B$136,0)),$L162)</f>
        <v>コミュニケーション言語活動</v>
      </c>
      <c r="B162" s="67" t="str">
        <f aca="false">IF($M162="—","—",IFERROR(INDEX(対訳マスタ!$C$2:$C$136,MATCH($M162,対訳マスタ!$B$2:$B$136,0)),$M162))</f>
        <v>産出</v>
      </c>
      <c r="C162" s="67" t="str">
        <f aca="false">IF($N162="—","—",IFERROR(INDEX(対訳マスタ!$C$2:$C$136,MATCH($N162,対訳マスタ!$B$2:$B$136,0)),$N162))</f>
        <v>口頭産出（話すこと）</v>
      </c>
      <c r="D162" s="67" t="str">
        <f aca="false">IFERROR(INDEX(対訳マスタ!$C$2:$C$136,MATCH($O162,対訳マスタ!$B$2:$B$136,0)),$O162)</f>
        <v>長めの一人語り：立論（討論など）</v>
      </c>
      <c r="E162" s="67" t="s">
        <v>695</v>
      </c>
      <c r="F162" s="67" t="s">
        <v>86</v>
      </c>
      <c r="G162" s="67" t="n">
        <f aca="false">COUNTIFS(Data!$B$2:$B$1833,$L162,Data!$C$2:$C$1833,$M162,Data!$D$2:$D$1833,$N162,Data!$E$2:$E$1833,$O162,Data!$F$2:$F$1833,$F162,Data!$H$2:$H$1833,1)</f>
        <v>0</v>
      </c>
      <c r="H162" s="67" t="s">
        <v>624</v>
      </c>
      <c r="I162" s="68" t="s">
        <v>624</v>
      </c>
      <c r="J162" s="68" t="s">
        <v>624</v>
      </c>
      <c r="L162" s="70" t="s">
        <v>395</v>
      </c>
      <c r="M162" s="70" t="s">
        <v>644</v>
      </c>
      <c r="N162" s="70" t="s">
        <v>645</v>
      </c>
      <c r="O162" s="70" t="s">
        <v>695</v>
      </c>
    </row>
    <row r="163" customFormat="false" ht="15" hidden="false" customHeight="true" outlineLevel="0" collapsed="false">
      <c r="A163" s="70"/>
      <c r="B163" s="70"/>
      <c r="C163" s="70"/>
      <c r="D163" s="70"/>
      <c r="E163" s="70"/>
      <c r="F163" s="70" t="s">
        <v>101</v>
      </c>
      <c r="G163" s="70" t="n">
        <f aca="false">COUNTIFS(Data!$B$2:$B$1833,$L163,Data!$C$2:$C$1833,$M163,Data!$D$2:$D$1833,$N163,Data!$E$2:$E$1833,$O163,Data!$F$2:$F$1833,$F163,Data!$H$2:$H$1833,1)</f>
        <v>0</v>
      </c>
      <c r="H163" s="70" t="s">
        <v>624</v>
      </c>
      <c r="I163" s="31" t="s">
        <v>624</v>
      </c>
      <c r="J163" s="31" t="s">
        <v>624</v>
      </c>
      <c r="L163" s="70" t="s">
        <v>395</v>
      </c>
      <c r="M163" s="70" t="s">
        <v>644</v>
      </c>
      <c r="N163" s="70" t="s">
        <v>645</v>
      </c>
      <c r="O163" s="70" t="s">
        <v>695</v>
      </c>
    </row>
    <row r="164" customFormat="false" ht="15" hidden="false" customHeight="true" outlineLevel="0" collapsed="false">
      <c r="A164" s="70"/>
      <c r="B164" s="70"/>
      <c r="C164" s="70"/>
      <c r="D164" s="70"/>
      <c r="E164" s="70"/>
      <c r="F164" s="70" t="s">
        <v>13</v>
      </c>
      <c r="G164" s="70" t="n">
        <f aca="false">COUNTIFS(Data!$B$2:$B$1833,$L164,Data!$C$2:$C$1833,$M164,Data!$D$2:$D$1833,$N164,Data!$E$2:$E$1833,$O164,Data!$F$2:$F$1833,$F164,Data!$H$2:$H$1833,1)</f>
        <v>1</v>
      </c>
      <c r="H164" s="70" t="n">
        <v>287</v>
      </c>
      <c r="I164" s="31" t="str">
        <f aca="false">INDEX(Data!$G$2:$G$1833,MATCH($H164,Data!$A$2:$A$1833,0))</f>
        <v>Can present their opinion in simple terms, provided interlocutors are patient.</v>
      </c>
      <c r="J164" s="71" t="s">
        <v>2587</v>
      </c>
      <c r="L164" s="70" t="s">
        <v>395</v>
      </c>
      <c r="M164" s="70" t="s">
        <v>644</v>
      </c>
      <c r="N164" s="70" t="s">
        <v>645</v>
      </c>
      <c r="O164" s="70" t="s">
        <v>695</v>
      </c>
    </row>
    <row r="165" customFormat="false" ht="26.25" hidden="false" customHeight="true" outlineLevel="0" collapsed="false">
      <c r="A165" s="70"/>
      <c r="B165" s="70"/>
      <c r="C165" s="70"/>
      <c r="D165" s="70"/>
      <c r="E165" s="70"/>
      <c r="F165" s="70" t="s">
        <v>123</v>
      </c>
      <c r="G165" s="70" t="n">
        <f aca="false">COUNTIFS(Data!$B$2:$B$1833,$L165,Data!$C$2:$C$1833,$M165,Data!$D$2:$D$1833,$N165,Data!$E$2:$E$1833,$O165,Data!$F$2:$F$1833,$F165,Data!$H$2:$H$1833,1)</f>
        <v>1</v>
      </c>
      <c r="H165" s="70" t="n">
        <v>286</v>
      </c>
      <c r="I165" s="31" t="str">
        <f aca="false">INDEX(Data!$G$2:$G$1833,MATCH($H165,Data!$A$2:$A$1833,0))</f>
        <v>Can explain what they like or dislike about something, why they prefer one thing to another, making simple, direct comparisons.</v>
      </c>
      <c r="J165" s="71" t="s">
        <v>2588</v>
      </c>
      <c r="L165" s="70" t="s">
        <v>395</v>
      </c>
      <c r="M165" s="70" t="s">
        <v>644</v>
      </c>
      <c r="N165" s="70" t="s">
        <v>645</v>
      </c>
      <c r="O165" s="70" t="s">
        <v>695</v>
      </c>
    </row>
    <row r="166" customFormat="false" ht="15" hidden="false" customHeight="true" outlineLevel="0" collapsed="false">
      <c r="A166" s="70"/>
      <c r="B166" s="70"/>
      <c r="C166" s="70"/>
      <c r="D166" s="70"/>
      <c r="E166" s="70"/>
      <c r="F166" s="70" t="s">
        <v>21</v>
      </c>
      <c r="G166" s="70" t="n">
        <f aca="false">COUNTIFS(Data!$B$2:$B$1833,$L166,Data!$C$2:$C$1833,$M166,Data!$D$2:$D$1833,$N166,Data!$E$2:$E$1833,$O166,Data!$F$2:$F$1833,$F166,Data!$H$2:$H$1833,1)</f>
        <v>3</v>
      </c>
      <c r="H166" s="70" t="n">
        <v>284</v>
      </c>
      <c r="I166" s="31" t="str">
        <f aca="false">INDEX(Data!$G$2:$G$1833,MATCH($H166,Data!$A$2:$A$1833,0))</f>
        <v>Can briefly give reasons and explanations for opinions, plans and actions.</v>
      </c>
      <c r="J166" s="71" t="s">
        <v>2589</v>
      </c>
      <c r="L166" s="70" t="s">
        <v>395</v>
      </c>
      <c r="M166" s="70" t="s">
        <v>644</v>
      </c>
      <c r="N166" s="70" t="s">
        <v>645</v>
      </c>
      <c r="O166" s="70" t="s">
        <v>695</v>
      </c>
    </row>
    <row r="167" customFormat="false" ht="15" hidden="false" customHeight="true" outlineLevel="0" collapsed="false">
      <c r="A167" s="70"/>
      <c r="B167" s="70"/>
      <c r="C167" s="70"/>
      <c r="D167" s="70"/>
      <c r="E167" s="70"/>
      <c r="F167" s="70" t="s">
        <v>52</v>
      </c>
      <c r="G167" s="70" t="n">
        <f aca="false">COUNTIFS(Data!$B$2:$B$1833,$L167,Data!$C$2:$C$1833,$M167,Data!$D$2:$D$1833,$N167,Data!$E$2:$E$1833,$O167,Data!$F$2:$F$1833,$F167,Data!$H$2:$H$1833,1)</f>
        <v>2</v>
      </c>
      <c r="H167" s="70" t="n">
        <v>282</v>
      </c>
      <c r="I167" s="31" t="str">
        <f aca="false">INDEX(Data!$G$2:$G$1833,MATCH($H167,Data!$A$2:$A$1833,0))</f>
        <v>Can give simple reasons to justify a viewpoint on a familiar topic.</v>
      </c>
      <c r="J167" s="71" t="s">
        <v>2590</v>
      </c>
      <c r="L167" s="70" t="s">
        <v>395</v>
      </c>
      <c r="M167" s="70" t="s">
        <v>644</v>
      </c>
      <c r="N167" s="70" t="s">
        <v>645</v>
      </c>
      <c r="O167" s="70" t="s">
        <v>695</v>
      </c>
    </row>
    <row r="168" customFormat="false" ht="15" hidden="false" customHeight="true" outlineLevel="0" collapsed="false">
      <c r="A168" s="70"/>
      <c r="B168" s="70"/>
      <c r="C168" s="70"/>
      <c r="D168" s="70"/>
      <c r="E168" s="70"/>
      <c r="F168" s="70" t="s">
        <v>259</v>
      </c>
      <c r="G168" s="70" t="n">
        <f aca="false">COUNTIFS(Data!$B$2:$B$1833,$L168,Data!$C$2:$C$1833,$M168,Data!$D$2:$D$1833,$N168,Data!$E$2:$E$1833,$O168,Data!$F$2:$F$1833,$F168,Data!$H$2:$H$1833,1)</f>
        <v>3</v>
      </c>
      <c r="H168" s="70" t="n">
        <v>279</v>
      </c>
      <c r="I168" s="31" t="str">
        <f aca="false">INDEX(Data!$G$2:$G$1833,MATCH($H168,Data!$A$2:$A$1833,0))</f>
        <v>Can construct a chain of reasoned argument.</v>
      </c>
      <c r="J168" s="71" t="s">
        <v>2591</v>
      </c>
      <c r="L168" s="70" t="s">
        <v>395</v>
      </c>
      <c r="M168" s="70" t="s">
        <v>644</v>
      </c>
      <c r="N168" s="70" t="s">
        <v>645</v>
      </c>
      <c r="O168" s="70" t="s">
        <v>695</v>
      </c>
    </row>
    <row r="169" customFormat="false" ht="26.25" hidden="false" customHeight="true" outlineLevel="0" collapsed="false">
      <c r="A169" s="70"/>
      <c r="B169" s="70"/>
      <c r="C169" s="70"/>
      <c r="D169" s="70"/>
      <c r="E169" s="70"/>
      <c r="F169" s="70" t="s">
        <v>36</v>
      </c>
      <c r="G169" s="70" t="n">
        <f aca="false">COUNTIFS(Data!$B$2:$B$1833,$L169,Data!$C$2:$C$1833,$M169,Data!$D$2:$D$1833,$N169,Data!$E$2:$E$1833,$O169,Data!$F$2:$F$1833,$F169,Data!$H$2:$H$1833,1)</f>
        <v>1</v>
      </c>
      <c r="H169" s="70" t="n">
        <v>277</v>
      </c>
      <c r="I169" s="31" t="str">
        <f aca="false">INDEX(Data!$G$2:$G$1833,MATCH($H169,Data!$A$2:$A$1833,0))</f>
        <v>Can develop an argument systematically with appropriate highlighting of significant points, and relevant supporting detail.</v>
      </c>
      <c r="J169" s="71" t="s">
        <v>2592</v>
      </c>
      <c r="L169" s="70" t="s">
        <v>395</v>
      </c>
      <c r="M169" s="70" t="s">
        <v>644</v>
      </c>
      <c r="N169" s="70" t="s">
        <v>645</v>
      </c>
      <c r="O169" s="70" t="s">
        <v>695</v>
      </c>
    </row>
    <row r="170" customFormat="false" ht="26.25" hidden="false" customHeight="true" outlineLevel="0" collapsed="false">
      <c r="A170" s="70"/>
      <c r="B170" s="70"/>
      <c r="C170" s="70"/>
      <c r="D170" s="70"/>
      <c r="E170" s="70"/>
      <c r="F170" s="70" t="s">
        <v>74</v>
      </c>
      <c r="G170" s="70" t="n">
        <f aca="false">COUNTIFS(Data!$B$2:$B$1833,$L170,Data!$C$2:$C$1833,$M170,Data!$D$2:$D$1833,$N170,Data!$E$2:$E$1833,$O170,Data!$F$2:$F$1833,$F170,Data!$H$2:$H$1833,1)</f>
        <v>2</v>
      </c>
      <c r="H170" s="70" t="n">
        <v>275</v>
      </c>
      <c r="I170" s="31" t="str">
        <f aca="false">INDEX(Data!$G$2:$G$1833,MATCH($H170,Data!$A$2:$A$1833,0))</f>
        <v>Can argue a case on a complex issue, formulating points precisely and employing emphasis effectively.</v>
      </c>
      <c r="J170" s="71" t="s">
        <v>2593</v>
      </c>
      <c r="L170" s="70" t="s">
        <v>395</v>
      </c>
      <c r="M170" s="70" t="s">
        <v>644</v>
      </c>
      <c r="N170" s="70" t="s">
        <v>645</v>
      </c>
      <c r="O170" s="70" t="s">
        <v>695</v>
      </c>
    </row>
    <row r="171" customFormat="false" ht="15" hidden="false" customHeight="true" outlineLevel="0" collapsed="false">
      <c r="A171" s="70"/>
      <c r="B171" s="70"/>
      <c r="C171" s="70"/>
      <c r="D171" s="70"/>
      <c r="E171" s="70"/>
      <c r="F171" s="70" t="s">
        <v>331</v>
      </c>
      <c r="G171" s="70" t="n">
        <f aca="false">COUNTIFS(Data!$B$2:$B$1833,$L171,Data!$C$2:$C$1833,$M171,Data!$D$2:$D$1833,$N171,Data!$E$2:$E$1833,$O171,Data!$F$2:$F$1833,$F171,Data!$H$2:$H$1833,1)</f>
        <v>0</v>
      </c>
      <c r="H171" s="70" t="s">
        <v>624</v>
      </c>
      <c r="I171" s="31" t="s">
        <v>624</v>
      </c>
      <c r="J171" s="31" t="s">
        <v>624</v>
      </c>
      <c r="L171" s="70" t="s">
        <v>395</v>
      </c>
      <c r="M171" s="70" t="s">
        <v>644</v>
      </c>
      <c r="N171" s="70" t="s">
        <v>645</v>
      </c>
      <c r="O171" s="70" t="s">
        <v>695</v>
      </c>
    </row>
    <row r="172" customFormat="false" ht="15" hidden="false" customHeight="true" outlineLevel="0" collapsed="false">
      <c r="A172" s="73" t="str">
        <f aca="false">IFERROR(INDEX(対訳マスタ!$C$2:$C$136,MATCH($L172,対訳マスタ!$B$2:$B$136,0)),$L172)</f>
        <v>コミュニケーション言語活動</v>
      </c>
      <c r="B172" s="73" t="str">
        <f aca="false">IF($M172="—","—",IFERROR(INDEX(対訳マスタ!$C$2:$C$136,MATCH($M172,対訳マスタ!$B$2:$B$136,0)),$M172))</f>
        <v>産出</v>
      </c>
      <c r="C172" s="73" t="str">
        <f aca="false">IF($N172="—","—",IFERROR(INDEX(対訳マスタ!$C$2:$C$136,MATCH($N172,対訳マスタ!$B$2:$B$136,0)),$N172))</f>
        <v>口頭産出（話すこと）</v>
      </c>
      <c r="D172" s="73" t="str">
        <f aca="false">IFERROR(INDEX(対訳マスタ!$C$2:$C$136,MATCH($O172,対訳マスタ!$B$2:$B$136,0)),$O172)</f>
        <v>公共のアナウンス</v>
      </c>
      <c r="E172" s="73" t="s">
        <v>709</v>
      </c>
      <c r="F172" s="73" t="s">
        <v>86</v>
      </c>
      <c r="G172" s="73" t="n">
        <f aca="false">COUNTIFS(Data!$B$2:$B$1833,$L172,Data!$C$2:$C$1833,$M172,Data!$D$2:$D$1833,$N172,Data!$E$2:$E$1833,$O172,Data!$F$2:$F$1833,$F172,Data!$H$2:$H$1833,1)</f>
        <v>0</v>
      </c>
      <c r="H172" s="73" t="s">
        <v>624</v>
      </c>
      <c r="I172" s="74" t="s">
        <v>624</v>
      </c>
      <c r="J172" s="74" t="s">
        <v>624</v>
      </c>
      <c r="L172" s="70" t="s">
        <v>395</v>
      </c>
      <c r="M172" s="70" t="s">
        <v>644</v>
      </c>
      <c r="N172" s="70" t="s">
        <v>645</v>
      </c>
      <c r="O172" s="70" t="s">
        <v>709</v>
      </c>
    </row>
    <row r="173" customFormat="false" ht="15" hidden="false" customHeight="true" outlineLevel="0" collapsed="false">
      <c r="A173" s="75"/>
      <c r="B173" s="75"/>
      <c r="C173" s="75"/>
      <c r="D173" s="75"/>
      <c r="E173" s="75"/>
      <c r="F173" s="75" t="s">
        <v>101</v>
      </c>
      <c r="G173" s="75" t="n">
        <f aca="false">COUNTIFS(Data!$B$2:$B$1833,$L173,Data!$C$2:$C$1833,$M173,Data!$D$2:$D$1833,$N173,Data!$E$2:$E$1833,$O173,Data!$F$2:$F$1833,$F173,Data!$H$2:$H$1833,1)</f>
        <v>0</v>
      </c>
      <c r="H173" s="75" t="s">
        <v>624</v>
      </c>
      <c r="I173" s="76" t="s">
        <v>624</v>
      </c>
      <c r="J173" s="76" t="s">
        <v>624</v>
      </c>
      <c r="L173" s="70" t="s">
        <v>395</v>
      </c>
      <c r="M173" s="70" t="s">
        <v>644</v>
      </c>
      <c r="N173" s="70" t="s">
        <v>645</v>
      </c>
      <c r="O173" s="70" t="s">
        <v>709</v>
      </c>
    </row>
    <row r="174" customFormat="false" ht="26.25" hidden="false" customHeight="true" outlineLevel="0" collapsed="false">
      <c r="A174" s="75"/>
      <c r="B174" s="75"/>
      <c r="C174" s="75"/>
      <c r="D174" s="75"/>
      <c r="E174" s="75"/>
      <c r="F174" s="75" t="s">
        <v>13</v>
      </c>
      <c r="G174" s="75" t="n">
        <f aca="false">COUNTIFS(Data!$B$2:$B$1833,$L174,Data!$C$2:$C$1833,$M174,Data!$D$2:$D$1833,$N174,Data!$E$2:$E$1833,$O174,Data!$F$2:$F$1833,$F174,Data!$H$2:$H$1833,1)</f>
        <v>1</v>
      </c>
      <c r="H174" s="75" t="n">
        <v>294</v>
      </c>
      <c r="I174" s="76" t="str">
        <f aca="false">INDEX(Data!$G$2:$G$1833,MATCH($H174,Data!$A$2:$A$1833,0))</f>
        <v>Can deliver very short, rehearsed announcements of predictable, learnt content which are intelligible to recipients who are prepared to concentrate.</v>
      </c>
      <c r="J174" s="77" t="s">
        <v>2594</v>
      </c>
      <c r="L174" s="70" t="s">
        <v>395</v>
      </c>
      <c r="M174" s="70" t="s">
        <v>644</v>
      </c>
      <c r="N174" s="70" t="s">
        <v>645</v>
      </c>
      <c r="O174" s="70" t="s">
        <v>709</v>
      </c>
    </row>
    <row r="175" customFormat="false" ht="15" hidden="false" customHeight="true" outlineLevel="0" collapsed="false">
      <c r="A175" s="75"/>
      <c r="B175" s="75"/>
      <c r="C175" s="75"/>
      <c r="D175" s="75"/>
      <c r="E175" s="75"/>
      <c r="F175" s="75" t="s">
        <v>123</v>
      </c>
      <c r="G175" s="75" t="n">
        <f aca="false">COUNTIFS(Data!$B$2:$B$1833,$L175,Data!$C$2:$C$1833,$M175,Data!$D$2:$D$1833,$N175,Data!$E$2:$E$1833,$O175,Data!$F$2:$F$1833,$F175,Data!$H$2:$H$1833,1)</f>
        <v>0</v>
      </c>
      <c r="H175" s="75" t="s">
        <v>624</v>
      </c>
      <c r="I175" s="76" t="s">
        <v>624</v>
      </c>
      <c r="J175" s="76" t="s">
        <v>624</v>
      </c>
      <c r="L175" s="70" t="s">
        <v>395</v>
      </c>
      <c r="M175" s="70" t="s">
        <v>644</v>
      </c>
      <c r="N175" s="70" t="s">
        <v>645</v>
      </c>
      <c r="O175" s="70" t="s">
        <v>709</v>
      </c>
    </row>
    <row r="176" customFormat="false" ht="42.75" hidden="false" customHeight="true" outlineLevel="0" collapsed="false">
      <c r="A176" s="75"/>
      <c r="B176" s="75"/>
      <c r="C176" s="75"/>
      <c r="D176" s="75"/>
      <c r="E176" s="75"/>
      <c r="F176" s="75" t="s">
        <v>21</v>
      </c>
      <c r="G176" s="75" t="n">
        <f aca="false">COUNTIFS(Data!$B$2:$B$1833,$L176,Data!$C$2:$C$1833,$M176,Data!$D$2:$D$1833,$N176,Data!$E$2:$E$1833,$O176,Data!$F$2:$F$1833,$F176,Data!$H$2:$H$1833,1)</f>
        <v>1</v>
      </c>
      <c r="H176" s="75" t="n">
        <v>293</v>
      </c>
      <c r="I176" s="76" t="str">
        <f aca="false">INDEX(Data!$G$2:$G$1833,MATCH($H176,Data!$A$2:$A$1833,0))</f>
        <v>Can deliver short, rehearsed announcements on a topic pertinent to everyday occurrences in their field which, despite possible problems with stress and intonation (= non-manuals in a sign language), are nevertheless clearly intelligible.</v>
      </c>
      <c r="J176" s="77" t="s">
        <v>2595</v>
      </c>
      <c r="L176" s="70" t="s">
        <v>395</v>
      </c>
      <c r="M176" s="70" t="s">
        <v>644</v>
      </c>
      <c r="N176" s="70" t="s">
        <v>645</v>
      </c>
      <c r="O176" s="70" t="s">
        <v>709</v>
      </c>
    </row>
    <row r="177" customFormat="false" ht="15" hidden="false" customHeight="true" outlineLevel="0" collapsed="false">
      <c r="A177" s="75"/>
      <c r="B177" s="75"/>
      <c r="C177" s="75"/>
      <c r="D177" s="75"/>
      <c r="E177" s="75"/>
      <c r="F177" s="75" t="s">
        <v>52</v>
      </c>
      <c r="G177" s="75" t="n">
        <f aca="false">COUNTIFS(Data!$B$2:$B$1833,$L177,Data!$C$2:$C$1833,$M177,Data!$D$2:$D$1833,$N177,Data!$E$2:$E$1833,$O177,Data!$F$2:$F$1833,$F177,Data!$H$2:$H$1833,1)</f>
        <v>0</v>
      </c>
      <c r="H177" s="75" t="s">
        <v>624</v>
      </c>
      <c r="I177" s="76" t="s">
        <v>624</v>
      </c>
      <c r="J177" s="76" t="s">
        <v>624</v>
      </c>
      <c r="L177" s="70" t="s">
        <v>395</v>
      </c>
      <c r="M177" s="70" t="s">
        <v>644</v>
      </c>
      <c r="N177" s="70" t="s">
        <v>645</v>
      </c>
      <c r="O177" s="70" t="s">
        <v>709</v>
      </c>
    </row>
    <row r="178" customFormat="false" ht="32.25" hidden="false" customHeight="true" outlineLevel="0" collapsed="false">
      <c r="A178" s="75"/>
      <c r="B178" s="75"/>
      <c r="C178" s="75"/>
      <c r="D178" s="75"/>
      <c r="E178" s="75"/>
      <c r="F178" s="75" t="s">
        <v>259</v>
      </c>
      <c r="G178" s="75" t="n">
        <f aca="false">COUNTIFS(Data!$B$2:$B$1833,$L178,Data!$C$2:$C$1833,$M178,Data!$D$2:$D$1833,$N178,Data!$E$2:$E$1833,$O178,Data!$F$2:$F$1833,$F178,Data!$H$2:$H$1833,1)</f>
        <v>1</v>
      </c>
      <c r="H178" s="75" t="n">
        <v>292</v>
      </c>
      <c r="I178" s="76" t="str">
        <f aca="false">INDEX(Data!$G$2:$G$1833,MATCH($H178,Data!$A$2:$A$1833,0))</f>
        <v>Can deliver announcements on most general topics with a degree of clarity, fluency and spontaneity which causes no strain or inconvenience to the recipient.</v>
      </c>
      <c r="J178" s="77" t="s">
        <v>2596</v>
      </c>
      <c r="L178" s="70" t="s">
        <v>395</v>
      </c>
      <c r="M178" s="70" t="s">
        <v>644</v>
      </c>
      <c r="N178" s="70" t="s">
        <v>645</v>
      </c>
      <c r="O178" s="70" t="s">
        <v>709</v>
      </c>
    </row>
    <row r="179" customFormat="false" ht="15" hidden="false" customHeight="true" outlineLevel="0" collapsed="false">
      <c r="A179" s="75"/>
      <c r="B179" s="75"/>
      <c r="C179" s="75"/>
      <c r="D179" s="75"/>
      <c r="E179" s="75"/>
      <c r="F179" s="75" t="s">
        <v>36</v>
      </c>
      <c r="G179" s="75" t="n">
        <f aca="false">COUNTIFS(Data!$B$2:$B$1833,$L179,Data!$C$2:$C$1833,$M179,Data!$D$2:$D$1833,$N179,Data!$E$2:$E$1833,$O179,Data!$F$2:$F$1833,$F179,Data!$H$2:$H$1833,1)</f>
        <v>0</v>
      </c>
      <c r="H179" s="75" t="s">
        <v>624</v>
      </c>
      <c r="I179" s="76" t="s">
        <v>624</v>
      </c>
      <c r="J179" s="76" t="s">
        <v>624</v>
      </c>
      <c r="L179" s="70" t="s">
        <v>395</v>
      </c>
      <c r="M179" s="70" t="s">
        <v>644</v>
      </c>
      <c r="N179" s="70" t="s">
        <v>645</v>
      </c>
      <c r="O179" s="70" t="s">
        <v>709</v>
      </c>
    </row>
    <row r="180" customFormat="false" ht="26.25" hidden="false" customHeight="true" outlineLevel="0" collapsed="false">
      <c r="A180" s="75"/>
      <c r="B180" s="75"/>
      <c r="C180" s="75"/>
      <c r="D180" s="75"/>
      <c r="E180" s="75"/>
      <c r="F180" s="75" t="s">
        <v>74</v>
      </c>
      <c r="G180" s="75" t="n">
        <f aca="false">COUNTIFS(Data!$B$2:$B$1833,$L180,Data!$C$2:$C$1833,$M180,Data!$D$2:$D$1833,$N180,Data!$E$2:$E$1833,$O180,Data!$F$2:$F$1833,$F180,Data!$H$2:$H$1833,1)</f>
        <v>1</v>
      </c>
      <c r="H180" s="75" t="n">
        <v>291</v>
      </c>
      <c r="I180" s="76" t="str">
        <f aca="false">INDEX(Data!$G$2:$G$1833,MATCH($H180,Data!$A$2:$A$1833,0))</f>
        <v>Can deliver announcements fluently, almost effortlessly, using stress and intonation to convey finer shades of meaning precisely.</v>
      </c>
      <c r="J180" s="77" t="s">
        <v>2597</v>
      </c>
      <c r="L180" s="70" t="s">
        <v>395</v>
      </c>
      <c r="M180" s="70" t="s">
        <v>644</v>
      </c>
      <c r="N180" s="70" t="s">
        <v>645</v>
      </c>
      <c r="O180" s="70" t="s">
        <v>709</v>
      </c>
    </row>
    <row r="181" customFormat="false" ht="15" hidden="false" customHeight="true" outlineLevel="0" collapsed="false">
      <c r="A181" s="75"/>
      <c r="B181" s="75"/>
      <c r="C181" s="75"/>
      <c r="D181" s="75"/>
      <c r="E181" s="75"/>
      <c r="F181" s="75" t="s">
        <v>331</v>
      </c>
      <c r="G181" s="75" t="n">
        <f aca="false">COUNTIFS(Data!$B$2:$B$1833,$L181,Data!$C$2:$C$1833,$M181,Data!$D$2:$D$1833,$N181,Data!$E$2:$E$1833,$O181,Data!$F$2:$F$1833,$F181,Data!$H$2:$H$1833,1)</f>
        <v>0</v>
      </c>
      <c r="H181" s="75" t="s">
        <v>624</v>
      </c>
      <c r="I181" s="76" t="s">
        <v>624</v>
      </c>
      <c r="J181" s="76" t="s">
        <v>624</v>
      </c>
      <c r="L181" s="70" t="s">
        <v>395</v>
      </c>
      <c r="M181" s="70" t="s">
        <v>644</v>
      </c>
      <c r="N181" s="70" t="s">
        <v>645</v>
      </c>
      <c r="O181" s="70" t="s">
        <v>709</v>
      </c>
    </row>
    <row r="182" customFormat="false" ht="15" hidden="false" customHeight="true" outlineLevel="0" collapsed="false">
      <c r="A182" s="67" t="str">
        <f aca="false">IFERROR(INDEX(対訳マスタ!$C$2:$C$136,MATCH($L182,対訳マスタ!$B$2:$B$136,0)),$L182)</f>
        <v>コミュニケーション言語活動</v>
      </c>
      <c r="B182" s="67" t="str">
        <f aca="false">IF($M182="—","—",IFERROR(INDEX(対訳マスタ!$C$2:$C$136,MATCH($M182,対訳マスタ!$B$2:$B$136,0)),$M182))</f>
        <v>産出</v>
      </c>
      <c r="C182" s="67" t="str">
        <f aca="false">IF($N182="—","—",IFERROR(INDEX(対訳マスタ!$C$2:$C$136,MATCH($N182,対訳マスタ!$B$2:$B$136,0)),$N182))</f>
        <v>口頭産出（話すこと）</v>
      </c>
      <c r="D182" s="67" t="str">
        <f aca="false">IFERROR(INDEX(対訳マスタ!$C$2:$C$136,MATCH($O182,対訳マスタ!$B$2:$B$136,0)),$O182)</f>
        <v>聴衆への発表（スピーチ）</v>
      </c>
      <c r="E182" s="67" t="s">
        <v>714</v>
      </c>
      <c r="F182" s="67" t="s">
        <v>86</v>
      </c>
      <c r="G182" s="67" t="n">
        <f aca="false">COUNTIFS(Data!$B$2:$B$1833,$L182,Data!$C$2:$C$1833,$M182,Data!$D$2:$D$1833,$N182,Data!$E$2:$E$1833,$O182,Data!$F$2:$F$1833,$F182,Data!$H$2:$H$1833,1)</f>
        <v>0</v>
      </c>
      <c r="H182" s="67" t="s">
        <v>624</v>
      </c>
      <c r="I182" s="68" t="s">
        <v>624</v>
      </c>
      <c r="J182" s="68" t="s">
        <v>624</v>
      </c>
      <c r="L182" s="70" t="s">
        <v>395</v>
      </c>
      <c r="M182" s="70" t="s">
        <v>644</v>
      </c>
      <c r="N182" s="70" t="s">
        <v>645</v>
      </c>
      <c r="O182" s="70" t="s">
        <v>714</v>
      </c>
    </row>
    <row r="183" customFormat="false" ht="26.25" hidden="false" customHeight="true" outlineLevel="0" collapsed="false">
      <c r="A183" s="70"/>
      <c r="B183" s="70"/>
      <c r="C183" s="70"/>
      <c r="D183" s="70"/>
      <c r="E183" s="70"/>
      <c r="F183" s="70" t="s">
        <v>101</v>
      </c>
      <c r="G183" s="70" t="n">
        <f aca="false">COUNTIFS(Data!$B$2:$B$1833,$L183,Data!$C$2:$C$1833,$M183,Data!$D$2:$D$1833,$N183,Data!$E$2:$E$1833,$O183,Data!$F$2:$F$1833,$F183,Data!$H$2:$H$1833,1)</f>
        <v>1</v>
      </c>
      <c r="H183" s="70" t="n">
        <v>314</v>
      </c>
      <c r="I183" s="31" t="str">
        <f aca="false">INDEX(Data!$G$2:$G$1833,MATCH($H183,Data!$A$2:$A$1833,0))</f>
        <v>Can use a very short prepared text to deliver a rehearsed statement (e.g. to formally introduce someone, to propose a toast).</v>
      </c>
      <c r="J183" s="71" t="s">
        <v>2598</v>
      </c>
      <c r="L183" s="70" t="s">
        <v>395</v>
      </c>
      <c r="M183" s="70" t="s">
        <v>644</v>
      </c>
      <c r="N183" s="70" t="s">
        <v>645</v>
      </c>
      <c r="O183" s="70" t="s">
        <v>714</v>
      </c>
    </row>
    <row r="184" customFormat="false" ht="26.25" hidden="false" customHeight="true" outlineLevel="0" collapsed="false">
      <c r="A184" s="70"/>
      <c r="B184" s="70"/>
      <c r="C184" s="70"/>
      <c r="D184" s="70"/>
      <c r="E184" s="70"/>
      <c r="F184" s="70" t="s">
        <v>13</v>
      </c>
      <c r="G184" s="70" t="n">
        <f aca="false">COUNTIFS(Data!$B$2:$B$1833,$L184,Data!$C$2:$C$1833,$M184,Data!$D$2:$D$1833,$N184,Data!$E$2:$E$1833,$O184,Data!$F$2:$F$1833,$F184,Data!$H$2:$H$1833,1)</f>
        <v>2</v>
      </c>
      <c r="H184" s="70" t="n">
        <v>312</v>
      </c>
      <c r="I184" s="31" t="str">
        <f aca="false">INDEX(Data!$G$2:$G$1833,MATCH($H184,Data!$A$2:$A$1833,0))</f>
        <v>Can give a short, rehearsed, basic presentation on a familiar subject.</v>
      </c>
      <c r="J184" s="71" t="s">
        <v>2599</v>
      </c>
      <c r="L184" s="70" t="s">
        <v>395</v>
      </c>
      <c r="M184" s="70" t="s">
        <v>644</v>
      </c>
      <c r="N184" s="70" t="s">
        <v>645</v>
      </c>
      <c r="O184" s="70" t="s">
        <v>714</v>
      </c>
    </row>
    <row r="185" customFormat="false" ht="15" hidden="false" customHeight="true" outlineLevel="0" collapsed="false">
      <c r="A185" s="70"/>
      <c r="B185" s="70"/>
      <c r="C185" s="70"/>
      <c r="D185" s="70"/>
      <c r="E185" s="70"/>
      <c r="F185" s="70" t="s">
        <v>123</v>
      </c>
      <c r="G185" s="70" t="n">
        <f aca="false">COUNTIFS(Data!$B$2:$B$1833,$L185,Data!$C$2:$C$1833,$M185,Data!$D$2:$D$1833,$N185,Data!$E$2:$E$1833,$O185,Data!$F$2:$F$1833,$F185,Data!$H$2:$H$1833,1)</f>
        <v>2</v>
      </c>
      <c r="H185" s="70" t="n">
        <v>311</v>
      </c>
      <c r="I185" s="31" t="str">
        <f aca="false">INDEX(Data!$G$2:$G$1833,MATCH($H185,Data!$A$2:$A$1833,0))</f>
        <v>Can cope with a limited number of straightforward follow-up questions.</v>
      </c>
      <c r="J185" s="71" t="s">
        <v>2600</v>
      </c>
      <c r="L185" s="70" t="s">
        <v>395</v>
      </c>
      <c r="M185" s="70" t="s">
        <v>644</v>
      </c>
      <c r="N185" s="70" t="s">
        <v>645</v>
      </c>
      <c r="O185" s="70" t="s">
        <v>714</v>
      </c>
    </row>
    <row r="186" customFormat="false" ht="21.75" hidden="false" customHeight="true" outlineLevel="0" collapsed="false">
      <c r="A186" s="70"/>
      <c r="B186" s="70"/>
      <c r="C186" s="70"/>
      <c r="D186" s="70"/>
      <c r="E186" s="70"/>
      <c r="F186" s="70" t="s">
        <v>21</v>
      </c>
      <c r="G186" s="70" t="n">
        <f aca="false">COUNTIFS(Data!$B$2:$B$1833,$L186,Data!$C$2:$C$1833,$M186,Data!$D$2:$D$1833,$N186,Data!$E$2:$E$1833,$O186,Data!$F$2:$F$1833,$F186,Data!$H$2:$H$1833,1)</f>
        <v>2</v>
      </c>
      <c r="H186" s="70" t="n">
        <v>309</v>
      </c>
      <c r="I186" s="31" t="str">
        <f aca="false">INDEX(Data!$G$2:$G$1833,MATCH($H186,Data!$A$2:$A$1833,0))</f>
        <v>Can take follow-up questions, but may have to ask for repetition if the delivery is rapid.</v>
      </c>
      <c r="J186" s="71" t="s">
        <v>2601</v>
      </c>
      <c r="L186" s="70" t="s">
        <v>395</v>
      </c>
      <c r="M186" s="70" t="s">
        <v>644</v>
      </c>
      <c r="N186" s="70" t="s">
        <v>645</v>
      </c>
      <c r="O186" s="70" t="s">
        <v>714</v>
      </c>
    </row>
    <row r="187" customFormat="false" ht="26.25" hidden="false" customHeight="true" outlineLevel="0" collapsed="false">
      <c r="A187" s="70"/>
      <c r="B187" s="70"/>
      <c r="C187" s="70"/>
      <c r="D187" s="70"/>
      <c r="E187" s="70"/>
      <c r="F187" s="70" t="s">
        <v>52</v>
      </c>
      <c r="G187" s="70" t="n">
        <f aca="false">COUNTIFS(Data!$B$2:$B$1833,$L187,Data!$C$2:$C$1833,$M187,Data!$D$2:$D$1833,$N187,Data!$E$2:$E$1833,$O187,Data!$F$2:$F$1833,$F187,Data!$H$2:$H$1833,1)</f>
        <v>1</v>
      </c>
      <c r="H187" s="70" t="n">
        <v>307</v>
      </c>
      <c r="I187" s="31" t="str">
        <f aca="false">INDEX(Data!$G$2:$G$1833,MATCH($H187,Data!$A$2:$A$1833,0))</f>
        <v>Can give a prepared presentation on a familiar topic within their field, outlining similarities and differences (e.g. between products, countries/regions, plans).</v>
      </c>
      <c r="J187" s="71" t="s">
        <v>2602</v>
      </c>
      <c r="L187" s="70" t="s">
        <v>395</v>
      </c>
      <c r="M187" s="70" t="s">
        <v>644</v>
      </c>
      <c r="N187" s="70" t="s">
        <v>645</v>
      </c>
      <c r="O187" s="70" t="s">
        <v>714</v>
      </c>
    </row>
    <row r="188" customFormat="false" ht="26.25" hidden="false" customHeight="true" outlineLevel="0" collapsed="false">
      <c r="A188" s="70"/>
      <c r="B188" s="70"/>
      <c r="C188" s="70"/>
      <c r="D188" s="70"/>
      <c r="E188" s="70"/>
      <c r="F188" s="70" t="s">
        <v>259</v>
      </c>
      <c r="G188" s="70" t="n">
        <f aca="false">COUNTIFS(Data!$B$2:$B$1833,$L188,Data!$C$2:$C$1833,$M188,Data!$D$2:$D$1833,$N188,Data!$E$2:$E$1833,$O188,Data!$F$2:$F$1833,$F188,Data!$H$2:$H$1833,1)</f>
        <v>2</v>
      </c>
      <c r="H188" s="70" t="n">
        <v>306</v>
      </c>
      <c r="I188" s="31" t="str">
        <f aca="false">INDEX(Data!$G$2:$G$1833,MATCH($H188,Data!$A$2:$A$1833,0))</f>
        <v>Can take a series of follow-up questions with a degree of fluency and spontaneity which poses no strain for either themselves or the audience.</v>
      </c>
      <c r="J188" s="71" t="s">
        <v>2603</v>
      </c>
      <c r="L188" s="70" t="s">
        <v>395</v>
      </c>
      <c r="M188" s="70" t="s">
        <v>644</v>
      </c>
      <c r="N188" s="70" t="s">
        <v>645</v>
      </c>
      <c r="O188" s="70" t="s">
        <v>714</v>
      </c>
    </row>
    <row r="189" customFormat="false" ht="26.25" hidden="false" customHeight="true" outlineLevel="0" collapsed="false">
      <c r="A189" s="70"/>
      <c r="B189" s="70"/>
      <c r="C189" s="70"/>
      <c r="D189" s="70"/>
      <c r="E189" s="70"/>
      <c r="F189" s="70" t="s">
        <v>36</v>
      </c>
      <c r="G189" s="70" t="n">
        <f aca="false">COUNTIFS(Data!$B$2:$B$1833,$L189,Data!$C$2:$C$1833,$M189,Data!$D$2:$D$1833,$N189,Data!$E$2:$E$1833,$O189,Data!$F$2:$F$1833,$F189,Data!$H$2:$H$1833,1)</f>
        <v>2</v>
      </c>
      <c r="H189" s="70" t="n">
        <v>303</v>
      </c>
      <c r="I189" s="31" t="str">
        <f aca="false">INDEX(Data!$G$2:$G$1833,MATCH($H189,Data!$A$2:$A$1833,0))</f>
        <v>Can give a clear, systematically developed presentation, with highlighting of significant points, and relevant supporting detail.</v>
      </c>
      <c r="J189" s="71" t="s">
        <v>2604</v>
      </c>
      <c r="L189" s="70" t="s">
        <v>395</v>
      </c>
      <c r="M189" s="70" t="s">
        <v>644</v>
      </c>
      <c r="N189" s="70" t="s">
        <v>645</v>
      </c>
      <c r="O189" s="70" t="s">
        <v>714</v>
      </c>
    </row>
    <row r="190" customFormat="false" ht="21.75" hidden="false" customHeight="true" outlineLevel="0" collapsed="false">
      <c r="A190" s="70"/>
      <c r="B190" s="70"/>
      <c r="C190" s="70"/>
      <c r="D190" s="70"/>
      <c r="E190" s="70"/>
      <c r="F190" s="70" t="s">
        <v>74</v>
      </c>
      <c r="G190" s="70" t="n">
        <f aca="false">COUNTIFS(Data!$B$2:$B$1833,$L190,Data!$C$2:$C$1833,$M190,Data!$D$2:$D$1833,$N190,Data!$E$2:$E$1833,$O190,Data!$F$2:$F$1833,$F190,Data!$H$2:$H$1833,1)</f>
        <v>4</v>
      </c>
      <c r="H190" s="70" t="n">
        <v>302</v>
      </c>
      <c r="I190" s="31" t="str">
        <f aca="false">INDEX(Data!$G$2:$G$1833,MATCH($H190,Data!$A$2:$A$1833,0))</f>
        <v>Can handle interjections well, responding spontaneously and almost effortlessly.</v>
      </c>
      <c r="J190" s="71" t="s">
        <v>2605</v>
      </c>
      <c r="L190" s="70" t="s">
        <v>395</v>
      </c>
      <c r="M190" s="70" t="s">
        <v>644</v>
      </c>
      <c r="N190" s="70" t="s">
        <v>645</v>
      </c>
      <c r="O190" s="70" t="s">
        <v>714</v>
      </c>
    </row>
    <row r="191" customFormat="false" ht="15" hidden="false" customHeight="true" outlineLevel="0" collapsed="false">
      <c r="A191" s="70"/>
      <c r="B191" s="70"/>
      <c r="C191" s="70"/>
      <c r="D191" s="70"/>
      <c r="E191" s="70"/>
      <c r="F191" s="70" t="s">
        <v>331</v>
      </c>
      <c r="G191" s="70" t="n">
        <f aca="false">COUNTIFS(Data!$B$2:$B$1833,$L191,Data!$C$2:$C$1833,$M191,Data!$D$2:$D$1833,$N191,Data!$E$2:$E$1833,$O191,Data!$F$2:$F$1833,$F191,Data!$H$2:$H$1833,1)</f>
        <v>2</v>
      </c>
      <c r="H191" s="70" t="n">
        <v>298</v>
      </c>
      <c r="I191" s="31" t="str">
        <f aca="false">INDEX(Data!$G$2:$G$1833,MATCH($H191,Data!$A$2:$A$1833,0))</f>
        <v>Can handle difficult and even hostile questioning.</v>
      </c>
      <c r="J191" s="71" t="s">
        <v>2606</v>
      </c>
      <c r="L191" s="70" t="s">
        <v>395</v>
      </c>
      <c r="M191" s="70" t="s">
        <v>644</v>
      </c>
      <c r="N191" s="70" t="s">
        <v>645</v>
      </c>
      <c r="O191" s="70" t="s">
        <v>714</v>
      </c>
    </row>
    <row r="192" customFormat="false" ht="26.25" hidden="false" customHeight="true" outlineLevel="0" collapsed="false">
      <c r="A192" s="73" t="str">
        <f aca="false">IFERROR(INDEX(対訳マスタ!$C$2:$C$136,MATCH($L192,対訳マスタ!$B$2:$B$136,0)),$L192)</f>
        <v>コミュニケーション言語活動</v>
      </c>
      <c r="B192" s="73" t="str">
        <f aca="false">IF($M192="—","—",IFERROR(INDEX(対訳マスタ!$C$2:$C$136,MATCH($M192,対訳マスタ!$B$2:$B$136,0)),$M192))</f>
        <v>産出</v>
      </c>
      <c r="C192" s="73" t="str">
        <f aca="false">IF($N192="—","—",IFERROR(INDEX(対訳マスタ!$C$2:$C$136,MATCH($N192,対訳マスタ!$B$2:$B$136,0)),$N192))</f>
        <v>記述産出（書くこと）</v>
      </c>
      <c r="D192" s="73" t="str">
        <f aca="false">IFERROR(INDEX(対訳マスタ!$C$2:$C$136,MATCH($O192,対訳マスタ!$B$2:$B$136,0)),$O192)</f>
        <v>記述産出（総合）</v>
      </c>
      <c r="E192" s="73" t="s">
        <v>734</v>
      </c>
      <c r="F192" s="73" t="s">
        <v>86</v>
      </c>
      <c r="G192" s="73" t="n">
        <f aca="false">COUNTIFS(Data!$B$2:$B$1833,$L192,Data!$C$2:$C$1833,$M192,Data!$D$2:$D$1833,$N192,Data!$E$2:$E$1833,$O192,Data!$F$2:$F$1833,$F192,Data!$H$2:$H$1833,1)</f>
        <v>1</v>
      </c>
      <c r="H192" s="73" t="n">
        <v>324</v>
      </c>
      <c r="I192" s="74" t="str">
        <f aca="false">INDEX(Data!$G$2:$G$1833,MATCH($H192,Data!$A$2:$A$1833,0))</f>
        <v>Can give basic personal information (e.g. name, address, nationality), perhaps with the use of a dictionary.</v>
      </c>
      <c r="J192" s="78" t="s">
        <v>2607</v>
      </c>
      <c r="L192" s="70" t="s">
        <v>395</v>
      </c>
      <c r="M192" s="70" t="s">
        <v>644</v>
      </c>
      <c r="N192" s="70" t="s">
        <v>733</v>
      </c>
      <c r="O192" s="70" t="s">
        <v>734</v>
      </c>
    </row>
    <row r="193" customFormat="false" ht="15" hidden="false" customHeight="true" outlineLevel="0" collapsed="false">
      <c r="A193" s="75"/>
      <c r="B193" s="75"/>
      <c r="C193" s="75"/>
      <c r="D193" s="75"/>
      <c r="E193" s="75"/>
      <c r="F193" s="75" t="s">
        <v>101</v>
      </c>
      <c r="G193" s="75" t="n">
        <f aca="false">COUNTIFS(Data!$B$2:$B$1833,$L193,Data!$C$2:$C$1833,$M193,Data!$D$2:$D$1833,$N193,Data!$E$2:$E$1833,$O193,Data!$F$2:$F$1833,$F193,Data!$H$2:$H$1833,1)</f>
        <v>2</v>
      </c>
      <c r="H193" s="75" t="n">
        <v>323</v>
      </c>
      <c r="I193" s="76" t="str">
        <f aca="false">INDEX(Data!$G$2:$G$1833,MATCH($H193,Data!$A$2:$A$1833,0))</f>
        <v>Can produce simple isolated phrases and sentences.</v>
      </c>
      <c r="J193" s="77" t="s">
        <v>2608</v>
      </c>
      <c r="L193" s="70" t="s">
        <v>395</v>
      </c>
      <c r="M193" s="70" t="s">
        <v>644</v>
      </c>
      <c r="N193" s="70" t="s">
        <v>733</v>
      </c>
      <c r="O193" s="70" t="s">
        <v>734</v>
      </c>
    </row>
    <row r="194" customFormat="false" ht="26.25" hidden="false" customHeight="true" outlineLevel="0" collapsed="false">
      <c r="A194" s="75"/>
      <c r="B194" s="75"/>
      <c r="C194" s="75"/>
      <c r="D194" s="75"/>
      <c r="E194" s="75"/>
      <c r="F194" s="75" t="s">
        <v>13</v>
      </c>
      <c r="G194" s="75" t="n">
        <f aca="false">COUNTIFS(Data!$B$2:$B$1833,$L194,Data!$C$2:$C$1833,$M194,Data!$D$2:$D$1833,$N194,Data!$E$2:$E$1833,$O194,Data!$F$2:$F$1833,$F194,Data!$H$2:$H$1833,1)</f>
        <v>1</v>
      </c>
      <c r="H194" s="75" t="n">
        <v>321</v>
      </c>
      <c r="I194" s="76" t="str">
        <f aca="false">INDEX(Data!$G$2:$G$1833,MATCH($H194,Data!$A$2:$A$1833,0))</f>
        <v>Can produce a series of simple phrases and sentences linked with simple connectors like “and”, “but” and “because”.</v>
      </c>
      <c r="J194" s="77" t="s">
        <v>2609</v>
      </c>
      <c r="L194" s="70" t="s">
        <v>395</v>
      </c>
      <c r="M194" s="70" t="s">
        <v>644</v>
      </c>
      <c r="N194" s="70" t="s">
        <v>733</v>
      </c>
      <c r="O194" s="70" t="s">
        <v>734</v>
      </c>
    </row>
    <row r="195" customFormat="false" ht="15" hidden="false" customHeight="true" outlineLevel="0" collapsed="false">
      <c r="A195" s="75"/>
      <c r="B195" s="75"/>
      <c r="C195" s="75"/>
      <c r="D195" s="75"/>
      <c r="E195" s="75"/>
      <c r="F195" s="75" t="s">
        <v>123</v>
      </c>
      <c r="G195" s="75" t="n">
        <f aca="false">COUNTIFS(Data!$B$2:$B$1833,$L195,Data!$C$2:$C$1833,$M195,Data!$D$2:$D$1833,$N195,Data!$E$2:$E$1833,$O195,Data!$F$2:$F$1833,$F195,Data!$H$2:$H$1833,1)</f>
        <v>0</v>
      </c>
      <c r="H195" s="75" t="s">
        <v>624</v>
      </c>
      <c r="I195" s="76" t="s">
        <v>624</v>
      </c>
      <c r="J195" s="76" t="s">
        <v>624</v>
      </c>
      <c r="L195" s="70" t="s">
        <v>395</v>
      </c>
      <c r="M195" s="70" t="s">
        <v>644</v>
      </c>
      <c r="N195" s="70" t="s">
        <v>733</v>
      </c>
      <c r="O195" s="70" t="s">
        <v>734</v>
      </c>
    </row>
    <row r="196" customFormat="false" ht="32.25" hidden="false" customHeight="true" outlineLevel="0" collapsed="false">
      <c r="A196" s="75"/>
      <c r="B196" s="75"/>
      <c r="C196" s="75"/>
      <c r="D196" s="75"/>
      <c r="E196" s="75"/>
      <c r="F196" s="75" t="s">
        <v>21</v>
      </c>
      <c r="G196" s="75" t="n">
        <f aca="false">COUNTIFS(Data!$B$2:$B$1833,$L196,Data!$C$2:$C$1833,$M196,Data!$D$2:$D$1833,$N196,Data!$E$2:$E$1833,$O196,Data!$F$2:$F$1833,$F196,Data!$H$2:$H$1833,1)</f>
        <v>1</v>
      </c>
      <c r="H196" s="75" t="n">
        <v>320</v>
      </c>
      <c r="I196" s="76" t="str">
        <f aca="false">INDEX(Data!$G$2:$G$1833,MATCH($H196,Data!$A$2:$A$1833,0))</f>
        <v>Can produce straightforward connected texts on a range of familiar subjects within their field of interest, by linking a series of shorter discrete elements into a linear sequence.</v>
      </c>
      <c r="J196" s="77" t="s">
        <v>2610</v>
      </c>
      <c r="L196" s="70" t="s">
        <v>395</v>
      </c>
      <c r="M196" s="70" t="s">
        <v>644</v>
      </c>
      <c r="N196" s="70" t="s">
        <v>733</v>
      </c>
      <c r="O196" s="70" t="s">
        <v>734</v>
      </c>
    </row>
    <row r="197" customFormat="false" ht="15" hidden="false" customHeight="true" outlineLevel="0" collapsed="false">
      <c r="A197" s="75"/>
      <c r="B197" s="75"/>
      <c r="C197" s="75"/>
      <c r="D197" s="75"/>
      <c r="E197" s="75"/>
      <c r="F197" s="75" t="s">
        <v>52</v>
      </c>
      <c r="G197" s="75" t="n">
        <f aca="false">COUNTIFS(Data!$B$2:$B$1833,$L197,Data!$C$2:$C$1833,$M197,Data!$D$2:$D$1833,$N197,Data!$E$2:$E$1833,$O197,Data!$F$2:$F$1833,$F197,Data!$H$2:$H$1833,1)</f>
        <v>0</v>
      </c>
      <c r="H197" s="75" t="s">
        <v>624</v>
      </c>
      <c r="I197" s="76" t="s">
        <v>624</v>
      </c>
      <c r="J197" s="76" t="s">
        <v>624</v>
      </c>
      <c r="L197" s="70" t="s">
        <v>395</v>
      </c>
      <c r="M197" s="70" t="s">
        <v>644</v>
      </c>
      <c r="N197" s="70" t="s">
        <v>733</v>
      </c>
      <c r="O197" s="70" t="s">
        <v>734</v>
      </c>
    </row>
    <row r="198" customFormat="false" ht="32.25" hidden="false" customHeight="true" outlineLevel="0" collapsed="false">
      <c r="A198" s="75"/>
      <c r="B198" s="75"/>
      <c r="C198" s="75"/>
      <c r="D198" s="75"/>
      <c r="E198" s="75"/>
      <c r="F198" s="75" t="s">
        <v>259</v>
      </c>
      <c r="G198" s="75" t="n">
        <f aca="false">COUNTIFS(Data!$B$2:$B$1833,$L198,Data!$C$2:$C$1833,$M198,Data!$D$2:$D$1833,$N198,Data!$E$2:$E$1833,$O198,Data!$F$2:$F$1833,$F198,Data!$H$2:$H$1833,1)</f>
        <v>1</v>
      </c>
      <c r="H198" s="75" t="n">
        <v>319</v>
      </c>
      <c r="I198" s="76" t="str">
        <f aca="false">INDEX(Data!$G$2:$G$1833,MATCH($H198,Data!$A$2:$A$1833,0))</f>
        <v>Can produce clear, detailed texts on a variety of subjects related to their field of interest, synthesising and evaluating information and arguments from a number of sources.</v>
      </c>
      <c r="J198" s="77" t="s">
        <v>2611</v>
      </c>
      <c r="L198" s="70" t="s">
        <v>395</v>
      </c>
      <c r="M198" s="70" t="s">
        <v>644</v>
      </c>
      <c r="N198" s="70" t="s">
        <v>733</v>
      </c>
      <c r="O198" s="70" t="s">
        <v>734</v>
      </c>
    </row>
    <row r="199" customFormat="false" ht="15" hidden="false" customHeight="true" outlineLevel="0" collapsed="false">
      <c r="A199" s="75"/>
      <c r="B199" s="75"/>
      <c r="C199" s="75"/>
      <c r="D199" s="75"/>
      <c r="E199" s="75"/>
      <c r="F199" s="75" t="s">
        <v>36</v>
      </c>
      <c r="G199" s="75" t="n">
        <f aca="false">COUNTIFS(Data!$B$2:$B$1833,$L199,Data!$C$2:$C$1833,$M199,Data!$D$2:$D$1833,$N199,Data!$E$2:$E$1833,$O199,Data!$F$2:$F$1833,$F199,Data!$H$2:$H$1833,1)</f>
        <v>0</v>
      </c>
      <c r="H199" s="75" t="s">
        <v>624</v>
      </c>
      <c r="I199" s="76" t="s">
        <v>624</v>
      </c>
      <c r="J199" s="76" t="s">
        <v>624</v>
      </c>
      <c r="L199" s="70" t="s">
        <v>395</v>
      </c>
      <c r="M199" s="70" t="s">
        <v>644</v>
      </c>
      <c r="N199" s="70" t="s">
        <v>733</v>
      </c>
      <c r="O199" s="70" t="s">
        <v>734</v>
      </c>
    </row>
    <row r="200" customFormat="false" ht="26.25" hidden="false" customHeight="true" outlineLevel="0" collapsed="false">
      <c r="A200" s="75"/>
      <c r="B200" s="75"/>
      <c r="C200" s="75"/>
      <c r="D200" s="75"/>
      <c r="E200" s="75"/>
      <c r="F200" s="75" t="s">
        <v>74</v>
      </c>
      <c r="G200" s="75" t="n">
        <f aca="false">COUNTIFS(Data!$B$2:$B$1833,$L200,Data!$C$2:$C$1833,$M200,Data!$D$2:$D$1833,$N200,Data!$E$2:$E$1833,$O200,Data!$F$2:$F$1833,$F200,Data!$H$2:$H$1833,1)</f>
        <v>2</v>
      </c>
      <c r="H200" s="75" t="n">
        <v>318</v>
      </c>
      <c r="I200" s="76" t="str">
        <f aca="false">INDEX(Data!$G$2:$G$1833,MATCH($H200,Data!$A$2:$A$1833,0))</f>
        <v>Can employ the structure and conventions of a variety of genres, varying the tone, style and register according to addressee, text type and theme.</v>
      </c>
      <c r="J200" s="77" t="s">
        <v>2612</v>
      </c>
      <c r="L200" s="70" t="s">
        <v>395</v>
      </c>
      <c r="M200" s="70" t="s">
        <v>644</v>
      </c>
      <c r="N200" s="70" t="s">
        <v>733</v>
      </c>
      <c r="O200" s="70" t="s">
        <v>734</v>
      </c>
    </row>
    <row r="201" customFormat="false" ht="32.25" hidden="false" customHeight="true" outlineLevel="0" collapsed="false">
      <c r="A201" s="75"/>
      <c r="B201" s="75"/>
      <c r="C201" s="75"/>
      <c r="D201" s="75"/>
      <c r="E201" s="75"/>
      <c r="F201" s="75" t="s">
        <v>331</v>
      </c>
      <c r="G201" s="75" t="n">
        <f aca="false">COUNTIFS(Data!$B$2:$B$1833,$L201,Data!$C$2:$C$1833,$M201,Data!$D$2:$D$1833,$N201,Data!$E$2:$E$1833,$O201,Data!$F$2:$F$1833,$F201,Data!$H$2:$H$1833,1)</f>
        <v>1</v>
      </c>
      <c r="H201" s="75" t="n">
        <v>316</v>
      </c>
      <c r="I201" s="76" t="str">
        <f aca="false">INDEX(Data!$G$2:$G$1833,MATCH($H201,Data!$A$2:$A$1833,0))</f>
        <v>Can produce clear, smoothly flowing, complex texts in an appropriate and effective style and a logical structure which helps the reader identify significant points.</v>
      </c>
      <c r="J201" s="77" t="s">
        <v>2613</v>
      </c>
      <c r="L201" s="70" t="s">
        <v>395</v>
      </c>
      <c r="M201" s="70" t="s">
        <v>644</v>
      </c>
      <c r="N201" s="70" t="s">
        <v>733</v>
      </c>
      <c r="O201" s="70" t="s">
        <v>734</v>
      </c>
    </row>
    <row r="202" customFormat="false" ht="15" hidden="false" customHeight="true" outlineLevel="0" collapsed="false">
      <c r="A202" s="67" t="str">
        <f aca="false">IFERROR(INDEX(対訳マスタ!$C$2:$C$136,MATCH($L202,対訳マスタ!$B$2:$B$136,0)),$L202)</f>
        <v>コミュニケーション言語活動</v>
      </c>
      <c r="B202" s="67" t="str">
        <f aca="false">IF($M202="—","—",IFERROR(INDEX(対訳マスタ!$C$2:$C$136,MATCH($M202,対訳マスタ!$B$2:$B$136,0)),$M202))</f>
        <v>産出</v>
      </c>
      <c r="C202" s="67" t="str">
        <f aca="false">IF($N202="—","—",IFERROR(INDEX(対訳マスタ!$C$2:$C$136,MATCH($N202,対訳マスタ!$B$2:$B$136,0)),$N202))</f>
        <v>記述産出（書くこと）</v>
      </c>
      <c r="D202" s="67" t="str">
        <f aca="false">IFERROR(INDEX(対訳マスタ!$C$2:$C$136,MATCH($O202,対訳マスタ!$B$2:$B$136,0)),$O202)</f>
        <v>創作の文章</v>
      </c>
      <c r="E202" s="67" t="s">
        <v>744</v>
      </c>
      <c r="F202" s="67" t="s">
        <v>86</v>
      </c>
      <c r="G202" s="67" t="n">
        <f aca="false">COUNTIFS(Data!$B$2:$B$1833,$L202,Data!$C$2:$C$1833,$M202,Data!$D$2:$D$1833,$N202,Data!$E$2:$E$1833,$O202,Data!$F$2:$F$1833,$F202,Data!$H$2:$H$1833,1)</f>
        <v>0</v>
      </c>
      <c r="H202" s="67" t="s">
        <v>624</v>
      </c>
      <c r="I202" s="68" t="s">
        <v>624</v>
      </c>
      <c r="J202" s="68" t="s">
        <v>624</v>
      </c>
      <c r="L202" s="70" t="s">
        <v>395</v>
      </c>
      <c r="M202" s="70" t="s">
        <v>644</v>
      </c>
      <c r="N202" s="70" t="s">
        <v>733</v>
      </c>
      <c r="O202" s="70" t="s">
        <v>744</v>
      </c>
    </row>
    <row r="203" customFormat="false" ht="15" hidden="false" customHeight="true" outlineLevel="0" collapsed="false">
      <c r="A203" s="70"/>
      <c r="B203" s="70"/>
      <c r="C203" s="70"/>
      <c r="D203" s="70"/>
      <c r="E203" s="70"/>
      <c r="F203" s="70" t="s">
        <v>101</v>
      </c>
      <c r="G203" s="70" t="n">
        <f aca="false">COUNTIFS(Data!$B$2:$B$1833,$L203,Data!$C$2:$C$1833,$M203,Data!$D$2:$D$1833,$N203,Data!$E$2:$E$1833,$O203,Data!$F$2:$F$1833,$F203,Data!$H$2:$H$1833,1)</f>
        <v>3</v>
      </c>
      <c r="H203" s="70" t="n">
        <v>347</v>
      </c>
      <c r="I203" s="31" t="str">
        <f aca="false">INDEX(Data!$G$2:$G$1833,MATCH($H203,Data!$A$2:$A$1833,0))</f>
        <v>Can describe in very simple language what a room looks like.</v>
      </c>
      <c r="J203" s="71" t="s">
        <v>2614</v>
      </c>
      <c r="L203" s="70" t="s">
        <v>395</v>
      </c>
      <c r="M203" s="70" t="s">
        <v>644</v>
      </c>
      <c r="N203" s="70" t="s">
        <v>733</v>
      </c>
      <c r="O203" s="70" t="s">
        <v>744</v>
      </c>
    </row>
    <row r="204" customFormat="false" ht="21.75" hidden="false" customHeight="true" outlineLevel="0" collapsed="false">
      <c r="A204" s="70"/>
      <c r="B204" s="70"/>
      <c r="C204" s="70"/>
      <c r="D204" s="70"/>
      <c r="E204" s="70"/>
      <c r="F204" s="70" t="s">
        <v>13</v>
      </c>
      <c r="G204" s="70" t="n">
        <f aca="false">COUNTIFS(Data!$B$2:$B$1833,$L204,Data!$C$2:$C$1833,$M204,Data!$D$2:$D$1833,$N204,Data!$E$2:$E$1833,$O204,Data!$F$2:$F$1833,$F204,Data!$H$2:$H$1833,1)</f>
        <v>4</v>
      </c>
      <c r="H204" s="70" t="n">
        <v>343</v>
      </c>
      <c r="I204" s="31" t="str">
        <f aca="false">INDEX(Data!$G$2:$G$1833,MATCH($H204,Data!$A$2:$A$1833,0))</f>
        <v>Can create short, simple imaginary biographies and simple poems about people.</v>
      </c>
      <c r="J204" s="71" t="s">
        <v>2615</v>
      </c>
      <c r="L204" s="70" t="s">
        <v>395</v>
      </c>
      <c r="M204" s="70" t="s">
        <v>644</v>
      </c>
      <c r="N204" s="70" t="s">
        <v>733</v>
      </c>
      <c r="O204" s="70" t="s">
        <v>744</v>
      </c>
    </row>
    <row r="205" customFormat="false" ht="26.25" hidden="false" customHeight="true" outlineLevel="0" collapsed="false">
      <c r="A205" s="70"/>
      <c r="B205" s="70"/>
      <c r="C205" s="70"/>
      <c r="D205" s="70"/>
      <c r="E205" s="70"/>
      <c r="F205" s="70" t="s">
        <v>123</v>
      </c>
      <c r="G205" s="70" t="n">
        <f aca="false">COUNTIFS(Data!$B$2:$B$1833,$L205,Data!$C$2:$C$1833,$M205,Data!$D$2:$D$1833,$N205,Data!$E$2:$E$1833,$O205,Data!$F$2:$F$1833,$F205,Data!$H$2:$H$1833,1)</f>
        <v>3</v>
      </c>
      <c r="H205" s="70" t="n">
        <v>340</v>
      </c>
      <c r="I205" s="31" t="str">
        <f aca="false">INDEX(Data!$G$2:$G$1833,MATCH($H205,Data!$A$2:$A$1833,0))</f>
        <v>Can give very short, basic descriptions of events, past activities and personal experiences.</v>
      </c>
      <c r="J205" s="71" t="s">
        <v>2616</v>
      </c>
      <c r="L205" s="70" t="s">
        <v>395</v>
      </c>
      <c r="M205" s="70" t="s">
        <v>644</v>
      </c>
      <c r="N205" s="70" t="s">
        <v>733</v>
      </c>
      <c r="O205" s="70" t="s">
        <v>744</v>
      </c>
    </row>
    <row r="206" customFormat="false" ht="15" hidden="false" customHeight="true" outlineLevel="0" collapsed="false">
      <c r="A206" s="70"/>
      <c r="B206" s="70"/>
      <c r="C206" s="70"/>
      <c r="D206" s="70"/>
      <c r="E206" s="70"/>
      <c r="F206" s="70" t="s">
        <v>21</v>
      </c>
      <c r="G206" s="70" t="n">
        <f aca="false">COUNTIFS(Data!$B$2:$B$1833,$L206,Data!$C$2:$C$1833,$M206,Data!$D$2:$D$1833,$N206,Data!$E$2:$E$1833,$O206,Data!$F$2:$F$1833,$F206,Data!$H$2:$H$1833,1)</f>
        <v>4</v>
      </c>
      <c r="H206" s="70" t="n">
        <v>338</v>
      </c>
      <c r="I206" s="31" t="str">
        <f aca="false">INDEX(Data!$G$2:$G$1833,MATCH($H206,Data!$A$2:$A$1833,0))</f>
        <v>Can narrate a story.</v>
      </c>
      <c r="J206" s="71" t="s">
        <v>2617</v>
      </c>
      <c r="L206" s="70" t="s">
        <v>395</v>
      </c>
      <c r="M206" s="70" t="s">
        <v>644</v>
      </c>
      <c r="N206" s="70" t="s">
        <v>733</v>
      </c>
      <c r="O206" s="70" t="s">
        <v>744</v>
      </c>
    </row>
    <row r="207" customFormat="false" ht="15" hidden="false" customHeight="true" outlineLevel="0" collapsed="false">
      <c r="A207" s="70"/>
      <c r="B207" s="70"/>
      <c r="C207" s="70"/>
      <c r="D207" s="70"/>
      <c r="E207" s="70"/>
      <c r="F207" s="70" t="s">
        <v>52</v>
      </c>
      <c r="G207" s="70" t="n">
        <f aca="false">COUNTIFS(Data!$B$2:$B$1833,$L207,Data!$C$2:$C$1833,$M207,Data!$D$2:$D$1833,$N207,Data!$E$2:$E$1833,$O207,Data!$F$2:$F$1833,$F207,Data!$H$2:$H$1833,1)</f>
        <v>2</v>
      </c>
      <c r="H207" s="70" t="n">
        <v>333</v>
      </c>
      <c r="I207" s="31" t="str">
        <f aca="false">INDEX(Data!$G$2:$G$1833,MATCH($H207,Data!$A$2:$A$1833,0))</f>
        <v>Can clearly signal chronological sequence in narrative text.</v>
      </c>
      <c r="J207" s="71" t="s">
        <v>2618</v>
      </c>
      <c r="L207" s="70" t="s">
        <v>395</v>
      </c>
      <c r="M207" s="70" t="s">
        <v>644</v>
      </c>
      <c r="N207" s="70" t="s">
        <v>733</v>
      </c>
      <c r="O207" s="70" t="s">
        <v>744</v>
      </c>
    </row>
    <row r="208" customFormat="false" ht="15" hidden="false" customHeight="true" outlineLevel="0" collapsed="false">
      <c r="A208" s="70"/>
      <c r="B208" s="70"/>
      <c r="C208" s="70"/>
      <c r="D208" s="70"/>
      <c r="E208" s="70"/>
      <c r="F208" s="70" t="s">
        <v>259</v>
      </c>
      <c r="G208" s="70" t="n">
        <f aca="false">COUNTIFS(Data!$B$2:$B$1833,$L208,Data!$C$2:$C$1833,$M208,Data!$D$2:$D$1833,$N208,Data!$E$2:$E$1833,$O208,Data!$F$2:$F$1833,$F208,Data!$H$2:$H$1833,1)</f>
        <v>2</v>
      </c>
      <c r="H208" s="70" t="n">
        <v>332</v>
      </c>
      <c r="I208" s="31" t="str">
        <f aca="false">INDEX(Data!$G$2:$G$1833,MATCH($H208,Data!$A$2:$A$1833,0))</f>
        <v>Can give a review of a film, book or play.</v>
      </c>
      <c r="J208" s="71" t="s">
        <v>2619</v>
      </c>
      <c r="L208" s="70" t="s">
        <v>395</v>
      </c>
      <c r="M208" s="70" t="s">
        <v>644</v>
      </c>
      <c r="N208" s="70" t="s">
        <v>733</v>
      </c>
      <c r="O208" s="70" t="s">
        <v>744</v>
      </c>
    </row>
    <row r="209" customFormat="false" ht="39" hidden="false" customHeight="true" outlineLevel="0" collapsed="false">
      <c r="A209" s="70"/>
      <c r="B209" s="70"/>
      <c r="C209" s="70"/>
      <c r="D209" s="70"/>
      <c r="E209" s="70"/>
      <c r="F209" s="70" t="s">
        <v>36</v>
      </c>
      <c r="G209" s="70" t="n">
        <f aca="false">COUNTIFS(Data!$B$2:$B$1833,$L209,Data!$C$2:$C$1833,$M209,Data!$D$2:$D$1833,$N209,Data!$E$2:$E$1833,$O209,Data!$F$2:$F$1833,$F209,Data!$H$2:$H$1833,1)</f>
        <v>1</v>
      </c>
      <c r="H209" s="70" t="n">
        <v>330</v>
      </c>
      <c r="I209" s="31" t="str">
        <f aca="false">INDEX(Data!$G$2:$G$1833,MATCH($H209,Data!$A$2:$A$1833,0))</f>
        <v>Can give clear, detailed descriptions of real or imaginary events and experiences marking the relationship between ideas in clear connected text, and following established conventions of the genre concerned.</v>
      </c>
      <c r="J209" s="71" t="s">
        <v>2620</v>
      </c>
      <c r="L209" s="70" t="s">
        <v>395</v>
      </c>
      <c r="M209" s="70" t="s">
        <v>644</v>
      </c>
      <c r="N209" s="70" t="s">
        <v>733</v>
      </c>
      <c r="O209" s="70" t="s">
        <v>744</v>
      </c>
    </row>
    <row r="210" customFormat="false" ht="26.25" hidden="false" customHeight="true" outlineLevel="0" collapsed="false">
      <c r="A210" s="70"/>
      <c r="B210" s="70"/>
      <c r="C210" s="70"/>
      <c r="D210" s="70"/>
      <c r="E210" s="70"/>
      <c r="F210" s="70" t="s">
        <v>74</v>
      </c>
      <c r="G210" s="70" t="n">
        <f aca="false">COUNTIFS(Data!$B$2:$B$1833,$L210,Data!$C$2:$C$1833,$M210,Data!$D$2:$D$1833,$N210,Data!$E$2:$E$1833,$O210,Data!$F$2:$F$1833,$F210,Data!$H$2:$H$1833,1)</f>
        <v>3</v>
      </c>
      <c r="H210" s="70" t="n">
        <v>328</v>
      </c>
      <c r="I210" s="31" t="str">
        <f aca="false">INDEX(Data!$G$2:$G$1833,MATCH($H210,Data!$A$2:$A$1833,0))</f>
        <v>Can incorporate idiom and humour, though use of the latter is not always appropriate.</v>
      </c>
      <c r="J210" s="71" t="s">
        <v>2621</v>
      </c>
      <c r="L210" s="70" t="s">
        <v>395</v>
      </c>
      <c r="M210" s="70" t="s">
        <v>644</v>
      </c>
      <c r="N210" s="70" t="s">
        <v>733</v>
      </c>
      <c r="O210" s="70" t="s">
        <v>744</v>
      </c>
    </row>
    <row r="211" customFormat="false" ht="15" hidden="false" customHeight="true" outlineLevel="0" collapsed="false">
      <c r="A211" s="70"/>
      <c r="B211" s="70"/>
      <c r="C211" s="70"/>
      <c r="D211" s="70"/>
      <c r="E211" s="70"/>
      <c r="F211" s="70" t="s">
        <v>331</v>
      </c>
      <c r="G211" s="70" t="n">
        <f aca="false">COUNTIFS(Data!$B$2:$B$1833,$L211,Data!$C$2:$C$1833,$M211,Data!$D$2:$D$1833,$N211,Data!$E$2:$E$1833,$O211,Data!$F$2:$F$1833,$F211,Data!$H$2:$H$1833,1)</f>
        <v>2</v>
      </c>
      <c r="H211" s="70" t="n">
        <v>326</v>
      </c>
      <c r="I211" s="31" t="str">
        <f aca="false">INDEX(Data!$G$2:$G$1833,MATCH($H211,Data!$A$2:$A$1833,0))</f>
        <v>Can exploit idiom and humour appropriately to enhance the impact of the text.</v>
      </c>
      <c r="J211" s="71" t="s">
        <v>2622</v>
      </c>
      <c r="L211" s="70" t="s">
        <v>395</v>
      </c>
      <c r="M211" s="70" t="s">
        <v>644</v>
      </c>
      <c r="N211" s="70" t="s">
        <v>733</v>
      </c>
      <c r="O211" s="70" t="s">
        <v>744</v>
      </c>
    </row>
    <row r="212" customFormat="false" ht="15" hidden="false" customHeight="true" outlineLevel="0" collapsed="false">
      <c r="A212" s="73" t="str">
        <f aca="false">IFERROR(INDEX(対訳マスタ!$C$2:$C$136,MATCH($L212,対訳マスタ!$B$2:$B$136,0)),$L212)</f>
        <v>コミュニケーション言語活動</v>
      </c>
      <c r="B212" s="73" t="str">
        <f aca="false">IF($M212="—","—",IFERROR(INDEX(対訳マスタ!$C$2:$C$136,MATCH($M212,対訳マスタ!$B$2:$B$136,0)),$M212))</f>
        <v>産出</v>
      </c>
      <c r="C212" s="73" t="str">
        <f aca="false">IF($N212="—","—",IFERROR(INDEX(対訳マスタ!$C$2:$C$136,MATCH($N212,対訳マスタ!$B$2:$B$136,0)),$N212))</f>
        <v>記述産出（書くこと）</v>
      </c>
      <c r="D212" s="73" t="str">
        <f aca="false">IFERROR(INDEX(対訳マスタ!$C$2:$C$136,MATCH($O212,対訳マスタ!$B$2:$B$136,0)),$O212)</f>
        <v>レポート・小論文</v>
      </c>
      <c r="E212" s="73" t="s">
        <v>768</v>
      </c>
      <c r="F212" s="73" t="s">
        <v>86</v>
      </c>
      <c r="G212" s="73" t="n">
        <f aca="false">COUNTIFS(Data!$B$2:$B$1833,$L212,Data!$C$2:$C$1833,$M212,Data!$D$2:$D$1833,$N212,Data!$E$2:$E$1833,$O212,Data!$F$2:$F$1833,$F212,Data!$H$2:$H$1833,1)</f>
        <v>0</v>
      </c>
      <c r="H212" s="73" t="s">
        <v>624</v>
      </c>
      <c r="I212" s="74" t="s">
        <v>624</v>
      </c>
      <c r="J212" s="74" t="s">
        <v>624</v>
      </c>
      <c r="L212" s="70" t="s">
        <v>395</v>
      </c>
      <c r="M212" s="70" t="s">
        <v>644</v>
      </c>
      <c r="N212" s="70" t="s">
        <v>733</v>
      </c>
      <c r="O212" s="70" t="s">
        <v>768</v>
      </c>
    </row>
    <row r="213" customFormat="false" ht="15" hidden="false" customHeight="true" outlineLevel="0" collapsed="false">
      <c r="A213" s="75"/>
      <c r="B213" s="75"/>
      <c r="C213" s="75"/>
      <c r="D213" s="75"/>
      <c r="E213" s="75"/>
      <c r="F213" s="75" t="s">
        <v>101</v>
      </c>
      <c r="G213" s="75" t="n">
        <f aca="false">COUNTIFS(Data!$B$2:$B$1833,$L213,Data!$C$2:$C$1833,$M213,Data!$D$2:$D$1833,$N213,Data!$E$2:$E$1833,$O213,Data!$F$2:$F$1833,$F213,Data!$H$2:$H$1833,1)</f>
        <v>0</v>
      </c>
      <c r="H213" s="75" t="s">
        <v>624</v>
      </c>
      <c r="I213" s="76" t="s">
        <v>624</v>
      </c>
      <c r="J213" s="76" t="s">
        <v>624</v>
      </c>
      <c r="L213" s="70" t="s">
        <v>395</v>
      </c>
      <c r="M213" s="70" t="s">
        <v>644</v>
      </c>
      <c r="N213" s="70" t="s">
        <v>733</v>
      </c>
      <c r="O213" s="70" t="s">
        <v>768</v>
      </c>
    </row>
    <row r="214" customFormat="false" ht="26.25" hidden="false" customHeight="true" outlineLevel="0" collapsed="false">
      <c r="A214" s="75"/>
      <c r="B214" s="75"/>
      <c r="C214" s="75"/>
      <c r="D214" s="75"/>
      <c r="E214" s="75"/>
      <c r="F214" s="75" t="s">
        <v>13</v>
      </c>
      <c r="G214" s="75" t="n">
        <f aca="false">COUNTIFS(Data!$B$2:$B$1833,$L214,Data!$C$2:$C$1833,$M214,Data!$D$2:$D$1833,$N214,Data!$E$2:$E$1833,$O214,Data!$F$2:$F$1833,$F214,Data!$H$2:$H$1833,1)</f>
        <v>2</v>
      </c>
      <c r="H214" s="75" t="n">
        <v>366</v>
      </c>
      <c r="I214" s="76" t="str">
        <f aca="false">INDEX(Data!$G$2:$G$1833,MATCH($H214,Data!$A$2:$A$1833,0))</f>
        <v>Can produce simple texts on familiar subjects of interest, linking sentences with connectors like “and”, “because” or “then”.</v>
      </c>
      <c r="J214" s="77" t="s">
        <v>2623</v>
      </c>
      <c r="L214" s="70" t="s">
        <v>395</v>
      </c>
      <c r="M214" s="70" t="s">
        <v>644</v>
      </c>
      <c r="N214" s="70" t="s">
        <v>733</v>
      </c>
      <c r="O214" s="70" t="s">
        <v>768</v>
      </c>
    </row>
    <row r="215" customFormat="false" ht="15" hidden="false" customHeight="true" outlineLevel="0" collapsed="false">
      <c r="A215" s="75"/>
      <c r="B215" s="75"/>
      <c r="C215" s="75"/>
      <c r="D215" s="75"/>
      <c r="E215" s="75"/>
      <c r="F215" s="75" t="s">
        <v>123</v>
      </c>
      <c r="G215" s="75" t="n">
        <f aca="false">COUNTIFS(Data!$B$2:$B$1833,$L215,Data!$C$2:$C$1833,$M215,Data!$D$2:$D$1833,$N215,Data!$E$2:$E$1833,$O215,Data!$F$2:$F$1833,$F215,Data!$H$2:$H$1833,1)</f>
        <v>0</v>
      </c>
      <c r="H215" s="75" t="s">
        <v>624</v>
      </c>
      <c r="I215" s="76" t="s">
        <v>624</v>
      </c>
      <c r="J215" s="76" t="s">
        <v>624</v>
      </c>
      <c r="L215" s="70" t="s">
        <v>395</v>
      </c>
      <c r="M215" s="70" t="s">
        <v>644</v>
      </c>
      <c r="N215" s="70" t="s">
        <v>733</v>
      </c>
      <c r="O215" s="70" t="s">
        <v>768</v>
      </c>
    </row>
    <row r="216" customFormat="false" ht="26.25" hidden="false" customHeight="true" outlineLevel="0" collapsed="false">
      <c r="A216" s="75"/>
      <c r="B216" s="75"/>
      <c r="C216" s="75"/>
      <c r="D216" s="75"/>
      <c r="E216" s="75"/>
      <c r="F216" s="75" t="s">
        <v>21</v>
      </c>
      <c r="G216" s="75" t="n">
        <f aca="false">COUNTIFS(Data!$B$2:$B$1833,$L216,Data!$C$2:$C$1833,$M216,Data!$D$2:$D$1833,$N216,Data!$E$2:$E$1833,$O216,Data!$F$2:$F$1833,$F216,Data!$H$2:$H$1833,1)</f>
        <v>2</v>
      </c>
      <c r="H216" s="75" t="n">
        <v>365</v>
      </c>
      <c r="I216" s="76" t="str">
        <f aca="false">INDEX(Data!$G$2:$G$1833,MATCH($H216,Data!$A$2:$A$1833,0))</f>
        <v>Can present a topic in a short report or poster, using photographs and short blocks of text.</v>
      </c>
      <c r="J216" s="77" t="s">
        <v>2624</v>
      </c>
      <c r="L216" s="70" t="s">
        <v>395</v>
      </c>
      <c r="M216" s="70" t="s">
        <v>644</v>
      </c>
      <c r="N216" s="70" t="s">
        <v>733</v>
      </c>
      <c r="O216" s="70" t="s">
        <v>768</v>
      </c>
    </row>
    <row r="217" customFormat="false" ht="15" hidden="false" customHeight="true" outlineLevel="0" collapsed="false">
      <c r="A217" s="75"/>
      <c r="B217" s="75"/>
      <c r="C217" s="75"/>
      <c r="D217" s="75"/>
      <c r="E217" s="75"/>
      <c r="F217" s="75" t="s">
        <v>52</v>
      </c>
      <c r="G217" s="75" t="n">
        <f aca="false">COUNTIFS(Data!$B$2:$B$1833,$L217,Data!$C$2:$C$1833,$M217,Data!$D$2:$D$1833,$N217,Data!$E$2:$E$1833,$O217,Data!$F$2:$F$1833,$F217,Data!$H$2:$H$1833,1)</f>
        <v>3</v>
      </c>
      <c r="H217" s="75" t="n">
        <v>361</v>
      </c>
      <c r="I217" s="76" t="str">
        <f aca="false">INDEX(Data!$G$2:$G$1833,MATCH($H217,Data!$A$2:$A$1833,0))</f>
        <v>Can produce short, simple essays on topics of interest.</v>
      </c>
      <c r="J217" s="77" t="s">
        <v>2625</v>
      </c>
      <c r="L217" s="70" t="s">
        <v>395</v>
      </c>
      <c r="M217" s="70" t="s">
        <v>644</v>
      </c>
      <c r="N217" s="70" t="s">
        <v>733</v>
      </c>
      <c r="O217" s="70" t="s">
        <v>768</v>
      </c>
    </row>
    <row r="218" customFormat="false" ht="15" hidden="false" customHeight="true" outlineLevel="0" collapsed="false">
      <c r="A218" s="75"/>
      <c r="B218" s="75"/>
      <c r="C218" s="75"/>
      <c r="D218" s="75"/>
      <c r="E218" s="75"/>
      <c r="F218" s="75" t="s">
        <v>259</v>
      </c>
      <c r="G218" s="75" t="n">
        <f aca="false">COUNTIFS(Data!$B$2:$B$1833,$L218,Data!$C$2:$C$1833,$M218,Data!$D$2:$D$1833,$N218,Data!$E$2:$E$1833,$O218,Data!$F$2:$F$1833,$F218,Data!$H$2:$H$1833,1)</f>
        <v>2</v>
      </c>
      <c r="H218" s="75" t="n">
        <v>360</v>
      </c>
      <c r="I218" s="76" t="str">
        <f aca="false">INDEX(Data!$G$2:$G$1833,MATCH($H218,Data!$A$2:$A$1833,0))</f>
        <v>Can synthesise information and arguments from a number of sources.</v>
      </c>
      <c r="J218" s="77" t="s">
        <v>2626</v>
      </c>
      <c r="L218" s="70" t="s">
        <v>395</v>
      </c>
      <c r="M218" s="70" t="s">
        <v>644</v>
      </c>
      <c r="N218" s="70" t="s">
        <v>733</v>
      </c>
      <c r="O218" s="70" t="s">
        <v>768</v>
      </c>
    </row>
    <row r="219" customFormat="false" ht="15" hidden="false" customHeight="true" outlineLevel="0" collapsed="false">
      <c r="A219" s="75"/>
      <c r="B219" s="75"/>
      <c r="C219" s="75"/>
      <c r="D219" s="75"/>
      <c r="E219" s="75"/>
      <c r="F219" s="75" t="s">
        <v>36</v>
      </c>
      <c r="G219" s="75" t="n">
        <f aca="false">COUNTIFS(Data!$B$2:$B$1833,$L219,Data!$C$2:$C$1833,$M219,Data!$D$2:$D$1833,$N219,Data!$E$2:$E$1833,$O219,Data!$F$2:$F$1833,$F219,Data!$H$2:$H$1833,1)</f>
        <v>3</v>
      </c>
      <c r="H219" s="75" t="n">
        <v>358</v>
      </c>
      <c r="I219" s="76" t="str">
        <f aca="false">INDEX(Data!$G$2:$G$1833,MATCH($H219,Data!$A$2:$A$1833,0))</f>
        <v>Can evaluate different ideas or solutions to a problem.</v>
      </c>
      <c r="J219" s="77" t="s">
        <v>2627</v>
      </c>
      <c r="L219" s="70" t="s">
        <v>395</v>
      </c>
      <c r="M219" s="70" t="s">
        <v>644</v>
      </c>
      <c r="N219" s="70" t="s">
        <v>733</v>
      </c>
      <c r="O219" s="70" t="s">
        <v>768</v>
      </c>
    </row>
    <row r="220" customFormat="false" ht="26.25" hidden="false" customHeight="true" outlineLevel="0" collapsed="false">
      <c r="A220" s="75"/>
      <c r="B220" s="75"/>
      <c r="C220" s="75"/>
      <c r="D220" s="75"/>
      <c r="E220" s="75"/>
      <c r="F220" s="75" t="s">
        <v>74</v>
      </c>
      <c r="G220" s="75" t="n">
        <f aca="false">COUNTIFS(Data!$B$2:$B$1833,$L220,Data!$C$2:$C$1833,$M220,Data!$D$2:$D$1833,$N220,Data!$E$2:$E$1833,$O220,Data!$F$2:$F$1833,$F220,Data!$H$2:$H$1833,1)</f>
        <v>3</v>
      </c>
      <c r="H220" s="75" t="n">
        <v>354</v>
      </c>
      <c r="I220" s="76" t="str">
        <f aca="false">INDEX(Data!$G$2:$G$1833,MATCH($H220,Data!$A$2:$A$1833,0))</f>
        <v>Can expand and support points of view at some length with subsidiary points, reasons and relevant examples.</v>
      </c>
      <c r="J220" s="77" t="s">
        <v>2628</v>
      </c>
      <c r="L220" s="70" t="s">
        <v>395</v>
      </c>
      <c r="M220" s="70" t="s">
        <v>644</v>
      </c>
      <c r="N220" s="70" t="s">
        <v>733</v>
      </c>
      <c r="O220" s="70" t="s">
        <v>768</v>
      </c>
    </row>
    <row r="221" customFormat="false" ht="21.75" hidden="false" customHeight="true" outlineLevel="0" collapsed="false">
      <c r="A221" s="75"/>
      <c r="B221" s="75"/>
      <c r="C221" s="75"/>
      <c r="D221" s="75"/>
      <c r="E221" s="75"/>
      <c r="F221" s="75" t="s">
        <v>331</v>
      </c>
      <c r="G221" s="75" t="n">
        <f aca="false">COUNTIFS(Data!$B$2:$B$1833,$L221,Data!$C$2:$C$1833,$M221,Data!$D$2:$D$1833,$N221,Data!$E$2:$E$1833,$O221,Data!$F$2:$F$1833,$F221,Data!$H$2:$H$1833,1)</f>
        <v>3</v>
      </c>
      <c r="H221" s="75" t="n">
        <v>351</v>
      </c>
      <c r="I221" s="76" t="str">
        <f aca="false">INDEX(Data!$G$2:$G$1833,MATCH($H221,Data!$A$2:$A$1833,0))</f>
        <v>Can provide an appropriate and effective logical structure which helps the reader identify significant points.</v>
      </c>
      <c r="J221" s="77" t="s">
        <v>2629</v>
      </c>
      <c r="L221" s="70" t="s">
        <v>395</v>
      </c>
      <c r="M221" s="70" t="s">
        <v>644</v>
      </c>
      <c r="N221" s="70" t="s">
        <v>733</v>
      </c>
      <c r="O221" s="70" t="s">
        <v>768</v>
      </c>
    </row>
    <row r="222" customFormat="false" ht="15" hidden="false" customHeight="true" outlineLevel="0" collapsed="false">
      <c r="A222" s="67" t="str">
        <f aca="false">IFERROR(INDEX(対訳マスタ!$C$2:$C$136,MATCH($L222,対訳マスタ!$B$2:$B$136,0)),$L222)</f>
        <v>コミュニケーション言語方略</v>
      </c>
      <c r="B222" s="67" t="str">
        <f aca="false">IF($M222="—","—",IFERROR(INDEX(対訳マスタ!$C$2:$C$136,MATCH($M222,対訳マスタ!$B$2:$B$136,0)),$M222))</f>
        <v>産出</v>
      </c>
      <c r="C222" s="67" t="str">
        <f aca="false">IF($N222="—","—",IFERROR(INDEX(対訳マスタ!$C$2:$C$136,MATCH($N222,対訳マスタ!$B$2:$B$136,0)),$N222))</f>
        <v>—</v>
      </c>
      <c r="D222" s="67" t="str">
        <f aca="false">IFERROR(INDEX(対訳マスタ!$C$2:$C$136,MATCH($O222,対訳マスタ!$B$2:$B$136,0)),$O222)</f>
        <v>計画（発話の設計）</v>
      </c>
      <c r="E222" s="67" t="s">
        <v>787</v>
      </c>
      <c r="F222" s="67" t="s">
        <v>86</v>
      </c>
      <c r="G222" s="67" t="n">
        <f aca="false">COUNTIFS(Data!$B$2:$B$1833,$L222,Data!$C$2:$C$1833,$M222,Data!$D$2:$D$1833,$N222,Data!$E$2:$E$1833,$O222,Data!$F$2:$F$1833,$F222,Data!$H$2:$H$1833,1)</f>
        <v>0</v>
      </c>
      <c r="H222" s="67" t="s">
        <v>624</v>
      </c>
      <c r="I222" s="68" t="s">
        <v>624</v>
      </c>
      <c r="J222" s="68" t="s">
        <v>624</v>
      </c>
      <c r="L222" s="70" t="s">
        <v>396</v>
      </c>
      <c r="M222" s="70" t="s">
        <v>644</v>
      </c>
      <c r="N222" s="70" t="s">
        <v>624</v>
      </c>
      <c r="O222" s="70" t="s">
        <v>787</v>
      </c>
    </row>
    <row r="223" customFormat="false" ht="15" hidden="false" customHeight="true" outlineLevel="0" collapsed="false">
      <c r="A223" s="70"/>
      <c r="B223" s="70"/>
      <c r="C223" s="70"/>
      <c r="D223" s="70"/>
      <c r="E223" s="70"/>
      <c r="F223" s="70" t="s">
        <v>101</v>
      </c>
      <c r="G223" s="70" t="n">
        <f aca="false">COUNTIFS(Data!$B$2:$B$1833,$L223,Data!$C$2:$C$1833,$M223,Data!$D$2:$D$1833,$N223,Data!$E$2:$E$1833,$O223,Data!$F$2:$F$1833,$F223,Data!$H$2:$H$1833,1)</f>
        <v>0</v>
      </c>
      <c r="H223" s="70" t="s">
        <v>624</v>
      </c>
      <c r="I223" s="31" t="s">
        <v>624</v>
      </c>
      <c r="J223" s="31" t="s">
        <v>624</v>
      </c>
      <c r="L223" s="70" t="s">
        <v>396</v>
      </c>
      <c r="M223" s="70" t="s">
        <v>644</v>
      </c>
      <c r="N223" s="70" t="s">
        <v>624</v>
      </c>
      <c r="O223" s="70" t="s">
        <v>787</v>
      </c>
    </row>
    <row r="224" customFormat="false" ht="15" hidden="false" customHeight="true" outlineLevel="0" collapsed="false">
      <c r="A224" s="70"/>
      <c r="B224" s="70"/>
      <c r="C224" s="70"/>
      <c r="D224" s="70"/>
      <c r="E224" s="70"/>
      <c r="F224" s="70" t="s">
        <v>13</v>
      </c>
      <c r="G224" s="70" t="n">
        <f aca="false">COUNTIFS(Data!$B$2:$B$1833,$L224,Data!$C$2:$C$1833,$M224,Data!$D$2:$D$1833,$N224,Data!$E$2:$E$1833,$O224,Data!$F$2:$F$1833,$F224,Data!$H$2:$H$1833,1)</f>
        <v>1</v>
      </c>
      <c r="H224" s="70" t="n">
        <v>376</v>
      </c>
      <c r="I224" s="31" t="str">
        <f aca="false">INDEX(Data!$G$2:$G$1833,MATCH($H224,Data!$A$2:$A$1833,0))</f>
        <v>Can recall and rehearse an appropriate set of phrases from their repertoire.</v>
      </c>
      <c r="J224" s="71" t="s">
        <v>2630</v>
      </c>
      <c r="L224" s="70" t="s">
        <v>396</v>
      </c>
      <c r="M224" s="70" t="s">
        <v>644</v>
      </c>
      <c r="N224" s="70" t="s">
        <v>624</v>
      </c>
      <c r="O224" s="70" t="s">
        <v>787</v>
      </c>
    </row>
    <row r="225" customFormat="false" ht="15" hidden="false" customHeight="true" outlineLevel="0" collapsed="false">
      <c r="A225" s="70"/>
      <c r="B225" s="70"/>
      <c r="C225" s="70"/>
      <c r="D225" s="70"/>
      <c r="E225" s="70"/>
      <c r="F225" s="70" t="s">
        <v>123</v>
      </c>
      <c r="G225" s="70" t="n">
        <f aca="false">COUNTIFS(Data!$B$2:$B$1833,$L225,Data!$C$2:$C$1833,$M225,Data!$D$2:$D$1833,$N225,Data!$E$2:$E$1833,$O225,Data!$F$2:$F$1833,$F225,Data!$H$2:$H$1833,1)</f>
        <v>0</v>
      </c>
      <c r="H225" s="70" t="s">
        <v>624</v>
      </c>
      <c r="I225" s="31" t="s">
        <v>624</v>
      </c>
      <c r="J225" s="31" t="s">
        <v>624</v>
      </c>
      <c r="L225" s="70" t="s">
        <v>396</v>
      </c>
      <c r="M225" s="70" t="s">
        <v>644</v>
      </c>
      <c r="N225" s="70" t="s">
        <v>624</v>
      </c>
      <c r="O225" s="70" t="s">
        <v>787</v>
      </c>
    </row>
    <row r="226" customFormat="false" ht="32.25" hidden="false" customHeight="true" outlineLevel="0" collapsed="false">
      <c r="A226" s="70"/>
      <c r="B226" s="70"/>
      <c r="C226" s="70"/>
      <c r="D226" s="70"/>
      <c r="E226" s="70"/>
      <c r="F226" s="70" t="s">
        <v>21</v>
      </c>
      <c r="G226" s="70" t="n">
        <f aca="false">COUNTIFS(Data!$B$2:$B$1833,$L226,Data!$C$2:$C$1833,$M226,Data!$D$2:$D$1833,$N226,Data!$E$2:$E$1833,$O226,Data!$F$2:$F$1833,$F226,Data!$H$2:$H$1833,1)</f>
        <v>1</v>
      </c>
      <c r="H226" s="70" t="n">
        <v>375</v>
      </c>
      <c r="I226" s="31" t="str">
        <f aca="false">INDEX(Data!$G$2:$G$1833,MATCH($H226,Data!$A$2:$A$1833,0))</f>
        <v>Can work out how to communicate the main point(s) they want to get across, exploiting any resources available and limiting the message to what they can recall or find the means to express.</v>
      </c>
      <c r="J226" s="71" t="s">
        <v>2631</v>
      </c>
      <c r="L226" s="70" t="s">
        <v>396</v>
      </c>
      <c r="M226" s="70" t="s">
        <v>644</v>
      </c>
      <c r="N226" s="70" t="s">
        <v>624</v>
      </c>
      <c r="O226" s="70" t="s">
        <v>787</v>
      </c>
    </row>
    <row r="227" customFormat="false" ht="21.75" hidden="false" customHeight="true" outlineLevel="0" collapsed="false">
      <c r="A227" s="70"/>
      <c r="B227" s="70"/>
      <c r="C227" s="70"/>
      <c r="D227" s="70"/>
      <c r="E227" s="70"/>
      <c r="F227" s="70" t="s">
        <v>52</v>
      </c>
      <c r="G227" s="70" t="n">
        <f aca="false">COUNTIFS(Data!$B$2:$B$1833,$L227,Data!$C$2:$C$1833,$M227,Data!$D$2:$D$1833,$N227,Data!$E$2:$E$1833,$O227,Data!$F$2:$F$1833,$F227,Data!$H$2:$H$1833,1)</f>
        <v>1</v>
      </c>
      <c r="H227" s="70" t="n">
        <v>374</v>
      </c>
      <c r="I227" s="31" t="str">
        <f aca="false">INDEX(Data!$G$2:$G$1833,MATCH($H227,Data!$A$2:$A$1833,0))</f>
        <v>Can rehearse and try out new combinations and expressions, inviting feedback.</v>
      </c>
      <c r="J227" s="71" t="s">
        <v>2632</v>
      </c>
      <c r="L227" s="70" t="s">
        <v>396</v>
      </c>
      <c r="M227" s="70" t="s">
        <v>644</v>
      </c>
      <c r="N227" s="70" t="s">
        <v>624</v>
      </c>
      <c r="O227" s="70" t="s">
        <v>787</v>
      </c>
    </row>
    <row r="228" customFormat="false" ht="21.75" hidden="false" customHeight="true" outlineLevel="0" collapsed="false">
      <c r="A228" s="70"/>
      <c r="B228" s="70"/>
      <c r="C228" s="70"/>
      <c r="D228" s="70"/>
      <c r="E228" s="70"/>
      <c r="F228" s="70" t="s">
        <v>259</v>
      </c>
      <c r="G228" s="70" t="n">
        <f aca="false">COUNTIFS(Data!$B$2:$B$1833,$L228,Data!$C$2:$C$1833,$M228,Data!$D$2:$D$1833,$N228,Data!$E$2:$E$1833,$O228,Data!$F$2:$F$1833,$F228,Data!$H$2:$H$1833,1)</f>
        <v>1</v>
      </c>
      <c r="H228" s="70" t="n">
        <v>373</v>
      </c>
      <c r="I228" s="31" t="str">
        <f aca="false">INDEX(Data!$G$2:$G$1833,MATCH($H228,Data!$A$2:$A$1833,0))</f>
        <v>Can plan what is to be said and the means to say it, considering the effect on the recipient(s).</v>
      </c>
      <c r="J228" s="71" t="s">
        <v>2633</v>
      </c>
      <c r="L228" s="70" t="s">
        <v>396</v>
      </c>
      <c r="M228" s="70" t="s">
        <v>644</v>
      </c>
      <c r="N228" s="70" t="s">
        <v>624</v>
      </c>
      <c r="O228" s="70" t="s">
        <v>787</v>
      </c>
    </row>
    <row r="229" customFormat="false" ht="32.25" hidden="false" customHeight="true" outlineLevel="0" collapsed="false">
      <c r="A229" s="70"/>
      <c r="B229" s="70"/>
      <c r="C229" s="70"/>
      <c r="D229" s="70"/>
      <c r="E229" s="70"/>
      <c r="F229" s="70" t="s">
        <v>36</v>
      </c>
      <c r="G229" s="70" t="n">
        <f aca="false">COUNTIFS(Data!$B$2:$B$1833,$L229,Data!$C$2:$C$1833,$M229,Data!$D$2:$D$1833,$N229,Data!$E$2:$E$1833,$O229,Data!$F$2:$F$1833,$F229,Data!$H$2:$H$1833,1)</f>
        <v>1</v>
      </c>
      <c r="H229" s="70" t="n">
        <v>372</v>
      </c>
      <c r="I229" s="31" t="str">
        <f aca="false">INDEX(Data!$G$2:$G$1833,MATCH($H229,Data!$A$2:$A$1833,0))</f>
        <v>Can, in preparing for a potentially complicated or awkward situation, plan what to say in the event of different reactions, reflecting on what expression would be appropriate.</v>
      </c>
      <c r="J229" s="71" t="s">
        <v>2634</v>
      </c>
      <c r="L229" s="70" t="s">
        <v>396</v>
      </c>
      <c r="M229" s="70" t="s">
        <v>644</v>
      </c>
      <c r="N229" s="70" t="s">
        <v>624</v>
      </c>
      <c r="O229" s="70" t="s">
        <v>787</v>
      </c>
    </row>
    <row r="230" customFormat="false" ht="32.25" hidden="false" customHeight="true" outlineLevel="0" collapsed="false">
      <c r="A230" s="70"/>
      <c r="B230" s="70"/>
      <c r="C230" s="70"/>
      <c r="D230" s="70"/>
      <c r="E230" s="70"/>
      <c r="F230" s="70" t="s">
        <v>74</v>
      </c>
      <c r="G230" s="70" t="n">
        <f aca="false">COUNTIFS(Data!$B$2:$B$1833,$L230,Data!$C$2:$C$1833,$M230,Data!$D$2:$D$1833,$N230,Data!$E$2:$E$1833,$O230,Data!$F$2:$F$1833,$F230,Data!$H$2:$H$1833,1)</f>
        <v>1</v>
      </c>
      <c r="H230" s="70" t="n">
        <v>371</v>
      </c>
      <c r="I230" s="31" t="str">
        <f aca="false">INDEX(Data!$G$2:$G$1833,MATCH($H230,Data!$A$2:$A$1833,0))</f>
        <v>Can, when preparing a more formal text, consciously adopt the conventions linked to the particular type of text concerned (e.g. structure, level of formality).</v>
      </c>
      <c r="J230" s="71" t="s">
        <v>2635</v>
      </c>
      <c r="L230" s="70" t="s">
        <v>396</v>
      </c>
      <c r="M230" s="70" t="s">
        <v>644</v>
      </c>
      <c r="N230" s="70" t="s">
        <v>624</v>
      </c>
      <c r="O230" s="70" t="s">
        <v>787</v>
      </c>
    </row>
    <row r="231" customFormat="false" ht="15" hidden="false" customHeight="true" outlineLevel="0" collapsed="false">
      <c r="A231" s="70"/>
      <c r="B231" s="70"/>
      <c r="C231" s="70"/>
      <c r="D231" s="70"/>
      <c r="E231" s="70"/>
      <c r="F231" s="70" t="s">
        <v>331</v>
      </c>
      <c r="G231" s="70" t="n">
        <f aca="false">COUNTIFS(Data!$B$2:$B$1833,$L231,Data!$C$2:$C$1833,$M231,Data!$D$2:$D$1833,$N231,Data!$E$2:$E$1833,$O231,Data!$F$2:$F$1833,$F231,Data!$H$2:$H$1833,1)</f>
        <v>0</v>
      </c>
      <c r="H231" s="70" t="s">
        <v>624</v>
      </c>
      <c r="I231" s="31" t="s">
        <v>624</v>
      </c>
      <c r="J231" s="31" t="s">
        <v>624</v>
      </c>
      <c r="L231" s="70" t="s">
        <v>396</v>
      </c>
      <c r="M231" s="70" t="s">
        <v>644</v>
      </c>
      <c r="N231" s="70" t="s">
        <v>624</v>
      </c>
      <c r="O231" s="70" t="s">
        <v>787</v>
      </c>
    </row>
    <row r="232" customFormat="false" ht="15" hidden="false" customHeight="true" outlineLevel="0" collapsed="false">
      <c r="A232" s="73" t="str">
        <f aca="false">IFERROR(INDEX(対訳マスタ!$C$2:$C$136,MATCH($L232,対訳マスタ!$B$2:$B$136,0)),$L232)</f>
        <v>コミュニケーション言語方略</v>
      </c>
      <c r="B232" s="73" t="str">
        <f aca="false">IF($M232="—","—",IFERROR(INDEX(対訳マスタ!$C$2:$C$136,MATCH($M232,対訳マスタ!$B$2:$B$136,0)),$M232))</f>
        <v>産出</v>
      </c>
      <c r="C232" s="73" t="str">
        <f aca="false">IF($N232="—","—",IFERROR(INDEX(対訳マスタ!$C$2:$C$136,MATCH($N232,対訳マスタ!$B$2:$B$136,0)),$N232))</f>
        <v>—</v>
      </c>
      <c r="D232" s="73" t="str">
        <f aca="false">IFERROR(INDEX(対訳マスタ!$C$2:$C$136,MATCH($O232,対訳マスタ!$B$2:$B$136,0)),$O232)</f>
        <v>補償（言い換え等で補う）</v>
      </c>
      <c r="E232" s="73" t="s">
        <v>794</v>
      </c>
      <c r="F232" s="73" t="s">
        <v>86</v>
      </c>
      <c r="G232" s="73" t="n">
        <f aca="false">COUNTIFS(Data!$B$2:$B$1833,$L232,Data!$C$2:$C$1833,$M232,Data!$D$2:$D$1833,$N232,Data!$E$2:$E$1833,$O232,Data!$F$2:$F$1833,$F232,Data!$H$2:$H$1833,1)</f>
        <v>1</v>
      </c>
      <c r="H232" s="73" t="n">
        <v>390</v>
      </c>
      <c r="I232" s="74" t="str">
        <f aca="false">INDEX(Data!$G$2:$G$1833,MATCH($H232,Data!$A$2:$A$1833,0))</f>
        <v>Can point to something and ask what it is.</v>
      </c>
      <c r="J232" s="78" t="s">
        <v>2636</v>
      </c>
      <c r="L232" s="70" t="s">
        <v>396</v>
      </c>
      <c r="M232" s="70" t="s">
        <v>644</v>
      </c>
      <c r="N232" s="70" t="s">
        <v>624</v>
      </c>
      <c r="O232" s="70" t="s">
        <v>794</v>
      </c>
    </row>
    <row r="233" customFormat="false" ht="15" hidden="false" customHeight="true" outlineLevel="0" collapsed="false">
      <c r="A233" s="75"/>
      <c r="B233" s="75"/>
      <c r="C233" s="75"/>
      <c r="D233" s="75"/>
      <c r="E233" s="75"/>
      <c r="F233" s="75" t="s">
        <v>101</v>
      </c>
      <c r="G233" s="75" t="n">
        <f aca="false">COUNTIFS(Data!$B$2:$B$1833,$L233,Data!$C$2:$C$1833,$M233,Data!$D$2:$D$1833,$N233,Data!$E$2:$E$1833,$O233,Data!$F$2:$F$1833,$F233,Data!$H$2:$H$1833,1)</f>
        <v>1</v>
      </c>
      <c r="H233" s="75" t="n">
        <v>389</v>
      </c>
      <c r="I233" s="76" t="str">
        <f aca="false">INDEX(Data!$G$2:$G$1833,MATCH($H233,Data!$A$2:$A$1833,0))</f>
        <v>Can use gestures to support simple words/signs in expressing a need.</v>
      </c>
      <c r="J233" s="77" t="s">
        <v>2637</v>
      </c>
      <c r="L233" s="70" t="s">
        <v>396</v>
      </c>
      <c r="M233" s="70" t="s">
        <v>644</v>
      </c>
      <c r="N233" s="70" t="s">
        <v>624</v>
      </c>
      <c r="O233" s="70" t="s">
        <v>794</v>
      </c>
    </row>
    <row r="234" customFormat="false" ht="15" hidden="false" customHeight="true" outlineLevel="0" collapsed="false">
      <c r="A234" s="75"/>
      <c r="B234" s="75"/>
      <c r="C234" s="75"/>
      <c r="D234" s="75"/>
      <c r="E234" s="75"/>
      <c r="F234" s="75" t="s">
        <v>13</v>
      </c>
      <c r="G234" s="75" t="n">
        <f aca="false">COUNTIFS(Data!$B$2:$B$1833,$L234,Data!$C$2:$C$1833,$M234,Data!$D$2:$D$1833,$N234,Data!$E$2:$E$1833,$O234,Data!$F$2:$F$1833,$F234,Data!$H$2:$H$1833,1)</f>
        <v>1</v>
      </c>
      <c r="H234" s="75" t="n">
        <v>388</v>
      </c>
      <c r="I234" s="76" t="str">
        <f aca="false">INDEX(Data!$G$2:$G$1833,MATCH($H234,Data!$A$2:$A$1833,0))</f>
        <v>Can identify what they mean by pointing to it (e.g. “I’d like this, please”).</v>
      </c>
      <c r="J234" s="77" t="s">
        <v>2638</v>
      </c>
      <c r="L234" s="70" t="s">
        <v>396</v>
      </c>
      <c r="M234" s="70" t="s">
        <v>644</v>
      </c>
      <c r="N234" s="70" t="s">
        <v>624</v>
      </c>
      <c r="O234" s="70" t="s">
        <v>794</v>
      </c>
    </row>
    <row r="235" customFormat="false" ht="21.75" hidden="false" customHeight="true" outlineLevel="0" collapsed="false">
      <c r="A235" s="75"/>
      <c r="B235" s="75"/>
      <c r="C235" s="75"/>
      <c r="D235" s="75"/>
      <c r="E235" s="75"/>
      <c r="F235" s="75" t="s">
        <v>123</v>
      </c>
      <c r="G235" s="75" t="n">
        <f aca="false">COUNTIFS(Data!$B$2:$B$1833,$L235,Data!$C$2:$C$1833,$M235,Data!$D$2:$D$1833,$N235,Data!$E$2:$E$1833,$O235,Data!$F$2:$F$1833,$F235,Data!$H$2:$H$1833,1)</f>
        <v>1</v>
      </c>
      <c r="H235" s="75" t="n">
        <v>387</v>
      </c>
      <c r="I235" s="76" t="str">
        <f aca="false">INDEX(Data!$G$2:$G$1833,MATCH($H235,Data!$A$2:$A$1833,0))</f>
        <v>Can use an inadequate word/sign from their repertoire and use gestures to clarify what they mean.</v>
      </c>
      <c r="J235" s="77" t="s">
        <v>2639</v>
      </c>
      <c r="L235" s="70" t="s">
        <v>396</v>
      </c>
      <c r="M235" s="70" t="s">
        <v>644</v>
      </c>
      <c r="N235" s="70" t="s">
        <v>624</v>
      </c>
      <c r="O235" s="70" t="s">
        <v>794</v>
      </c>
    </row>
    <row r="236" customFormat="false" ht="15" hidden="false" customHeight="true" outlineLevel="0" collapsed="false">
      <c r="A236" s="75"/>
      <c r="B236" s="75"/>
      <c r="C236" s="75"/>
      <c r="D236" s="75"/>
      <c r="E236" s="75"/>
      <c r="F236" s="75" t="s">
        <v>21</v>
      </c>
      <c r="G236" s="75" t="n">
        <f aca="false">COUNTIFS(Data!$B$2:$B$1833,$L236,Data!$C$2:$C$1833,$M236,Data!$D$2:$D$1833,$N236,Data!$E$2:$E$1833,$O236,Data!$F$2:$F$1833,$F236,Data!$H$2:$H$1833,1)</f>
        <v>2</v>
      </c>
      <c r="H236" s="75" t="n">
        <v>386</v>
      </c>
      <c r="I236" s="76" t="str">
        <f aca="false">INDEX(Data!$G$2:$G$1833,MATCH($H236,Data!$A$2:$A$1833,0))</f>
        <v>Can “foreignise” word/signs in their first language and ask for confirmation.</v>
      </c>
      <c r="J236" s="77" t="s">
        <v>2640</v>
      </c>
      <c r="L236" s="70" t="s">
        <v>396</v>
      </c>
      <c r="M236" s="70" t="s">
        <v>644</v>
      </c>
      <c r="N236" s="70" t="s">
        <v>624</v>
      </c>
      <c r="O236" s="70" t="s">
        <v>794</v>
      </c>
    </row>
    <row r="237" customFormat="false" ht="21.75" hidden="false" customHeight="true" outlineLevel="0" collapsed="false">
      <c r="A237" s="75"/>
      <c r="B237" s="75"/>
      <c r="C237" s="75"/>
      <c r="D237" s="75"/>
      <c r="E237" s="75"/>
      <c r="F237" s="75" t="s">
        <v>52</v>
      </c>
      <c r="G237" s="75" t="n">
        <f aca="false">COUNTIFS(Data!$B$2:$B$1833,$L237,Data!$C$2:$C$1833,$M237,Data!$D$2:$D$1833,$N237,Data!$E$2:$E$1833,$O237,Data!$F$2:$F$1833,$F237,Data!$H$2:$H$1833,1)</f>
        <v>2</v>
      </c>
      <c r="H237" s="75" t="n">
        <v>383</v>
      </c>
      <c r="I237" s="76" t="str">
        <f aca="false">INDEX(Data!$G$2:$G$1833,MATCH($H237,Data!$A$2:$A$1833,0))</f>
        <v>Can define the features of something concrete for which they can’t remember the word/sign.</v>
      </c>
      <c r="J237" s="77" t="s">
        <v>2641</v>
      </c>
      <c r="L237" s="70" t="s">
        <v>396</v>
      </c>
      <c r="M237" s="70" t="s">
        <v>644</v>
      </c>
      <c r="N237" s="70" t="s">
        <v>624</v>
      </c>
      <c r="O237" s="70" t="s">
        <v>794</v>
      </c>
    </row>
    <row r="238" customFormat="false" ht="26.25" hidden="false" customHeight="true" outlineLevel="0" collapsed="false">
      <c r="A238" s="75"/>
      <c r="B238" s="75"/>
      <c r="C238" s="75"/>
      <c r="D238" s="75"/>
      <c r="E238" s="75"/>
      <c r="F238" s="75" t="s">
        <v>259</v>
      </c>
      <c r="G238" s="75" t="n">
        <f aca="false">COUNTIFS(Data!$B$2:$B$1833,$L238,Data!$C$2:$C$1833,$M238,Data!$D$2:$D$1833,$N238,Data!$E$2:$E$1833,$O238,Data!$F$2:$F$1833,$F238,Data!$H$2:$H$1833,1)</f>
        <v>1</v>
      </c>
      <c r="H238" s="75" t="n">
        <v>382</v>
      </c>
      <c r="I238" s="76" t="str">
        <f aca="false">INDEX(Data!$G$2:$G$1833,MATCH($H238,Data!$A$2:$A$1833,0))</f>
        <v>Can address most communication problems by using circumlocution, or by avoiding difficult expressions.</v>
      </c>
      <c r="J238" s="77" t="s">
        <v>2642</v>
      </c>
      <c r="L238" s="70" t="s">
        <v>396</v>
      </c>
      <c r="M238" s="70" t="s">
        <v>644</v>
      </c>
      <c r="N238" s="70" t="s">
        <v>624</v>
      </c>
      <c r="O238" s="70" t="s">
        <v>794</v>
      </c>
    </row>
    <row r="239" customFormat="false" ht="21.75" hidden="false" customHeight="true" outlineLevel="0" collapsed="false">
      <c r="A239" s="75"/>
      <c r="B239" s="75"/>
      <c r="C239" s="75"/>
      <c r="D239" s="75"/>
      <c r="E239" s="75"/>
      <c r="F239" s="75" t="s">
        <v>36</v>
      </c>
      <c r="G239" s="75" t="n">
        <f aca="false">COUNTIFS(Data!$B$2:$B$1833,$L239,Data!$C$2:$C$1833,$M239,Data!$D$2:$D$1833,$N239,Data!$E$2:$E$1833,$O239,Data!$F$2:$F$1833,$F239,Data!$H$2:$H$1833,1)</f>
        <v>1</v>
      </c>
      <c r="H239" s="75" t="n">
        <v>381</v>
      </c>
      <c r="I239" s="76" t="str">
        <f aca="false">INDEX(Data!$G$2:$G$1833,MATCH($H239,Data!$A$2:$A$1833,0))</f>
        <v>Can use circumlocution and paraphrase to cover gaps in vocabulary and structure.</v>
      </c>
      <c r="J239" s="77" t="s">
        <v>2643</v>
      </c>
      <c r="L239" s="70" t="s">
        <v>396</v>
      </c>
      <c r="M239" s="70" t="s">
        <v>644</v>
      </c>
      <c r="N239" s="70" t="s">
        <v>624</v>
      </c>
      <c r="O239" s="70" t="s">
        <v>794</v>
      </c>
    </row>
    <row r="240" customFormat="false" ht="26.25" hidden="false" customHeight="true" outlineLevel="0" collapsed="false">
      <c r="A240" s="75"/>
      <c r="B240" s="75"/>
      <c r="C240" s="75"/>
      <c r="D240" s="75"/>
      <c r="E240" s="75"/>
      <c r="F240" s="75" t="s">
        <v>74</v>
      </c>
      <c r="G240" s="75" t="n">
        <f aca="false">COUNTIFS(Data!$B$2:$B$1833,$L240,Data!$C$2:$C$1833,$M240,Data!$D$2:$D$1833,$N240,Data!$E$2:$E$1833,$O240,Data!$F$2:$F$1833,$F240,Data!$H$2:$H$1833,1)</f>
        <v>1</v>
      </c>
      <c r="H240" s="75" t="n">
        <v>380</v>
      </c>
      <c r="I240" s="76" t="str">
        <f aca="false">INDEX(Data!$G$2:$G$1833,MATCH($H240,Data!$A$2:$A$1833,0))</f>
        <v>Can exploit their range of vocabulary options creatively so as to readily and effectively use circumlocution in almost all situations.</v>
      </c>
      <c r="J240" s="77" t="s">
        <v>2644</v>
      </c>
      <c r="L240" s="70" t="s">
        <v>396</v>
      </c>
      <c r="M240" s="70" t="s">
        <v>644</v>
      </c>
      <c r="N240" s="70" t="s">
        <v>624</v>
      </c>
      <c r="O240" s="70" t="s">
        <v>794</v>
      </c>
    </row>
    <row r="241" customFormat="false" ht="26.25" hidden="false" customHeight="true" outlineLevel="0" collapsed="false">
      <c r="A241" s="75"/>
      <c r="B241" s="75"/>
      <c r="C241" s="75"/>
      <c r="D241" s="75"/>
      <c r="E241" s="75"/>
      <c r="F241" s="75" t="s">
        <v>331</v>
      </c>
      <c r="G241" s="75" t="n">
        <f aca="false">COUNTIFS(Data!$B$2:$B$1833,$L241,Data!$C$2:$C$1833,$M241,Data!$D$2:$D$1833,$N241,Data!$E$2:$E$1833,$O241,Data!$F$2:$F$1833,$F241,Data!$H$2:$H$1833,1)</f>
        <v>1</v>
      </c>
      <c r="H241" s="75" t="n">
        <v>379</v>
      </c>
      <c r="I241" s="76" t="str">
        <f aca="false">INDEX(Data!$G$2:$G$1833,MATCH($H241,Data!$A$2:$A$1833,0))</f>
        <v>Can substitute an equivalent term for a word/sign they can’t recall, so smoothly that it is scarcely noticeable.</v>
      </c>
      <c r="J241" s="77" t="s">
        <v>2645</v>
      </c>
      <c r="L241" s="70" t="s">
        <v>396</v>
      </c>
      <c r="M241" s="70" t="s">
        <v>644</v>
      </c>
      <c r="N241" s="70" t="s">
        <v>624</v>
      </c>
      <c r="O241" s="70" t="s">
        <v>794</v>
      </c>
    </row>
    <row r="242" customFormat="false" ht="15" hidden="false" customHeight="true" outlineLevel="0" collapsed="false">
      <c r="A242" s="67" t="str">
        <f aca="false">IFERROR(INDEX(対訳マスタ!$C$2:$C$136,MATCH($L242,対訳マスタ!$B$2:$B$136,0)),$L242)</f>
        <v>コミュニケーション言語方略</v>
      </c>
      <c r="B242" s="67" t="str">
        <f aca="false">IF($M242="—","—",IFERROR(INDEX(対訳マスタ!$C$2:$C$136,MATCH($M242,対訳マスタ!$B$2:$B$136,0)),$M242))</f>
        <v>産出</v>
      </c>
      <c r="C242" s="67" t="str">
        <f aca="false">IF($N242="—","—",IFERROR(INDEX(対訳マスタ!$C$2:$C$136,MATCH($N242,対訳マスタ!$B$2:$B$136,0)),$N242))</f>
        <v>—</v>
      </c>
      <c r="D242" s="67" t="str">
        <f aca="false">IFERROR(INDEX(対訳マスタ!$C$2:$C$136,MATCH($O242,対訳マスタ!$B$2:$B$136,0)),$O242)</f>
        <v>モニタリングと修復（言い直し）</v>
      </c>
      <c r="E242" s="67" t="s">
        <v>807</v>
      </c>
      <c r="F242" s="67" t="s">
        <v>86</v>
      </c>
      <c r="G242" s="67" t="n">
        <f aca="false">COUNTIFS(Data!$B$2:$B$1833,$L242,Data!$C$2:$C$1833,$M242,Data!$D$2:$D$1833,$N242,Data!$E$2:$E$1833,$O242,Data!$F$2:$F$1833,$F242,Data!$H$2:$H$1833,1)</f>
        <v>0</v>
      </c>
      <c r="H242" s="67" t="s">
        <v>624</v>
      </c>
      <c r="I242" s="68" t="s">
        <v>624</v>
      </c>
      <c r="J242" s="68" t="s">
        <v>624</v>
      </c>
      <c r="L242" s="70" t="s">
        <v>396</v>
      </c>
      <c r="M242" s="70" t="s">
        <v>644</v>
      </c>
      <c r="N242" s="70" t="s">
        <v>624</v>
      </c>
      <c r="O242" s="70" t="s">
        <v>807</v>
      </c>
    </row>
    <row r="243" customFormat="false" ht="15" hidden="false" customHeight="true" outlineLevel="0" collapsed="false">
      <c r="A243" s="70"/>
      <c r="B243" s="70"/>
      <c r="C243" s="70"/>
      <c r="D243" s="70"/>
      <c r="E243" s="70"/>
      <c r="F243" s="70" t="s">
        <v>101</v>
      </c>
      <c r="G243" s="70" t="n">
        <f aca="false">COUNTIFS(Data!$B$2:$B$1833,$L243,Data!$C$2:$C$1833,$M243,Data!$D$2:$D$1833,$N243,Data!$E$2:$E$1833,$O243,Data!$F$2:$F$1833,$F243,Data!$H$2:$H$1833,1)</f>
        <v>0</v>
      </c>
      <c r="H243" s="70" t="s">
        <v>624</v>
      </c>
      <c r="I243" s="31" t="s">
        <v>624</v>
      </c>
      <c r="J243" s="31" t="s">
        <v>624</v>
      </c>
      <c r="L243" s="70" t="s">
        <v>396</v>
      </c>
      <c r="M243" s="70" t="s">
        <v>644</v>
      </c>
      <c r="N243" s="70" t="s">
        <v>624</v>
      </c>
      <c r="O243" s="70" t="s">
        <v>807</v>
      </c>
    </row>
    <row r="244" customFormat="false" ht="15" hidden="false" customHeight="true" outlineLevel="0" collapsed="false">
      <c r="A244" s="70"/>
      <c r="B244" s="70"/>
      <c r="C244" s="70"/>
      <c r="D244" s="70"/>
      <c r="E244" s="70"/>
      <c r="F244" s="70" t="s">
        <v>13</v>
      </c>
      <c r="G244" s="70" t="n">
        <f aca="false">COUNTIFS(Data!$B$2:$B$1833,$L244,Data!$C$2:$C$1833,$M244,Data!$D$2:$D$1833,$N244,Data!$E$2:$E$1833,$O244,Data!$F$2:$F$1833,$F244,Data!$H$2:$H$1833,1)</f>
        <v>0</v>
      </c>
      <c r="H244" s="70" t="s">
        <v>624</v>
      </c>
      <c r="I244" s="31" t="s">
        <v>624</v>
      </c>
      <c r="J244" s="31" t="s">
        <v>624</v>
      </c>
      <c r="L244" s="70" t="s">
        <v>396</v>
      </c>
      <c r="M244" s="70" t="s">
        <v>644</v>
      </c>
      <c r="N244" s="70" t="s">
        <v>624</v>
      </c>
      <c r="O244" s="70" t="s">
        <v>807</v>
      </c>
    </row>
    <row r="245" customFormat="false" ht="15" hidden="false" customHeight="true" outlineLevel="0" collapsed="false">
      <c r="A245" s="70"/>
      <c r="B245" s="70"/>
      <c r="C245" s="70"/>
      <c r="D245" s="70"/>
      <c r="E245" s="70"/>
      <c r="F245" s="70" t="s">
        <v>123</v>
      </c>
      <c r="G245" s="70" t="n">
        <f aca="false">COUNTIFS(Data!$B$2:$B$1833,$L245,Data!$C$2:$C$1833,$M245,Data!$D$2:$D$1833,$N245,Data!$E$2:$E$1833,$O245,Data!$F$2:$F$1833,$F245,Data!$H$2:$H$1833,1)</f>
        <v>0</v>
      </c>
      <c r="H245" s="70" t="s">
        <v>624</v>
      </c>
      <c r="I245" s="31" t="s">
        <v>624</v>
      </c>
      <c r="J245" s="31" t="s">
        <v>624</v>
      </c>
      <c r="L245" s="70" t="s">
        <v>396</v>
      </c>
      <c r="M245" s="70" t="s">
        <v>644</v>
      </c>
      <c r="N245" s="70" t="s">
        <v>624</v>
      </c>
      <c r="O245" s="70" t="s">
        <v>807</v>
      </c>
    </row>
    <row r="246" customFormat="false" ht="15" hidden="false" customHeight="true" outlineLevel="0" collapsed="false">
      <c r="A246" s="70"/>
      <c r="B246" s="70"/>
      <c r="C246" s="70"/>
      <c r="D246" s="70"/>
      <c r="E246" s="70"/>
      <c r="F246" s="70" t="s">
        <v>21</v>
      </c>
      <c r="G246" s="70" t="n">
        <f aca="false">COUNTIFS(Data!$B$2:$B$1833,$L246,Data!$C$2:$C$1833,$M246,Data!$D$2:$D$1833,$N246,Data!$E$2:$E$1833,$O246,Data!$F$2:$F$1833,$F246,Data!$H$2:$H$1833,1)</f>
        <v>2</v>
      </c>
      <c r="H246" s="70" t="n">
        <v>398</v>
      </c>
      <c r="I246" s="31" t="str">
        <f aca="false">INDEX(Data!$G$2:$G$1833,MATCH($H246,Data!$A$2:$A$1833,0))</f>
        <v>Can ask for confirmation that a form used is correct.</v>
      </c>
      <c r="J246" s="71" t="s">
        <v>2646</v>
      </c>
      <c r="L246" s="70" t="s">
        <v>396</v>
      </c>
      <c r="M246" s="70" t="s">
        <v>644</v>
      </c>
      <c r="N246" s="70" t="s">
        <v>624</v>
      </c>
      <c r="O246" s="70" t="s">
        <v>807</v>
      </c>
    </row>
    <row r="247" customFormat="false" ht="26.25" hidden="false" customHeight="true" outlineLevel="0" collapsed="false">
      <c r="A247" s="70"/>
      <c r="B247" s="70"/>
      <c r="C247" s="70"/>
      <c r="D247" s="70"/>
      <c r="E247" s="70"/>
      <c r="F247" s="70" t="s">
        <v>52</v>
      </c>
      <c r="G247" s="70" t="n">
        <f aca="false">COUNTIFS(Data!$B$2:$B$1833,$L247,Data!$C$2:$C$1833,$M247,Data!$D$2:$D$1833,$N247,Data!$E$2:$E$1833,$O247,Data!$F$2:$F$1833,$F247,Data!$H$2:$H$1833,1)</f>
        <v>1</v>
      </c>
      <c r="H247" s="70" t="n">
        <v>397</v>
      </c>
      <c r="I247" s="31" t="str">
        <f aca="false">INDEX(Data!$G$2:$G$1833,MATCH($H247,Data!$A$2:$A$1833,0))</f>
        <v>Can correct mix-ups with the marking of time or expressions that lead to misunderstandings, provided the interlocutor indicates there is a problem.</v>
      </c>
      <c r="J247" s="71" t="s">
        <v>2647</v>
      </c>
      <c r="L247" s="70" t="s">
        <v>396</v>
      </c>
      <c r="M247" s="70" t="s">
        <v>644</v>
      </c>
      <c r="N247" s="70" t="s">
        <v>624</v>
      </c>
      <c r="O247" s="70" t="s">
        <v>807</v>
      </c>
    </row>
    <row r="248" customFormat="false" ht="21.75" hidden="false" customHeight="true" outlineLevel="0" collapsed="false">
      <c r="A248" s="70"/>
      <c r="B248" s="70"/>
      <c r="C248" s="70"/>
      <c r="D248" s="70"/>
      <c r="E248" s="70"/>
      <c r="F248" s="70" t="s">
        <v>259</v>
      </c>
      <c r="G248" s="70" t="n">
        <f aca="false">COUNTIFS(Data!$B$2:$B$1833,$L248,Data!$C$2:$C$1833,$M248,Data!$D$2:$D$1833,$N248,Data!$E$2:$E$1833,$O248,Data!$F$2:$F$1833,$F248,Data!$H$2:$H$1833,1)</f>
        <v>2</v>
      </c>
      <c r="H248" s="70" t="n">
        <v>396</v>
      </c>
      <c r="I248" s="31" t="str">
        <f aca="false">INDEX(Data!$G$2:$G$1833,MATCH($H248,Data!$A$2:$A$1833,0))</f>
        <v>Can make a note of their recurring mistakes and consciously monitor for them.</v>
      </c>
      <c r="J248" s="71" t="s">
        <v>2648</v>
      </c>
      <c r="L248" s="70" t="s">
        <v>396</v>
      </c>
      <c r="M248" s="70" t="s">
        <v>644</v>
      </c>
      <c r="N248" s="70" t="s">
        <v>624</v>
      </c>
      <c r="O248" s="70" t="s">
        <v>807</v>
      </c>
    </row>
    <row r="249" customFormat="false" ht="26.25" hidden="false" customHeight="true" outlineLevel="0" collapsed="false">
      <c r="A249" s="70"/>
      <c r="B249" s="70"/>
      <c r="C249" s="70"/>
      <c r="D249" s="70"/>
      <c r="E249" s="70"/>
      <c r="F249" s="70" t="s">
        <v>36</v>
      </c>
      <c r="G249" s="70" t="n">
        <f aca="false">COUNTIFS(Data!$B$2:$B$1833,$L249,Data!$C$2:$C$1833,$M249,Data!$D$2:$D$1833,$N249,Data!$E$2:$E$1833,$O249,Data!$F$2:$F$1833,$F249,Data!$H$2:$H$1833,1)</f>
        <v>1</v>
      </c>
      <c r="H249" s="70" t="n">
        <v>394</v>
      </c>
      <c r="I249" s="31" t="str">
        <f aca="false">INDEX(Data!$G$2:$G$1833,MATCH($H249,Data!$A$2:$A$1833,0))</f>
        <v>Can often retrospectively self-correct their occasional “slips” or non-systematic errors and minor flaws in sentence structure.</v>
      </c>
      <c r="J249" s="71" t="s">
        <v>2649</v>
      </c>
      <c r="L249" s="70" t="s">
        <v>396</v>
      </c>
      <c r="M249" s="70" t="s">
        <v>644</v>
      </c>
      <c r="N249" s="70" t="s">
        <v>624</v>
      </c>
      <c r="O249" s="70" t="s">
        <v>807</v>
      </c>
    </row>
    <row r="250" customFormat="false" ht="15" hidden="false" customHeight="true" outlineLevel="0" collapsed="false">
      <c r="A250" s="70"/>
      <c r="B250" s="70"/>
      <c r="C250" s="70"/>
      <c r="D250" s="70"/>
      <c r="E250" s="70"/>
      <c r="F250" s="70" t="s">
        <v>74</v>
      </c>
      <c r="G250" s="70" t="n">
        <f aca="false">COUNTIFS(Data!$B$2:$B$1833,$L250,Data!$C$2:$C$1833,$M250,Data!$D$2:$D$1833,$N250,Data!$E$2:$E$1833,$O250,Data!$F$2:$F$1833,$F250,Data!$H$2:$H$1833,1)</f>
        <v>2</v>
      </c>
      <c r="H250" s="70" t="n">
        <v>393</v>
      </c>
      <c r="I250" s="31" t="str">
        <f aca="false">INDEX(Data!$G$2:$G$1833,MATCH($H250,Data!$A$2:$A$1833,0))</f>
        <v>Can self-correct with a high degree of effectiveness.</v>
      </c>
      <c r="J250" s="71" t="s">
        <v>2650</v>
      </c>
      <c r="L250" s="70" t="s">
        <v>396</v>
      </c>
      <c r="M250" s="70" t="s">
        <v>644</v>
      </c>
      <c r="N250" s="70" t="s">
        <v>624</v>
      </c>
      <c r="O250" s="70" t="s">
        <v>807</v>
      </c>
    </row>
    <row r="251" customFormat="false" ht="26.25" hidden="false" customHeight="true" outlineLevel="0" collapsed="false">
      <c r="A251" s="70"/>
      <c r="B251" s="70"/>
      <c r="C251" s="70"/>
      <c r="D251" s="70"/>
      <c r="E251" s="70"/>
      <c r="F251" s="70" t="s">
        <v>331</v>
      </c>
      <c r="G251" s="70" t="n">
        <f aca="false">COUNTIFS(Data!$B$2:$B$1833,$L251,Data!$C$2:$C$1833,$M251,Data!$D$2:$D$1833,$N251,Data!$E$2:$E$1833,$O251,Data!$F$2:$F$1833,$F251,Data!$H$2:$H$1833,1)</f>
        <v>1</v>
      </c>
      <c r="H251" s="70" t="n">
        <v>391</v>
      </c>
      <c r="I251" s="31" t="str">
        <f aca="false">INDEX(Data!$G$2:$G$1833,MATCH($H251,Data!$A$2:$A$1833,0))</f>
        <v>Can backtrack and restructure around a difficulty so smoothly that the interlocutor is hardly aware of it.</v>
      </c>
      <c r="J251" s="71" t="s">
        <v>2651</v>
      </c>
      <c r="L251" s="70" t="s">
        <v>396</v>
      </c>
      <c r="M251" s="70" t="s">
        <v>644</v>
      </c>
      <c r="N251" s="70" t="s">
        <v>624</v>
      </c>
      <c r="O251" s="70" t="s">
        <v>807</v>
      </c>
    </row>
    <row r="252" customFormat="false" ht="32.25" hidden="false" customHeight="true" outlineLevel="0" collapsed="false">
      <c r="A252" s="73" t="str">
        <f aca="false">IFERROR(INDEX(対訳マスタ!$C$2:$C$136,MATCH($L252,対訳マスタ!$B$2:$B$136,0)),$L252)</f>
        <v>コミュニケーション言語活動</v>
      </c>
      <c r="B252" s="73" t="str">
        <f aca="false">IF($M252="—","—",IFERROR(INDEX(対訳マスタ!$C$2:$C$136,MATCH($M252,対訳マスタ!$B$2:$B$136,0)),$M252))</f>
        <v>相互行為</v>
      </c>
      <c r="C252" s="73" t="str">
        <f aca="false">IF($N252="—","—",IFERROR(INDEX(対訳マスタ!$C$2:$C$136,MATCH($N252,対訳マスタ!$B$2:$B$136,0)),$N252))</f>
        <v>口頭の相互行為</v>
      </c>
      <c r="D252" s="73" t="str">
        <f aca="false">IFERROR(INDEX(対訳マスタ!$C$2:$C$136,MATCH($O252,対訳マスタ!$B$2:$B$136,0)),$O252)</f>
        <v>口頭相互行為（総合）</v>
      </c>
      <c r="E252" s="73" t="s">
        <v>819</v>
      </c>
      <c r="F252" s="73" t="s">
        <v>86</v>
      </c>
      <c r="G252" s="73" t="n">
        <f aca="false">COUNTIFS(Data!$B$2:$B$1833,$L252,Data!$C$2:$C$1833,$M252,Data!$D$2:$D$1833,$N252,Data!$E$2:$E$1833,$O252,Data!$F$2:$F$1833,$F252,Data!$H$2:$H$1833,1)</f>
        <v>1</v>
      </c>
      <c r="H252" s="73" t="n">
        <v>412</v>
      </c>
      <c r="I252" s="74" t="str">
        <f aca="false">INDEX(Data!$G$2:$G$1833,MATCH($H252,Data!$A$2:$A$1833,0))</f>
        <v>Can ask and answer questions about themselves and daily routines, using short, formulaic expressions and relying on gestures to reinforce the information.</v>
      </c>
      <c r="J252" s="78" t="s">
        <v>2652</v>
      </c>
      <c r="L252" s="70" t="s">
        <v>395</v>
      </c>
      <c r="M252" s="70" t="s">
        <v>817</v>
      </c>
      <c r="N252" s="70" t="s">
        <v>818</v>
      </c>
      <c r="O252" s="70" t="s">
        <v>819</v>
      </c>
    </row>
    <row r="253" customFormat="false" ht="51.75" hidden="false" customHeight="true" outlineLevel="0" collapsed="false">
      <c r="A253" s="75"/>
      <c r="B253" s="75"/>
      <c r="C253" s="75"/>
      <c r="D253" s="75"/>
      <c r="E253" s="75"/>
      <c r="F253" s="75" t="s">
        <v>101</v>
      </c>
      <c r="G253" s="75" t="n">
        <f aca="false">COUNTIFS(Data!$B$2:$B$1833,$L253,Data!$C$2:$C$1833,$M253,Data!$D$2:$D$1833,$N253,Data!$E$2:$E$1833,$O253,Data!$F$2:$F$1833,$F253,Data!$H$2:$H$1833,1)</f>
        <v>1</v>
      </c>
      <c r="H253" s="75" t="n">
        <v>411</v>
      </c>
      <c r="I253" s="76" t="str">
        <f aca="false">INDEX(Data!$G$2:$G$1833,MATCH($H253,Data!$A$2:$A$1833,0))</f>
        <v>Can interact in a simple way but communication is totally dependent on repetition at a slower rate, rephrasing and repair. Can ask and answer simple questions, initiate and respond to simple statements in areas of immediate need or on very familiar topics.</v>
      </c>
      <c r="J253" s="77" t="s">
        <v>2653</v>
      </c>
      <c r="L253" s="70" t="s">
        <v>395</v>
      </c>
      <c r="M253" s="70" t="s">
        <v>817</v>
      </c>
      <c r="N253" s="70" t="s">
        <v>818</v>
      </c>
      <c r="O253" s="70" t="s">
        <v>819</v>
      </c>
    </row>
    <row r="254" customFormat="false" ht="51.75" hidden="false" customHeight="true" outlineLevel="0" collapsed="false">
      <c r="A254" s="75"/>
      <c r="B254" s="75"/>
      <c r="C254" s="75"/>
      <c r="D254" s="75"/>
      <c r="E254" s="75"/>
      <c r="F254" s="75" t="s">
        <v>13</v>
      </c>
      <c r="G254" s="75" t="n">
        <f aca="false">COUNTIFS(Data!$B$2:$B$1833,$L254,Data!$C$2:$C$1833,$M254,Data!$D$2:$D$1833,$N254,Data!$E$2:$E$1833,$O254,Data!$F$2:$F$1833,$F254,Data!$H$2:$H$1833,1)</f>
        <v>1</v>
      </c>
      <c r="H254" s="75" t="n">
        <v>410</v>
      </c>
      <c r="I254" s="76" t="str">
        <f aca="false">INDEX(Data!$G$2:$G$1833,MATCH($H254,Data!$A$2:$A$1833,0))</f>
        <v>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v>
      </c>
      <c r="J254" s="77" t="s">
        <v>2654</v>
      </c>
      <c r="L254" s="70" t="s">
        <v>395</v>
      </c>
      <c r="M254" s="70" t="s">
        <v>817</v>
      </c>
      <c r="N254" s="70" t="s">
        <v>818</v>
      </c>
      <c r="O254" s="70" t="s">
        <v>819</v>
      </c>
    </row>
    <row r="255" customFormat="false" ht="53.25" hidden="false" customHeight="true" outlineLevel="0" collapsed="false">
      <c r="A255" s="75"/>
      <c r="B255" s="75"/>
      <c r="C255" s="75"/>
      <c r="D255" s="75"/>
      <c r="E255" s="75"/>
      <c r="F255" s="75" t="s">
        <v>123</v>
      </c>
      <c r="G255" s="75" t="n">
        <f aca="false">COUNTIFS(Data!$B$2:$B$1833,$L255,Data!$C$2:$C$1833,$M255,Data!$D$2:$D$1833,$N255,Data!$E$2:$E$1833,$O255,Data!$F$2:$F$1833,$F255,Data!$H$2:$H$1833,1)</f>
        <v>1</v>
      </c>
      <c r="H255" s="75" t="n">
        <v>409</v>
      </c>
      <c r="I255" s="76" t="str">
        <f aca="false">INDEX(Data!$G$2:$G$1833,MATCH($H255,Data!$A$2:$A$1833,0))</f>
        <v>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v>
      </c>
      <c r="J255" s="77" t="s">
        <v>2655</v>
      </c>
      <c r="L255" s="70" t="s">
        <v>395</v>
      </c>
      <c r="M255" s="70" t="s">
        <v>817</v>
      </c>
      <c r="N255" s="70" t="s">
        <v>818</v>
      </c>
      <c r="O255" s="70" t="s">
        <v>819</v>
      </c>
    </row>
    <row r="256" customFormat="false" ht="53.25" hidden="false" customHeight="true" outlineLevel="0" collapsed="false">
      <c r="A256" s="75"/>
      <c r="B256" s="75"/>
      <c r="C256" s="75"/>
      <c r="D256" s="75"/>
      <c r="E256" s="75"/>
      <c r="F256" s="75" t="s">
        <v>21</v>
      </c>
      <c r="G256" s="75" t="n">
        <f aca="false">COUNTIFS(Data!$B$2:$B$1833,$L256,Data!$C$2:$C$1833,$M256,Data!$D$2:$D$1833,$N256,Data!$E$2:$E$1833,$O256,Data!$F$2:$F$1833,$F256,Data!$H$2:$H$1833,1)</f>
        <v>1</v>
      </c>
      <c r="H256" s="75" t="n">
        <v>408</v>
      </c>
      <c r="I256" s="76" t="str">
        <f aca="false">INDEX(Data!$G$2:$G$1833,MATCH($H256,Data!$A$2:$A$1833,0))</f>
        <v>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v>
      </c>
      <c r="J256" s="77" t="s">
        <v>2656</v>
      </c>
      <c r="L256" s="70" t="s">
        <v>395</v>
      </c>
      <c r="M256" s="70" t="s">
        <v>817</v>
      </c>
      <c r="N256" s="70" t="s">
        <v>818</v>
      </c>
      <c r="O256" s="70" t="s">
        <v>819</v>
      </c>
    </row>
    <row r="257" customFormat="false" ht="53.25" hidden="false" customHeight="true" outlineLevel="0" collapsed="false">
      <c r="A257" s="75"/>
      <c r="B257" s="75"/>
      <c r="C257" s="75"/>
      <c r="D257" s="75"/>
      <c r="E257" s="75"/>
      <c r="F257" s="75" t="s">
        <v>52</v>
      </c>
      <c r="G257" s="75" t="n">
        <f aca="false">COUNTIFS(Data!$B$2:$B$1833,$L257,Data!$C$2:$C$1833,$M257,Data!$D$2:$D$1833,$N257,Data!$E$2:$E$1833,$O257,Data!$F$2:$F$1833,$F257,Data!$H$2:$H$1833,1)</f>
        <v>1</v>
      </c>
      <c r="H257" s="75" t="n">
        <v>407</v>
      </c>
      <c r="I257" s="76" t="str">
        <f aca="false">INDEX(Data!$G$2:$G$1833,MATCH($H257,Data!$A$2:$A$1833,0))</f>
        <v>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v>
      </c>
      <c r="J257" s="77" t="s">
        <v>2657</v>
      </c>
      <c r="L257" s="70" t="s">
        <v>395</v>
      </c>
      <c r="M257" s="70" t="s">
        <v>817</v>
      </c>
      <c r="N257" s="70" t="s">
        <v>818</v>
      </c>
      <c r="O257" s="70" t="s">
        <v>819</v>
      </c>
    </row>
    <row r="258" customFormat="false" ht="53.25" hidden="false" customHeight="true" outlineLevel="0" collapsed="false">
      <c r="A258" s="75"/>
      <c r="B258" s="75"/>
      <c r="C258" s="75"/>
      <c r="D258" s="75"/>
      <c r="E258" s="75"/>
      <c r="F258" s="75" t="s">
        <v>259</v>
      </c>
      <c r="G258" s="75" t="n">
        <f aca="false">COUNTIFS(Data!$B$2:$B$1833,$L258,Data!$C$2:$C$1833,$M258,Data!$D$2:$D$1833,$N258,Data!$E$2:$E$1833,$O258,Data!$F$2:$F$1833,$F258,Data!$H$2:$H$1833,1)</f>
        <v>1</v>
      </c>
      <c r="H258" s="75" t="n">
        <v>406</v>
      </c>
      <c r="I258" s="76" t="str">
        <f aca="false">INDEX(Data!$G$2:$G$1833,MATCH($H258,Data!$A$2:$A$1833,0))</f>
        <v>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v>
      </c>
      <c r="J258" s="77" t="s">
        <v>2658</v>
      </c>
      <c r="L258" s="70" t="s">
        <v>395</v>
      </c>
      <c r="M258" s="70" t="s">
        <v>817</v>
      </c>
      <c r="N258" s="70" t="s">
        <v>818</v>
      </c>
      <c r="O258" s="70" t="s">
        <v>819</v>
      </c>
    </row>
    <row r="259" customFormat="false" ht="53.25" hidden="false" customHeight="true" outlineLevel="0" collapsed="false">
      <c r="A259" s="75"/>
      <c r="B259" s="75"/>
      <c r="C259" s="75"/>
      <c r="D259" s="75"/>
      <c r="E259" s="75"/>
      <c r="F259" s="75" t="s">
        <v>36</v>
      </c>
      <c r="G259" s="75" t="n">
        <f aca="false">COUNTIFS(Data!$B$2:$B$1833,$L259,Data!$C$2:$C$1833,$M259,Data!$D$2:$D$1833,$N259,Data!$E$2:$E$1833,$O259,Data!$F$2:$F$1833,$F259,Data!$H$2:$H$1833,1)</f>
        <v>1</v>
      </c>
      <c r="H259" s="75" t="n">
        <v>405</v>
      </c>
      <c r="I259" s="76" t="str">
        <f aca="false">INDEX(Data!$G$2:$G$1833,MATCH($H259,Data!$A$2:$A$1833,0))</f>
        <v>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v>
      </c>
      <c r="J259" s="77" t="s">
        <v>2659</v>
      </c>
      <c r="L259" s="70" t="s">
        <v>395</v>
      </c>
      <c r="M259" s="70" t="s">
        <v>817</v>
      </c>
      <c r="N259" s="70" t="s">
        <v>818</v>
      </c>
      <c r="O259" s="70" t="s">
        <v>819</v>
      </c>
    </row>
    <row r="260" customFormat="false" ht="53.25" hidden="false" customHeight="true" outlineLevel="0" collapsed="false">
      <c r="A260" s="75"/>
      <c r="B260" s="75"/>
      <c r="C260" s="75"/>
      <c r="D260" s="75"/>
      <c r="E260" s="75"/>
      <c r="F260" s="75" t="s">
        <v>74</v>
      </c>
      <c r="G260" s="75" t="n">
        <f aca="false">COUNTIFS(Data!$B$2:$B$1833,$L260,Data!$C$2:$C$1833,$M260,Data!$D$2:$D$1833,$N260,Data!$E$2:$E$1833,$O260,Data!$F$2:$F$1833,$F260,Data!$H$2:$H$1833,1)</f>
        <v>1</v>
      </c>
      <c r="H260" s="75" t="n">
        <v>404</v>
      </c>
      <c r="I260" s="76" t="str">
        <f aca="false">INDEX(Data!$G$2:$G$1833,MATCH($H260,Data!$A$2:$A$1833,0))</f>
        <v>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v>
      </c>
      <c r="J260" s="77" t="s">
        <v>2660</v>
      </c>
      <c r="L260" s="70" t="s">
        <v>395</v>
      </c>
      <c r="M260" s="70" t="s">
        <v>817</v>
      </c>
      <c r="N260" s="70" t="s">
        <v>818</v>
      </c>
      <c r="O260" s="70" t="s">
        <v>819</v>
      </c>
    </row>
    <row r="261" customFormat="false" ht="53.25" hidden="false" customHeight="true" outlineLevel="0" collapsed="false">
      <c r="A261" s="75"/>
      <c r="B261" s="75"/>
      <c r="C261" s="75"/>
      <c r="D261" s="75"/>
      <c r="E261" s="75"/>
      <c r="F261" s="75" t="s">
        <v>331</v>
      </c>
      <c r="G261" s="75" t="n">
        <f aca="false">COUNTIFS(Data!$B$2:$B$1833,$L261,Data!$C$2:$C$1833,$M261,Data!$D$2:$D$1833,$N261,Data!$E$2:$E$1833,$O261,Data!$F$2:$F$1833,$F261,Data!$H$2:$H$1833,1)</f>
        <v>1</v>
      </c>
      <c r="H261" s="75" t="n">
        <v>403</v>
      </c>
      <c r="I261" s="76" t="str">
        <f aca="false">INDEX(Data!$G$2:$G$1833,MATCH($H261,Data!$A$2:$A$1833,0))</f>
        <v>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v>
      </c>
      <c r="J261" s="77" t="s">
        <v>2661</v>
      </c>
      <c r="L261" s="70" t="s">
        <v>395</v>
      </c>
      <c r="M261" s="70" t="s">
        <v>817</v>
      </c>
      <c r="N261" s="70" t="s">
        <v>818</v>
      </c>
      <c r="O261" s="70" t="s">
        <v>819</v>
      </c>
    </row>
    <row r="262" customFormat="false" ht="26.25" hidden="false" customHeight="true" outlineLevel="0" collapsed="false">
      <c r="A262" s="67" t="str">
        <f aca="false">IFERROR(INDEX(対訳マスタ!$C$2:$C$136,MATCH($L262,対訳マスタ!$B$2:$B$136,0)),$L262)</f>
        <v>コミュニケーション言語活動</v>
      </c>
      <c r="B262" s="67" t="str">
        <f aca="false">IF($M262="—","—",IFERROR(INDEX(対訳マスタ!$C$2:$C$136,MATCH($M262,対訳マスタ!$B$2:$B$136,0)),$M262))</f>
        <v>相互行為</v>
      </c>
      <c r="C262" s="67" t="str">
        <f aca="false">IF($N262="—","—",IFERROR(INDEX(対訳マスタ!$C$2:$C$136,MATCH($N262,対訳マスタ!$B$2:$B$136,0)),$N262))</f>
        <v>口頭の相互行為</v>
      </c>
      <c r="D262" s="67" t="str">
        <f aca="false">IFERROR(INDEX(対訳マスタ!$C$2:$C$136,MATCH($O262,対訳マスタ!$B$2:$B$136,0)),$O262)</f>
        <v>対話相手の理解</v>
      </c>
      <c r="E262" s="67" t="s">
        <v>830</v>
      </c>
      <c r="F262" s="67" t="s">
        <v>86</v>
      </c>
      <c r="G262" s="67" t="n">
        <f aca="false">COUNTIFS(Data!$B$2:$B$1833,$L262,Data!$C$2:$C$1833,$M262,Data!$D$2:$D$1833,$N262,Data!$E$2:$E$1833,$O262,Data!$F$2:$F$1833,$F262,Data!$H$2:$H$1833,1)</f>
        <v>3</v>
      </c>
      <c r="H262" s="67" t="n">
        <v>422</v>
      </c>
      <c r="I262" s="68" t="str">
        <f aca="false">INDEX(Data!$G$2:$G$1833,MATCH($H262,Data!$A$2:$A$1833,0))</f>
        <v>Can understand simple questions that directly concern them (e.g. name, age and address), if the person is asking slowly and clearly.</v>
      </c>
      <c r="J262" s="69" t="s">
        <v>2662</v>
      </c>
      <c r="L262" s="70" t="s">
        <v>395</v>
      </c>
      <c r="M262" s="70" t="s">
        <v>817</v>
      </c>
      <c r="N262" s="70" t="s">
        <v>818</v>
      </c>
      <c r="O262" s="70" t="s">
        <v>830</v>
      </c>
    </row>
    <row r="263" customFormat="false" ht="26.25" hidden="false" customHeight="true" outlineLevel="0" collapsed="false">
      <c r="A263" s="70"/>
      <c r="B263" s="70"/>
      <c r="C263" s="70"/>
      <c r="D263" s="70"/>
      <c r="E263" s="70"/>
      <c r="F263" s="70" t="s">
        <v>101</v>
      </c>
      <c r="G263" s="70" t="n">
        <f aca="false">COUNTIFS(Data!$B$2:$B$1833,$L263,Data!$C$2:$C$1833,$M263,Data!$D$2:$D$1833,$N263,Data!$E$2:$E$1833,$O263,Data!$F$2:$F$1833,$F263,Data!$H$2:$H$1833,1)</f>
        <v>2</v>
      </c>
      <c r="H263" s="70" t="n">
        <v>421</v>
      </c>
      <c r="I263" s="31" t="str">
        <f aca="false">INDEX(Data!$G$2:$G$1833,MATCH($H263,Data!$A$2:$A$1833,0))</f>
        <v>Can understand questions and instructions addressed carefully and slowly to them and follow short, simple directions.</v>
      </c>
      <c r="J263" s="71" t="s">
        <v>2663</v>
      </c>
      <c r="L263" s="70" t="s">
        <v>395</v>
      </c>
      <c r="M263" s="70" t="s">
        <v>817</v>
      </c>
      <c r="N263" s="70" t="s">
        <v>818</v>
      </c>
      <c r="O263" s="70" t="s">
        <v>830</v>
      </c>
    </row>
    <row r="264" customFormat="false" ht="32.25" hidden="false" customHeight="true" outlineLevel="0" collapsed="false">
      <c r="A264" s="70"/>
      <c r="B264" s="70"/>
      <c r="C264" s="70"/>
      <c r="D264" s="70"/>
      <c r="E264" s="70"/>
      <c r="F264" s="70" t="s">
        <v>13</v>
      </c>
      <c r="G264" s="70" t="n">
        <f aca="false">COUNTIFS(Data!$B$2:$B$1833,$L264,Data!$C$2:$C$1833,$M264,Data!$D$2:$D$1833,$N264,Data!$E$2:$E$1833,$O264,Data!$F$2:$F$1833,$F264,Data!$H$2:$H$1833,1)</f>
        <v>1</v>
      </c>
      <c r="H264" s="70" t="n">
        <v>419</v>
      </c>
      <c r="I264" s="31" t="str">
        <f aca="false">INDEX(Data!$G$2:$G$1833,MATCH($H264,Data!$A$2:$A$1833,0))</f>
        <v>Can understand what is said clearly, slowly and directly to them in simple everyday conversation; can be made to understand, if the interlocutor can take the trouble.</v>
      </c>
      <c r="J264" s="71" t="s">
        <v>2664</v>
      </c>
      <c r="L264" s="70" t="s">
        <v>395</v>
      </c>
      <c r="M264" s="70" t="s">
        <v>817</v>
      </c>
      <c r="N264" s="70" t="s">
        <v>818</v>
      </c>
      <c r="O264" s="70" t="s">
        <v>830</v>
      </c>
    </row>
    <row r="265" customFormat="false" ht="21.75" hidden="false" customHeight="true" outlineLevel="0" collapsed="false">
      <c r="A265" s="70"/>
      <c r="B265" s="70"/>
      <c r="C265" s="70"/>
      <c r="D265" s="70"/>
      <c r="E265" s="70"/>
      <c r="F265" s="70" t="s">
        <v>123</v>
      </c>
      <c r="G265" s="70" t="n">
        <f aca="false">COUNTIFS(Data!$B$2:$B$1833,$L265,Data!$C$2:$C$1833,$M265,Data!$D$2:$D$1833,$N265,Data!$E$2:$E$1833,$O265,Data!$F$2:$F$1833,$F265,Data!$H$2:$H$1833,1)</f>
        <v>2</v>
      </c>
      <c r="H265" s="70" t="n">
        <v>417</v>
      </c>
      <c r="I265" s="31" t="str">
        <f aca="false">INDEX(Data!$G$2:$G$1833,MATCH($H265,Data!$A$2:$A$1833,0))</f>
        <v>Can understand enough to manage simple, routine exchanges without undue effort.</v>
      </c>
      <c r="J265" s="71" t="s">
        <v>2665</v>
      </c>
      <c r="L265" s="70" t="s">
        <v>395</v>
      </c>
      <c r="M265" s="70" t="s">
        <v>817</v>
      </c>
      <c r="N265" s="70" t="s">
        <v>818</v>
      </c>
      <c r="O265" s="70" t="s">
        <v>830</v>
      </c>
    </row>
    <row r="266" customFormat="false" ht="32.25" hidden="false" customHeight="true" outlineLevel="0" collapsed="false">
      <c r="A266" s="70"/>
      <c r="B266" s="70"/>
      <c r="C266" s="70"/>
      <c r="D266" s="70"/>
      <c r="E266" s="70"/>
      <c r="F266" s="70" t="s">
        <v>21</v>
      </c>
      <c r="G266" s="70" t="n">
        <f aca="false">COUNTIFS(Data!$B$2:$B$1833,$L266,Data!$C$2:$C$1833,$M266,Data!$D$2:$D$1833,$N266,Data!$E$2:$E$1833,$O266,Data!$F$2:$F$1833,$F266,Data!$H$2:$H$1833,1)</f>
        <v>1</v>
      </c>
      <c r="H266" s="70" t="n">
        <v>416</v>
      </c>
      <c r="I266" s="31" t="str">
        <f aca="false">INDEX(Data!$G$2:$G$1833,MATCH($H266,Data!$A$2:$A$1833,0))</f>
        <v>Can follow clearly articulated speech/sign directed at them in everyday conversation, though will sometimes have to ask for repetition of particular words/signs and phrases.</v>
      </c>
      <c r="J266" s="71" t="s">
        <v>2666</v>
      </c>
      <c r="L266" s="70" t="s">
        <v>395</v>
      </c>
      <c r="M266" s="70" t="s">
        <v>817</v>
      </c>
      <c r="N266" s="70" t="s">
        <v>818</v>
      </c>
      <c r="O266" s="70" t="s">
        <v>830</v>
      </c>
    </row>
    <row r="267" customFormat="false" ht="15" hidden="false" customHeight="true" outlineLevel="0" collapsed="false">
      <c r="A267" s="70"/>
      <c r="B267" s="70"/>
      <c r="C267" s="70"/>
      <c r="D267" s="70"/>
      <c r="E267" s="70"/>
      <c r="F267" s="70" t="s">
        <v>52</v>
      </c>
      <c r="G267" s="70" t="n">
        <f aca="false">COUNTIFS(Data!$B$2:$B$1833,$L267,Data!$C$2:$C$1833,$M267,Data!$D$2:$D$1833,$N267,Data!$E$2:$E$1833,$O267,Data!$F$2:$F$1833,$F267,Data!$H$2:$H$1833,1)</f>
        <v>0</v>
      </c>
      <c r="H267" s="70" t="s">
        <v>624</v>
      </c>
      <c r="I267" s="31" t="s">
        <v>624</v>
      </c>
      <c r="J267" s="31" t="s">
        <v>624</v>
      </c>
      <c r="L267" s="70" t="s">
        <v>395</v>
      </c>
      <c r="M267" s="70" t="s">
        <v>817</v>
      </c>
      <c r="N267" s="70" t="s">
        <v>818</v>
      </c>
      <c r="O267" s="70" t="s">
        <v>830</v>
      </c>
    </row>
    <row r="268" customFormat="false" ht="26.25" hidden="false" customHeight="true" outlineLevel="0" collapsed="false">
      <c r="A268" s="70"/>
      <c r="B268" s="70"/>
      <c r="C268" s="70"/>
      <c r="D268" s="70"/>
      <c r="E268" s="70"/>
      <c r="F268" s="70" t="s">
        <v>259</v>
      </c>
      <c r="G268" s="70" t="n">
        <f aca="false">COUNTIFS(Data!$B$2:$B$1833,$L268,Data!$C$2:$C$1833,$M268,Data!$D$2:$D$1833,$N268,Data!$E$2:$E$1833,$O268,Data!$F$2:$F$1833,$F268,Data!$H$2:$H$1833,1)</f>
        <v>1</v>
      </c>
      <c r="H268" s="70" t="n">
        <v>415</v>
      </c>
      <c r="I268" s="31" t="str">
        <f aca="false">INDEX(Data!$G$2:$G$1833,MATCH($H268,Data!$A$2:$A$1833,0))</f>
        <v>Can understand in detail what is said to them in the standard language or a familiar variety even in a [audially/visually] noisy environment.</v>
      </c>
      <c r="J268" s="71" t="s">
        <v>2667</v>
      </c>
      <c r="L268" s="70" t="s">
        <v>395</v>
      </c>
      <c r="M268" s="70" t="s">
        <v>817</v>
      </c>
      <c r="N268" s="70" t="s">
        <v>818</v>
      </c>
      <c r="O268" s="70" t="s">
        <v>830</v>
      </c>
    </row>
    <row r="269" customFormat="false" ht="15" hidden="false" customHeight="true" outlineLevel="0" collapsed="false">
      <c r="A269" s="70"/>
      <c r="B269" s="70"/>
      <c r="C269" s="70"/>
      <c r="D269" s="70"/>
      <c r="E269" s="70"/>
      <c r="F269" s="70" t="s">
        <v>36</v>
      </c>
      <c r="G269" s="70" t="n">
        <f aca="false">COUNTIFS(Data!$B$2:$B$1833,$L269,Data!$C$2:$C$1833,$M269,Data!$D$2:$D$1833,$N269,Data!$E$2:$E$1833,$O269,Data!$F$2:$F$1833,$F269,Data!$H$2:$H$1833,1)</f>
        <v>0</v>
      </c>
      <c r="H269" s="70" t="s">
        <v>624</v>
      </c>
      <c r="I269" s="31" t="s">
        <v>624</v>
      </c>
      <c r="J269" s="31" t="s">
        <v>624</v>
      </c>
      <c r="L269" s="70" t="s">
        <v>395</v>
      </c>
      <c r="M269" s="70" t="s">
        <v>817</v>
      </c>
      <c r="N269" s="70" t="s">
        <v>818</v>
      </c>
      <c r="O269" s="70" t="s">
        <v>830</v>
      </c>
    </row>
    <row r="270" customFormat="false" ht="39" hidden="false" customHeight="true" outlineLevel="0" collapsed="false">
      <c r="A270" s="70"/>
      <c r="B270" s="70"/>
      <c r="C270" s="70"/>
      <c r="D270" s="70"/>
      <c r="E270" s="70"/>
      <c r="F270" s="70" t="s">
        <v>74</v>
      </c>
      <c r="G270" s="70" t="n">
        <f aca="false">COUNTIFS(Data!$B$2:$B$1833,$L270,Data!$C$2:$C$1833,$M270,Data!$D$2:$D$1833,$N270,Data!$E$2:$E$1833,$O270,Data!$F$2:$F$1833,$F270,Data!$H$2:$H$1833,1)</f>
        <v>1</v>
      </c>
      <c r="H270" s="70" t="n">
        <v>414</v>
      </c>
      <c r="I270" s="31" t="str">
        <f aca="false">INDEX(Data!$G$2:$G$1833,MATCH($H270,Data!$A$2:$A$1833,0))</f>
        <v>Can understand an interlocutor in detail on abstract and complex topics of a specialist nature beyond their own field, though they may need to confirm occasional details, especially if the variety is unfamiliar.</v>
      </c>
      <c r="J270" s="71" t="s">
        <v>2668</v>
      </c>
      <c r="L270" s="70" t="s">
        <v>395</v>
      </c>
      <c r="M270" s="70" t="s">
        <v>817</v>
      </c>
      <c r="N270" s="70" t="s">
        <v>818</v>
      </c>
      <c r="O270" s="70" t="s">
        <v>830</v>
      </c>
    </row>
    <row r="271" customFormat="false" ht="32.25" hidden="false" customHeight="true" outlineLevel="0" collapsed="false">
      <c r="A271" s="70"/>
      <c r="B271" s="70"/>
      <c r="C271" s="70"/>
      <c r="D271" s="70"/>
      <c r="E271" s="70"/>
      <c r="F271" s="70" t="s">
        <v>331</v>
      </c>
      <c r="G271" s="70" t="n">
        <f aca="false">COUNTIFS(Data!$B$2:$B$1833,$L271,Data!$C$2:$C$1833,$M271,Data!$D$2:$D$1833,$N271,Data!$E$2:$E$1833,$O271,Data!$F$2:$F$1833,$F271,Data!$H$2:$H$1833,1)</f>
        <v>1</v>
      </c>
      <c r="H271" s="70" t="n">
        <v>413</v>
      </c>
      <c r="I271" s="31" t="str">
        <f aca="false">INDEX(Data!$G$2:$G$1833,MATCH($H271,Data!$A$2:$A$1833,0))</f>
        <v>Can understand any interlocutor, even on abstract and complex topics of a specialist nature beyond their own field, given an opportunity to adjust to a less familiar variety.</v>
      </c>
      <c r="J271" s="71" t="s">
        <v>2669</v>
      </c>
      <c r="L271" s="70" t="s">
        <v>395</v>
      </c>
      <c r="M271" s="70" t="s">
        <v>817</v>
      </c>
      <c r="N271" s="70" t="s">
        <v>818</v>
      </c>
      <c r="O271" s="70" t="s">
        <v>830</v>
      </c>
    </row>
    <row r="272" customFormat="false" ht="15" hidden="false" customHeight="true" outlineLevel="0" collapsed="false">
      <c r="A272" s="73" t="str">
        <f aca="false">IFERROR(INDEX(対訳マスタ!$C$2:$C$136,MATCH($L272,対訳マスタ!$B$2:$B$136,0)),$L272)</f>
        <v>コミュニケーション言語活動</v>
      </c>
      <c r="B272" s="73" t="str">
        <f aca="false">IF($M272="—","—",IFERROR(INDEX(対訳マスタ!$C$2:$C$136,MATCH($M272,対訳マスタ!$B$2:$B$136,0)),$M272))</f>
        <v>相互行為</v>
      </c>
      <c r="C272" s="73" t="str">
        <f aca="false">IF($N272="—","—",IFERROR(INDEX(対訳マスタ!$C$2:$C$136,MATCH($N272,対訳マスタ!$B$2:$B$136,0)),$N272))</f>
        <v>口頭の相互行為</v>
      </c>
      <c r="D272" s="73" t="str">
        <f aca="false">IFERROR(INDEX(対訳マスタ!$C$2:$C$136,MATCH($O272,対訳マスタ!$B$2:$B$136,0)),$O272)</f>
        <v>会話（社交的な会話）</v>
      </c>
      <c r="E272" s="73" t="s">
        <v>843</v>
      </c>
      <c r="F272" s="73" t="s">
        <v>86</v>
      </c>
      <c r="G272" s="73" t="n">
        <f aca="false">COUNTIFS(Data!$B$2:$B$1833,$L272,Data!$C$2:$C$1833,$M272,Data!$D$2:$D$1833,$N272,Data!$E$2:$E$1833,$O272,Data!$F$2:$F$1833,$F272,Data!$H$2:$H$1833,1)</f>
        <v>3</v>
      </c>
      <c r="H272" s="73" t="n">
        <v>454</v>
      </c>
      <c r="I272" s="74" t="str">
        <f aca="false">INDEX(Data!$G$2:$G$1833,MATCH($H272,Data!$A$2:$A$1833,0))</f>
        <v>Can recognise simple greetings.</v>
      </c>
      <c r="J272" s="78" t="s">
        <v>2670</v>
      </c>
      <c r="L272" s="70" t="s">
        <v>395</v>
      </c>
      <c r="M272" s="70" t="s">
        <v>817</v>
      </c>
      <c r="N272" s="70" t="s">
        <v>818</v>
      </c>
      <c r="O272" s="70" t="s">
        <v>843</v>
      </c>
    </row>
    <row r="273" customFormat="false" ht="15" hidden="false" customHeight="true" outlineLevel="0" collapsed="false">
      <c r="A273" s="75"/>
      <c r="B273" s="75"/>
      <c r="C273" s="75"/>
      <c r="D273" s="75"/>
      <c r="E273" s="75"/>
      <c r="F273" s="75" t="s">
        <v>101</v>
      </c>
      <c r="G273" s="75" t="n">
        <f aca="false">COUNTIFS(Data!$B$2:$B$1833,$L273,Data!$C$2:$C$1833,$M273,Data!$D$2:$D$1833,$N273,Data!$E$2:$E$1833,$O273,Data!$F$2:$F$1833,$F273,Data!$H$2:$H$1833,1)</f>
        <v>4</v>
      </c>
      <c r="H273" s="75" t="n">
        <v>452</v>
      </c>
      <c r="I273" s="76" t="str">
        <f aca="false">INDEX(Data!$G$2:$G$1833,MATCH($H273,Data!$A$2:$A$1833,0))</f>
        <v>Can ask how people are and react to news.</v>
      </c>
      <c r="J273" s="77" t="s">
        <v>110</v>
      </c>
      <c r="L273" s="70" t="s">
        <v>395</v>
      </c>
      <c r="M273" s="70" t="s">
        <v>817</v>
      </c>
      <c r="N273" s="70" t="s">
        <v>818</v>
      </c>
      <c r="O273" s="70" t="s">
        <v>843</v>
      </c>
    </row>
    <row r="274" customFormat="false" ht="15" hidden="false" customHeight="true" outlineLevel="0" collapsed="false">
      <c r="A274" s="75"/>
      <c r="B274" s="75"/>
      <c r="C274" s="75"/>
      <c r="D274" s="75"/>
      <c r="E274" s="75"/>
      <c r="F274" s="75" t="s">
        <v>13</v>
      </c>
      <c r="G274" s="75" t="n">
        <f aca="false">COUNTIFS(Data!$B$2:$B$1833,$L274,Data!$C$2:$C$1833,$M274,Data!$D$2:$D$1833,$N274,Data!$E$2:$E$1833,$O274,Data!$F$2:$F$1833,$F274,Data!$H$2:$H$1833,1)</f>
        <v>6</v>
      </c>
      <c r="H274" s="75" t="n">
        <v>448</v>
      </c>
      <c r="I274" s="76" t="str">
        <f aca="false">INDEX(Data!$G$2:$G$1833,MATCH($H274,Data!$A$2:$A$1833,0))</f>
        <v>Can state what they like and dislike.</v>
      </c>
      <c r="J274" s="77" t="s">
        <v>2671</v>
      </c>
      <c r="L274" s="70" t="s">
        <v>395</v>
      </c>
      <c r="M274" s="70" t="s">
        <v>817</v>
      </c>
      <c r="N274" s="70" t="s">
        <v>818</v>
      </c>
      <c r="O274" s="70" t="s">
        <v>843</v>
      </c>
    </row>
    <row r="275" customFormat="false" ht="15" hidden="false" customHeight="true" outlineLevel="0" collapsed="false">
      <c r="A275" s="75"/>
      <c r="B275" s="75"/>
      <c r="C275" s="75"/>
      <c r="D275" s="75"/>
      <c r="E275" s="75"/>
      <c r="F275" s="75" t="s">
        <v>123</v>
      </c>
      <c r="G275" s="75" t="n">
        <f aca="false">COUNTIFS(Data!$B$2:$B$1833,$L275,Data!$C$2:$C$1833,$M275,Data!$D$2:$D$1833,$N275,Data!$E$2:$E$1833,$O275,Data!$F$2:$F$1833,$F275,Data!$H$2:$H$1833,1)</f>
        <v>5</v>
      </c>
      <c r="H275" s="75" t="n">
        <v>441</v>
      </c>
      <c r="I275" s="76" t="str">
        <f aca="false">INDEX(Data!$G$2:$G$1833,MATCH($H275,Data!$A$2:$A$1833,0))</f>
        <v>Can express how they feel in simple terms, and express thanks.</v>
      </c>
      <c r="J275" s="77" t="s">
        <v>2672</v>
      </c>
      <c r="L275" s="70" t="s">
        <v>395</v>
      </c>
      <c r="M275" s="70" t="s">
        <v>817</v>
      </c>
      <c r="N275" s="70" t="s">
        <v>818</v>
      </c>
      <c r="O275" s="70" t="s">
        <v>843</v>
      </c>
    </row>
    <row r="276" customFormat="false" ht="15" hidden="false" customHeight="true" outlineLevel="0" collapsed="false">
      <c r="A276" s="75"/>
      <c r="B276" s="75"/>
      <c r="C276" s="75"/>
      <c r="D276" s="75"/>
      <c r="E276" s="75"/>
      <c r="F276" s="75" t="s">
        <v>21</v>
      </c>
      <c r="G276" s="75" t="n">
        <f aca="false">COUNTIFS(Data!$B$2:$B$1833,$L276,Data!$C$2:$C$1833,$M276,Data!$D$2:$D$1833,$N276,Data!$E$2:$E$1833,$O276,Data!$F$2:$F$1833,$F276,Data!$H$2:$H$1833,1)</f>
        <v>4</v>
      </c>
      <c r="H276" s="75" t="n">
        <v>434</v>
      </c>
      <c r="I276" s="76" t="str">
        <f aca="false">INDEX(Data!$G$2:$G$1833,MATCH($H276,Data!$A$2:$A$1833,0))</f>
        <v>Can enter unprepared into conversations on familiar topics.</v>
      </c>
      <c r="J276" s="77" t="s">
        <v>2673</v>
      </c>
      <c r="L276" s="70" t="s">
        <v>395</v>
      </c>
      <c r="M276" s="70" t="s">
        <v>817</v>
      </c>
      <c r="N276" s="70" t="s">
        <v>818</v>
      </c>
      <c r="O276" s="70" t="s">
        <v>843</v>
      </c>
    </row>
    <row r="277" customFormat="false" ht="26.25" hidden="false" customHeight="true" outlineLevel="0" collapsed="false">
      <c r="A277" s="75"/>
      <c r="B277" s="75"/>
      <c r="C277" s="75"/>
      <c r="D277" s="75"/>
      <c r="E277" s="75"/>
      <c r="F277" s="75" t="s">
        <v>52</v>
      </c>
      <c r="G277" s="75" t="n">
        <f aca="false">COUNTIFS(Data!$B$2:$B$1833,$L277,Data!$C$2:$C$1833,$M277,Data!$D$2:$D$1833,$N277,Data!$E$2:$E$1833,$O277,Data!$F$2:$F$1833,$F277,Data!$H$2:$H$1833,1)</f>
        <v>2</v>
      </c>
      <c r="H277" s="75" t="n">
        <v>433</v>
      </c>
      <c r="I277" s="76" t="str">
        <f aca="false">INDEX(Data!$G$2:$G$1833,MATCH($H277,Data!$A$2:$A$1833,0))</f>
        <v>Can have relatively long conversations on subjects of common interest, provided the interlocutor makes an effort to support understanding.</v>
      </c>
      <c r="J277" s="77" t="s">
        <v>2674</v>
      </c>
      <c r="L277" s="70" t="s">
        <v>395</v>
      </c>
      <c r="M277" s="70" t="s">
        <v>817</v>
      </c>
      <c r="N277" s="70" t="s">
        <v>818</v>
      </c>
      <c r="O277" s="70" t="s">
        <v>843</v>
      </c>
    </row>
    <row r="278" customFormat="false" ht="21.75" hidden="false" customHeight="true" outlineLevel="0" collapsed="false">
      <c r="A278" s="75"/>
      <c r="B278" s="75"/>
      <c r="C278" s="75"/>
      <c r="D278" s="75"/>
      <c r="E278" s="75"/>
      <c r="F278" s="75" t="s">
        <v>259</v>
      </c>
      <c r="G278" s="75" t="n">
        <f aca="false">COUNTIFS(Data!$B$2:$B$1833,$L278,Data!$C$2:$C$1833,$M278,Data!$D$2:$D$1833,$N278,Data!$E$2:$E$1833,$O278,Data!$F$2:$F$1833,$F278,Data!$H$2:$H$1833,1)</f>
        <v>3</v>
      </c>
      <c r="H278" s="75" t="n">
        <v>431</v>
      </c>
      <c r="I278" s="76" t="str">
        <f aca="false">INDEX(Data!$G$2:$G$1833,MATCH($H278,Data!$A$2:$A$1833,0))</f>
        <v>Can convey degrees of emotion and highlight the personal significance of events and experiences.</v>
      </c>
      <c r="J278" s="77" t="s">
        <v>2675</v>
      </c>
      <c r="L278" s="70" t="s">
        <v>395</v>
      </c>
      <c r="M278" s="70" t="s">
        <v>817</v>
      </c>
      <c r="N278" s="70" t="s">
        <v>818</v>
      </c>
      <c r="O278" s="70" t="s">
        <v>843</v>
      </c>
    </row>
    <row r="279" customFormat="false" ht="32.25" hidden="false" customHeight="true" outlineLevel="0" collapsed="false">
      <c r="A279" s="75"/>
      <c r="B279" s="75"/>
      <c r="C279" s="75"/>
      <c r="D279" s="75"/>
      <c r="E279" s="75"/>
      <c r="F279" s="75" t="s">
        <v>36</v>
      </c>
      <c r="G279" s="75" t="n">
        <f aca="false">COUNTIFS(Data!$B$2:$B$1833,$L279,Data!$C$2:$C$1833,$M279,Data!$D$2:$D$1833,$N279,Data!$E$2:$E$1833,$O279,Data!$F$2:$F$1833,$F279,Data!$H$2:$H$1833,1)</f>
        <v>2</v>
      </c>
      <c r="H279" s="75" t="n">
        <v>428</v>
      </c>
      <c r="I279" s="76" t="str">
        <f aca="false">INDEX(Data!$G$2:$G$1833,MATCH($H279,Data!$A$2:$A$1833,0))</f>
        <v>Can indicate reservations and reluctance, state conditions when agreeing to requests or granting permission, and ask for understanding of their own position.</v>
      </c>
      <c r="J279" s="77" t="s">
        <v>2676</v>
      </c>
      <c r="L279" s="70" t="s">
        <v>395</v>
      </c>
      <c r="M279" s="70" t="s">
        <v>817</v>
      </c>
      <c r="N279" s="70" t="s">
        <v>818</v>
      </c>
      <c r="O279" s="70" t="s">
        <v>843</v>
      </c>
    </row>
    <row r="280" customFormat="false" ht="26.25" hidden="false" customHeight="true" outlineLevel="0" collapsed="false">
      <c r="A280" s="75"/>
      <c r="B280" s="75"/>
      <c r="C280" s="75"/>
      <c r="D280" s="75"/>
      <c r="E280" s="75"/>
      <c r="F280" s="75" t="s">
        <v>74</v>
      </c>
      <c r="G280" s="75" t="n">
        <f aca="false">COUNTIFS(Data!$B$2:$B$1833,$L280,Data!$C$2:$C$1833,$M280,Data!$D$2:$D$1833,$N280,Data!$E$2:$E$1833,$O280,Data!$F$2:$F$1833,$F280,Data!$H$2:$H$1833,1)</f>
        <v>1</v>
      </c>
      <c r="H280" s="75" t="n">
        <v>426</v>
      </c>
      <c r="I280" s="76" t="str">
        <f aca="false">INDEX(Data!$G$2:$G$1833,MATCH($H280,Data!$A$2:$A$1833,0))</f>
        <v>Can use language flexibly and effectively for social purposes, including emotional, allusive and joking usage.</v>
      </c>
      <c r="J280" s="77" t="s">
        <v>2677</v>
      </c>
      <c r="L280" s="70" t="s">
        <v>395</v>
      </c>
      <c r="M280" s="70" t="s">
        <v>817</v>
      </c>
      <c r="N280" s="70" t="s">
        <v>818</v>
      </c>
      <c r="O280" s="70" t="s">
        <v>843</v>
      </c>
    </row>
    <row r="281" customFormat="false" ht="26.25" hidden="false" customHeight="true" outlineLevel="0" collapsed="false">
      <c r="A281" s="75"/>
      <c r="B281" s="75"/>
      <c r="C281" s="75"/>
      <c r="D281" s="75"/>
      <c r="E281" s="75"/>
      <c r="F281" s="75" t="s">
        <v>331</v>
      </c>
      <c r="G281" s="75" t="n">
        <f aca="false">COUNTIFS(Data!$B$2:$B$1833,$L281,Data!$C$2:$C$1833,$M281,Data!$D$2:$D$1833,$N281,Data!$E$2:$E$1833,$O281,Data!$F$2:$F$1833,$F281,Data!$H$2:$H$1833,1)</f>
        <v>1</v>
      </c>
      <c r="H281" s="75" t="n">
        <v>425</v>
      </c>
      <c r="I281" s="76" t="str">
        <f aca="false">INDEX(Data!$G$2:$G$1833,MATCH($H281,Data!$A$2:$A$1833,0))</f>
        <v>Can converse comfortably and appropriately, unhampered by any linguistic limitations in conducting a full social and personal life.</v>
      </c>
      <c r="J281" s="77" t="s">
        <v>2678</v>
      </c>
      <c r="L281" s="70" t="s">
        <v>395</v>
      </c>
      <c r="M281" s="70" t="s">
        <v>817</v>
      </c>
      <c r="N281" s="70" t="s">
        <v>818</v>
      </c>
      <c r="O281" s="70" t="s">
        <v>843</v>
      </c>
    </row>
    <row r="282" customFormat="false" ht="15" hidden="false" customHeight="true" outlineLevel="0" collapsed="false">
      <c r="A282" s="67" t="str">
        <f aca="false">IFERROR(INDEX(対訳マスタ!$C$2:$C$136,MATCH($L282,対訳マスタ!$B$2:$B$136,0)),$L282)</f>
        <v>コミュニケーション言語活動</v>
      </c>
      <c r="B282" s="67" t="str">
        <f aca="false">IF($M282="—","—",IFERROR(INDEX(対訳マスタ!$C$2:$C$136,MATCH($M282,対訳マスタ!$B$2:$B$136,0)),$M282))</f>
        <v>相互行為</v>
      </c>
      <c r="C282" s="67" t="str">
        <f aca="false">IF($N282="—","—",IFERROR(INDEX(対訳マスタ!$C$2:$C$136,MATCH($N282,対訳マスタ!$B$2:$B$136,0)),$N282))</f>
        <v>口頭の相互行為</v>
      </c>
      <c r="D282" s="67" t="str">
        <f aca="false">IFERROR(INDEX(対訳マスタ!$C$2:$C$136,MATCH($O282,対訳マスタ!$B$2:$B$136,0)),$O282)</f>
        <v>インフォーマルな議論（友人と）</v>
      </c>
      <c r="E282" s="67" t="s">
        <v>869</v>
      </c>
      <c r="F282" s="67" t="s">
        <v>86</v>
      </c>
      <c r="G282" s="67" t="n">
        <f aca="false">COUNTIFS(Data!$B$2:$B$1833,$L282,Data!$C$2:$C$1833,$M282,Data!$D$2:$D$1833,$N282,Data!$E$2:$E$1833,$O282,Data!$F$2:$F$1833,$F282,Data!$H$2:$H$1833,1)</f>
        <v>0</v>
      </c>
      <c r="H282" s="67" t="s">
        <v>624</v>
      </c>
      <c r="I282" s="68" t="s">
        <v>624</v>
      </c>
      <c r="J282" s="68" t="s">
        <v>624</v>
      </c>
      <c r="L282" s="70" t="s">
        <v>395</v>
      </c>
      <c r="M282" s="70" t="s">
        <v>817</v>
      </c>
      <c r="N282" s="70" t="s">
        <v>818</v>
      </c>
      <c r="O282" s="70" t="s">
        <v>869</v>
      </c>
    </row>
    <row r="283" customFormat="false" ht="26.25" hidden="false" customHeight="true" outlineLevel="0" collapsed="false">
      <c r="A283" s="70"/>
      <c r="B283" s="70"/>
      <c r="C283" s="70"/>
      <c r="D283" s="70"/>
      <c r="E283" s="70"/>
      <c r="F283" s="70" t="s">
        <v>101</v>
      </c>
      <c r="G283" s="70" t="n">
        <f aca="false">COUNTIFS(Data!$B$2:$B$1833,$L283,Data!$C$2:$C$1833,$M283,Data!$D$2:$D$1833,$N283,Data!$E$2:$E$1833,$O283,Data!$F$2:$F$1833,$F283,Data!$H$2:$H$1833,1)</f>
        <v>1</v>
      </c>
      <c r="H283" s="70" t="n">
        <v>480</v>
      </c>
      <c r="I283" s="31" t="str">
        <f aca="false">INDEX(Data!$G$2:$G$1833,MATCH($H283,Data!$A$2:$A$1833,0))</f>
        <v>Can exchange likes and dislikes for sports, foods, etc., using a limited repertoire of expressions, when addressed clearly, slowly and directly.</v>
      </c>
      <c r="J283" s="71" t="s">
        <v>2679</v>
      </c>
      <c r="L283" s="70" t="s">
        <v>395</v>
      </c>
      <c r="M283" s="70" t="s">
        <v>817</v>
      </c>
      <c r="N283" s="70" t="s">
        <v>818</v>
      </c>
      <c r="O283" s="70" t="s">
        <v>869</v>
      </c>
    </row>
    <row r="284" customFormat="false" ht="15" hidden="false" customHeight="true" outlineLevel="0" collapsed="false">
      <c r="A284" s="70"/>
      <c r="B284" s="70"/>
      <c r="C284" s="70"/>
      <c r="D284" s="70"/>
      <c r="E284" s="70"/>
      <c r="F284" s="70" t="s">
        <v>13</v>
      </c>
      <c r="G284" s="70" t="n">
        <f aca="false">COUNTIFS(Data!$B$2:$B$1833,$L284,Data!$C$2:$C$1833,$M284,Data!$D$2:$D$1833,$N284,Data!$E$2:$E$1833,$O284,Data!$F$2:$F$1833,$F284,Data!$H$2:$H$1833,1)</f>
        <v>3</v>
      </c>
      <c r="H284" s="70" t="n">
        <v>479</v>
      </c>
      <c r="I284" s="31" t="str">
        <f aca="false">INDEX(Data!$G$2:$G$1833,MATCH($H284,Data!$A$2:$A$1833,0))</f>
        <v>Can express opinions in a limited way.</v>
      </c>
      <c r="J284" s="71" t="s">
        <v>2680</v>
      </c>
      <c r="L284" s="70" t="s">
        <v>395</v>
      </c>
      <c r="M284" s="70" t="s">
        <v>817</v>
      </c>
      <c r="N284" s="70" t="s">
        <v>818</v>
      </c>
      <c r="O284" s="70" t="s">
        <v>869</v>
      </c>
    </row>
    <row r="285" customFormat="false" ht="15" hidden="false" customHeight="true" outlineLevel="0" collapsed="false">
      <c r="A285" s="70"/>
      <c r="B285" s="70"/>
      <c r="C285" s="70"/>
      <c r="D285" s="70"/>
      <c r="E285" s="70"/>
      <c r="F285" s="70" t="s">
        <v>123</v>
      </c>
      <c r="G285" s="70" t="n">
        <f aca="false">COUNTIFS(Data!$B$2:$B$1833,$L285,Data!$C$2:$C$1833,$M285,Data!$D$2:$D$1833,$N285,Data!$E$2:$E$1833,$O285,Data!$F$2:$F$1833,$F285,Data!$H$2:$H$1833,1)</f>
        <v>5</v>
      </c>
      <c r="H285" s="70" t="n">
        <v>476</v>
      </c>
      <c r="I285" s="31" t="str">
        <f aca="false">INDEX(Data!$G$2:$G$1833,MATCH($H285,Data!$A$2:$A$1833,0))</f>
        <v>Can agree and disagree with others.</v>
      </c>
      <c r="J285" s="71" t="s">
        <v>2681</v>
      </c>
      <c r="L285" s="70" t="s">
        <v>395</v>
      </c>
      <c r="M285" s="70" t="s">
        <v>817</v>
      </c>
      <c r="N285" s="70" t="s">
        <v>818</v>
      </c>
      <c r="O285" s="70" t="s">
        <v>869</v>
      </c>
    </row>
    <row r="286" customFormat="false" ht="15" hidden="false" customHeight="true" outlineLevel="0" collapsed="false">
      <c r="A286" s="70"/>
      <c r="B286" s="70"/>
      <c r="C286" s="70"/>
      <c r="D286" s="70"/>
      <c r="E286" s="70"/>
      <c r="F286" s="70" t="s">
        <v>21</v>
      </c>
      <c r="G286" s="70" t="n">
        <f aca="false">COUNTIFS(Data!$B$2:$B$1833,$L286,Data!$C$2:$C$1833,$M286,Data!$D$2:$D$1833,$N286,Data!$E$2:$E$1833,$O286,Data!$F$2:$F$1833,$F286,Data!$H$2:$H$1833,1)</f>
        <v>4</v>
      </c>
      <c r="H286" s="70" t="n">
        <v>471</v>
      </c>
      <c r="I286" s="31" t="str">
        <f aca="false">INDEX(Data!$G$2:$G$1833,MATCH($H286,Data!$A$2:$A$1833,0))</f>
        <v>Can express beliefs, opinions and agreement and disagreement politely.</v>
      </c>
      <c r="J286" s="71" t="s">
        <v>2682</v>
      </c>
      <c r="L286" s="70" t="s">
        <v>395</v>
      </c>
      <c r="M286" s="70" t="s">
        <v>817</v>
      </c>
      <c r="N286" s="70" t="s">
        <v>818</v>
      </c>
      <c r="O286" s="70" t="s">
        <v>869</v>
      </c>
    </row>
    <row r="287" customFormat="false" ht="15" hidden="false" customHeight="true" outlineLevel="0" collapsed="false">
      <c r="A287" s="70"/>
      <c r="B287" s="70"/>
      <c r="C287" s="70"/>
      <c r="D287" s="70"/>
      <c r="E287" s="70"/>
      <c r="F287" s="70" t="s">
        <v>52</v>
      </c>
      <c r="G287" s="70" t="n">
        <f aca="false">COUNTIFS(Data!$B$2:$B$1833,$L287,Data!$C$2:$C$1833,$M287,Data!$D$2:$D$1833,$N287,Data!$E$2:$E$1833,$O287,Data!$F$2:$F$1833,$F287,Data!$H$2:$H$1833,1)</f>
        <v>5</v>
      </c>
      <c r="H287" s="70" t="n">
        <v>465</v>
      </c>
      <c r="I287" s="31" t="str">
        <f aca="false">INDEX(Data!$G$2:$G$1833,MATCH($H287,Data!$A$2:$A$1833,0))</f>
        <v>Can explain why something is a problem.</v>
      </c>
      <c r="J287" s="71" t="s">
        <v>2683</v>
      </c>
      <c r="L287" s="70" t="s">
        <v>395</v>
      </c>
      <c r="M287" s="70" t="s">
        <v>817</v>
      </c>
      <c r="N287" s="70" t="s">
        <v>818</v>
      </c>
      <c r="O287" s="70" t="s">
        <v>869</v>
      </c>
    </row>
    <row r="288" customFormat="false" ht="26.25" hidden="false" customHeight="true" outlineLevel="0" collapsed="false">
      <c r="A288" s="70"/>
      <c r="B288" s="70"/>
      <c r="C288" s="70"/>
      <c r="D288" s="70"/>
      <c r="E288" s="70"/>
      <c r="F288" s="70" t="s">
        <v>259</v>
      </c>
      <c r="G288" s="70" t="n">
        <f aca="false">COUNTIFS(Data!$B$2:$B$1833,$L288,Data!$C$2:$C$1833,$M288,Data!$D$2:$D$1833,$N288,Data!$E$2:$E$1833,$O288,Data!$F$2:$F$1833,$F288,Data!$H$2:$H$1833,1)</f>
        <v>3</v>
      </c>
      <c r="H288" s="70" t="n">
        <v>462</v>
      </c>
      <c r="I288" s="31" t="str">
        <f aca="false">INDEX(Data!$G$2:$G$1833,MATCH($H288,Data!$A$2:$A$1833,0))</f>
        <v>Can account for and sustain their opinions in discussion by providing relevant explanations, arguments and comments.</v>
      </c>
      <c r="J288" s="71" t="s">
        <v>261</v>
      </c>
      <c r="L288" s="70" t="s">
        <v>395</v>
      </c>
      <c r="M288" s="70" t="s">
        <v>817</v>
      </c>
      <c r="N288" s="70" t="s">
        <v>818</v>
      </c>
      <c r="O288" s="70" t="s">
        <v>869</v>
      </c>
    </row>
    <row r="289" customFormat="false" ht="21.75" hidden="false" customHeight="true" outlineLevel="0" collapsed="false">
      <c r="A289" s="70"/>
      <c r="B289" s="70"/>
      <c r="C289" s="70"/>
      <c r="D289" s="70"/>
      <c r="E289" s="70"/>
      <c r="F289" s="70" t="s">
        <v>36</v>
      </c>
      <c r="G289" s="70" t="n">
        <f aca="false">COUNTIFS(Data!$B$2:$B$1833,$L289,Data!$C$2:$C$1833,$M289,Data!$D$2:$D$1833,$N289,Data!$E$2:$E$1833,$O289,Data!$F$2:$F$1833,$F289,Data!$H$2:$H$1833,1)</f>
        <v>2</v>
      </c>
      <c r="H289" s="70" t="n">
        <v>458</v>
      </c>
      <c r="I289" s="31" t="str">
        <f aca="false">INDEX(Data!$G$2:$G$1833,MATCH($H289,Data!$A$2:$A$1833,0))</f>
        <v>Can keep up with an animated discussion between proficient users of the target language.</v>
      </c>
      <c r="J289" s="71" t="s">
        <v>2684</v>
      </c>
      <c r="L289" s="70" t="s">
        <v>395</v>
      </c>
      <c r="M289" s="70" t="s">
        <v>817</v>
      </c>
      <c r="N289" s="70" t="s">
        <v>818</v>
      </c>
      <c r="O289" s="70" t="s">
        <v>869</v>
      </c>
    </row>
    <row r="290" customFormat="false" ht="26.25" hidden="false" customHeight="true" outlineLevel="0" collapsed="false">
      <c r="A290" s="70"/>
      <c r="B290" s="70"/>
      <c r="C290" s="70"/>
      <c r="D290" s="70"/>
      <c r="E290" s="70"/>
      <c r="F290" s="70" t="s">
        <v>74</v>
      </c>
      <c r="G290" s="70" t="n">
        <f aca="false">COUNTIFS(Data!$B$2:$B$1833,$L290,Data!$C$2:$C$1833,$M290,Data!$D$2:$D$1833,$N290,Data!$E$2:$E$1833,$O290,Data!$F$2:$F$1833,$F290,Data!$H$2:$H$1833,1)</f>
        <v>1</v>
      </c>
      <c r="H290" s="70" t="n">
        <v>457</v>
      </c>
      <c r="I290" s="31" t="str">
        <f aca="false">INDEX(Data!$G$2:$G$1833,MATCH($H290,Data!$A$2:$A$1833,0))</f>
        <v>Can easily follow and contribute to complex interactions between third parties in group discussion even on abstract, complex unfamiliar topics.</v>
      </c>
      <c r="J290" s="71" t="s">
        <v>2685</v>
      </c>
      <c r="L290" s="70" t="s">
        <v>395</v>
      </c>
      <c r="M290" s="70" t="s">
        <v>817</v>
      </c>
      <c r="N290" s="70" t="s">
        <v>818</v>
      </c>
      <c r="O290" s="70" t="s">
        <v>869</v>
      </c>
    </row>
    <row r="291" customFormat="false" ht="32.25" hidden="false" customHeight="true" outlineLevel="0" collapsed="false">
      <c r="A291" s="70"/>
      <c r="B291" s="70"/>
      <c r="C291" s="70"/>
      <c r="D291" s="70"/>
      <c r="E291" s="70"/>
      <c r="F291" s="70" t="s">
        <v>331</v>
      </c>
      <c r="G291" s="70" t="n">
        <f aca="false">COUNTIFS(Data!$B$2:$B$1833,$L291,Data!$C$2:$C$1833,$M291,Data!$D$2:$D$1833,$N291,Data!$E$2:$E$1833,$O291,Data!$F$2:$F$1833,$F291,Data!$H$2:$H$1833,1)</f>
        <v>1</v>
      </c>
      <c r="H291" s="70" t="n">
        <v>456</v>
      </c>
      <c r="I291" s="31" t="str">
        <f aca="false">INDEX(Data!$G$2:$G$1833,MATCH($H291,Data!$A$2:$A$1833,0))</f>
        <v>Can advise on or discuss sensitive issues without awkwardness, understanding colloquial references and dealing diplomatically with disagreement and criticism.</v>
      </c>
      <c r="J291" s="71" t="s">
        <v>2686</v>
      </c>
      <c r="L291" s="70" t="s">
        <v>395</v>
      </c>
      <c r="M291" s="70" t="s">
        <v>817</v>
      </c>
      <c r="N291" s="70" t="s">
        <v>818</v>
      </c>
      <c r="O291" s="70" t="s">
        <v>869</v>
      </c>
    </row>
    <row r="292" customFormat="false" ht="15" hidden="false" customHeight="true" outlineLevel="0" collapsed="false">
      <c r="A292" s="73" t="str">
        <f aca="false">IFERROR(INDEX(対訳マスタ!$C$2:$C$136,MATCH($L292,対訳マスタ!$B$2:$B$136,0)),$L292)</f>
        <v>コミュニケーション言語活動</v>
      </c>
      <c r="B292" s="73" t="str">
        <f aca="false">IF($M292="—","—",IFERROR(INDEX(対訳マスタ!$C$2:$C$136,MATCH($M292,対訳マスタ!$B$2:$B$136,0)),$M292))</f>
        <v>相互行為</v>
      </c>
      <c r="C292" s="73" t="str">
        <f aca="false">IF($N292="—","—",IFERROR(INDEX(対訳マスタ!$C$2:$C$136,MATCH($N292,対訳マスタ!$B$2:$B$136,0)),$N292))</f>
        <v>口頭の相互行為</v>
      </c>
      <c r="D292" s="73" t="str">
        <f aca="false">IFERROR(INDEX(対訳マスタ!$C$2:$C$136,MATCH($O292,対訳マスタ!$B$2:$B$136,0)),$O292)</f>
        <v>フォーマルな議論（会議）</v>
      </c>
      <c r="E292" s="73" t="s">
        <v>889</v>
      </c>
      <c r="F292" s="73" t="s">
        <v>86</v>
      </c>
      <c r="G292" s="73" t="n">
        <f aca="false">COUNTIFS(Data!$B$2:$B$1833,$L292,Data!$C$2:$C$1833,$M292,Data!$D$2:$D$1833,$N292,Data!$E$2:$E$1833,$O292,Data!$F$2:$F$1833,$F292,Data!$H$2:$H$1833,1)</f>
        <v>0</v>
      </c>
      <c r="H292" s="73" t="s">
        <v>624</v>
      </c>
      <c r="I292" s="74" t="s">
        <v>624</v>
      </c>
      <c r="J292" s="74" t="s">
        <v>624</v>
      </c>
      <c r="L292" s="70" t="s">
        <v>395</v>
      </c>
      <c r="M292" s="70" t="s">
        <v>817</v>
      </c>
      <c r="N292" s="70" t="s">
        <v>818</v>
      </c>
      <c r="O292" s="70" t="s">
        <v>889</v>
      </c>
    </row>
    <row r="293" customFormat="false" ht="15" hidden="false" customHeight="true" outlineLevel="0" collapsed="false">
      <c r="A293" s="75"/>
      <c r="B293" s="75"/>
      <c r="C293" s="75"/>
      <c r="D293" s="75"/>
      <c r="E293" s="75"/>
      <c r="F293" s="75" t="s">
        <v>101</v>
      </c>
      <c r="G293" s="75" t="n">
        <f aca="false">COUNTIFS(Data!$B$2:$B$1833,$L293,Data!$C$2:$C$1833,$M293,Data!$D$2:$D$1833,$N293,Data!$E$2:$E$1833,$O293,Data!$F$2:$F$1833,$F293,Data!$H$2:$H$1833,1)</f>
        <v>0</v>
      </c>
      <c r="H293" s="75" t="s">
        <v>624</v>
      </c>
      <c r="I293" s="76" t="s">
        <v>624</v>
      </c>
      <c r="J293" s="76" t="s">
        <v>624</v>
      </c>
      <c r="L293" s="70" t="s">
        <v>395</v>
      </c>
      <c r="M293" s="70" t="s">
        <v>817</v>
      </c>
      <c r="N293" s="70" t="s">
        <v>818</v>
      </c>
      <c r="O293" s="70" t="s">
        <v>889</v>
      </c>
    </row>
    <row r="294" customFormat="false" ht="26.25" hidden="false" customHeight="true" outlineLevel="0" collapsed="false">
      <c r="A294" s="75"/>
      <c r="B294" s="75"/>
      <c r="C294" s="75"/>
      <c r="D294" s="75"/>
      <c r="E294" s="75"/>
      <c r="F294" s="75" t="s">
        <v>13</v>
      </c>
      <c r="G294" s="75" t="n">
        <f aca="false">COUNTIFS(Data!$B$2:$B$1833,$L294,Data!$C$2:$C$1833,$M294,Data!$D$2:$D$1833,$N294,Data!$E$2:$E$1833,$O294,Data!$F$2:$F$1833,$F294,Data!$H$2:$H$1833,1)</f>
        <v>1</v>
      </c>
      <c r="H294" s="75" t="n">
        <v>502</v>
      </c>
      <c r="I294" s="76" t="str">
        <f aca="false">INDEX(Data!$G$2:$G$1833,MATCH($H294,Data!$A$2:$A$1833,0))</f>
        <v>Can express what they think about things when addressed directly in a formal meeting, provided they can ask for repetition of key points if necessary.</v>
      </c>
      <c r="J294" s="77" t="s">
        <v>2687</v>
      </c>
      <c r="L294" s="70" t="s">
        <v>395</v>
      </c>
      <c r="M294" s="70" t="s">
        <v>817</v>
      </c>
      <c r="N294" s="70" t="s">
        <v>818</v>
      </c>
      <c r="O294" s="70" t="s">
        <v>889</v>
      </c>
    </row>
    <row r="295" customFormat="false" ht="26.25" hidden="false" customHeight="true" outlineLevel="0" collapsed="false">
      <c r="A295" s="75"/>
      <c r="B295" s="75"/>
      <c r="C295" s="75"/>
      <c r="D295" s="75"/>
      <c r="E295" s="75"/>
      <c r="F295" s="75" t="s">
        <v>123</v>
      </c>
      <c r="G295" s="75" t="n">
        <f aca="false">COUNTIFS(Data!$B$2:$B$1833,$L295,Data!$C$2:$C$1833,$M295,Data!$D$2:$D$1833,$N295,Data!$E$2:$E$1833,$O295,Data!$F$2:$F$1833,$F295,Data!$H$2:$H$1833,1)</f>
        <v>2</v>
      </c>
      <c r="H295" s="75" t="n">
        <v>500</v>
      </c>
      <c r="I295" s="76" t="str">
        <f aca="false">INDEX(Data!$G$2:$G$1833,MATCH($H295,Data!$A$2:$A$1833,0))</f>
        <v>Can generally follow changes of topic in formal discussion related to their field which is conducted slowly and clearly.</v>
      </c>
      <c r="J295" s="77" t="s">
        <v>2688</v>
      </c>
      <c r="L295" s="70" t="s">
        <v>395</v>
      </c>
      <c r="M295" s="70" t="s">
        <v>817</v>
      </c>
      <c r="N295" s="70" t="s">
        <v>818</v>
      </c>
      <c r="O295" s="70" t="s">
        <v>889</v>
      </c>
    </row>
    <row r="296" customFormat="false" ht="32.25" hidden="false" customHeight="true" outlineLevel="0" collapsed="false">
      <c r="A296" s="75"/>
      <c r="B296" s="75"/>
      <c r="C296" s="75"/>
      <c r="D296" s="75"/>
      <c r="E296" s="75"/>
      <c r="F296" s="75" t="s">
        <v>21</v>
      </c>
      <c r="G296" s="75" t="n">
        <f aca="false">COUNTIFS(Data!$B$2:$B$1833,$L296,Data!$C$2:$C$1833,$M296,Data!$D$2:$D$1833,$N296,Data!$E$2:$E$1833,$O296,Data!$F$2:$F$1833,$F296,Data!$H$2:$H$1833,1)</f>
        <v>2</v>
      </c>
      <c r="H296" s="75" t="n">
        <v>499</v>
      </c>
      <c r="I296" s="76" t="str">
        <f aca="false">INDEX(Data!$G$2:$G$1833,MATCH($H296,Data!$A$2:$A$1833,0))</f>
        <v>Can follow argumentation and discussion on a familiar or predictable topic, provided the points are made in relatively simple language and/or repeated, and opportunity is given for clarification.</v>
      </c>
      <c r="J296" s="77" t="s">
        <v>2689</v>
      </c>
      <c r="L296" s="70" t="s">
        <v>395</v>
      </c>
      <c r="M296" s="70" t="s">
        <v>817</v>
      </c>
      <c r="N296" s="70" t="s">
        <v>818</v>
      </c>
      <c r="O296" s="70" t="s">
        <v>889</v>
      </c>
    </row>
    <row r="297" customFormat="false" ht="15" hidden="false" customHeight="true" outlineLevel="0" collapsed="false">
      <c r="A297" s="75"/>
      <c r="B297" s="75"/>
      <c r="C297" s="75"/>
      <c r="D297" s="75"/>
      <c r="E297" s="75"/>
      <c r="F297" s="75" t="s">
        <v>52</v>
      </c>
      <c r="G297" s="75" t="n">
        <f aca="false">COUNTIFS(Data!$B$2:$B$1833,$L297,Data!$C$2:$C$1833,$M297,Data!$D$2:$D$1833,$N297,Data!$E$2:$E$1833,$O297,Data!$F$2:$F$1833,$F297,Data!$H$2:$H$1833,1)</f>
        <v>2</v>
      </c>
      <c r="H297" s="75" t="n">
        <v>497</v>
      </c>
      <c r="I297" s="76" t="str">
        <f aca="false">INDEX(Data!$G$2:$G$1833,MATCH($H297,Data!$A$2:$A$1833,0))</f>
        <v>Can put over a point of view clearly, but has difficulty engaging in debate.</v>
      </c>
      <c r="J297" s="77" t="s">
        <v>2690</v>
      </c>
      <c r="L297" s="70" t="s">
        <v>395</v>
      </c>
      <c r="M297" s="70" t="s">
        <v>817</v>
      </c>
      <c r="N297" s="70" t="s">
        <v>818</v>
      </c>
      <c r="O297" s="70" t="s">
        <v>889</v>
      </c>
    </row>
    <row r="298" customFormat="false" ht="15" hidden="false" customHeight="true" outlineLevel="0" collapsed="false">
      <c r="A298" s="75"/>
      <c r="B298" s="75"/>
      <c r="C298" s="75"/>
      <c r="D298" s="75"/>
      <c r="E298" s="75"/>
      <c r="F298" s="75" t="s">
        <v>259</v>
      </c>
      <c r="G298" s="75" t="n">
        <f aca="false">COUNTIFS(Data!$B$2:$B$1833,$L298,Data!$C$2:$C$1833,$M298,Data!$D$2:$D$1833,$N298,Data!$E$2:$E$1833,$O298,Data!$F$2:$F$1833,$F298,Data!$H$2:$H$1833,1)</f>
        <v>3</v>
      </c>
      <c r="H298" s="75" t="n">
        <v>493</v>
      </c>
      <c r="I298" s="76" t="str">
        <f aca="false">INDEX(Data!$G$2:$G$1833,MATCH($H298,Data!$A$2:$A$1833,0))</f>
        <v>Can participate actively in routine and non-routine formal discussion.</v>
      </c>
      <c r="J298" s="77" t="s">
        <v>2691</v>
      </c>
      <c r="L298" s="70" t="s">
        <v>395</v>
      </c>
      <c r="M298" s="70" t="s">
        <v>817</v>
      </c>
      <c r="N298" s="70" t="s">
        <v>818</v>
      </c>
      <c r="O298" s="70" t="s">
        <v>889</v>
      </c>
    </row>
    <row r="299" customFormat="false" ht="21.75" hidden="false" customHeight="true" outlineLevel="0" collapsed="false">
      <c r="A299" s="75"/>
      <c r="B299" s="75"/>
      <c r="C299" s="75"/>
      <c r="D299" s="75"/>
      <c r="E299" s="75"/>
      <c r="F299" s="75" t="s">
        <v>36</v>
      </c>
      <c r="G299" s="75" t="n">
        <f aca="false">COUNTIFS(Data!$B$2:$B$1833,$L299,Data!$C$2:$C$1833,$M299,Data!$D$2:$D$1833,$N299,Data!$E$2:$E$1833,$O299,Data!$F$2:$F$1833,$F299,Data!$H$2:$H$1833,1)</f>
        <v>3</v>
      </c>
      <c r="H299" s="75" t="n">
        <v>491</v>
      </c>
      <c r="I299" s="76" t="str">
        <f aca="false">INDEX(Data!$G$2:$G$1833,MATCH($H299,Data!$A$2:$A$1833,0))</f>
        <v>Can use appropriate technical terminology when discussing their area of specialisation with other specialists.</v>
      </c>
      <c r="J299" s="77" t="s">
        <v>2692</v>
      </c>
      <c r="L299" s="70" t="s">
        <v>395</v>
      </c>
      <c r="M299" s="70" t="s">
        <v>817</v>
      </c>
      <c r="N299" s="70" t="s">
        <v>818</v>
      </c>
      <c r="O299" s="70" t="s">
        <v>889</v>
      </c>
    </row>
    <row r="300" customFormat="false" ht="15" hidden="false" customHeight="true" outlineLevel="0" collapsed="false">
      <c r="A300" s="75"/>
      <c r="B300" s="75"/>
      <c r="C300" s="75"/>
      <c r="D300" s="75"/>
      <c r="E300" s="75"/>
      <c r="F300" s="75" t="s">
        <v>74</v>
      </c>
      <c r="G300" s="75" t="n">
        <f aca="false">COUNTIFS(Data!$B$2:$B$1833,$L300,Data!$C$2:$C$1833,$M300,Data!$D$2:$D$1833,$N300,Data!$E$2:$E$1833,$O300,Data!$F$2:$F$1833,$F300,Data!$H$2:$H$1833,1)</f>
        <v>5</v>
      </c>
      <c r="H300" s="75" t="n">
        <v>488</v>
      </c>
      <c r="I300" s="76" t="str">
        <f aca="false">INDEX(Data!$G$2:$G$1833,MATCH($H300,Data!$A$2:$A$1833,0))</f>
        <v>Can make critical remarks or express disagreement diplomatically.</v>
      </c>
      <c r="J300" s="77" t="s">
        <v>2693</v>
      </c>
      <c r="L300" s="70" t="s">
        <v>395</v>
      </c>
      <c r="M300" s="70" t="s">
        <v>817</v>
      </c>
      <c r="N300" s="70" t="s">
        <v>818</v>
      </c>
      <c r="O300" s="70" t="s">
        <v>889</v>
      </c>
    </row>
    <row r="301" customFormat="false" ht="26.25" hidden="false" customHeight="true" outlineLevel="0" collapsed="false">
      <c r="A301" s="75"/>
      <c r="B301" s="75"/>
      <c r="C301" s="75"/>
      <c r="D301" s="75"/>
      <c r="E301" s="75"/>
      <c r="F301" s="75" t="s">
        <v>331</v>
      </c>
      <c r="G301" s="75" t="n">
        <f aca="false">COUNTIFS(Data!$B$2:$B$1833,$L301,Data!$C$2:$C$1833,$M301,Data!$D$2:$D$1833,$N301,Data!$E$2:$E$1833,$O301,Data!$F$2:$F$1833,$F301,Data!$H$2:$H$1833,1)</f>
        <v>3</v>
      </c>
      <c r="H301" s="75" t="n">
        <v>484</v>
      </c>
      <c r="I301" s="76" t="str">
        <f aca="false">INDEX(Data!$G$2:$G$1833,MATCH($H301,Data!$A$2:$A$1833,0))</f>
        <v>Can deal with hostile questioning confidently, hold on to the turn and diplomatically rebut counter-arguments.</v>
      </c>
      <c r="J301" s="77" t="s">
        <v>2694</v>
      </c>
      <c r="L301" s="70" t="s">
        <v>395</v>
      </c>
      <c r="M301" s="70" t="s">
        <v>817</v>
      </c>
      <c r="N301" s="70" t="s">
        <v>818</v>
      </c>
      <c r="O301" s="70" t="s">
        <v>889</v>
      </c>
    </row>
    <row r="302" customFormat="false" ht="15" hidden="false" customHeight="true" outlineLevel="0" collapsed="false">
      <c r="A302" s="67" t="str">
        <f aca="false">IFERROR(INDEX(対訳マスタ!$C$2:$C$136,MATCH($L302,対訳マスタ!$B$2:$B$136,0)),$L302)</f>
        <v>コミュニケーション言語活動</v>
      </c>
      <c r="B302" s="67" t="str">
        <f aca="false">IF($M302="—","—",IFERROR(INDEX(対訳マスタ!$C$2:$C$136,MATCH($M302,対訳マスタ!$B$2:$B$136,0)),$M302))</f>
        <v>相互行為</v>
      </c>
      <c r="C302" s="67" t="str">
        <f aca="false">IF($N302="—","—",IFERROR(INDEX(対訳マスタ!$C$2:$C$136,MATCH($N302,対訳マスタ!$B$2:$B$136,0)),$N302))</f>
        <v>口頭の相互行為</v>
      </c>
      <c r="D302" s="67" t="str">
        <f aca="false">IFERROR(INDEX(対訳マスタ!$C$2:$C$136,MATCH($O302,対訳マスタ!$B$2:$B$136,0)),$O302)</f>
        <v>目標のある共同作業（料理・文書検討・イベント準備など）</v>
      </c>
      <c r="E302" s="67" t="s">
        <v>910</v>
      </c>
      <c r="F302" s="67" t="s">
        <v>86</v>
      </c>
      <c r="G302" s="67" t="n">
        <f aca="false">COUNTIFS(Data!$B$2:$B$1833,$L302,Data!$C$2:$C$1833,$M302,Data!$D$2:$D$1833,$N302,Data!$E$2:$E$1833,$O302,Data!$F$2:$F$1833,$F302,Data!$H$2:$H$1833,1)</f>
        <v>0</v>
      </c>
      <c r="H302" s="67" t="s">
        <v>624</v>
      </c>
      <c r="I302" s="68" t="s">
        <v>624</v>
      </c>
      <c r="J302" s="68" t="s">
        <v>624</v>
      </c>
      <c r="L302" s="70" t="s">
        <v>395</v>
      </c>
      <c r="M302" s="70" t="s">
        <v>817</v>
      </c>
      <c r="N302" s="70" t="s">
        <v>818</v>
      </c>
      <c r="O302" s="70" t="s">
        <v>910</v>
      </c>
    </row>
    <row r="303" customFormat="false" ht="15" hidden="false" customHeight="true" outlineLevel="0" collapsed="false">
      <c r="A303" s="70"/>
      <c r="B303" s="70"/>
      <c r="C303" s="70"/>
      <c r="D303" s="70"/>
      <c r="E303" s="70"/>
      <c r="F303" s="70" t="s">
        <v>101</v>
      </c>
      <c r="G303" s="70" t="n">
        <f aca="false">COUNTIFS(Data!$B$2:$B$1833,$L303,Data!$C$2:$C$1833,$M303,Data!$D$2:$D$1833,$N303,Data!$E$2:$E$1833,$O303,Data!$F$2:$F$1833,$F303,Data!$H$2:$H$1833,1)</f>
        <v>3</v>
      </c>
      <c r="H303" s="70" t="n">
        <v>522</v>
      </c>
      <c r="I303" s="31" t="str">
        <f aca="false">INDEX(Data!$G$2:$G$1833,MATCH($H303,Data!$A$2:$A$1833,0))</f>
        <v>Can ask people for things, and give people things.</v>
      </c>
      <c r="J303" s="71" t="s">
        <v>2695</v>
      </c>
      <c r="L303" s="70" t="s">
        <v>395</v>
      </c>
      <c r="M303" s="70" t="s">
        <v>817</v>
      </c>
      <c r="N303" s="70" t="s">
        <v>818</v>
      </c>
      <c r="O303" s="70" t="s">
        <v>910</v>
      </c>
    </row>
    <row r="304" customFormat="false" ht="26.25" hidden="false" customHeight="true" outlineLevel="0" collapsed="false">
      <c r="A304" s="70"/>
      <c r="B304" s="70"/>
      <c r="C304" s="70"/>
      <c r="D304" s="70"/>
      <c r="E304" s="70"/>
      <c r="F304" s="70" t="s">
        <v>13</v>
      </c>
      <c r="G304" s="70" t="n">
        <f aca="false">COUNTIFS(Data!$B$2:$B$1833,$L304,Data!$C$2:$C$1833,$M304,Data!$D$2:$D$1833,$N304,Data!$E$2:$E$1833,$O304,Data!$F$2:$F$1833,$F304,Data!$H$2:$H$1833,1)</f>
        <v>2</v>
      </c>
      <c r="H304" s="70" t="n">
        <v>518</v>
      </c>
      <c r="I304" s="31" t="str">
        <f aca="false">INDEX(Data!$G$2:$G$1833,MATCH($H304,Data!$A$2:$A$1833,0))</f>
        <v>Can indicate when they are following and can be made to understand what is necessary, if the interlocutor takes the trouble.</v>
      </c>
      <c r="J304" s="71" t="s">
        <v>2696</v>
      </c>
      <c r="L304" s="70" t="s">
        <v>395</v>
      </c>
      <c r="M304" s="70" t="s">
        <v>817</v>
      </c>
      <c r="N304" s="70" t="s">
        <v>818</v>
      </c>
      <c r="O304" s="70" t="s">
        <v>910</v>
      </c>
    </row>
    <row r="305" customFormat="false" ht="26.25" hidden="false" customHeight="true" outlineLevel="0" collapsed="false">
      <c r="A305" s="70"/>
      <c r="B305" s="70"/>
      <c r="C305" s="70"/>
      <c r="D305" s="70"/>
      <c r="E305" s="70"/>
      <c r="F305" s="70" t="s">
        <v>123</v>
      </c>
      <c r="G305" s="70" t="n">
        <f aca="false">COUNTIFS(Data!$B$2:$B$1833,$L305,Data!$C$2:$C$1833,$M305,Data!$D$2:$D$1833,$N305,Data!$E$2:$E$1833,$O305,Data!$F$2:$F$1833,$F305,Data!$H$2:$H$1833,1)</f>
        <v>2</v>
      </c>
      <c r="H305" s="70" t="n">
        <v>517</v>
      </c>
      <c r="I305" s="31" t="str">
        <f aca="false">INDEX(Data!$G$2:$G$1833,MATCH($H305,Data!$A$2:$A$1833,0))</f>
        <v>Can discuss what to do next, making and responding to suggestions, and asking for and giving directions.</v>
      </c>
      <c r="J305" s="71" t="s">
        <v>2697</v>
      </c>
      <c r="L305" s="70" t="s">
        <v>395</v>
      </c>
      <c r="M305" s="70" t="s">
        <v>817</v>
      </c>
      <c r="N305" s="70" t="s">
        <v>818</v>
      </c>
      <c r="O305" s="70" t="s">
        <v>910</v>
      </c>
    </row>
    <row r="306" customFormat="false" ht="15" hidden="false" customHeight="true" outlineLevel="0" collapsed="false">
      <c r="A306" s="70"/>
      <c r="B306" s="70"/>
      <c r="C306" s="70"/>
      <c r="D306" s="70"/>
      <c r="E306" s="70"/>
      <c r="F306" s="70" t="s">
        <v>21</v>
      </c>
      <c r="G306" s="70" t="n">
        <f aca="false">COUNTIFS(Data!$B$2:$B$1833,$L306,Data!$C$2:$C$1833,$M306,Data!$D$2:$D$1833,$N306,Data!$E$2:$E$1833,$O306,Data!$F$2:$F$1833,$F306,Data!$H$2:$H$1833,1)</f>
        <v>3</v>
      </c>
      <c r="H306" s="70" t="n">
        <v>515</v>
      </c>
      <c r="I306" s="31" t="str">
        <f aca="false">INDEX(Data!$G$2:$G$1833,MATCH($H306,Data!$A$2:$A$1833,0))</f>
        <v>Can invite others to give their views on how to proceed.</v>
      </c>
      <c r="J306" s="71" t="s">
        <v>2698</v>
      </c>
      <c r="L306" s="70" t="s">
        <v>395</v>
      </c>
      <c r="M306" s="70" t="s">
        <v>817</v>
      </c>
      <c r="N306" s="70" t="s">
        <v>818</v>
      </c>
      <c r="O306" s="70" t="s">
        <v>910</v>
      </c>
    </row>
    <row r="307" customFormat="false" ht="15" hidden="false" customHeight="true" outlineLevel="0" collapsed="false">
      <c r="A307" s="70"/>
      <c r="B307" s="70"/>
      <c r="C307" s="70"/>
      <c r="D307" s="70"/>
      <c r="E307" s="70"/>
      <c r="F307" s="70" t="s">
        <v>52</v>
      </c>
      <c r="G307" s="70" t="n">
        <f aca="false">COUNTIFS(Data!$B$2:$B$1833,$L307,Data!$C$2:$C$1833,$M307,Data!$D$2:$D$1833,$N307,Data!$E$2:$E$1833,$O307,Data!$F$2:$F$1833,$F307,Data!$H$2:$H$1833,1)</f>
        <v>3</v>
      </c>
      <c r="H307" s="70" t="n">
        <v>512</v>
      </c>
      <c r="I307" s="31" t="str">
        <f aca="false">INDEX(Data!$G$2:$G$1833,MATCH($H307,Data!$A$2:$A$1833,0))</f>
        <v>Can give brief comments on the views of others.</v>
      </c>
      <c r="J307" s="71" t="s">
        <v>2699</v>
      </c>
      <c r="L307" s="70" t="s">
        <v>395</v>
      </c>
      <c r="M307" s="70" t="s">
        <v>817</v>
      </c>
      <c r="N307" s="70" t="s">
        <v>818</v>
      </c>
      <c r="O307" s="70" t="s">
        <v>910</v>
      </c>
    </row>
    <row r="308" customFormat="false" ht="15" hidden="false" customHeight="true" outlineLevel="0" collapsed="false">
      <c r="A308" s="70"/>
      <c r="B308" s="70"/>
      <c r="C308" s="70"/>
      <c r="D308" s="70"/>
      <c r="E308" s="70"/>
      <c r="F308" s="70" t="s">
        <v>259</v>
      </c>
      <c r="G308" s="70" t="n">
        <f aca="false">COUNTIFS(Data!$B$2:$B$1833,$L308,Data!$C$2:$C$1833,$M308,Data!$D$2:$D$1833,$N308,Data!$E$2:$E$1833,$O308,Data!$F$2:$F$1833,$F308,Data!$H$2:$H$1833,1)</f>
        <v>3</v>
      </c>
      <c r="H308" s="70" t="n">
        <v>507</v>
      </c>
      <c r="I308" s="31" t="str">
        <f aca="false">INDEX(Data!$G$2:$G$1833,MATCH($H308,Data!$A$2:$A$1833,0))</f>
        <v>Can understand detailed instructions reliably.</v>
      </c>
      <c r="J308" s="71" t="s">
        <v>2700</v>
      </c>
      <c r="L308" s="70" t="s">
        <v>395</v>
      </c>
      <c r="M308" s="70" t="s">
        <v>817</v>
      </c>
      <c r="N308" s="70" t="s">
        <v>818</v>
      </c>
      <c r="O308" s="70" t="s">
        <v>910</v>
      </c>
    </row>
    <row r="309" customFormat="false" ht="15" hidden="false" customHeight="true" outlineLevel="0" collapsed="false">
      <c r="A309" s="70"/>
      <c r="B309" s="70"/>
      <c r="C309" s="70"/>
      <c r="D309" s="70"/>
      <c r="E309" s="70"/>
      <c r="F309" s="70" t="s">
        <v>36</v>
      </c>
      <c r="G309" s="70" t="n">
        <f aca="false">COUNTIFS(Data!$B$2:$B$1833,$L309,Data!$C$2:$C$1833,$M309,Data!$D$2:$D$1833,$N309,Data!$E$2:$E$1833,$O309,Data!$F$2:$F$1833,$F309,Data!$H$2:$H$1833,1)</f>
        <v>0</v>
      </c>
      <c r="H309" s="70" t="s">
        <v>624</v>
      </c>
      <c r="I309" s="31" t="s">
        <v>624</v>
      </c>
      <c r="J309" s="31" t="s">
        <v>624</v>
      </c>
      <c r="L309" s="70" t="s">
        <v>395</v>
      </c>
      <c r="M309" s="70" t="s">
        <v>817</v>
      </c>
      <c r="N309" s="70" t="s">
        <v>818</v>
      </c>
      <c r="O309" s="70" t="s">
        <v>910</v>
      </c>
    </row>
    <row r="310" customFormat="false" ht="32.25" hidden="false" customHeight="true" outlineLevel="0" collapsed="false">
      <c r="A310" s="70"/>
      <c r="B310" s="70"/>
      <c r="C310" s="70"/>
      <c r="D310" s="70"/>
      <c r="E310" s="70"/>
      <c r="F310" s="70" t="s">
        <v>74</v>
      </c>
      <c r="G310" s="70" t="n">
        <f aca="false">COUNTIFS(Data!$B$2:$B$1833,$L310,Data!$C$2:$C$1833,$M310,Data!$D$2:$D$1833,$N310,Data!$E$2:$E$1833,$O310,Data!$F$2:$F$1833,$F310,Data!$H$2:$H$1833,1)</f>
        <v>1</v>
      </c>
      <c r="H310" s="70" t="n">
        <v>506</v>
      </c>
      <c r="I310" s="31" t="str">
        <f aca="false">INDEX(Data!$G$2:$G$1833,MATCH($H310,Data!$A$2:$A$1833,0))</f>
        <v>Can frame a discussion to decide on a course of action with a partner or group, reporting on what others have said, and summarising, elaborating and weighing up multiple points of view.</v>
      </c>
      <c r="J310" s="71" t="s">
        <v>2701</v>
      </c>
      <c r="L310" s="70" t="s">
        <v>395</v>
      </c>
      <c r="M310" s="70" t="s">
        <v>817</v>
      </c>
      <c r="N310" s="70" t="s">
        <v>818</v>
      </c>
      <c r="O310" s="70" t="s">
        <v>910</v>
      </c>
    </row>
    <row r="311" customFormat="false" ht="15" hidden="false" customHeight="true" outlineLevel="0" collapsed="false">
      <c r="A311" s="70"/>
      <c r="B311" s="70"/>
      <c r="C311" s="70"/>
      <c r="D311" s="70"/>
      <c r="E311" s="70"/>
      <c r="F311" s="70" t="s">
        <v>331</v>
      </c>
      <c r="G311" s="70" t="n">
        <f aca="false">COUNTIFS(Data!$B$2:$B$1833,$L311,Data!$C$2:$C$1833,$M311,Data!$D$2:$D$1833,$N311,Data!$E$2:$E$1833,$O311,Data!$F$2:$F$1833,$F311,Data!$H$2:$H$1833,1)</f>
        <v>0</v>
      </c>
      <c r="H311" s="70" t="s">
        <v>624</v>
      </c>
      <c r="I311" s="31" t="s">
        <v>624</v>
      </c>
      <c r="J311" s="31" t="s">
        <v>624</v>
      </c>
      <c r="L311" s="70" t="s">
        <v>395</v>
      </c>
      <c r="M311" s="70" t="s">
        <v>817</v>
      </c>
      <c r="N311" s="70" t="s">
        <v>818</v>
      </c>
      <c r="O311" s="70" t="s">
        <v>910</v>
      </c>
    </row>
    <row r="312" customFormat="false" ht="26.25" hidden="false" customHeight="true" outlineLevel="0" collapsed="false">
      <c r="A312" s="73" t="str">
        <f aca="false">IFERROR(INDEX(対訳マスタ!$C$2:$C$136,MATCH($L312,対訳マスタ!$B$2:$B$136,0)),$L312)</f>
        <v>コミュニケーション言語活動</v>
      </c>
      <c r="B312" s="73" t="str">
        <f aca="false">IF($M312="—","—",IFERROR(INDEX(対訳マスタ!$C$2:$C$136,MATCH($M312,対訳マスタ!$B$2:$B$136,0)),$M312))</f>
        <v>相互行為</v>
      </c>
      <c r="C312" s="73" t="str">
        <f aca="false">IF($N312="—","—",IFERROR(INDEX(対訳マスタ!$C$2:$C$136,MATCH($N312,対訳マスタ!$B$2:$B$136,0)),$N312))</f>
        <v>口頭の相互行為</v>
      </c>
      <c r="D312" s="73" t="str">
        <f aca="false">IFERROR(INDEX(対訳マスタ!$C$2:$C$136,MATCH($O312,対訳マスタ!$B$2:$B$136,0)),$O312)</f>
        <v>物・サービスの取引</v>
      </c>
      <c r="E312" s="73" t="s">
        <v>926</v>
      </c>
      <c r="F312" s="73" t="s">
        <v>86</v>
      </c>
      <c r="G312" s="73" t="n">
        <f aca="false">COUNTIFS(Data!$B$2:$B$1833,$L312,Data!$C$2:$C$1833,$M312,Data!$D$2:$D$1833,$N312,Data!$E$2:$E$1833,$O312,Data!$F$2:$F$1833,$F312,Data!$H$2:$H$1833,1)</f>
        <v>1</v>
      </c>
      <c r="H312" s="73" t="n">
        <v>549</v>
      </c>
      <c r="I312" s="74" t="str">
        <f aca="false">INDEX(Data!$G$2:$G$1833,MATCH($H312,Data!$A$2:$A$1833,0))</f>
        <v>Can make simple purchases and/or order food or drink when pointing or other gesture can support the verbal reference.</v>
      </c>
      <c r="J312" s="78" t="s">
        <v>2702</v>
      </c>
      <c r="L312" s="70" t="s">
        <v>395</v>
      </c>
      <c r="M312" s="70" t="s">
        <v>817</v>
      </c>
      <c r="N312" s="70" t="s">
        <v>818</v>
      </c>
      <c r="O312" s="70" t="s">
        <v>926</v>
      </c>
    </row>
    <row r="313" customFormat="false" ht="15" hidden="false" customHeight="true" outlineLevel="0" collapsed="false">
      <c r="A313" s="75"/>
      <c r="B313" s="75"/>
      <c r="C313" s="75"/>
      <c r="D313" s="75"/>
      <c r="E313" s="75"/>
      <c r="F313" s="75" t="s">
        <v>101</v>
      </c>
      <c r="G313" s="75" t="n">
        <f aca="false">COUNTIFS(Data!$B$2:$B$1833,$L313,Data!$C$2:$C$1833,$M313,Data!$D$2:$D$1833,$N313,Data!$E$2:$E$1833,$O313,Data!$F$2:$F$1833,$F313,Data!$H$2:$H$1833,1)</f>
        <v>3</v>
      </c>
      <c r="H313" s="75" t="n">
        <v>548</v>
      </c>
      <c r="I313" s="76" t="str">
        <f aca="false">INDEX(Data!$G$2:$G$1833,MATCH($H313,Data!$A$2:$A$1833,0))</f>
        <v>Can handle numbers, quantities, cost and time.</v>
      </c>
      <c r="J313" s="77" t="s">
        <v>2703</v>
      </c>
      <c r="L313" s="70" t="s">
        <v>395</v>
      </c>
      <c r="M313" s="70" t="s">
        <v>817</v>
      </c>
      <c r="N313" s="70" t="s">
        <v>818</v>
      </c>
      <c r="O313" s="70" t="s">
        <v>926</v>
      </c>
    </row>
    <row r="314" customFormat="false" ht="15" hidden="false" customHeight="true" outlineLevel="0" collapsed="false">
      <c r="A314" s="75"/>
      <c r="B314" s="75"/>
      <c r="C314" s="75"/>
      <c r="D314" s="75"/>
      <c r="E314" s="75"/>
      <c r="F314" s="75" t="s">
        <v>13</v>
      </c>
      <c r="G314" s="75" t="n">
        <f aca="false">COUNTIFS(Data!$B$2:$B$1833,$L314,Data!$C$2:$C$1833,$M314,Data!$D$2:$D$1833,$N314,Data!$E$2:$E$1833,$O314,Data!$F$2:$F$1833,$F314,Data!$H$2:$H$1833,1)</f>
        <v>8</v>
      </c>
      <c r="H314" s="75" t="n">
        <v>543</v>
      </c>
      <c r="I314" s="76" t="str">
        <f aca="false">INDEX(Data!$G$2:$G$1833,MATCH($H314,Data!$A$2:$A$1833,0))</f>
        <v>Can order a meal.</v>
      </c>
      <c r="J314" s="77" t="s">
        <v>2704</v>
      </c>
      <c r="L314" s="70" t="s">
        <v>395</v>
      </c>
      <c r="M314" s="70" t="s">
        <v>817</v>
      </c>
      <c r="N314" s="70" t="s">
        <v>818</v>
      </c>
      <c r="O314" s="70" t="s">
        <v>926</v>
      </c>
    </row>
    <row r="315" customFormat="false" ht="21.75" hidden="false" customHeight="true" outlineLevel="0" collapsed="false">
      <c r="A315" s="75"/>
      <c r="B315" s="75"/>
      <c r="C315" s="75"/>
      <c r="D315" s="75"/>
      <c r="E315" s="75"/>
      <c r="F315" s="75" t="s">
        <v>123</v>
      </c>
      <c r="G315" s="75" t="n">
        <f aca="false">COUNTIFS(Data!$B$2:$B$1833,$L315,Data!$C$2:$C$1833,$M315,Data!$D$2:$D$1833,$N315,Data!$E$2:$E$1833,$O315,Data!$F$2:$F$1833,$F315,Data!$H$2:$H$1833,1)</f>
        <v>3</v>
      </c>
      <c r="H315" s="75" t="n">
        <v>535</v>
      </c>
      <c r="I315" s="76" t="str">
        <f aca="false">INDEX(Data!$G$2:$G$1833,MATCH($H315,Data!$A$2:$A$1833,0))</f>
        <v>Can deal with common aspects of everyday living such as travel, lodging, eating and shopping.</v>
      </c>
      <c r="J315" s="77" t="s">
        <v>2705</v>
      </c>
      <c r="L315" s="70" t="s">
        <v>395</v>
      </c>
      <c r="M315" s="70" t="s">
        <v>817</v>
      </c>
      <c r="N315" s="70" t="s">
        <v>818</v>
      </c>
      <c r="O315" s="70" t="s">
        <v>926</v>
      </c>
    </row>
    <row r="316" customFormat="false" ht="15" hidden="false" customHeight="true" outlineLevel="0" collapsed="false">
      <c r="A316" s="75"/>
      <c r="B316" s="75"/>
      <c r="C316" s="75"/>
      <c r="D316" s="75"/>
      <c r="E316" s="75"/>
      <c r="F316" s="75" t="s">
        <v>21</v>
      </c>
      <c r="G316" s="75" t="n">
        <f aca="false">COUNTIFS(Data!$B$2:$B$1833,$L316,Data!$C$2:$C$1833,$M316,Data!$D$2:$D$1833,$N316,Data!$E$2:$E$1833,$O316,Data!$F$2:$F$1833,$F316,Data!$H$2:$H$1833,1)</f>
        <v>5</v>
      </c>
      <c r="H316" s="75" t="n">
        <v>533</v>
      </c>
      <c r="I316" s="76" t="str">
        <f aca="false">INDEX(Data!$G$2:$G$1833,MATCH($H316,Data!$A$2:$A$1833,0))</f>
        <v>Can make a complaint.</v>
      </c>
      <c r="J316" s="77" t="s">
        <v>23</v>
      </c>
      <c r="L316" s="70" t="s">
        <v>395</v>
      </c>
      <c r="M316" s="70" t="s">
        <v>817</v>
      </c>
      <c r="N316" s="70" t="s">
        <v>818</v>
      </c>
      <c r="O316" s="70" t="s">
        <v>926</v>
      </c>
    </row>
    <row r="317" customFormat="false" ht="15" hidden="false" customHeight="true" outlineLevel="0" collapsed="false">
      <c r="A317" s="75"/>
      <c r="B317" s="75"/>
      <c r="C317" s="75"/>
      <c r="D317" s="75"/>
      <c r="E317" s="75"/>
      <c r="F317" s="75" t="s">
        <v>52</v>
      </c>
      <c r="G317" s="75" t="n">
        <f aca="false">COUNTIFS(Data!$B$2:$B$1833,$L317,Data!$C$2:$C$1833,$M317,Data!$D$2:$D$1833,$N317,Data!$E$2:$E$1833,$O317,Data!$F$2:$F$1833,$F317,Data!$H$2:$H$1833,1)</f>
        <v>0</v>
      </c>
      <c r="H317" s="75" t="s">
        <v>624</v>
      </c>
      <c r="I317" s="76" t="s">
        <v>624</v>
      </c>
      <c r="J317" s="76" t="s">
        <v>624</v>
      </c>
      <c r="L317" s="70" t="s">
        <v>395</v>
      </c>
      <c r="M317" s="70" t="s">
        <v>817</v>
      </c>
      <c r="N317" s="70" t="s">
        <v>818</v>
      </c>
      <c r="O317" s="70" t="s">
        <v>926</v>
      </c>
    </row>
    <row r="318" customFormat="false" ht="26.25" hidden="false" customHeight="true" outlineLevel="0" collapsed="false">
      <c r="A318" s="75"/>
      <c r="B318" s="75"/>
      <c r="C318" s="75"/>
      <c r="D318" s="75"/>
      <c r="E318" s="75"/>
      <c r="F318" s="75" t="s">
        <v>259</v>
      </c>
      <c r="G318" s="75" t="n">
        <f aca="false">COUNTIFS(Data!$B$2:$B$1833,$L318,Data!$C$2:$C$1833,$M318,Data!$D$2:$D$1833,$N318,Data!$E$2:$E$1833,$O318,Data!$F$2:$F$1833,$F318,Data!$H$2:$H$1833,1)</f>
        <v>2</v>
      </c>
      <c r="H318" s="75" t="n">
        <v>528</v>
      </c>
      <c r="I318" s="76" t="str">
        <f aca="false">INDEX(Data!$G$2:$G$1833,MATCH($H318,Data!$A$2:$A$1833,0))</f>
        <v>Can state requirements and ask detailed questions regarding more complex services, e.g. rental agreements.</v>
      </c>
      <c r="J318" s="77" t="s">
        <v>2706</v>
      </c>
      <c r="L318" s="70" t="s">
        <v>395</v>
      </c>
      <c r="M318" s="70" t="s">
        <v>817</v>
      </c>
      <c r="N318" s="70" t="s">
        <v>818</v>
      </c>
      <c r="O318" s="70" t="s">
        <v>926</v>
      </c>
    </row>
    <row r="319" customFormat="false" ht="32.25" hidden="false" customHeight="true" outlineLevel="0" collapsed="false">
      <c r="A319" s="75"/>
      <c r="B319" s="75"/>
      <c r="C319" s="75"/>
      <c r="D319" s="75"/>
      <c r="E319" s="75"/>
      <c r="F319" s="75" t="s">
        <v>36</v>
      </c>
      <c r="G319" s="75" t="n">
        <f aca="false">COUNTIFS(Data!$B$2:$B$1833,$L319,Data!$C$2:$C$1833,$M319,Data!$D$2:$D$1833,$N319,Data!$E$2:$E$1833,$O319,Data!$F$2:$F$1833,$F319,Data!$H$2:$H$1833,1)</f>
        <v>2</v>
      </c>
      <c r="H319" s="75" t="n">
        <v>527</v>
      </c>
      <c r="I319" s="76" t="str">
        <f aca="false">INDEX(Data!$G$2:$G$1833,MATCH($H319,Data!$A$2:$A$1833,0))</f>
        <v>Can outline a case for compensation, using persuasive language to demand satisfaction and state clearly the limits to any concession they are prepared to make.</v>
      </c>
      <c r="J319" s="77" t="s">
        <v>45</v>
      </c>
      <c r="L319" s="70" t="s">
        <v>395</v>
      </c>
      <c r="M319" s="70" t="s">
        <v>817</v>
      </c>
      <c r="N319" s="70" t="s">
        <v>818</v>
      </c>
      <c r="O319" s="70" t="s">
        <v>926</v>
      </c>
    </row>
    <row r="320" customFormat="false" ht="26.25" hidden="false" customHeight="true" outlineLevel="0" collapsed="false">
      <c r="A320" s="75"/>
      <c r="B320" s="75"/>
      <c r="C320" s="75"/>
      <c r="D320" s="75"/>
      <c r="E320" s="75"/>
      <c r="F320" s="75" t="s">
        <v>74</v>
      </c>
      <c r="G320" s="75" t="n">
        <f aca="false">COUNTIFS(Data!$B$2:$B$1833,$L320,Data!$C$2:$C$1833,$M320,Data!$D$2:$D$1833,$N320,Data!$E$2:$E$1833,$O320,Data!$F$2:$F$1833,$F320,Data!$H$2:$H$1833,1)</f>
        <v>1</v>
      </c>
      <c r="H320" s="75" t="n">
        <v>525</v>
      </c>
      <c r="I320" s="76" t="str">
        <f aca="false">INDEX(Data!$G$2:$G$1833,MATCH($H320,Data!$A$2:$A$1833,0))</f>
        <v>Can negotiate complex or sensitive transactions in public, professional or academic life.</v>
      </c>
      <c r="J320" s="77" t="s">
        <v>2707</v>
      </c>
      <c r="L320" s="70" t="s">
        <v>395</v>
      </c>
      <c r="M320" s="70" t="s">
        <v>817</v>
      </c>
      <c r="N320" s="70" t="s">
        <v>818</v>
      </c>
      <c r="O320" s="70" t="s">
        <v>926</v>
      </c>
    </row>
    <row r="321" customFormat="false" ht="15" hidden="false" customHeight="true" outlineLevel="0" collapsed="false">
      <c r="A321" s="75"/>
      <c r="B321" s="75"/>
      <c r="C321" s="75"/>
      <c r="D321" s="75"/>
      <c r="E321" s="75"/>
      <c r="F321" s="75" t="s">
        <v>331</v>
      </c>
      <c r="G321" s="75" t="n">
        <f aca="false">COUNTIFS(Data!$B$2:$B$1833,$L321,Data!$C$2:$C$1833,$M321,Data!$D$2:$D$1833,$N321,Data!$E$2:$E$1833,$O321,Data!$F$2:$F$1833,$F321,Data!$H$2:$H$1833,1)</f>
        <v>0</v>
      </c>
      <c r="H321" s="75" t="s">
        <v>624</v>
      </c>
      <c r="I321" s="76" t="s">
        <v>624</v>
      </c>
      <c r="J321" s="76" t="s">
        <v>624</v>
      </c>
      <c r="L321" s="70" t="s">
        <v>395</v>
      </c>
      <c r="M321" s="70" t="s">
        <v>817</v>
      </c>
      <c r="N321" s="70" t="s">
        <v>818</v>
      </c>
      <c r="O321" s="70" t="s">
        <v>926</v>
      </c>
    </row>
    <row r="322" customFormat="false" ht="15" hidden="false" customHeight="true" outlineLevel="0" collapsed="false">
      <c r="A322" s="67" t="str">
        <f aca="false">IFERROR(INDEX(対訳マスタ!$C$2:$C$136,MATCH($L322,対訳マスタ!$B$2:$B$136,0)),$L322)</f>
        <v>コミュニケーション言語活動</v>
      </c>
      <c r="B322" s="67" t="str">
        <f aca="false">IF($M322="—","—",IFERROR(INDEX(対訳マスタ!$C$2:$C$136,MATCH($M322,対訳マスタ!$B$2:$B$136,0)),$M322))</f>
        <v>相互行為</v>
      </c>
      <c r="C322" s="67" t="str">
        <f aca="false">IF($N322="—","—",IFERROR(INDEX(対訳マスタ!$C$2:$C$136,MATCH($N322,対訳マスタ!$B$2:$B$136,0)),$N322))</f>
        <v>口頭の相互行為</v>
      </c>
      <c r="D322" s="67" t="str">
        <f aca="false">IFERROR(INDEX(対訳マスタ!$C$2:$C$136,MATCH($O322,対訳マスタ!$B$2:$B$136,0)),$O322)</f>
        <v>情報交換</v>
      </c>
      <c r="E322" s="67" t="s">
        <v>947</v>
      </c>
      <c r="F322" s="67" t="s">
        <v>86</v>
      </c>
      <c r="G322" s="67" t="n">
        <f aca="false">COUNTIFS(Data!$B$2:$B$1833,$L322,Data!$C$2:$C$1833,$M322,Data!$D$2:$D$1833,$N322,Data!$E$2:$E$1833,$O322,Data!$F$2:$F$1833,$F322,Data!$H$2:$H$1833,1)</f>
        <v>7</v>
      </c>
      <c r="H322" s="67" t="n">
        <v>583</v>
      </c>
      <c r="I322" s="68" t="str">
        <f aca="false">INDEX(Data!$G$2:$G$1833,MATCH($H322,Data!$A$2:$A$1833,0))</f>
        <v>Can ask for and give a phone number.</v>
      </c>
      <c r="J322" s="69" t="s">
        <v>2708</v>
      </c>
      <c r="L322" s="70" t="s">
        <v>395</v>
      </c>
      <c r="M322" s="70" t="s">
        <v>817</v>
      </c>
      <c r="N322" s="70" t="s">
        <v>818</v>
      </c>
      <c r="O322" s="70" t="s">
        <v>947</v>
      </c>
    </row>
    <row r="323" customFormat="false" ht="15" hidden="false" customHeight="true" outlineLevel="0" collapsed="false">
      <c r="A323" s="70"/>
      <c r="B323" s="70"/>
      <c r="C323" s="70"/>
      <c r="D323" s="70"/>
      <c r="E323" s="70"/>
      <c r="F323" s="70" t="s">
        <v>101</v>
      </c>
      <c r="G323" s="70" t="n">
        <f aca="false">COUNTIFS(Data!$B$2:$B$1833,$L323,Data!$C$2:$C$1833,$M323,Data!$D$2:$D$1833,$N323,Data!$E$2:$E$1833,$O323,Data!$F$2:$F$1833,$F323,Data!$H$2:$H$1833,1)</f>
        <v>6</v>
      </c>
      <c r="H323" s="70" t="n">
        <v>577</v>
      </c>
      <c r="I323" s="31" t="str">
        <f aca="false">INDEX(Data!$G$2:$G$1833,MATCH($H323,Data!$A$2:$A$1833,0))</f>
        <v>Can express numbers, quantities and cost in a limited way.</v>
      </c>
      <c r="J323" s="71" t="s">
        <v>2709</v>
      </c>
      <c r="L323" s="70" t="s">
        <v>395</v>
      </c>
      <c r="M323" s="70" t="s">
        <v>817</v>
      </c>
      <c r="N323" s="70" t="s">
        <v>818</v>
      </c>
      <c r="O323" s="70" t="s">
        <v>947</v>
      </c>
    </row>
    <row r="324" customFormat="false" ht="15" hidden="false" customHeight="true" outlineLevel="0" collapsed="false">
      <c r="A324" s="70"/>
      <c r="B324" s="70"/>
      <c r="C324" s="70"/>
      <c r="D324" s="70"/>
      <c r="E324" s="70"/>
      <c r="F324" s="70" t="s">
        <v>13</v>
      </c>
      <c r="G324" s="70" t="n">
        <f aca="false">COUNTIFS(Data!$B$2:$B$1833,$L324,Data!$C$2:$C$1833,$M324,Data!$D$2:$D$1833,$N324,Data!$E$2:$E$1833,$O324,Data!$F$2:$F$1833,$F324,Data!$H$2:$H$1833,1)</f>
        <v>6</v>
      </c>
      <c r="H324" s="70" t="n">
        <v>571</v>
      </c>
      <c r="I324" s="31" t="str">
        <f aca="false">INDEX(Data!$G$2:$G$1833,MATCH($H324,Data!$A$2:$A$1833,0))</f>
        <v>Can ask for and provide personal information.</v>
      </c>
      <c r="J324" s="71" t="s">
        <v>2710</v>
      </c>
      <c r="L324" s="70" t="s">
        <v>395</v>
      </c>
      <c r="M324" s="70" t="s">
        <v>817</v>
      </c>
      <c r="N324" s="70" t="s">
        <v>818</v>
      </c>
      <c r="O324" s="70" t="s">
        <v>947</v>
      </c>
    </row>
    <row r="325" customFormat="false" ht="15" hidden="false" customHeight="true" outlineLevel="0" collapsed="false">
      <c r="A325" s="70"/>
      <c r="B325" s="70"/>
      <c r="C325" s="70"/>
      <c r="D325" s="70"/>
      <c r="E325" s="70"/>
      <c r="F325" s="70" t="s">
        <v>123</v>
      </c>
      <c r="G325" s="70" t="n">
        <f aca="false">COUNTIFS(Data!$B$2:$B$1833,$L325,Data!$C$2:$C$1833,$M325,Data!$D$2:$D$1833,$N325,Data!$E$2:$E$1833,$O325,Data!$F$2:$F$1833,$F325,Data!$H$2:$H$1833,1)</f>
        <v>6</v>
      </c>
      <c r="H325" s="70" t="n">
        <v>563</v>
      </c>
      <c r="I325" s="31" t="str">
        <f aca="false">INDEX(Data!$G$2:$G$1833,MATCH($H325,Data!$A$2:$A$1833,0))</f>
        <v>Can ask and answer questions about habits and routines.</v>
      </c>
      <c r="J325" s="71" t="s">
        <v>201</v>
      </c>
      <c r="L325" s="70" t="s">
        <v>395</v>
      </c>
      <c r="M325" s="70" t="s">
        <v>817</v>
      </c>
      <c r="N325" s="70" t="s">
        <v>818</v>
      </c>
      <c r="O325" s="70" t="s">
        <v>947</v>
      </c>
    </row>
    <row r="326" customFormat="false" ht="15" hidden="false" customHeight="true" outlineLevel="0" collapsed="false">
      <c r="A326" s="70"/>
      <c r="B326" s="70"/>
      <c r="C326" s="70"/>
      <c r="D326" s="70"/>
      <c r="E326" s="70"/>
      <c r="F326" s="70" t="s">
        <v>21</v>
      </c>
      <c r="G326" s="70" t="n">
        <f aca="false">COUNTIFS(Data!$B$2:$B$1833,$L326,Data!$C$2:$C$1833,$M326,Data!$D$2:$D$1833,$N326,Data!$E$2:$E$1833,$O326,Data!$F$2:$F$1833,$F326,Data!$H$2:$H$1833,1)</f>
        <v>4</v>
      </c>
      <c r="H326" s="70" t="n">
        <v>559</v>
      </c>
      <c r="I326" s="31" t="str">
        <f aca="false">INDEX(Data!$G$2:$G$1833,MATCH($H326,Data!$A$2:$A$1833,0))</f>
        <v>Can obtain more detailed information.</v>
      </c>
      <c r="J326" s="71" t="s">
        <v>2711</v>
      </c>
      <c r="L326" s="70" t="s">
        <v>395</v>
      </c>
      <c r="M326" s="70" t="s">
        <v>817</v>
      </c>
      <c r="N326" s="70" t="s">
        <v>818</v>
      </c>
      <c r="O326" s="70" t="s">
        <v>947</v>
      </c>
    </row>
    <row r="327" customFormat="false" ht="26.25" hidden="false" customHeight="true" outlineLevel="0" collapsed="false">
      <c r="A327" s="70"/>
      <c r="B327" s="70"/>
      <c r="C327" s="70"/>
      <c r="D327" s="70"/>
      <c r="E327" s="70"/>
      <c r="F327" s="70" t="s">
        <v>52</v>
      </c>
      <c r="G327" s="70" t="n">
        <f aca="false">COUNTIFS(Data!$B$2:$B$1833,$L327,Data!$C$2:$C$1833,$M327,Data!$D$2:$D$1833,$N327,Data!$E$2:$E$1833,$O327,Data!$F$2:$F$1833,$F327,Data!$H$2:$H$1833,1)</f>
        <v>2</v>
      </c>
      <c r="H327" s="70" t="n">
        <v>555</v>
      </c>
      <c r="I327" s="31" t="str">
        <f aca="false">INDEX(Data!$G$2:$G$1833,MATCH($H327,Data!$A$2:$A$1833,0))</f>
        <v>Can exchange, check and confirm accumulated factual information on familiar routine and non-routine matters within their field with some confidence.</v>
      </c>
      <c r="J327" s="71" t="s">
        <v>2712</v>
      </c>
      <c r="L327" s="70" t="s">
        <v>395</v>
      </c>
      <c r="M327" s="70" t="s">
        <v>817</v>
      </c>
      <c r="N327" s="70" t="s">
        <v>818</v>
      </c>
      <c r="O327" s="70" t="s">
        <v>947</v>
      </c>
    </row>
    <row r="328" customFormat="false" ht="15" hidden="false" customHeight="true" outlineLevel="0" collapsed="false">
      <c r="A328" s="70"/>
      <c r="B328" s="70"/>
      <c r="C328" s="70"/>
      <c r="D328" s="70"/>
      <c r="E328" s="70"/>
      <c r="F328" s="70" t="s">
        <v>259</v>
      </c>
      <c r="G328" s="70" t="n">
        <f aca="false">COUNTIFS(Data!$B$2:$B$1833,$L328,Data!$C$2:$C$1833,$M328,Data!$D$2:$D$1833,$N328,Data!$E$2:$E$1833,$O328,Data!$F$2:$F$1833,$F328,Data!$H$2:$H$1833,1)</f>
        <v>1</v>
      </c>
      <c r="H328" s="70" t="n">
        <v>554</v>
      </c>
      <c r="I328" s="31" t="str">
        <f aca="false">INDEX(Data!$G$2:$G$1833,MATCH($H328,Data!$A$2:$A$1833,0))</f>
        <v>Can pass on detailed information reliably.</v>
      </c>
      <c r="J328" s="71" t="s">
        <v>2713</v>
      </c>
      <c r="L328" s="70" t="s">
        <v>395</v>
      </c>
      <c r="M328" s="70" t="s">
        <v>817</v>
      </c>
      <c r="N328" s="70" t="s">
        <v>818</v>
      </c>
      <c r="O328" s="70" t="s">
        <v>947</v>
      </c>
    </row>
    <row r="329" customFormat="false" ht="26.25" hidden="false" customHeight="true" outlineLevel="0" collapsed="false">
      <c r="A329" s="70"/>
      <c r="B329" s="70"/>
      <c r="C329" s="70"/>
      <c r="D329" s="70"/>
      <c r="E329" s="70"/>
      <c r="F329" s="70" t="s">
        <v>36</v>
      </c>
      <c r="G329" s="70" t="n">
        <f aca="false">COUNTIFS(Data!$B$2:$B$1833,$L329,Data!$C$2:$C$1833,$M329,Data!$D$2:$D$1833,$N329,Data!$E$2:$E$1833,$O329,Data!$F$2:$F$1833,$F329,Data!$H$2:$H$1833,1)</f>
        <v>2</v>
      </c>
      <c r="H329" s="70" t="n">
        <v>552</v>
      </c>
      <c r="I329" s="31" t="str">
        <f aca="false">INDEX(Data!$G$2:$G$1833,MATCH($H329,Data!$A$2:$A$1833,0))</f>
        <v>Can understand and exchange complex information and advice on the full range of matters related to their occupational role.</v>
      </c>
      <c r="J329" s="71" t="s">
        <v>2714</v>
      </c>
      <c r="L329" s="70" t="s">
        <v>395</v>
      </c>
      <c r="M329" s="70" t="s">
        <v>817</v>
      </c>
      <c r="N329" s="70" t="s">
        <v>818</v>
      </c>
      <c r="O329" s="70" t="s">
        <v>947</v>
      </c>
    </row>
    <row r="330" customFormat="false" ht="15" hidden="false" customHeight="true" outlineLevel="0" collapsed="false">
      <c r="A330" s="70"/>
      <c r="B330" s="70"/>
      <c r="C330" s="70"/>
      <c r="D330" s="70"/>
      <c r="E330" s="70"/>
      <c r="F330" s="70" t="s">
        <v>74</v>
      </c>
      <c r="G330" s="70" t="n">
        <f aca="false">COUNTIFS(Data!$B$2:$B$1833,$L330,Data!$C$2:$C$1833,$M330,Data!$D$2:$D$1833,$N330,Data!$E$2:$E$1833,$O330,Data!$F$2:$F$1833,$F330,Data!$H$2:$H$1833,1)</f>
        <v>0</v>
      </c>
      <c r="H330" s="70" t="s">
        <v>624</v>
      </c>
      <c r="I330" s="31" t="s">
        <v>624</v>
      </c>
      <c r="J330" s="31" t="s">
        <v>624</v>
      </c>
      <c r="L330" s="70" t="s">
        <v>395</v>
      </c>
      <c r="M330" s="70" t="s">
        <v>817</v>
      </c>
      <c r="N330" s="70" t="s">
        <v>818</v>
      </c>
      <c r="O330" s="70" t="s">
        <v>947</v>
      </c>
    </row>
    <row r="331" customFormat="false" ht="15" hidden="false" customHeight="true" outlineLevel="0" collapsed="false">
      <c r="A331" s="70"/>
      <c r="B331" s="70"/>
      <c r="C331" s="70"/>
      <c r="D331" s="70"/>
      <c r="E331" s="70"/>
      <c r="F331" s="70" t="s">
        <v>331</v>
      </c>
      <c r="G331" s="70" t="n">
        <f aca="false">COUNTIFS(Data!$B$2:$B$1833,$L331,Data!$C$2:$C$1833,$M331,Data!$D$2:$D$1833,$N331,Data!$E$2:$E$1833,$O331,Data!$F$2:$F$1833,$F331,Data!$H$2:$H$1833,1)</f>
        <v>0</v>
      </c>
      <c r="H331" s="70" t="s">
        <v>624</v>
      </c>
      <c r="I331" s="31" t="s">
        <v>624</v>
      </c>
      <c r="J331" s="31" t="s">
        <v>624</v>
      </c>
      <c r="L331" s="70" t="s">
        <v>395</v>
      </c>
      <c r="M331" s="70" t="s">
        <v>817</v>
      </c>
      <c r="N331" s="70" t="s">
        <v>818</v>
      </c>
      <c r="O331" s="70" t="s">
        <v>947</v>
      </c>
    </row>
    <row r="332" customFormat="false" ht="15" hidden="false" customHeight="true" outlineLevel="0" collapsed="false">
      <c r="A332" s="73" t="str">
        <f aca="false">IFERROR(INDEX(対訳マスタ!$C$2:$C$136,MATCH($L332,対訳マスタ!$B$2:$B$136,0)),$L332)</f>
        <v>コミュニケーション言語活動</v>
      </c>
      <c r="B332" s="73" t="str">
        <f aca="false">IF($M332="—","—",IFERROR(INDEX(対訳マスタ!$C$2:$C$136,MATCH($M332,対訳マスタ!$B$2:$B$136,0)),$M332))</f>
        <v>相互行為</v>
      </c>
      <c r="C332" s="73" t="str">
        <f aca="false">IF($N332="—","—",IFERROR(INDEX(対訳マスタ!$C$2:$C$136,MATCH($N332,対訳マスタ!$B$2:$B$136,0)),$N332))</f>
        <v>口頭の相互行為</v>
      </c>
      <c r="D332" s="73" t="str">
        <f aca="false">IFERROR(INDEX(対訳マスタ!$C$2:$C$136,MATCH($O332,対訳マスタ!$B$2:$B$136,0)),$O332)</f>
        <v>面接する・面接を受ける</v>
      </c>
      <c r="E332" s="73" t="s">
        <v>972</v>
      </c>
      <c r="F332" s="73" t="s">
        <v>86</v>
      </c>
      <c r="G332" s="73" t="n">
        <f aca="false">COUNTIFS(Data!$B$2:$B$1833,$L332,Data!$C$2:$C$1833,$M332,Data!$D$2:$D$1833,$N332,Data!$E$2:$E$1833,$O332,Data!$F$2:$F$1833,$F332,Data!$H$2:$H$1833,1)</f>
        <v>0</v>
      </c>
      <c r="H332" s="73" t="s">
        <v>624</v>
      </c>
      <c r="I332" s="74" t="s">
        <v>624</v>
      </c>
      <c r="J332" s="74" t="s">
        <v>624</v>
      </c>
      <c r="L332" s="70" t="s">
        <v>395</v>
      </c>
      <c r="M332" s="70" t="s">
        <v>817</v>
      </c>
      <c r="N332" s="70" t="s">
        <v>818</v>
      </c>
      <c r="O332" s="70" t="s">
        <v>972</v>
      </c>
    </row>
    <row r="333" customFormat="false" ht="26.25" hidden="false" customHeight="true" outlineLevel="0" collapsed="false">
      <c r="A333" s="75"/>
      <c r="B333" s="75"/>
      <c r="C333" s="75"/>
      <c r="D333" s="75"/>
      <c r="E333" s="75"/>
      <c r="F333" s="75" t="s">
        <v>101</v>
      </c>
      <c r="G333" s="75" t="n">
        <f aca="false">COUNTIFS(Data!$B$2:$B$1833,$L333,Data!$C$2:$C$1833,$M333,Data!$D$2:$D$1833,$N333,Data!$E$2:$E$1833,$O333,Data!$F$2:$F$1833,$F333,Data!$H$2:$H$1833,1)</f>
        <v>2</v>
      </c>
      <c r="H333" s="75" t="n">
        <v>599</v>
      </c>
      <c r="I333" s="76" t="str">
        <f aca="false">INDEX(Data!$G$2:$G$1833,MATCH($H333,Data!$A$2:$A$1833,0))</f>
        <v>Can reply in an interview to simple direct questions, put very slowly and clearly in direct, non-idiomatic language, about personal details.</v>
      </c>
      <c r="J333" s="77" t="s">
        <v>2715</v>
      </c>
      <c r="L333" s="70" t="s">
        <v>395</v>
      </c>
      <c r="M333" s="70" t="s">
        <v>817</v>
      </c>
      <c r="N333" s="70" t="s">
        <v>818</v>
      </c>
      <c r="O333" s="70" t="s">
        <v>972</v>
      </c>
    </row>
    <row r="334" customFormat="false" ht="21.75" hidden="false" customHeight="true" outlineLevel="0" collapsed="false">
      <c r="A334" s="75"/>
      <c r="B334" s="75"/>
      <c r="C334" s="75"/>
      <c r="D334" s="75"/>
      <c r="E334" s="75"/>
      <c r="F334" s="75" t="s">
        <v>13</v>
      </c>
      <c r="G334" s="75" t="n">
        <f aca="false">COUNTIFS(Data!$B$2:$B$1833,$L334,Data!$C$2:$C$1833,$M334,Data!$D$2:$D$1833,$N334,Data!$E$2:$E$1833,$O334,Data!$F$2:$F$1833,$F334,Data!$H$2:$H$1833,1)</f>
        <v>2</v>
      </c>
      <c r="H334" s="75" t="n">
        <v>597</v>
      </c>
      <c r="I334" s="76" t="str">
        <f aca="false">INDEX(Data!$G$2:$G$1833,MATCH($H334,Data!$A$2:$A$1833,0))</f>
        <v>Can answer simple questions and respond to simple statements in an interview.</v>
      </c>
      <c r="J334" s="77" t="s">
        <v>2716</v>
      </c>
      <c r="L334" s="70" t="s">
        <v>395</v>
      </c>
      <c r="M334" s="70" t="s">
        <v>817</v>
      </c>
      <c r="N334" s="70" t="s">
        <v>818</v>
      </c>
      <c r="O334" s="70" t="s">
        <v>972</v>
      </c>
    </row>
    <row r="335" customFormat="false" ht="26.25" hidden="false" customHeight="true" outlineLevel="0" collapsed="false">
      <c r="A335" s="75"/>
      <c r="B335" s="75"/>
      <c r="C335" s="75"/>
      <c r="D335" s="75"/>
      <c r="E335" s="75"/>
      <c r="F335" s="75" t="s">
        <v>123</v>
      </c>
      <c r="G335" s="75" t="n">
        <f aca="false">COUNTIFS(Data!$B$2:$B$1833,$L335,Data!$C$2:$C$1833,$M335,Data!$D$2:$D$1833,$N335,Data!$E$2:$E$1833,$O335,Data!$F$2:$F$1833,$F335,Data!$H$2:$H$1833,1)</f>
        <v>2</v>
      </c>
      <c r="H335" s="75" t="n">
        <v>596</v>
      </c>
      <c r="I335" s="76" t="str">
        <f aca="false">INDEX(Data!$G$2:$G$1833,MATCH($H335,Data!$A$2:$A$1833,0))</f>
        <v>Can describe to a doctor very basic symptoms and ailments such as a cold or the flu.</v>
      </c>
      <c r="J335" s="77" t="s">
        <v>2717</v>
      </c>
      <c r="L335" s="70" t="s">
        <v>395</v>
      </c>
      <c r="M335" s="70" t="s">
        <v>817</v>
      </c>
      <c r="N335" s="70" t="s">
        <v>818</v>
      </c>
      <c r="O335" s="70" t="s">
        <v>972</v>
      </c>
    </row>
    <row r="336" customFormat="false" ht="26.25" hidden="false" customHeight="true" outlineLevel="0" collapsed="false">
      <c r="A336" s="75"/>
      <c r="B336" s="75"/>
      <c r="C336" s="75"/>
      <c r="D336" s="75"/>
      <c r="E336" s="75"/>
      <c r="F336" s="75" t="s">
        <v>21</v>
      </c>
      <c r="G336" s="75" t="n">
        <f aca="false">COUNTIFS(Data!$B$2:$B$1833,$L336,Data!$C$2:$C$1833,$M336,Data!$D$2:$D$1833,$N336,Data!$E$2:$E$1833,$O336,Data!$F$2:$F$1833,$F336,Data!$H$2:$H$1833,1)</f>
        <v>3</v>
      </c>
      <c r="H336" s="75" t="n">
        <v>594</v>
      </c>
      <c r="I336" s="76" t="str">
        <f aca="false">INDEX(Data!$G$2:$G$1833,MATCH($H336,Data!$A$2:$A$1833,0))</f>
        <v>Can use a prepared questionnaire to carry out a structured interview, with some spontaneous follow-up questions.</v>
      </c>
      <c r="J336" s="77" t="s">
        <v>2718</v>
      </c>
      <c r="L336" s="70" t="s">
        <v>395</v>
      </c>
      <c r="M336" s="70" t="s">
        <v>817</v>
      </c>
      <c r="N336" s="70" t="s">
        <v>818</v>
      </c>
      <c r="O336" s="70" t="s">
        <v>972</v>
      </c>
    </row>
    <row r="337" customFormat="false" ht="26.25" hidden="false" customHeight="true" outlineLevel="0" collapsed="false">
      <c r="A337" s="75"/>
      <c r="B337" s="75"/>
      <c r="C337" s="75"/>
      <c r="D337" s="75"/>
      <c r="E337" s="75"/>
      <c r="F337" s="75" t="s">
        <v>52</v>
      </c>
      <c r="G337" s="75" t="n">
        <f aca="false">COUNTIFS(Data!$B$2:$B$1833,$L337,Data!$C$2:$C$1833,$M337,Data!$D$2:$D$1833,$N337,Data!$E$2:$E$1833,$O337,Data!$F$2:$F$1833,$F337,Data!$H$2:$H$1833,1)</f>
        <v>2</v>
      </c>
      <c r="H337" s="75" t="n">
        <v>590</v>
      </c>
      <c r="I337" s="76" t="str">
        <f aca="false">INDEX(Data!$G$2:$G$1833,MATCH($H337,Data!$A$2:$A$1833,0))</f>
        <v>Can provide concrete information required in an interview/consultation (e.g. describe symptoms to a doctor), but with limited precision.</v>
      </c>
      <c r="J337" s="77" t="s">
        <v>2719</v>
      </c>
      <c r="L337" s="70" t="s">
        <v>395</v>
      </c>
      <c r="M337" s="70" t="s">
        <v>817</v>
      </c>
      <c r="N337" s="70" t="s">
        <v>818</v>
      </c>
      <c r="O337" s="70" t="s">
        <v>972</v>
      </c>
    </row>
    <row r="338" customFormat="false" ht="26.25" hidden="false" customHeight="true" outlineLevel="0" collapsed="false">
      <c r="A338" s="75"/>
      <c r="B338" s="75"/>
      <c r="C338" s="75"/>
      <c r="D338" s="75"/>
      <c r="E338" s="75"/>
      <c r="F338" s="75" t="s">
        <v>259</v>
      </c>
      <c r="G338" s="75" t="n">
        <f aca="false">COUNTIFS(Data!$B$2:$B$1833,$L338,Data!$C$2:$C$1833,$M338,Data!$D$2:$D$1833,$N338,Data!$E$2:$E$1833,$O338,Data!$F$2:$F$1833,$F338,Data!$H$2:$H$1833,1)</f>
        <v>1</v>
      </c>
      <c r="H338" s="75" t="n">
        <v>589</v>
      </c>
      <c r="I338" s="76" t="str">
        <f aca="false">INDEX(Data!$G$2:$G$1833,MATCH($H338,Data!$A$2:$A$1833,0))</f>
        <v>Can take the initiative in an interview, and expand and develop ideas with little help or prodding from an interviewer.</v>
      </c>
      <c r="J338" s="77" t="s">
        <v>2720</v>
      </c>
      <c r="L338" s="70" t="s">
        <v>395</v>
      </c>
      <c r="M338" s="70" t="s">
        <v>817</v>
      </c>
      <c r="N338" s="70" t="s">
        <v>818</v>
      </c>
      <c r="O338" s="70" t="s">
        <v>972</v>
      </c>
    </row>
    <row r="339" customFormat="false" ht="26.25" hidden="false" customHeight="true" outlineLevel="0" collapsed="false">
      <c r="A339" s="75"/>
      <c r="B339" s="75"/>
      <c r="C339" s="75"/>
      <c r="D339" s="75"/>
      <c r="E339" s="75"/>
      <c r="F339" s="75" t="s">
        <v>36</v>
      </c>
      <c r="G339" s="75" t="n">
        <f aca="false">COUNTIFS(Data!$B$2:$B$1833,$L339,Data!$C$2:$C$1833,$M339,Data!$D$2:$D$1833,$N339,Data!$E$2:$E$1833,$O339,Data!$F$2:$F$1833,$F339,Data!$H$2:$H$1833,1)</f>
        <v>1</v>
      </c>
      <c r="H339" s="75" t="n">
        <v>588</v>
      </c>
      <c r="I339" s="76" t="str">
        <f aca="false">INDEX(Data!$G$2:$G$1833,MATCH($H339,Data!$A$2:$A$1833,0))</f>
        <v>Can carry out an effective, fluent interview, departing spontaneously from prepared questions, following up and probing interesting replies.</v>
      </c>
      <c r="J339" s="77" t="s">
        <v>2721</v>
      </c>
      <c r="L339" s="70" t="s">
        <v>395</v>
      </c>
      <c r="M339" s="70" t="s">
        <v>817</v>
      </c>
      <c r="N339" s="70" t="s">
        <v>818</v>
      </c>
      <c r="O339" s="70" t="s">
        <v>972</v>
      </c>
    </row>
    <row r="340" customFormat="false" ht="32.25" hidden="false" customHeight="true" outlineLevel="0" collapsed="false">
      <c r="A340" s="75"/>
      <c r="B340" s="75"/>
      <c r="C340" s="75"/>
      <c r="D340" s="75"/>
      <c r="E340" s="75"/>
      <c r="F340" s="75" t="s">
        <v>74</v>
      </c>
      <c r="G340" s="75" t="n">
        <f aca="false">COUNTIFS(Data!$B$2:$B$1833,$L340,Data!$C$2:$C$1833,$M340,Data!$D$2:$D$1833,$N340,Data!$E$2:$E$1833,$O340,Data!$F$2:$F$1833,$F340,Data!$H$2:$H$1833,1)</f>
        <v>1</v>
      </c>
      <c r="H340" s="75" t="n">
        <v>587</v>
      </c>
      <c r="I340" s="76" t="str">
        <f aca="false">INDEX(Data!$G$2:$G$1833,MATCH($H340,Data!$A$2:$A$1833,0))</f>
        <v>Can participate fully in an interview, as either interviewer or interviewee, expanding and developing the point being discussed fluently without any support, and handling interjections well.</v>
      </c>
      <c r="J340" s="77" t="s">
        <v>2722</v>
      </c>
      <c r="L340" s="70" t="s">
        <v>395</v>
      </c>
      <c r="M340" s="70" t="s">
        <v>817</v>
      </c>
      <c r="N340" s="70" t="s">
        <v>818</v>
      </c>
      <c r="O340" s="70" t="s">
        <v>972</v>
      </c>
    </row>
    <row r="341" customFormat="false" ht="39" hidden="false" customHeight="true" outlineLevel="0" collapsed="false">
      <c r="A341" s="75"/>
      <c r="B341" s="75"/>
      <c r="C341" s="75"/>
      <c r="D341" s="75"/>
      <c r="E341" s="75"/>
      <c r="F341" s="75" t="s">
        <v>331</v>
      </c>
      <c r="G341" s="75" t="n">
        <f aca="false">COUNTIFS(Data!$B$2:$B$1833,$L341,Data!$C$2:$C$1833,$M341,Data!$D$2:$D$1833,$N341,Data!$E$2:$E$1833,$O341,Data!$F$2:$F$1833,$F341,Data!$H$2:$H$1833,1)</f>
        <v>1</v>
      </c>
      <c r="H341" s="75" t="n">
        <v>586</v>
      </c>
      <c r="I341" s="76" t="str">
        <f aca="false">INDEX(Data!$G$2:$G$1833,MATCH($H341,Data!$A$2:$A$1833,0))</f>
        <v>Can keep up their side of the dialogue extremely well, structuring the discourse and interacting authoritatively with effortless fluency as interviewer or interviewee, at no disadvantage to other participants.</v>
      </c>
      <c r="J341" s="77" t="s">
        <v>2723</v>
      </c>
      <c r="L341" s="70" t="s">
        <v>395</v>
      </c>
      <c r="M341" s="70" t="s">
        <v>817</v>
      </c>
      <c r="N341" s="70" t="s">
        <v>818</v>
      </c>
      <c r="O341" s="70" t="s">
        <v>972</v>
      </c>
    </row>
    <row r="342" customFormat="false" ht="15" hidden="false" customHeight="true" outlineLevel="0" collapsed="false">
      <c r="A342" s="67" t="str">
        <f aca="false">IFERROR(INDEX(対訳マスタ!$C$2:$C$136,MATCH($L342,対訳マスタ!$B$2:$B$136,0)),$L342)</f>
        <v>コミュニケーション言語活動</v>
      </c>
      <c r="B342" s="67" t="str">
        <f aca="false">IF($M342="—","—",IFERROR(INDEX(対訳マスタ!$C$2:$C$136,MATCH($M342,対訳マスタ!$B$2:$B$136,0)),$M342))</f>
        <v>相互行為</v>
      </c>
      <c r="C342" s="67" t="str">
        <f aca="false">IF($N342="—","—",IFERROR(INDEX(対訳マスタ!$C$2:$C$136,MATCH($N342,対訳マスタ!$B$2:$B$136,0)),$N342))</f>
        <v>口頭の相互行為</v>
      </c>
      <c r="D342" s="67" t="str">
        <f aca="false">IFERROR(INDEX(対訳マスタ!$C$2:$C$136,MATCH($O342,対訳マスタ!$B$2:$B$136,0)),$O342)</f>
        <v>電話・通信の利用</v>
      </c>
      <c r="E342" s="67" t="s">
        <v>988</v>
      </c>
      <c r="F342" s="67" t="s">
        <v>86</v>
      </c>
      <c r="G342" s="67" t="n">
        <f aca="false">COUNTIFS(Data!$B$2:$B$1833,$L342,Data!$C$2:$C$1833,$M342,Data!$D$2:$D$1833,$N342,Data!$E$2:$E$1833,$O342,Data!$F$2:$F$1833,$F342,Data!$H$2:$H$1833,1)</f>
        <v>0</v>
      </c>
      <c r="H342" s="67" t="s">
        <v>624</v>
      </c>
      <c r="I342" s="68" t="s">
        <v>624</v>
      </c>
      <c r="J342" s="68" t="s">
        <v>624</v>
      </c>
      <c r="L342" s="70" t="s">
        <v>395</v>
      </c>
      <c r="M342" s="70" t="s">
        <v>817</v>
      </c>
      <c r="N342" s="70" t="s">
        <v>818</v>
      </c>
      <c r="O342" s="70" t="s">
        <v>988</v>
      </c>
    </row>
    <row r="343" customFormat="false" ht="15" hidden="false" customHeight="true" outlineLevel="0" collapsed="false">
      <c r="A343" s="70"/>
      <c r="B343" s="70"/>
      <c r="C343" s="70"/>
      <c r="D343" s="70"/>
      <c r="E343" s="70"/>
      <c r="F343" s="70" t="s">
        <v>101</v>
      </c>
      <c r="G343" s="70" t="n">
        <f aca="false">COUNTIFS(Data!$B$2:$B$1833,$L343,Data!$C$2:$C$1833,$M343,Data!$D$2:$D$1833,$N343,Data!$E$2:$E$1833,$O343,Data!$F$2:$F$1833,$F343,Data!$H$2:$H$1833,1)</f>
        <v>0</v>
      </c>
      <c r="H343" s="70" t="s">
        <v>624</v>
      </c>
      <c r="I343" s="31" t="s">
        <v>624</v>
      </c>
      <c r="J343" s="31" t="s">
        <v>624</v>
      </c>
      <c r="L343" s="70" t="s">
        <v>395</v>
      </c>
      <c r="M343" s="70" t="s">
        <v>817</v>
      </c>
      <c r="N343" s="70" t="s">
        <v>818</v>
      </c>
      <c r="O343" s="70" t="s">
        <v>988</v>
      </c>
    </row>
    <row r="344" customFormat="false" ht="32.25" hidden="false" customHeight="true" outlineLevel="0" collapsed="false">
      <c r="A344" s="70"/>
      <c r="B344" s="70"/>
      <c r="C344" s="70"/>
      <c r="D344" s="70"/>
      <c r="E344" s="70"/>
      <c r="F344" s="70" t="s">
        <v>13</v>
      </c>
      <c r="G344" s="70" t="n">
        <f aca="false">COUNTIFS(Data!$B$2:$B$1833,$L344,Data!$C$2:$C$1833,$M344,Data!$D$2:$D$1833,$N344,Data!$E$2:$E$1833,$O344,Data!$F$2:$F$1833,$F344,Data!$H$2:$H$1833,1)</f>
        <v>2</v>
      </c>
      <c r="H344" s="70" t="n">
        <v>612</v>
      </c>
      <c r="I344" s="31" t="str">
        <f aca="false">INDEX(Data!$G$2:$G$1833,MATCH($H344,Data!$A$2:$A$1833,0))</f>
        <v>Can understand a simple message (e.g. “My flight is late. I will arrive at ten o’clock.”), confirm details of the message and pass it on by phone to other people concerned.</v>
      </c>
      <c r="J344" s="71" t="s">
        <v>2724</v>
      </c>
      <c r="L344" s="70" t="s">
        <v>395</v>
      </c>
      <c r="M344" s="70" t="s">
        <v>817</v>
      </c>
      <c r="N344" s="70" t="s">
        <v>818</v>
      </c>
      <c r="O344" s="70" t="s">
        <v>988</v>
      </c>
    </row>
    <row r="345" customFormat="false" ht="21.75" hidden="false" customHeight="true" outlineLevel="0" collapsed="false">
      <c r="A345" s="70"/>
      <c r="B345" s="70"/>
      <c r="C345" s="70"/>
      <c r="D345" s="70"/>
      <c r="E345" s="70"/>
      <c r="F345" s="70" t="s">
        <v>123</v>
      </c>
      <c r="G345" s="70" t="n">
        <f aca="false">COUNTIFS(Data!$B$2:$B$1833,$L345,Data!$C$2:$C$1833,$M345,Data!$D$2:$D$1833,$N345,Data!$E$2:$E$1833,$O345,Data!$F$2:$F$1833,$F345,Data!$H$2:$H$1833,1)</f>
        <v>1</v>
      </c>
      <c r="H345" s="70" t="n">
        <v>610</v>
      </c>
      <c r="I345" s="31" t="str">
        <f aca="false">INDEX(Data!$G$2:$G$1833,MATCH($H345,Data!$A$2:$A$1833,0))</f>
        <v>Can use telecommunications with their friends to exchange simple news, make plans and arrange to meet.</v>
      </c>
      <c r="J345" s="71" t="s">
        <v>2725</v>
      </c>
      <c r="L345" s="70" t="s">
        <v>395</v>
      </c>
      <c r="M345" s="70" t="s">
        <v>817</v>
      </c>
      <c r="N345" s="70" t="s">
        <v>818</v>
      </c>
      <c r="O345" s="70" t="s">
        <v>988</v>
      </c>
    </row>
    <row r="346" customFormat="false" ht="21.75" hidden="false" customHeight="true" outlineLevel="0" collapsed="false">
      <c r="A346" s="70"/>
      <c r="B346" s="70"/>
      <c r="C346" s="70"/>
      <c r="D346" s="70"/>
      <c r="E346" s="70"/>
      <c r="F346" s="70" t="s">
        <v>21</v>
      </c>
      <c r="G346" s="70" t="n">
        <f aca="false">COUNTIFS(Data!$B$2:$B$1833,$L346,Data!$C$2:$C$1833,$M346,Data!$D$2:$D$1833,$N346,Data!$E$2:$E$1833,$O346,Data!$F$2:$F$1833,$F346,Data!$H$2:$H$1833,1)</f>
        <v>2</v>
      </c>
      <c r="H346" s="70" t="n">
        <v>608</v>
      </c>
      <c r="I346" s="31" t="str">
        <f aca="false">INDEX(Data!$G$2:$G$1833,MATCH($H346,Data!$A$2:$A$1833,0))</f>
        <v>Can use telecommunications to have relatively simple but extended conversations with people they know personally.</v>
      </c>
      <c r="J346" s="71" t="s">
        <v>2726</v>
      </c>
      <c r="L346" s="70" t="s">
        <v>395</v>
      </c>
      <c r="M346" s="70" t="s">
        <v>817</v>
      </c>
      <c r="N346" s="70" t="s">
        <v>818</v>
      </c>
      <c r="O346" s="70" t="s">
        <v>988</v>
      </c>
    </row>
    <row r="347" customFormat="false" ht="26.25" hidden="false" customHeight="true" outlineLevel="0" collapsed="false">
      <c r="A347" s="70"/>
      <c r="B347" s="70"/>
      <c r="C347" s="70"/>
      <c r="D347" s="70"/>
      <c r="E347" s="70"/>
      <c r="F347" s="70" t="s">
        <v>52</v>
      </c>
      <c r="G347" s="70" t="n">
        <f aca="false">COUNTIFS(Data!$B$2:$B$1833,$L347,Data!$C$2:$C$1833,$M347,Data!$D$2:$D$1833,$N347,Data!$E$2:$E$1833,$O347,Data!$F$2:$F$1833,$F347,Data!$H$2:$H$1833,1)</f>
        <v>2</v>
      </c>
      <c r="H347" s="70" t="n">
        <v>606</v>
      </c>
      <c r="I347" s="31" t="str">
        <f aca="false">INDEX(Data!$G$2:$G$1833,MATCH($H347,Data!$A$2:$A$1833,0))</f>
        <v>Can use telecommunications for everyday personal or professional purposes, provided they can ask for clarification from time to time.</v>
      </c>
      <c r="J347" s="71" t="s">
        <v>2727</v>
      </c>
      <c r="L347" s="70" t="s">
        <v>395</v>
      </c>
      <c r="M347" s="70" t="s">
        <v>817</v>
      </c>
      <c r="N347" s="70" t="s">
        <v>818</v>
      </c>
      <c r="O347" s="70" t="s">
        <v>988</v>
      </c>
    </row>
    <row r="348" customFormat="false" ht="26.25" hidden="false" customHeight="true" outlineLevel="0" collapsed="false">
      <c r="A348" s="70"/>
      <c r="B348" s="70"/>
      <c r="C348" s="70"/>
      <c r="D348" s="70"/>
      <c r="E348" s="70"/>
      <c r="F348" s="70" t="s">
        <v>259</v>
      </c>
      <c r="G348" s="70" t="n">
        <f aca="false">COUNTIFS(Data!$B$2:$B$1833,$L348,Data!$C$2:$C$1833,$M348,Data!$D$2:$D$1833,$N348,Data!$E$2:$E$1833,$O348,Data!$F$2:$F$1833,$F348,Data!$H$2:$H$1833,1)</f>
        <v>2</v>
      </c>
      <c r="H348" s="70" t="n">
        <v>605</v>
      </c>
      <c r="I348" s="31" t="str">
        <f aca="false">INDEX(Data!$G$2:$G$1833,MATCH($H348,Data!$A$2:$A$1833,0))</f>
        <v>Can participate in extended casual conversation over the phone with a known person on a variety of topics.</v>
      </c>
      <c r="J348" s="71" t="s">
        <v>2728</v>
      </c>
      <c r="L348" s="70" t="s">
        <v>395</v>
      </c>
      <c r="M348" s="70" t="s">
        <v>817</v>
      </c>
      <c r="N348" s="70" t="s">
        <v>818</v>
      </c>
      <c r="O348" s="70" t="s">
        <v>988</v>
      </c>
    </row>
    <row r="349" customFormat="false" ht="15" hidden="false" customHeight="true" outlineLevel="0" collapsed="false">
      <c r="A349" s="70"/>
      <c r="B349" s="70"/>
      <c r="C349" s="70"/>
      <c r="D349" s="70"/>
      <c r="E349" s="70"/>
      <c r="F349" s="70" t="s">
        <v>36</v>
      </c>
      <c r="G349" s="70" t="n">
        <f aca="false">COUNTIFS(Data!$B$2:$B$1833,$L349,Data!$C$2:$C$1833,$M349,Data!$D$2:$D$1833,$N349,Data!$E$2:$E$1833,$O349,Data!$F$2:$F$1833,$F349,Data!$H$2:$H$1833,1)</f>
        <v>0</v>
      </c>
      <c r="H349" s="70" t="s">
        <v>624</v>
      </c>
      <c r="I349" s="31" t="s">
        <v>624</v>
      </c>
      <c r="J349" s="31" t="s">
        <v>624</v>
      </c>
      <c r="L349" s="70" t="s">
        <v>395</v>
      </c>
      <c r="M349" s="70" t="s">
        <v>817</v>
      </c>
      <c r="N349" s="70" t="s">
        <v>818</v>
      </c>
      <c r="O349" s="70" t="s">
        <v>988</v>
      </c>
    </row>
    <row r="350" customFormat="false" ht="21.75" hidden="false" customHeight="true" outlineLevel="0" collapsed="false">
      <c r="A350" s="70"/>
      <c r="B350" s="70"/>
      <c r="C350" s="70"/>
      <c r="D350" s="70"/>
      <c r="E350" s="70"/>
      <c r="F350" s="70" t="s">
        <v>74</v>
      </c>
      <c r="G350" s="70" t="n">
        <f aca="false">COUNTIFS(Data!$B$2:$B$1833,$L350,Data!$C$2:$C$1833,$M350,Data!$D$2:$D$1833,$N350,Data!$E$2:$E$1833,$O350,Data!$F$2:$F$1833,$F350,Data!$H$2:$H$1833,1)</f>
        <v>1</v>
      </c>
      <c r="H350" s="70" t="n">
        <v>603</v>
      </c>
      <c r="I350" s="31" t="str">
        <f aca="false">INDEX(Data!$G$2:$G$1833,MATCH($H350,Data!$A$2:$A$1833,0))</f>
        <v>Can use telecommunications effectively for most professional or personal purposes.</v>
      </c>
      <c r="J350" s="71" t="s">
        <v>2729</v>
      </c>
      <c r="L350" s="70" t="s">
        <v>395</v>
      </c>
      <c r="M350" s="70" t="s">
        <v>817</v>
      </c>
      <c r="N350" s="70" t="s">
        <v>818</v>
      </c>
      <c r="O350" s="70" t="s">
        <v>988</v>
      </c>
    </row>
    <row r="351" customFormat="false" ht="32.25" hidden="false" customHeight="true" outlineLevel="0" collapsed="false">
      <c r="A351" s="70"/>
      <c r="B351" s="70"/>
      <c r="C351" s="70"/>
      <c r="D351" s="70"/>
      <c r="E351" s="70"/>
      <c r="F351" s="70" t="s">
        <v>331</v>
      </c>
      <c r="G351" s="70" t="n">
        <f aca="false">COUNTIFS(Data!$B$2:$B$1833,$L351,Data!$C$2:$C$1833,$M351,Data!$D$2:$D$1833,$N351,Data!$E$2:$E$1833,$O351,Data!$F$2:$F$1833,$F351,Data!$H$2:$H$1833,1)</f>
        <v>1</v>
      </c>
      <c r="H351" s="70" t="n">
        <v>602</v>
      </c>
      <c r="I351" s="31" t="str">
        <f aca="false">INDEX(Data!$G$2:$G$1833,MATCH($H351,Data!$A$2:$A$1833,0))</f>
        <v>Can use telecommunications confidently and effectively for both personal and professional purposes, even if there is some interference (noise) or the caller has a less familiar accent.</v>
      </c>
      <c r="J351" s="71" t="s">
        <v>2730</v>
      </c>
      <c r="L351" s="70" t="s">
        <v>395</v>
      </c>
      <c r="M351" s="70" t="s">
        <v>817</v>
      </c>
      <c r="N351" s="70" t="s">
        <v>818</v>
      </c>
      <c r="O351" s="70" t="s">
        <v>988</v>
      </c>
    </row>
    <row r="352" customFormat="false" ht="26.25" hidden="false" customHeight="true" outlineLevel="0" collapsed="false">
      <c r="A352" s="73" t="str">
        <f aca="false">IFERROR(INDEX(対訳マスタ!$C$2:$C$136,MATCH($L352,対訳マスタ!$B$2:$B$136,0)),$L352)</f>
        <v>コミュニケーション言語活動</v>
      </c>
      <c r="B352" s="73" t="str">
        <f aca="false">IF($M352="—","—",IFERROR(INDEX(対訳マスタ!$C$2:$C$136,MATCH($M352,対訳マスタ!$B$2:$B$136,0)),$M352))</f>
        <v>相互行為</v>
      </c>
      <c r="C352" s="73" t="str">
        <f aca="false">IF($N352="—","—",IFERROR(INDEX(対訳マスタ!$C$2:$C$136,MATCH($N352,対訳マスタ!$B$2:$B$136,0)),$N352))</f>
        <v>筆記の相互行為</v>
      </c>
      <c r="D352" s="73" t="str">
        <f aca="false">IFERROR(INDEX(対訳マスタ!$C$2:$C$136,MATCH($O352,対訳マスタ!$B$2:$B$136,0)),$O352)</f>
        <v>筆記相互行為（総合）</v>
      </c>
      <c r="E352" s="73" t="s">
        <v>1001</v>
      </c>
      <c r="F352" s="73" t="s">
        <v>86</v>
      </c>
      <c r="G352" s="73" t="n">
        <f aca="false">COUNTIFS(Data!$B$2:$B$1833,$L352,Data!$C$2:$C$1833,$M352,Data!$D$2:$D$1833,$N352,Data!$E$2:$E$1833,$O352,Data!$F$2:$F$1833,$F352,Data!$H$2:$H$1833,1)</f>
        <v>1</v>
      </c>
      <c r="H352" s="73" t="n">
        <v>622</v>
      </c>
      <c r="I352" s="74" t="str">
        <f aca="false">INDEX(Data!$G$2:$G$1833,MATCH($H352,Data!$A$2:$A$1833,0))</f>
        <v>Can convey basic information (e.g. name, address, family) in short phrases on a form or in a note, with the use of a dictionary.</v>
      </c>
      <c r="J352" s="78" t="s">
        <v>2731</v>
      </c>
      <c r="L352" s="70" t="s">
        <v>395</v>
      </c>
      <c r="M352" s="70" t="s">
        <v>817</v>
      </c>
      <c r="N352" s="70" t="s">
        <v>1000</v>
      </c>
      <c r="O352" s="70" t="s">
        <v>1001</v>
      </c>
    </row>
    <row r="353" customFormat="false" ht="15" hidden="false" customHeight="true" outlineLevel="0" collapsed="false">
      <c r="A353" s="75"/>
      <c r="B353" s="75"/>
      <c r="C353" s="75"/>
      <c r="D353" s="75"/>
      <c r="E353" s="75"/>
      <c r="F353" s="75" t="s">
        <v>101</v>
      </c>
      <c r="G353" s="75" t="n">
        <f aca="false">COUNTIFS(Data!$B$2:$B$1833,$L353,Data!$C$2:$C$1833,$M353,Data!$D$2:$D$1833,$N353,Data!$E$2:$E$1833,$O353,Data!$F$2:$F$1833,$F353,Data!$H$2:$H$1833,1)</f>
        <v>1</v>
      </c>
      <c r="H353" s="75" t="n">
        <v>621</v>
      </c>
      <c r="I353" s="76" t="str">
        <f aca="false">INDEX(Data!$G$2:$G$1833,MATCH($H353,Data!$A$2:$A$1833,0))</f>
        <v>Can ask for or pass on personal details.</v>
      </c>
      <c r="J353" s="77" t="s">
        <v>2732</v>
      </c>
      <c r="L353" s="70" t="s">
        <v>395</v>
      </c>
      <c r="M353" s="70" t="s">
        <v>817</v>
      </c>
      <c r="N353" s="70" t="s">
        <v>1000</v>
      </c>
      <c r="O353" s="70" t="s">
        <v>1001</v>
      </c>
    </row>
    <row r="354" customFormat="false" ht="26.25" hidden="false" customHeight="true" outlineLevel="0" collapsed="false">
      <c r="A354" s="75"/>
      <c r="B354" s="75"/>
      <c r="C354" s="75"/>
      <c r="D354" s="75"/>
      <c r="E354" s="75"/>
      <c r="F354" s="75" t="s">
        <v>13</v>
      </c>
      <c r="G354" s="75" t="n">
        <f aca="false">COUNTIFS(Data!$B$2:$B$1833,$L354,Data!$C$2:$C$1833,$M354,Data!$D$2:$D$1833,$N354,Data!$E$2:$E$1833,$O354,Data!$F$2:$F$1833,$F354,Data!$H$2:$H$1833,1)</f>
        <v>1</v>
      </c>
      <c r="H354" s="75" t="n">
        <v>620</v>
      </c>
      <c r="I354" s="76" t="str">
        <f aca="false">INDEX(Data!$G$2:$G$1833,MATCH($H354,Data!$A$2:$A$1833,0))</f>
        <v>Can compose short, simple formulaic notes relating to matters in areas of immediate need.</v>
      </c>
      <c r="J354" s="77" t="s">
        <v>2733</v>
      </c>
      <c r="L354" s="70" t="s">
        <v>395</v>
      </c>
      <c r="M354" s="70" t="s">
        <v>817</v>
      </c>
      <c r="N354" s="70" t="s">
        <v>1000</v>
      </c>
      <c r="O354" s="70" t="s">
        <v>1001</v>
      </c>
    </row>
    <row r="355" customFormat="false" ht="15" hidden="false" customHeight="true" outlineLevel="0" collapsed="false">
      <c r="A355" s="75"/>
      <c r="B355" s="75"/>
      <c r="C355" s="75"/>
      <c r="D355" s="75"/>
      <c r="E355" s="75"/>
      <c r="F355" s="75" t="s">
        <v>123</v>
      </c>
      <c r="G355" s="75" t="n">
        <f aca="false">COUNTIFS(Data!$B$2:$B$1833,$L355,Data!$C$2:$C$1833,$M355,Data!$D$2:$D$1833,$N355,Data!$E$2:$E$1833,$O355,Data!$F$2:$F$1833,$F355,Data!$H$2:$H$1833,1)</f>
        <v>0</v>
      </c>
      <c r="H355" s="75" t="s">
        <v>624</v>
      </c>
      <c r="I355" s="76" t="s">
        <v>624</v>
      </c>
      <c r="J355" s="76" t="s">
        <v>624</v>
      </c>
      <c r="L355" s="70" t="s">
        <v>395</v>
      </c>
      <c r="M355" s="70" t="s">
        <v>817</v>
      </c>
      <c r="N355" s="70" t="s">
        <v>1000</v>
      </c>
      <c r="O355" s="70" t="s">
        <v>1001</v>
      </c>
    </row>
    <row r="356" customFormat="false" ht="32.25" hidden="false" customHeight="true" outlineLevel="0" collapsed="false">
      <c r="A356" s="75"/>
      <c r="B356" s="75"/>
      <c r="C356" s="75"/>
      <c r="D356" s="75"/>
      <c r="E356" s="75"/>
      <c r="F356" s="75" t="s">
        <v>21</v>
      </c>
      <c r="G356" s="75" t="n">
        <f aca="false">COUNTIFS(Data!$B$2:$B$1833,$L356,Data!$C$2:$C$1833,$M356,Data!$D$2:$D$1833,$N356,Data!$E$2:$E$1833,$O356,Data!$F$2:$F$1833,$F356,Data!$H$2:$H$1833,1)</f>
        <v>1</v>
      </c>
      <c r="H356" s="75" t="n">
        <v>619</v>
      </c>
      <c r="I356" s="76" t="str">
        <f aca="false">INDEX(Data!$G$2:$G$1833,MATCH($H356,Data!$A$2:$A$1833,0))</f>
        <v>Can compose personal letters and notes asking for or conveying simple information of immediate relevance, getting across the point they feel to be important.</v>
      </c>
      <c r="J356" s="77" t="s">
        <v>2734</v>
      </c>
      <c r="L356" s="70" t="s">
        <v>395</v>
      </c>
      <c r="M356" s="70" t="s">
        <v>817</v>
      </c>
      <c r="N356" s="70" t="s">
        <v>1000</v>
      </c>
      <c r="O356" s="70" t="s">
        <v>1001</v>
      </c>
    </row>
    <row r="357" customFormat="false" ht="32.25" hidden="false" customHeight="true" outlineLevel="0" collapsed="false">
      <c r="A357" s="75"/>
      <c r="B357" s="75"/>
      <c r="C357" s="75"/>
      <c r="D357" s="75"/>
      <c r="E357" s="75"/>
      <c r="F357" s="75" t="s">
        <v>52</v>
      </c>
      <c r="G357" s="75" t="n">
        <f aca="false">COUNTIFS(Data!$B$2:$B$1833,$L357,Data!$C$2:$C$1833,$M357,Data!$D$2:$D$1833,$N357,Data!$E$2:$E$1833,$O357,Data!$F$2:$F$1833,$F357,Data!$H$2:$H$1833,1)</f>
        <v>1</v>
      </c>
      <c r="H357" s="75" t="n">
        <v>618</v>
      </c>
      <c r="I357" s="76" t="str">
        <f aca="false">INDEX(Data!$G$2:$G$1833,MATCH($H357,Data!$A$2:$A$1833,0))</f>
        <v>Can convey information and ideas on abstract as well as concrete topics, check information, and ask about or explain problems with reasonable precision.</v>
      </c>
      <c r="J357" s="77" t="s">
        <v>2735</v>
      </c>
      <c r="L357" s="70" t="s">
        <v>395</v>
      </c>
      <c r="M357" s="70" t="s">
        <v>817</v>
      </c>
      <c r="N357" s="70" t="s">
        <v>1000</v>
      </c>
      <c r="O357" s="70" t="s">
        <v>1001</v>
      </c>
    </row>
    <row r="358" customFormat="false" ht="21.75" hidden="false" customHeight="true" outlineLevel="0" collapsed="false">
      <c r="A358" s="75"/>
      <c r="B358" s="75"/>
      <c r="C358" s="75"/>
      <c r="D358" s="75"/>
      <c r="E358" s="75"/>
      <c r="F358" s="75" t="s">
        <v>259</v>
      </c>
      <c r="G358" s="75" t="n">
        <f aca="false">COUNTIFS(Data!$B$2:$B$1833,$L358,Data!$C$2:$C$1833,$M358,Data!$D$2:$D$1833,$N358,Data!$E$2:$E$1833,$O358,Data!$F$2:$F$1833,$F358,Data!$H$2:$H$1833,1)</f>
        <v>1</v>
      </c>
      <c r="H358" s="75" t="n">
        <v>617</v>
      </c>
      <c r="I358" s="76" t="str">
        <f aca="false">INDEX(Data!$G$2:$G$1833,MATCH($H358,Data!$A$2:$A$1833,0))</f>
        <v>Can express news and views effectively in writing, and relate to those of others.</v>
      </c>
      <c r="J358" s="77" t="s">
        <v>2736</v>
      </c>
      <c r="L358" s="70" t="s">
        <v>395</v>
      </c>
      <c r="M358" s="70" t="s">
        <v>817</v>
      </c>
      <c r="N358" s="70" t="s">
        <v>1000</v>
      </c>
      <c r="O358" s="70" t="s">
        <v>1001</v>
      </c>
    </row>
    <row r="359" customFormat="false" ht="15" hidden="false" customHeight="true" outlineLevel="0" collapsed="false">
      <c r="A359" s="75"/>
      <c r="B359" s="75"/>
      <c r="C359" s="75"/>
      <c r="D359" s="75"/>
      <c r="E359" s="75"/>
      <c r="F359" s="75" t="s">
        <v>36</v>
      </c>
      <c r="G359" s="75" t="n">
        <f aca="false">COUNTIFS(Data!$B$2:$B$1833,$L359,Data!$C$2:$C$1833,$M359,Data!$D$2:$D$1833,$N359,Data!$E$2:$E$1833,$O359,Data!$F$2:$F$1833,$F359,Data!$H$2:$H$1833,1)</f>
        <v>0</v>
      </c>
      <c r="H359" s="75" t="s">
        <v>624</v>
      </c>
      <c r="I359" s="76" t="s">
        <v>624</v>
      </c>
      <c r="J359" s="76" t="s">
        <v>624</v>
      </c>
      <c r="L359" s="70" t="s">
        <v>395</v>
      </c>
      <c r="M359" s="70" t="s">
        <v>817</v>
      </c>
      <c r="N359" s="70" t="s">
        <v>1000</v>
      </c>
      <c r="O359" s="70" t="s">
        <v>1001</v>
      </c>
    </row>
    <row r="360" customFormat="false" ht="21.75" hidden="false" customHeight="true" outlineLevel="0" collapsed="false">
      <c r="A360" s="75"/>
      <c r="B360" s="75"/>
      <c r="C360" s="75"/>
      <c r="D360" s="75"/>
      <c r="E360" s="75"/>
      <c r="F360" s="75" t="s">
        <v>74</v>
      </c>
      <c r="G360" s="75" t="n">
        <f aca="false">COUNTIFS(Data!$B$2:$B$1833,$L360,Data!$C$2:$C$1833,$M360,Data!$D$2:$D$1833,$N360,Data!$E$2:$E$1833,$O360,Data!$F$2:$F$1833,$F360,Data!$H$2:$H$1833,1)</f>
        <v>1</v>
      </c>
      <c r="H360" s="75" t="n">
        <v>616</v>
      </c>
      <c r="I360" s="76" t="str">
        <f aca="false">INDEX(Data!$G$2:$G$1833,MATCH($H360,Data!$A$2:$A$1833,0))</f>
        <v>Can express themselves with clarity and precision, relating to the addressee flexibly and effectively.</v>
      </c>
      <c r="J360" s="77" t="s">
        <v>2737</v>
      </c>
      <c r="L360" s="70" t="s">
        <v>395</v>
      </c>
      <c r="M360" s="70" t="s">
        <v>817</v>
      </c>
      <c r="N360" s="70" t="s">
        <v>1000</v>
      </c>
      <c r="O360" s="70" t="s">
        <v>1001</v>
      </c>
    </row>
    <row r="361" customFormat="false" ht="26.25" hidden="false" customHeight="true" outlineLevel="0" collapsed="false">
      <c r="A361" s="75"/>
      <c r="B361" s="75"/>
      <c r="C361" s="75"/>
      <c r="D361" s="75"/>
      <c r="E361" s="75"/>
      <c r="F361" s="75" t="s">
        <v>331</v>
      </c>
      <c r="G361" s="75" t="n">
        <f aca="false">COUNTIFS(Data!$B$2:$B$1833,$L361,Data!$C$2:$C$1833,$M361,Data!$D$2:$D$1833,$N361,Data!$E$2:$E$1833,$O361,Data!$F$2:$F$1833,$F361,Data!$H$2:$H$1833,1)</f>
        <v>1</v>
      </c>
      <c r="H361" s="75" t="n">
        <v>615</v>
      </c>
      <c r="I361" s="76" t="str">
        <f aca="false">INDEX(Data!$G$2:$G$1833,MATCH($H361,Data!$A$2:$A$1833,0))</f>
        <v>Can express themselves in an appropriate tone and style in virtually any type of formal and informal interaction.</v>
      </c>
      <c r="J361" s="77" t="s">
        <v>2738</v>
      </c>
      <c r="L361" s="70" t="s">
        <v>395</v>
      </c>
      <c r="M361" s="70" t="s">
        <v>817</v>
      </c>
      <c r="N361" s="70" t="s">
        <v>1000</v>
      </c>
      <c r="O361" s="70" t="s">
        <v>1001</v>
      </c>
    </row>
    <row r="362" customFormat="false" ht="21.75" hidden="false" customHeight="true" outlineLevel="0" collapsed="false">
      <c r="A362" s="67" t="str">
        <f aca="false">IFERROR(INDEX(対訳マスタ!$C$2:$C$136,MATCH($L362,対訳マスタ!$B$2:$B$136,0)),$L362)</f>
        <v>コミュニケーション言語活動</v>
      </c>
      <c r="B362" s="67" t="str">
        <f aca="false">IF($M362="—","—",IFERROR(INDEX(対訳マスタ!$C$2:$C$136,MATCH($M362,対訳マスタ!$B$2:$B$136,0)),$M362))</f>
        <v>相互行為</v>
      </c>
      <c r="C362" s="67" t="str">
        <f aca="false">IF($N362="—","—",IFERROR(INDEX(対訳マスタ!$C$2:$C$136,MATCH($N362,対訳マスタ!$B$2:$B$136,0)),$N362))</f>
        <v>筆記の相互行為</v>
      </c>
      <c r="D362" s="67" t="str">
        <f aca="false">IFERROR(INDEX(対訳マスタ!$C$2:$C$136,MATCH($O362,対訳マスタ!$B$2:$B$136,0)),$O362)</f>
        <v>手紙・メールのやりとり</v>
      </c>
      <c r="E362" s="67" t="s">
        <v>1010</v>
      </c>
      <c r="F362" s="67" t="s">
        <v>86</v>
      </c>
      <c r="G362" s="67" t="n">
        <f aca="false">COUNTIFS(Data!$B$2:$B$1833,$L362,Data!$C$2:$C$1833,$M362,Data!$D$2:$D$1833,$N362,Data!$E$2:$E$1833,$O362,Data!$F$2:$F$1833,$F362,Data!$H$2:$H$1833,1)</f>
        <v>1</v>
      </c>
      <c r="H362" s="67" t="n">
        <v>650</v>
      </c>
      <c r="I362" s="68" t="str">
        <f aca="false">INDEX(Data!$G$2:$G$1833,MATCH($H362,Data!$A$2:$A$1833,0))</f>
        <v>Can convey basic personal information in short phrases and sentences, with reference to a dictionary.</v>
      </c>
      <c r="J362" s="69" t="s">
        <v>2739</v>
      </c>
      <c r="L362" s="70" t="s">
        <v>395</v>
      </c>
      <c r="M362" s="70" t="s">
        <v>817</v>
      </c>
      <c r="N362" s="70" t="s">
        <v>1000</v>
      </c>
      <c r="O362" s="70" t="s">
        <v>1010</v>
      </c>
    </row>
    <row r="363" customFormat="false" ht="15" hidden="false" customHeight="true" outlineLevel="0" collapsed="false">
      <c r="A363" s="70"/>
      <c r="B363" s="70"/>
      <c r="C363" s="70"/>
      <c r="D363" s="70"/>
      <c r="E363" s="70"/>
      <c r="F363" s="70" t="s">
        <v>101</v>
      </c>
      <c r="G363" s="70" t="n">
        <f aca="false">COUNTIFS(Data!$B$2:$B$1833,$L363,Data!$C$2:$C$1833,$M363,Data!$D$2:$D$1833,$N363,Data!$E$2:$E$1833,$O363,Data!$F$2:$F$1833,$F363,Data!$H$2:$H$1833,1)</f>
        <v>3</v>
      </c>
      <c r="H363" s="70" t="n">
        <v>648</v>
      </c>
      <c r="I363" s="31" t="str">
        <f aca="false">INDEX(Data!$G$2:$G$1833,MATCH($H363,Data!$A$2:$A$1833,0))</f>
        <v>Can compose a short, simple postcard.</v>
      </c>
      <c r="J363" s="71" t="s">
        <v>139</v>
      </c>
      <c r="L363" s="70" t="s">
        <v>395</v>
      </c>
      <c r="M363" s="70" t="s">
        <v>817</v>
      </c>
      <c r="N363" s="70" t="s">
        <v>1000</v>
      </c>
      <c r="O363" s="70" t="s">
        <v>1010</v>
      </c>
    </row>
    <row r="364" customFormat="false" ht="15" hidden="false" customHeight="true" outlineLevel="0" collapsed="false">
      <c r="A364" s="70"/>
      <c r="B364" s="70"/>
      <c r="C364" s="70"/>
      <c r="D364" s="70"/>
      <c r="E364" s="70"/>
      <c r="F364" s="70" t="s">
        <v>13</v>
      </c>
      <c r="G364" s="70" t="n">
        <f aca="false">COUNTIFS(Data!$B$2:$B$1833,$L364,Data!$C$2:$C$1833,$M364,Data!$D$2:$D$1833,$N364,Data!$E$2:$E$1833,$O364,Data!$F$2:$F$1833,$F364,Data!$H$2:$H$1833,1)</f>
        <v>4</v>
      </c>
      <c r="H364" s="70" t="n">
        <v>644</v>
      </c>
      <c r="I364" s="31" t="str">
        <f aca="false">INDEX(Data!$G$2:$G$1833,MATCH($H364,Data!$A$2:$A$1833,0))</f>
        <v>Can compose very simple personal letters expressing thanks and apology.</v>
      </c>
      <c r="J364" s="71" t="s">
        <v>2740</v>
      </c>
      <c r="L364" s="70" t="s">
        <v>395</v>
      </c>
      <c r="M364" s="70" t="s">
        <v>817</v>
      </c>
      <c r="N364" s="70" t="s">
        <v>1000</v>
      </c>
      <c r="O364" s="70" t="s">
        <v>1010</v>
      </c>
    </row>
    <row r="365" customFormat="false" ht="32.25" hidden="false" customHeight="true" outlineLevel="0" collapsed="false">
      <c r="A365" s="70"/>
      <c r="B365" s="70"/>
      <c r="C365" s="70"/>
      <c r="D365" s="70"/>
      <c r="E365" s="70"/>
      <c r="F365" s="70" t="s">
        <v>123</v>
      </c>
      <c r="G365" s="70" t="n">
        <f aca="false">COUNTIFS(Data!$B$2:$B$1833,$L365,Data!$C$2:$C$1833,$M365,Data!$D$2:$D$1833,$N365,Data!$E$2:$E$1833,$O365,Data!$F$2:$F$1833,$F365,Data!$H$2:$H$1833,1)</f>
        <v>1</v>
      </c>
      <c r="H365" s="70" t="n">
        <v>642</v>
      </c>
      <c r="I365" s="31" t="str">
        <f aca="false">INDEX(Data!$G$2:$G$1833,MATCH($H365,Data!$A$2:$A$1833,0))</f>
        <v>Can exchange information by text message, by e-mail or in short letters, responding to questions from the other person (e.g. about a new product or activity).</v>
      </c>
      <c r="J365" s="71" t="s">
        <v>2741</v>
      </c>
      <c r="L365" s="70" t="s">
        <v>395</v>
      </c>
      <c r="M365" s="70" t="s">
        <v>817</v>
      </c>
      <c r="N365" s="70" t="s">
        <v>1000</v>
      </c>
      <c r="O365" s="70" t="s">
        <v>1010</v>
      </c>
    </row>
    <row r="366" customFormat="false" ht="15" hidden="false" customHeight="true" outlineLevel="0" collapsed="false">
      <c r="A366" s="70"/>
      <c r="B366" s="70"/>
      <c r="C366" s="70"/>
      <c r="D366" s="70"/>
      <c r="E366" s="70"/>
      <c r="F366" s="70" t="s">
        <v>21</v>
      </c>
      <c r="G366" s="70" t="n">
        <f aca="false">COUNTIFS(Data!$B$2:$B$1833,$L366,Data!$C$2:$C$1833,$M366,Data!$D$2:$D$1833,$N366,Data!$E$2:$E$1833,$O366,Data!$F$2:$F$1833,$F366,Data!$H$2:$H$1833,1)</f>
        <v>3</v>
      </c>
      <c r="H366" s="70" t="n">
        <v>641</v>
      </c>
      <c r="I366" s="31" t="str">
        <f aca="false">INDEX(Data!$G$2:$G$1833,MATCH($H366,Data!$A$2:$A$1833,0))</f>
        <v>Can compose a basic letter of application with limited supporting details.</v>
      </c>
      <c r="J366" s="71" t="s">
        <v>2742</v>
      </c>
      <c r="L366" s="70" t="s">
        <v>395</v>
      </c>
      <c r="M366" s="70" t="s">
        <v>817</v>
      </c>
      <c r="N366" s="70" t="s">
        <v>1000</v>
      </c>
      <c r="O366" s="70" t="s">
        <v>1010</v>
      </c>
    </row>
    <row r="367" customFormat="false" ht="21.75" hidden="false" customHeight="true" outlineLevel="0" collapsed="false">
      <c r="A367" s="70"/>
      <c r="B367" s="70"/>
      <c r="C367" s="70"/>
      <c r="D367" s="70"/>
      <c r="E367" s="70"/>
      <c r="F367" s="70" t="s">
        <v>52</v>
      </c>
      <c r="G367" s="70" t="n">
        <f aca="false">COUNTIFS(Data!$B$2:$B$1833,$L367,Data!$C$2:$C$1833,$M367,Data!$D$2:$D$1833,$N367,Data!$E$2:$E$1833,$O367,Data!$F$2:$F$1833,$F367,Data!$H$2:$H$1833,1)</f>
        <v>4</v>
      </c>
      <c r="H367" s="70" t="n">
        <v>638</v>
      </c>
      <c r="I367" s="31" t="str">
        <f aca="false">INDEX(Data!$G$2:$G$1833,MATCH($H367,Data!$A$2:$A$1833,0))</f>
        <v>Can compose basic formal e-mails/letters (e.g. to make a complaint and request action).</v>
      </c>
      <c r="J367" s="71" t="s">
        <v>54</v>
      </c>
      <c r="L367" s="70" t="s">
        <v>395</v>
      </c>
      <c r="M367" s="70" t="s">
        <v>817</v>
      </c>
      <c r="N367" s="70" t="s">
        <v>1000</v>
      </c>
      <c r="O367" s="70" t="s">
        <v>1010</v>
      </c>
    </row>
    <row r="368" customFormat="false" ht="26.25" hidden="false" customHeight="true" outlineLevel="0" collapsed="false">
      <c r="A368" s="70"/>
      <c r="B368" s="70"/>
      <c r="C368" s="70"/>
      <c r="D368" s="70"/>
      <c r="E368" s="70"/>
      <c r="F368" s="70" t="s">
        <v>259</v>
      </c>
      <c r="G368" s="70" t="n">
        <f aca="false">COUNTIFS(Data!$B$2:$B$1833,$L368,Data!$C$2:$C$1833,$M368,Data!$D$2:$D$1833,$N368,Data!$E$2:$E$1833,$O368,Data!$F$2:$F$1833,$F368,Data!$H$2:$H$1833,1)</f>
        <v>5</v>
      </c>
      <c r="H368" s="70" t="n">
        <v>632</v>
      </c>
      <c r="I368" s="31" t="str">
        <f aca="false">INDEX(Data!$G$2:$G$1833,MATCH($H368,Data!$A$2:$A$1833,0))</f>
        <v>Can compose formal e-mails/letters of invitation, thanks or apology using appropriate registers and conventions.</v>
      </c>
      <c r="J368" s="71" t="s">
        <v>2743</v>
      </c>
      <c r="L368" s="70" t="s">
        <v>395</v>
      </c>
      <c r="M368" s="70" t="s">
        <v>817</v>
      </c>
      <c r="N368" s="70" t="s">
        <v>1000</v>
      </c>
      <c r="O368" s="70" t="s">
        <v>1010</v>
      </c>
    </row>
    <row r="369" customFormat="false" ht="21.75" hidden="false" customHeight="true" outlineLevel="0" collapsed="false">
      <c r="A369" s="70"/>
      <c r="B369" s="70"/>
      <c r="C369" s="70"/>
      <c r="D369" s="70"/>
      <c r="E369" s="70"/>
      <c r="F369" s="70" t="s">
        <v>36</v>
      </c>
      <c r="G369" s="70" t="n">
        <f aca="false">COUNTIFS(Data!$B$2:$B$1833,$L369,Data!$C$2:$C$1833,$M369,Data!$D$2:$D$1833,$N369,Data!$E$2:$E$1833,$O369,Data!$F$2:$F$1833,$F369,Data!$H$2:$H$1833,1)</f>
        <v>4</v>
      </c>
      <c r="H369" s="70" t="n">
        <v>629</v>
      </c>
      <c r="I369" s="31" t="str">
        <f aca="false">INDEX(Data!$G$2:$G$1833,MATCH($H369,Data!$A$2:$A$1833,0))</f>
        <v>Can compose a forceful but polite letter of complaint, including supporting details and a statement of the desired outcome.</v>
      </c>
      <c r="J369" s="71" t="s">
        <v>61</v>
      </c>
      <c r="L369" s="70" t="s">
        <v>395</v>
      </c>
      <c r="M369" s="70" t="s">
        <v>817</v>
      </c>
      <c r="N369" s="70" t="s">
        <v>1000</v>
      </c>
      <c r="O369" s="70" t="s">
        <v>1010</v>
      </c>
    </row>
    <row r="370" customFormat="false" ht="32.25" hidden="false" customHeight="true" outlineLevel="0" collapsed="false">
      <c r="A370" s="70"/>
      <c r="B370" s="70"/>
      <c r="C370" s="70"/>
      <c r="D370" s="70"/>
      <c r="E370" s="70"/>
      <c r="F370" s="70" t="s">
        <v>74</v>
      </c>
      <c r="G370" s="70" t="n">
        <f aca="false">COUNTIFS(Data!$B$2:$B$1833,$L370,Data!$C$2:$C$1833,$M370,Data!$D$2:$D$1833,$N370,Data!$E$2:$E$1833,$O370,Data!$F$2:$F$1833,$F370,Data!$H$2:$H$1833,1)</f>
        <v>2</v>
      </c>
      <c r="H370" s="70" t="n">
        <v>624</v>
      </c>
      <c r="I370" s="31" t="str">
        <f aca="false">INDEX(Data!$G$2:$G$1833,MATCH($H370,Data!$A$2:$A$1833,0))</f>
        <v>Can express themselves with clarity and precision in personal correspondence, using language flexibly and effectively, including emotional, allusive and joking usage.</v>
      </c>
      <c r="J370" s="71" t="s">
        <v>2744</v>
      </c>
      <c r="L370" s="70" t="s">
        <v>395</v>
      </c>
      <c r="M370" s="70" t="s">
        <v>817</v>
      </c>
      <c r="N370" s="70" t="s">
        <v>1000</v>
      </c>
      <c r="O370" s="70" t="s">
        <v>1010</v>
      </c>
    </row>
    <row r="371" customFormat="false" ht="26.25" hidden="false" customHeight="true" outlineLevel="0" collapsed="false">
      <c r="A371" s="70"/>
      <c r="B371" s="70"/>
      <c r="C371" s="70"/>
      <c r="D371" s="70"/>
      <c r="E371" s="70"/>
      <c r="F371" s="70" t="s">
        <v>331</v>
      </c>
      <c r="G371" s="70" t="n">
        <f aca="false">COUNTIFS(Data!$B$2:$B$1833,$L371,Data!$C$2:$C$1833,$M371,Data!$D$2:$D$1833,$N371,Data!$E$2:$E$1833,$O371,Data!$F$2:$F$1833,$F371,Data!$H$2:$H$1833,1)</f>
        <v>1</v>
      </c>
      <c r="H371" s="70" t="n">
        <v>623</v>
      </c>
      <c r="I371" s="31" t="str">
        <f aca="false">INDEX(Data!$G$2:$G$1833,MATCH($H371,Data!$A$2:$A$1833,0))</f>
        <v>Can compose virtually any type of correspondence necessary in the course of their professional life in an appropriate tone and style.</v>
      </c>
      <c r="J371" s="71" t="s">
        <v>2745</v>
      </c>
      <c r="L371" s="70" t="s">
        <v>395</v>
      </c>
      <c r="M371" s="70" t="s">
        <v>817</v>
      </c>
      <c r="N371" s="70" t="s">
        <v>1000</v>
      </c>
      <c r="O371" s="70" t="s">
        <v>1010</v>
      </c>
    </row>
    <row r="372" customFormat="false" ht="26.25" hidden="false" customHeight="true" outlineLevel="0" collapsed="false">
      <c r="A372" s="73" t="str">
        <f aca="false">IFERROR(INDEX(対訳マスタ!$C$2:$C$136,MATCH($L372,対訳マスタ!$B$2:$B$136,0)),$L372)</f>
        <v>コミュニケーション言語活動</v>
      </c>
      <c r="B372" s="73" t="str">
        <f aca="false">IF($M372="—","—",IFERROR(INDEX(対訳マスタ!$C$2:$C$136,MATCH($M372,対訳マスタ!$B$2:$B$136,0)),$M372))</f>
        <v>相互行為</v>
      </c>
      <c r="C372" s="73" t="str">
        <f aca="false">IF($N372="—","—",IFERROR(INDEX(対訳マスタ!$C$2:$C$136,MATCH($N372,対訳マスタ!$B$2:$B$136,0)),$N372))</f>
        <v>筆記の相互行為</v>
      </c>
      <c r="D372" s="73" t="str">
        <f aca="false">IFERROR(INDEX(対訳マスタ!$C$2:$C$136,MATCH($O372,対訳マスタ!$B$2:$B$136,0)),$O372)</f>
        <v>メモ・伝言・記入用紙</v>
      </c>
      <c r="E372" s="73" t="s">
        <v>1031</v>
      </c>
      <c r="F372" s="73" t="s">
        <v>86</v>
      </c>
      <c r="G372" s="73" t="n">
        <f aca="false">COUNTIFS(Data!$B$2:$B$1833,$L372,Data!$C$2:$C$1833,$M372,Data!$D$2:$D$1833,$N372,Data!$E$2:$E$1833,$O372,Data!$F$2:$F$1833,$F372,Data!$H$2:$H$1833,1)</f>
        <v>1</v>
      </c>
      <c r="H372" s="73" t="n">
        <v>663</v>
      </c>
      <c r="I372" s="74" t="str">
        <f aca="false">INDEX(Data!$G$2:$G$1833,MATCH($H372,Data!$A$2:$A$1833,0))</f>
        <v>Can fill in very simple registration forms with basic personal details: name, address, nationality, marital status.</v>
      </c>
      <c r="J372" s="78" t="s">
        <v>2746</v>
      </c>
      <c r="L372" s="70" t="s">
        <v>395</v>
      </c>
      <c r="M372" s="70" t="s">
        <v>817</v>
      </c>
      <c r="N372" s="70" t="s">
        <v>1000</v>
      </c>
      <c r="O372" s="70" t="s">
        <v>1031</v>
      </c>
    </row>
    <row r="373" customFormat="false" ht="26.25" hidden="false" customHeight="true" outlineLevel="0" collapsed="false">
      <c r="A373" s="75"/>
      <c r="B373" s="75"/>
      <c r="C373" s="75"/>
      <c r="D373" s="75"/>
      <c r="E373" s="75"/>
      <c r="F373" s="75" t="s">
        <v>101</v>
      </c>
      <c r="G373" s="75" t="n">
        <f aca="false">COUNTIFS(Data!$B$2:$B$1833,$L373,Data!$C$2:$C$1833,$M373,Data!$D$2:$D$1833,$N373,Data!$E$2:$E$1833,$O373,Data!$F$2:$F$1833,$F373,Data!$H$2:$H$1833,1)</f>
        <v>2</v>
      </c>
      <c r="H373" s="75" t="n">
        <v>661</v>
      </c>
      <c r="I373" s="76" t="str">
        <f aca="false">INDEX(Data!$G$2:$G$1833,MATCH($H373,Data!$A$2:$A$1833,0))</f>
        <v>Can fill in numbers and dates, own name, nationality, address, age, date of birth or arrival in the country, etc., e.g. on a hotel registration form.</v>
      </c>
      <c r="J373" s="77" t="s">
        <v>2747</v>
      </c>
      <c r="L373" s="70" t="s">
        <v>395</v>
      </c>
      <c r="M373" s="70" t="s">
        <v>817</v>
      </c>
      <c r="N373" s="70" t="s">
        <v>1000</v>
      </c>
      <c r="O373" s="70" t="s">
        <v>1031</v>
      </c>
    </row>
    <row r="374" customFormat="false" ht="26.25" hidden="false" customHeight="true" outlineLevel="0" collapsed="false">
      <c r="A374" s="75"/>
      <c r="B374" s="75"/>
      <c r="C374" s="75"/>
      <c r="D374" s="75"/>
      <c r="E374" s="75"/>
      <c r="F374" s="75" t="s">
        <v>13</v>
      </c>
      <c r="G374" s="75" t="n">
        <f aca="false">COUNTIFS(Data!$B$2:$B$1833,$L374,Data!$C$2:$C$1833,$M374,Data!$D$2:$D$1833,$N374,Data!$E$2:$E$1833,$O374,Data!$F$2:$F$1833,$F374,Data!$H$2:$H$1833,1)</f>
        <v>2</v>
      </c>
      <c r="H374" s="75" t="n">
        <v>659</v>
      </c>
      <c r="I374" s="76" t="str">
        <f aca="false">INDEX(Data!$G$2:$G$1833,MATCH($H374,Data!$A$2:$A$1833,0))</f>
        <v>Can formulate short, simple notes and messages relating to matters in areas of immediate need.</v>
      </c>
      <c r="J374" s="77" t="s">
        <v>2748</v>
      </c>
      <c r="L374" s="70" t="s">
        <v>395</v>
      </c>
      <c r="M374" s="70" t="s">
        <v>817</v>
      </c>
      <c r="N374" s="70" t="s">
        <v>1000</v>
      </c>
      <c r="O374" s="70" t="s">
        <v>1031</v>
      </c>
    </row>
    <row r="375" customFormat="false" ht="26.25" hidden="false" customHeight="true" outlineLevel="0" collapsed="false">
      <c r="A375" s="75"/>
      <c r="B375" s="75"/>
      <c r="C375" s="75"/>
      <c r="D375" s="75"/>
      <c r="E375" s="75"/>
      <c r="F375" s="75" t="s">
        <v>123</v>
      </c>
      <c r="G375" s="75" t="n">
        <f aca="false">COUNTIFS(Data!$B$2:$B$1833,$L375,Data!$C$2:$C$1833,$M375,Data!$D$2:$D$1833,$N375,Data!$E$2:$E$1833,$O375,Data!$F$2:$F$1833,$F375,Data!$H$2:$H$1833,1)</f>
        <v>1</v>
      </c>
      <c r="H375" s="75" t="n">
        <v>658</v>
      </c>
      <c r="I375" s="76" t="str">
        <f aca="false">INDEX(Data!$G$2:$G$1833,MATCH($H375,Data!$A$2:$A$1833,0))</f>
        <v>Can take a short, simple message provided they can ask for repetition and reformulation.</v>
      </c>
      <c r="J375" s="77" t="s">
        <v>2749</v>
      </c>
      <c r="L375" s="70" t="s">
        <v>395</v>
      </c>
      <c r="M375" s="70" t="s">
        <v>817</v>
      </c>
      <c r="N375" s="70" t="s">
        <v>1000</v>
      </c>
      <c r="O375" s="70" t="s">
        <v>1031</v>
      </c>
    </row>
    <row r="376" customFormat="false" ht="26.25" hidden="false" customHeight="true" outlineLevel="0" collapsed="false">
      <c r="A376" s="75"/>
      <c r="B376" s="75"/>
      <c r="C376" s="75"/>
      <c r="D376" s="75"/>
      <c r="E376" s="75"/>
      <c r="F376" s="75" t="s">
        <v>21</v>
      </c>
      <c r="G376" s="75" t="n">
        <f aca="false">COUNTIFS(Data!$B$2:$B$1833,$L376,Data!$C$2:$C$1833,$M376,Data!$D$2:$D$1833,$N376,Data!$E$2:$E$1833,$O376,Data!$F$2:$F$1833,$F376,Data!$H$2:$H$1833,1)</f>
        <v>2</v>
      </c>
      <c r="H376" s="75" t="n">
        <v>657</v>
      </c>
      <c r="I376" s="76" t="str">
        <f aca="false">INDEX(Data!$G$2:$G$1833,MATCH($H376,Data!$A$2:$A$1833,0))</f>
        <v>Can take messages over the phone containing several points, provided the caller dictates these clearly and sympathetically.</v>
      </c>
      <c r="J376" s="77" t="s">
        <v>2750</v>
      </c>
      <c r="L376" s="70" t="s">
        <v>395</v>
      </c>
      <c r="M376" s="70" t="s">
        <v>817</v>
      </c>
      <c r="N376" s="70" t="s">
        <v>1000</v>
      </c>
      <c r="O376" s="70" t="s">
        <v>1031</v>
      </c>
    </row>
    <row r="377" customFormat="false" ht="15" hidden="false" customHeight="true" outlineLevel="0" collapsed="false">
      <c r="A377" s="75"/>
      <c r="B377" s="75"/>
      <c r="C377" s="75"/>
      <c r="D377" s="75"/>
      <c r="E377" s="75"/>
      <c r="F377" s="75" t="s">
        <v>52</v>
      </c>
      <c r="G377" s="75" t="n">
        <f aca="false">COUNTIFS(Data!$B$2:$B$1833,$L377,Data!$C$2:$C$1833,$M377,Data!$D$2:$D$1833,$N377,Data!$E$2:$E$1833,$O377,Data!$F$2:$F$1833,$F377,Data!$H$2:$H$1833,1)</f>
        <v>2</v>
      </c>
      <c r="H377" s="75" t="n">
        <v>655</v>
      </c>
      <c r="I377" s="76" t="str">
        <f aca="false">INDEX(Data!$G$2:$G$1833,MATCH($H377,Data!$A$2:$A$1833,0))</f>
        <v>Can take messages communicating enquiries and explaining problems.</v>
      </c>
      <c r="J377" s="77" t="s">
        <v>2751</v>
      </c>
      <c r="L377" s="70" t="s">
        <v>395</v>
      </c>
      <c r="M377" s="70" t="s">
        <v>817</v>
      </c>
      <c r="N377" s="70" t="s">
        <v>1000</v>
      </c>
      <c r="O377" s="70" t="s">
        <v>1031</v>
      </c>
    </row>
    <row r="378" customFormat="false" ht="26.25" hidden="false" customHeight="true" outlineLevel="0" collapsed="false">
      <c r="A378" s="75"/>
      <c r="B378" s="75"/>
      <c r="C378" s="75"/>
      <c r="D378" s="75"/>
      <c r="E378" s="75"/>
      <c r="F378" s="75" t="s">
        <v>259</v>
      </c>
      <c r="G378" s="75" t="n">
        <f aca="false">COUNTIFS(Data!$B$2:$B$1833,$L378,Data!$C$2:$C$1833,$M378,Data!$D$2:$D$1833,$N378,Data!$E$2:$E$1833,$O378,Data!$F$2:$F$1833,$F378,Data!$H$2:$H$1833,1)</f>
        <v>1</v>
      </c>
      <c r="H378" s="75" t="n">
        <v>653</v>
      </c>
      <c r="I378" s="76" t="str">
        <f aca="false">INDEX(Data!$G$2:$G$1833,MATCH($H378,Data!$A$2:$A$1833,0))</f>
        <v>Can take or leave complex personal or professional messages, provided they can ask for clarification or elaboration if necessary.</v>
      </c>
      <c r="J378" s="77" t="s">
        <v>2752</v>
      </c>
      <c r="L378" s="70" t="s">
        <v>395</v>
      </c>
      <c r="M378" s="70" t="s">
        <v>817</v>
      </c>
      <c r="N378" s="70" t="s">
        <v>1000</v>
      </c>
      <c r="O378" s="70" t="s">
        <v>1031</v>
      </c>
    </row>
    <row r="379" customFormat="false" ht="15" hidden="false" customHeight="true" outlineLevel="0" collapsed="false">
      <c r="A379" s="75"/>
      <c r="B379" s="75"/>
      <c r="C379" s="75"/>
      <c r="D379" s="75"/>
      <c r="E379" s="75"/>
      <c r="F379" s="75" t="s">
        <v>36</v>
      </c>
      <c r="G379" s="75" t="n">
        <f aca="false">COUNTIFS(Data!$B$2:$B$1833,$L379,Data!$C$2:$C$1833,$M379,Data!$D$2:$D$1833,$N379,Data!$E$2:$E$1833,$O379,Data!$F$2:$F$1833,$F379,Data!$H$2:$H$1833,1)</f>
        <v>0</v>
      </c>
      <c r="H379" s="75" t="s">
        <v>624</v>
      </c>
      <c r="I379" s="76" t="s">
        <v>624</v>
      </c>
      <c r="J379" s="76" t="s">
        <v>624</v>
      </c>
      <c r="L379" s="70" t="s">
        <v>395</v>
      </c>
      <c r="M379" s="70" t="s">
        <v>817</v>
      </c>
      <c r="N379" s="70" t="s">
        <v>1000</v>
      </c>
      <c r="O379" s="70" t="s">
        <v>1031</v>
      </c>
    </row>
    <row r="380" customFormat="false" ht="15" hidden="false" customHeight="true" outlineLevel="0" collapsed="false">
      <c r="A380" s="75"/>
      <c r="B380" s="75"/>
      <c r="C380" s="75"/>
      <c r="D380" s="75"/>
      <c r="E380" s="75"/>
      <c r="F380" s="75" t="s">
        <v>74</v>
      </c>
      <c r="G380" s="75" t="n">
        <f aca="false">COUNTIFS(Data!$B$2:$B$1833,$L380,Data!$C$2:$C$1833,$M380,Data!$D$2:$D$1833,$N380,Data!$E$2:$E$1833,$O380,Data!$F$2:$F$1833,$F380,Data!$H$2:$H$1833,1)</f>
        <v>0</v>
      </c>
      <c r="H380" s="75" t="s">
        <v>624</v>
      </c>
      <c r="I380" s="76" t="s">
        <v>624</v>
      </c>
      <c r="J380" s="76" t="s">
        <v>624</v>
      </c>
      <c r="L380" s="70" t="s">
        <v>395</v>
      </c>
      <c r="M380" s="70" t="s">
        <v>817</v>
      </c>
      <c r="N380" s="70" t="s">
        <v>1000</v>
      </c>
      <c r="O380" s="70" t="s">
        <v>1031</v>
      </c>
    </row>
    <row r="381" customFormat="false" ht="15" hidden="false" customHeight="true" outlineLevel="0" collapsed="false">
      <c r="A381" s="75"/>
      <c r="B381" s="75"/>
      <c r="C381" s="75"/>
      <c r="D381" s="75"/>
      <c r="E381" s="75"/>
      <c r="F381" s="75" t="s">
        <v>331</v>
      </c>
      <c r="G381" s="75" t="n">
        <f aca="false">COUNTIFS(Data!$B$2:$B$1833,$L381,Data!$C$2:$C$1833,$M381,Data!$D$2:$D$1833,$N381,Data!$E$2:$E$1833,$O381,Data!$F$2:$F$1833,$F381,Data!$H$2:$H$1833,1)</f>
        <v>0</v>
      </c>
      <c r="H381" s="75" t="s">
        <v>624</v>
      </c>
      <c r="I381" s="76" t="s">
        <v>624</v>
      </c>
      <c r="J381" s="76" t="s">
        <v>624</v>
      </c>
      <c r="L381" s="70" t="s">
        <v>395</v>
      </c>
      <c r="M381" s="70" t="s">
        <v>817</v>
      </c>
      <c r="N381" s="70" t="s">
        <v>1000</v>
      </c>
      <c r="O381" s="70" t="s">
        <v>1031</v>
      </c>
    </row>
    <row r="382" customFormat="false" ht="26.25" hidden="false" customHeight="true" outlineLevel="0" collapsed="false">
      <c r="A382" s="67" t="str">
        <f aca="false">IFERROR(INDEX(対訳マスタ!$C$2:$C$136,MATCH($L382,対訳マスタ!$B$2:$B$136,0)),$L382)</f>
        <v>コミュニケーション言語活動</v>
      </c>
      <c r="B382" s="67" t="str">
        <f aca="false">IF($M382="—","—",IFERROR(INDEX(対訳マスタ!$C$2:$C$136,MATCH($M382,対訳マスタ!$B$2:$B$136,0)),$M382))</f>
        <v>相互行為</v>
      </c>
      <c r="C382" s="67" t="str">
        <f aca="false">IF($N382="—","—",IFERROR(INDEX(対訳マスタ!$C$2:$C$136,MATCH($N382,対訳マスタ!$B$2:$B$136,0)),$N382))</f>
        <v>オンラインの相互行為</v>
      </c>
      <c r="D382" s="67" t="str">
        <f aca="false">IFERROR(INDEX(対訳マスタ!$C$2:$C$136,MATCH($O382,対訳マスタ!$B$2:$B$136,0)),$O382)</f>
        <v>オンラインの会話と議論</v>
      </c>
      <c r="E382" s="67" t="s">
        <v>1044</v>
      </c>
      <c r="F382" s="67" t="s">
        <v>86</v>
      </c>
      <c r="G382" s="67" t="n">
        <f aca="false">COUNTIFS(Data!$B$2:$B$1833,$L382,Data!$C$2:$C$1833,$M382,Data!$D$2:$D$1833,$N382,Data!$E$2:$E$1833,$O382,Data!$F$2:$F$1833,$F382,Data!$H$2:$H$1833,1)</f>
        <v>2</v>
      </c>
      <c r="H382" s="67" t="n">
        <v>686</v>
      </c>
      <c r="I382" s="68" t="str">
        <f aca="false">INDEX(Data!$G$2:$G$1833,MATCH($H382,Data!$A$2:$A$1833,0))</f>
        <v>Can post simple online greetings, using basic formulaic expressions and emoticons.</v>
      </c>
      <c r="J382" s="69" t="s">
        <v>2753</v>
      </c>
      <c r="L382" s="70" t="s">
        <v>395</v>
      </c>
      <c r="M382" s="70" t="s">
        <v>817</v>
      </c>
      <c r="N382" s="70" t="s">
        <v>1043</v>
      </c>
      <c r="O382" s="70" t="s">
        <v>1044</v>
      </c>
    </row>
    <row r="383" customFormat="false" ht="39" hidden="false" customHeight="true" outlineLevel="0" collapsed="false">
      <c r="A383" s="70"/>
      <c r="B383" s="70"/>
      <c r="C383" s="70"/>
      <c r="D383" s="70"/>
      <c r="E383" s="70"/>
      <c r="F383" s="70" t="s">
        <v>101</v>
      </c>
      <c r="G383" s="70" t="n">
        <f aca="false">COUNTIFS(Data!$B$2:$B$1833,$L383,Data!$C$2:$C$1833,$M383,Data!$D$2:$D$1833,$N383,Data!$E$2:$E$1833,$O383,Data!$F$2:$F$1833,$F383,Data!$H$2:$H$1833,1)</f>
        <v>2</v>
      </c>
      <c r="H383" s="70" t="n">
        <v>684</v>
      </c>
      <c r="I383" s="31" t="str">
        <f aca="false">INDEX(Data!$G$2:$G$1833,MATCH($H383,Data!$A$2:$A$1833,0))</f>
        <v>Can formulate very simple messages and personal online postings as a series of very short sentences about hobbies, likes/dislikes, etc., relying on the aid of a translation tool.</v>
      </c>
      <c r="J383" s="71" t="s">
        <v>2754</v>
      </c>
      <c r="L383" s="70" t="s">
        <v>395</v>
      </c>
      <c r="M383" s="70" t="s">
        <v>817</v>
      </c>
      <c r="N383" s="70" t="s">
        <v>1043</v>
      </c>
      <c r="O383" s="70" t="s">
        <v>1044</v>
      </c>
    </row>
    <row r="384" customFormat="false" ht="39" hidden="false" customHeight="true" outlineLevel="0" collapsed="false">
      <c r="A384" s="70"/>
      <c r="B384" s="70"/>
      <c r="C384" s="70"/>
      <c r="D384" s="70"/>
      <c r="E384" s="70"/>
      <c r="F384" s="70" t="s">
        <v>13</v>
      </c>
      <c r="G384" s="70" t="n">
        <f aca="false">COUNTIFS(Data!$B$2:$B$1833,$L384,Data!$C$2:$C$1833,$M384,Data!$D$2:$D$1833,$N384,Data!$E$2:$E$1833,$O384,Data!$F$2:$F$1833,$F384,Data!$H$2:$H$1833,1)</f>
        <v>2</v>
      </c>
      <c r="H384" s="70" t="n">
        <v>682</v>
      </c>
      <c r="I384" s="31" t="str">
        <f aca="false">INDEX(Data!$G$2:$G$1833,MATCH($H384,Data!$A$2:$A$1833,0))</f>
        <v>Can engage in basic social communication online (e.g. a simple message on a virtual card for special occasions, sharing news and making/confirming arrangements to meet).</v>
      </c>
      <c r="J384" s="71" t="s">
        <v>2755</v>
      </c>
      <c r="L384" s="70" t="s">
        <v>395</v>
      </c>
      <c r="M384" s="70" t="s">
        <v>817</v>
      </c>
      <c r="N384" s="70" t="s">
        <v>1043</v>
      </c>
      <c r="O384" s="70" t="s">
        <v>1044</v>
      </c>
    </row>
    <row r="385" customFormat="false" ht="26.25" hidden="false" customHeight="true" outlineLevel="0" collapsed="false">
      <c r="A385" s="70"/>
      <c r="B385" s="70"/>
      <c r="C385" s="70"/>
      <c r="D385" s="70"/>
      <c r="E385" s="70"/>
      <c r="F385" s="70" t="s">
        <v>123</v>
      </c>
      <c r="G385" s="70" t="n">
        <f aca="false">COUNTIFS(Data!$B$2:$B$1833,$L385,Data!$C$2:$C$1833,$M385,Data!$D$2:$D$1833,$N385,Data!$E$2:$E$1833,$O385,Data!$F$2:$F$1833,$F385,Data!$H$2:$H$1833,1)</f>
        <v>3</v>
      </c>
      <c r="H385" s="70" t="n">
        <v>680</v>
      </c>
      <c r="I385" s="31" t="str">
        <f aca="false">INDEX(Data!$G$2:$G$1833,MATCH($H385,Data!$A$2:$A$1833,0))</f>
        <v>Can make short descriptive online postings about everyday matters, social activities and feelings, with simple key details.</v>
      </c>
      <c r="J385" s="71" t="s">
        <v>2756</v>
      </c>
      <c r="L385" s="70" t="s">
        <v>395</v>
      </c>
      <c r="M385" s="70" t="s">
        <v>817</v>
      </c>
      <c r="N385" s="70" t="s">
        <v>1043</v>
      </c>
      <c r="O385" s="70" t="s">
        <v>1044</v>
      </c>
    </row>
    <row r="386" customFormat="false" ht="39" hidden="false" customHeight="true" outlineLevel="0" collapsed="false">
      <c r="A386" s="70"/>
      <c r="B386" s="70"/>
      <c r="C386" s="70"/>
      <c r="D386" s="70"/>
      <c r="E386" s="70"/>
      <c r="F386" s="70" t="s">
        <v>21</v>
      </c>
      <c r="G386" s="70" t="n">
        <f aca="false">COUNTIFS(Data!$B$2:$B$1833,$L386,Data!$C$2:$C$1833,$M386,Data!$D$2:$D$1833,$N386,Data!$E$2:$E$1833,$O386,Data!$F$2:$F$1833,$F386,Data!$H$2:$H$1833,1)</f>
        <v>2</v>
      </c>
      <c r="H386" s="70" t="n">
        <v>677</v>
      </c>
      <c r="I386" s="31" t="str">
        <f aca="false">INDEX(Data!$G$2:$G$1833,MATCH($H386,Data!$A$2:$A$1833,0))</f>
        <v>Can post a comprehensible contribution in an online discussion on a familiar topic of interest, provided they can prepare the text beforehand and use online tools to fill gaps in language and check accuracy.</v>
      </c>
      <c r="J386" s="71" t="s">
        <v>2757</v>
      </c>
      <c r="L386" s="70" t="s">
        <v>395</v>
      </c>
      <c r="M386" s="70" t="s">
        <v>817</v>
      </c>
      <c r="N386" s="70" t="s">
        <v>1043</v>
      </c>
      <c r="O386" s="70" t="s">
        <v>1044</v>
      </c>
    </row>
    <row r="387" customFormat="false" ht="26.25" hidden="false" customHeight="true" outlineLevel="0" collapsed="false">
      <c r="A387" s="70"/>
      <c r="B387" s="70"/>
      <c r="C387" s="70"/>
      <c r="D387" s="70"/>
      <c r="E387" s="70"/>
      <c r="F387" s="70" t="s">
        <v>52</v>
      </c>
      <c r="G387" s="70" t="n">
        <f aca="false">COUNTIFS(Data!$B$2:$B$1833,$L387,Data!$C$2:$C$1833,$M387,Data!$D$2:$D$1833,$N387,Data!$E$2:$E$1833,$O387,Data!$F$2:$F$1833,$F387,Data!$H$2:$H$1833,1)</f>
        <v>2</v>
      </c>
      <c r="H387" s="70" t="n">
        <v>676</v>
      </c>
      <c r="I387" s="31" t="str">
        <f aca="false">INDEX(Data!$G$2:$G$1833,MATCH($H387,Data!$A$2:$A$1833,0))</f>
        <v>Can post online accounts of social events, experiences and activities referring to embedded links and media and sharing personal feelings.</v>
      </c>
      <c r="J387" s="71" t="s">
        <v>2758</v>
      </c>
      <c r="L387" s="70" t="s">
        <v>395</v>
      </c>
      <c r="M387" s="70" t="s">
        <v>817</v>
      </c>
      <c r="N387" s="70" t="s">
        <v>1043</v>
      </c>
      <c r="O387" s="70" t="s">
        <v>1044</v>
      </c>
    </row>
    <row r="388" customFormat="false" ht="32.25" hidden="false" customHeight="true" outlineLevel="0" collapsed="false">
      <c r="A388" s="70"/>
      <c r="B388" s="70"/>
      <c r="C388" s="70"/>
      <c r="D388" s="70"/>
      <c r="E388" s="70"/>
      <c r="F388" s="70" t="s">
        <v>259</v>
      </c>
      <c r="G388" s="70" t="n">
        <f aca="false">COUNTIFS(Data!$B$2:$B$1833,$L388,Data!$C$2:$C$1833,$M388,Data!$D$2:$D$1833,$N388,Data!$E$2:$E$1833,$O388,Data!$F$2:$F$1833,$F388,Data!$H$2:$H$1833,1)</f>
        <v>3</v>
      </c>
      <c r="H388" s="70" t="n">
        <v>674</v>
      </c>
      <c r="I388" s="31" t="str">
        <f aca="false">INDEX(Data!$G$2:$G$1833,MATCH($H388,Data!$A$2:$A$1833,0))</f>
        <v>Can recognise misunderstandings and disagreements that arise in an online interaction and deal with them, provided the interlocutor(s) are willing to co-operate.</v>
      </c>
      <c r="J388" s="71" t="s">
        <v>2759</v>
      </c>
      <c r="L388" s="70" t="s">
        <v>395</v>
      </c>
      <c r="M388" s="70" t="s">
        <v>817</v>
      </c>
      <c r="N388" s="70" t="s">
        <v>1043</v>
      </c>
      <c r="O388" s="70" t="s">
        <v>1044</v>
      </c>
    </row>
    <row r="389" customFormat="false" ht="26.25" hidden="false" customHeight="true" outlineLevel="0" collapsed="false">
      <c r="A389" s="70"/>
      <c r="B389" s="70"/>
      <c r="C389" s="70"/>
      <c r="D389" s="70"/>
      <c r="E389" s="70"/>
      <c r="F389" s="70" t="s">
        <v>36</v>
      </c>
      <c r="G389" s="70" t="n">
        <f aca="false">COUNTIFS(Data!$B$2:$B$1833,$L389,Data!$C$2:$C$1833,$M389,Data!$D$2:$D$1833,$N389,Data!$E$2:$E$1833,$O389,Data!$F$2:$F$1833,$F389,Data!$H$2:$H$1833,1)</f>
        <v>1</v>
      </c>
      <c r="H389" s="70" t="n">
        <v>671</v>
      </c>
      <c r="I389" s="31" t="str">
        <f aca="false">INDEX(Data!$G$2:$G$1833,MATCH($H389,Data!$A$2:$A$1833,0))</f>
        <v>Can engage in online exchanges, linking their contributions to previous ones in the thread, understanding cultural implications and reacting appropriately.</v>
      </c>
      <c r="J389" s="71" t="s">
        <v>2760</v>
      </c>
      <c r="L389" s="70" t="s">
        <v>395</v>
      </c>
      <c r="M389" s="70" t="s">
        <v>817</v>
      </c>
      <c r="N389" s="70" t="s">
        <v>1043</v>
      </c>
      <c r="O389" s="70" t="s">
        <v>1044</v>
      </c>
    </row>
    <row r="390" customFormat="false" ht="26.25" hidden="false" customHeight="true" outlineLevel="0" collapsed="false">
      <c r="A390" s="70"/>
      <c r="B390" s="70"/>
      <c r="C390" s="70"/>
      <c r="D390" s="70"/>
      <c r="E390" s="70"/>
      <c r="F390" s="70" t="s">
        <v>74</v>
      </c>
      <c r="G390" s="70" t="n">
        <f aca="false">COUNTIFS(Data!$B$2:$B$1833,$L390,Data!$C$2:$C$1833,$M390,Data!$D$2:$D$1833,$N390,Data!$E$2:$E$1833,$O390,Data!$F$2:$F$1833,$F390,Data!$H$2:$H$1833,1)</f>
        <v>4</v>
      </c>
      <c r="H390" s="70" t="n">
        <v>670</v>
      </c>
      <c r="I390" s="31" t="str">
        <f aca="false">INDEX(Data!$G$2:$G$1833,MATCH($H390,Data!$A$2:$A$1833,0))</f>
        <v>Can evaluate, restate and challenge arguments in professional or academic live online chat and discussion.</v>
      </c>
      <c r="J390" s="71" t="s">
        <v>2761</v>
      </c>
      <c r="L390" s="70" t="s">
        <v>395</v>
      </c>
      <c r="M390" s="70" t="s">
        <v>817</v>
      </c>
      <c r="N390" s="70" t="s">
        <v>1043</v>
      </c>
      <c r="O390" s="70" t="s">
        <v>1044</v>
      </c>
    </row>
    <row r="391" customFormat="false" ht="26.25" hidden="false" customHeight="true" outlineLevel="0" collapsed="false">
      <c r="A391" s="70"/>
      <c r="B391" s="70"/>
      <c r="C391" s="70"/>
      <c r="D391" s="70"/>
      <c r="E391" s="70"/>
      <c r="F391" s="70" t="s">
        <v>331</v>
      </c>
      <c r="G391" s="70" t="n">
        <f aca="false">COUNTIFS(Data!$B$2:$B$1833,$L391,Data!$C$2:$C$1833,$M391,Data!$D$2:$D$1833,$N391,Data!$E$2:$E$1833,$O391,Data!$F$2:$F$1833,$F391,Data!$H$2:$H$1833,1)</f>
        <v>3</v>
      </c>
      <c r="H391" s="70" t="n">
        <v>666</v>
      </c>
      <c r="I391" s="31" t="str">
        <f aca="false">INDEX(Data!$G$2:$G$1833,MATCH($H391,Data!$A$2:$A$1833,0))</f>
        <v>Can easily and quickly adapt their register and style to suit different online environments, communication purposes and speech acts.</v>
      </c>
      <c r="J391" s="71" t="s">
        <v>2762</v>
      </c>
      <c r="L391" s="70" t="s">
        <v>395</v>
      </c>
      <c r="M391" s="70" t="s">
        <v>817</v>
      </c>
      <c r="N391" s="70" t="s">
        <v>1043</v>
      </c>
      <c r="O391" s="70" t="s">
        <v>1044</v>
      </c>
    </row>
    <row r="392" customFormat="false" ht="26.25" hidden="false" customHeight="true" outlineLevel="0" collapsed="false">
      <c r="A392" s="73" t="str">
        <f aca="false">IFERROR(INDEX(対訳マスタ!$C$2:$C$136,MATCH($L392,対訳マスタ!$B$2:$B$136,0)),$L392)</f>
        <v>コミュニケーション言語活動</v>
      </c>
      <c r="B392" s="73" t="str">
        <f aca="false">IF($M392="—","—",IFERROR(INDEX(対訳マスタ!$C$2:$C$136,MATCH($M392,対訳マスタ!$B$2:$B$136,0)),$M392))</f>
        <v>相互行為</v>
      </c>
      <c r="C392" s="73" t="str">
        <f aca="false">IF($N392="—","—",IFERROR(INDEX(対訳マスタ!$C$2:$C$136,MATCH($N392,対訳マスタ!$B$2:$B$136,0)),$N392))</f>
        <v>オンラインの相互行為</v>
      </c>
      <c r="D392" s="73" t="str">
        <f aca="false">IFERROR(INDEX(対訳マスタ!$C$2:$C$136,MATCH($O392,対訳マスタ!$B$2:$B$136,0)),$O392)</f>
        <v>目的のあるオンライン取引・協働</v>
      </c>
      <c r="E392" s="73" t="s">
        <v>1064</v>
      </c>
      <c r="F392" s="73" t="s">
        <v>86</v>
      </c>
      <c r="G392" s="73" t="n">
        <f aca="false">COUNTIFS(Data!$B$2:$B$1833,$L392,Data!$C$2:$C$1833,$M392,Data!$D$2:$D$1833,$N392,Data!$E$2:$E$1833,$O392,Data!$F$2:$F$1833,$F392,Data!$H$2:$H$1833,1)</f>
        <v>1</v>
      </c>
      <c r="H392" s="73" t="n">
        <v>709</v>
      </c>
      <c r="I392" s="74" t="str">
        <f aca="false">INDEX(Data!$G$2:$G$1833,MATCH($H392,Data!$A$2:$A$1833,0))</f>
        <v>Can make selections (e.g. choosing a product, size, colour) in a simple online purchase or application form, provided there is visual support.</v>
      </c>
      <c r="J392" s="78" t="s">
        <v>2763</v>
      </c>
      <c r="L392" s="70" t="s">
        <v>395</v>
      </c>
      <c r="M392" s="70" t="s">
        <v>817</v>
      </c>
      <c r="N392" s="70" t="s">
        <v>1043</v>
      </c>
      <c r="O392" s="70" t="s">
        <v>1064</v>
      </c>
    </row>
    <row r="393" customFormat="false" ht="26.25" hidden="false" customHeight="true" outlineLevel="0" collapsed="false">
      <c r="A393" s="75"/>
      <c r="B393" s="75"/>
      <c r="C393" s="75"/>
      <c r="D393" s="75"/>
      <c r="E393" s="75"/>
      <c r="F393" s="75" t="s">
        <v>101</v>
      </c>
      <c r="G393" s="75" t="n">
        <f aca="false">COUNTIFS(Data!$B$2:$B$1833,$L393,Data!$C$2:$C$1833,$M393,Data!$D$2:$D$1833,$N393,Data!$E$2:$E$1833,$O393,Data!$F$2:$F$1833,$F393,Data!$H$2:$H$1833,1)</f>
        <v>1</v>
      </c>
      <c r="H393" s="75" t="n">
        <v>708</v>
      </c>
      <c r="I393" s="76" t="str">
        <f aca="false">INDEX(Data!$G$2:$G$1833,MATCH($H393,Data!$A$2:$A$1833,0))</f>
        <v>Can complete a very simple online purchase or application, providing basic personal information (e.g. name, e-mail or telephone number).</v>
      </c>
      <c r="J393" s="77" t="s">
        <v>2764</v>
      </c>
      <c r="L393" s="70" t="s">
        <v>395</v>
      </c>
      <c r="M393" s="70" t="s">
        <v>817</v>
      </c>
      <c r="N393" s="70" t="s">
        <v>1043</v>
      </c>
      <c r="O393" s="70" t="s">
        <v>1064</v>
      </c>
    </row>
    <row r="394" customFormat="false" ht="15" hidden="false" customHeight="true" outlineLevel="0" collapsed="false">
      <c r="A394" s="75"/>
      <c r="B394" s="75"/>
      <c r="C394" s="75"/>
      <c r="D394" s="75"/>
      <c r="E394" s="75"/>
      <c r="F394" s="75" t="s">
        <v>13</v>
      </c>
      <c r="G394" s="75" t="n">
        <f aca="false">COUNTIFS(Data!$B$2:$B$1833,$L394,Data!$C$2:$C$1833,$M394,Data!$D$2:$D$1833,$N394,Data!$E$2:$E$1833,$O394,Data!$F$2:$F$1833,$F394,Data!$H$2:$H$1833,1)</f>
        <v>3</v>
      </c>
      <c r="H394" s="75" t="n">
        <v>706</v>
      </c>
      <c r="I394" s="76" t="str">
        <f aca="false">INDEX(Data!$G$2:$G$1833,MATCH($H394,Data!$A$2:$A$1833,0))</f>
        <v>Can ask basic questions about the availability of a product or feature.</v>
      </c>
      <c r="J394" s="77" t="s">
        <v>2765</v>
      </c>
      <c r="L394" s="70" t="s">
        <v>395</v>
      </c>
      <c r="M394" s="70" t="s">
        <v>817</v>
      </c>
      <c r="N394" s="70" t="s">
        <v>1043</v>
      </c>
      <c r="O394" s="70" t="s">
        <v>1064</v>
      </c>
    </row>
    <row r="395" customFormat="false" ht="32.25" hidden="false" customHeight="true" outlineLevel="0" collapsed="false">
      <c r="A395" s="75"/>
      <c r="B395" s="75"/>
      <c r="C395" s="75"/>
      <c r="D395" s="75"/>
      <c r="E395" s="75"/>
      <c r="F395" s="75" t="s">
        <v>123</v>
      </c>
      <c r="G395" s="75" t="n">
        <f aca="false">COUNTIFS(Data!$B$2:$B$1833,$L395,Data!$C$2:$C$1833,$M395,Data!$D$2:$D$1833,$N395,Data!$E$2:$E$1833,$O395,Data!$F$2:$F$1833,$F395,Data!$H$2:$H$1833,1)</f>
        <v>2</v>
      </c>
      <c r="H395" s="75" t="n">
        <v>703</v>
      </c>
      <c r="I395" s="76" t="str">
        <f aca="false">INDEX(Data!$G$2:$G$1833,MATCH($H395,Data!$A$2:$A$1833,0))</f>
        <v>Can use formulaic language to respond to routine problems arising in online transactions (e.g. concerning availability of models and special offers, delivery dates, addresses).</v>
      </c>
      <c r="J395" s="77" t="s">
        <v>2766</v>
      </c>
      <c r="L395" s="70" t="s">
        <v>395</v>
      </c>
      <c r="M395" s="70" t="s">
        <v>817</v>
      </c>
      <c r="N395" s="70" t="s">
        <v>1043</v>
      </c>
      <c r="O395" s="70" t="s">
        <v>1064</v>
      </c>
    </row>
    <row r="396" customFormat="false" ht="26.25" hidden="false" customHeight="true" outlineLevel="0" collapsed="false">
      <c r="A396" s="75"/>
      <c r="B396" s="75"/>
      <c r="C396" s="75"/>
      <c r="D396" s="75"/>
      <c r="E396" s="75"/>
      <c r="F396" s="75" t="s">
        <v>21</v>
      </c>
      <c r="G396" s="75" t="n">
        <f aca="false">COUNTIFS(Data!$B$2:$B$1833,$L396,Data!$C$2:$C$1833,$M396,Data!$D$2:$D$1833,$N396,Data!$E$2:$E$1833,$O396,Data!$F$2:$F$1833,$F396,Data!$H$2:$H$1833,1)</f>
        <v>3</v>
      </c>
      <c r="H396" s="75" t="n">
        <v>702</v>
      </c>
      <c r="I396" s="76" t="str">
        <f aca="false">INDEX(Data!$G$2:$G$1833,MATCH($H396,Data!$A$2:$A$1833,0))</f>
        <v>Can respond to instructions and ask questions or request clarifications in order to accomplish a shared task online.</v>
      </c>
      <c r="J396" s="77" t="s">
        <v>2767</v>
      </c>
      <c r="L396" s="70" t="s">
        <v>395</v>
      </c>
      <c r="M396" s="70" t="s">
        <v>817</v>
      </c>
      <c r="N396" s="70" t="s">
        <v>1043</v>
      </c>
      <c r="O396" s="70" t="s">
        <v>1064</v>
      </c>
    </row>
    <row r="397" customFormat="false" ht="32.25" hidden="false" customHeight="true" outlineLevel="0" collapsed="false">
      <c r="A397" s="75"/>
      <c r="B397" s="75"/>
      <c r="C397" s="75"/>
      <c r="D397" s="75"/>
      <c r="E397" s="75"/>
      <c r="F397" s="75" t="s">
        <v>52</v>
      </c>
      <c r="G397" s="75" t="n">
        <f aca="false">COUNTIFS(Data!$B$2:$B$1833,$L397,Data!$C$2:$C$1833,$M397,Data!$D$2:$D$1833,$N397,Data!$E$2:$E$1833,$O397,Data!$F$2:$F$1833,$F397,Data!$H$2:$H$1833,1)</f>
        <v>2</v>
      </c>
      <c r="H397" s="75" t="n">
        <v>699</v>
      </c>
      <c r="I397" s="76" t="str">
        <f aca="false">INDEX(Data!$G$2:$G$1833,MATCH($H397,Data!$A$2:$A$1833,0))</f>
        <v>Can interact online with a group that is working on a project, following straightforward instructions, seeking clarification and helping to accomplish the shared tasks.</v>
      </c>
      <c r="J397" s="77" t="s">
        <v>2768</v>
      </c>
      <c r="L397" s="70" t="s">
        <v>395</v>
      </c>
      <c r="M397" s="70" t="s">
        <v>817</v>
      </c>
      <c r="N397" s="70" t="s">
        <v>1043</v>
      </c>
      <c r="O397" s="70" t="s">
        <v>1064</v>
      </c>
    </row>
    <row r="398" customFormat="false" ht="32.25" hidden="false" customHeight="true" outlineLevel="0" collapsed="false">
      <c r="A398" s="75"/>
      <c r="B398" s="75"/>
      <c r="C398" s="75"/>
      <c r="D398" s="75"/>
      <c r="E398" s="75"/>
      <c r="F398" s="75" t="s">
        <v>259</v>
      </c>
      <c r="G398" s="75" t="n">
        <f aca="false">COUNTIFS(Data!$B$2:$B$1833,$L398,Data!$C$2:$C$1833,$M398,Data!$D$2:$D$1833,$N398,Data!$E$2:$E$1833,$O398,Data!$F$2:$F$1833,$F398,Data!$H$2:$H$1833,1)</f>
        <v>1</v>
      </c>
      <c r="H398" s="75" t="n">
        <v>697</v>
      </c>
      <c r="I398" s="76" t="str">
        <f aca="false">INDEX(Data!$G$2:$G$1833,MATCH($H398,Data!$A$2:$A$1833,0))</f>
        <v>Can collaborate online with a group that is working on a project, justifying proposals, seeking clarification and playing a supportive role in order to accomplish shared tasks.</v>
      </c>
      <c r="J398" s="77" t="s">
        <v>2769</v>
      </c>
      <c r="L398" s="70" t="s">
        <v>395</v>
      </c>
      <c r="M398" s="70" t="s">
        <v>817</v>
      </c>
      <c r="N398" s="70" t="s">
        <v>1043</v>
      </c>
      <c r="O398" s="70" t="s">
        <v>1064</v>
      </c>
    </row>
    <row r="399" customFormat="false" ht="32.25" hidden="false" customHeight="true" outlineLevel="0" collapsed="false">
      <c r="A399" s="75"/>
      <c r="B399" s="75"/>
      <c r="C399" s="75"/>
      <c r="D399" s="75"/>
      <c r="E399" s="75"/>
      <c r="F399" s="75" t="s">
        <v>36</v>
      </c>
      <c r="G399" s="75" t="n">
        <f aca="false">COUNTIFS(Data!$B$2:$B$1833,$L399,Data!$C$2:$C$1833,$M399,Data!$D$2:$D$1833,$N399,Data!$E$2:$E$1833,$O399,Data!$F$2:$F$1833,$F399,Data!$H$2:$H$1833,1)</f>
        <v>3</v>
      </c>
      <c r="H399" s="75" t="n">
        <v>696</v>
      </c>
      <c r="I399" s="76" t="str">
        <f aca="false">INDEX(Data!$G$2:$G$1833,MATCH($H399,Data!$A$2:$A$1833,0))</f>
        <v>Can deal with misunderstandings and unexpected problems that arise in online collaborative or transactional exchanges by responding politely and appropriately in order to help resolve the issue.</v>
      </c>
      <c r="J399" s="77" t="s">
        <v>2770</v>
      </c>
      <c r="L399" s="70" t="s">
        <v>395</v>
      </c>
      <c r="M399" s="70" t="s">
        <v>817</v>
      </c>
      <c r="N399" s="70" t="s">
        <v>1043</v>
      </c>
      <c r="O399" s="70" t="s">
        <v>1064</v>
      </c>
    </row>
    <row r="400" customFormat="false" ht="32.25" hidden="false" customHeight="true" outlineLevel="0" collapsed="false">
      <c r="A400" s="75"/>
      <c r="B400" s="75"/>
      <c r="C400" s="75"/>
      <c r="D400" s="75"/>
      <c r="E400" s="75"/>
      <c r="F400" s="75" t="s">
        <v>74</v>
      </c>
      <c r="G400" s="75" t="n">
        <f aca="false">COUNTIFS(Data!$B$2:$B$1833,$L400,Data!$C$2:$C$1833,$M400,Data!$D$2:$D$1833,$N400,Data!$E$2:$E$1833,$O400,Data!$F$2:$F$1833,$F400,Data!$H$2:$H$1833,1)</f>
        <v>4</v>
      </c>
      <c r="H400" s="75" t="n">
        <v>691</v>
      </c>
      <c r="I400" s="76" t="str">
        <f aca="false">INDEX(Data!$G$2:$G$1833,MATCH($H400,Data!$A$2:$A$1833,0))</f>
        <v>Can deal with complex online transactions in a service role (e.g. applications with complicated requirements), adjusting language flexibly to manage discussions and negotiations.</v>
      </c>
      <c r="J400" s="77" t="s">
        <v>2771</v>
      </c>
      <c r="L400" s="70" t="s">
        <v>395</v>
      </c>
      <c r="M400" s="70" t="s">
        <v>817</v>
      </c>
      <c r="N400" s="70" t="s">
        <v>1043</v>
      </c>
      <c r="O400" s="70" t="s">
        <v>1064</v>
      </c>
    </row>
    <row r="401" customFormat="false" ht="21.75" hidden="false" customHeight="true" outlineLevel="0" collapsed="false">
      <c r="A401" s="75"/>
      <c r="B401" s="75"/>
      <c r="C401" s="75"/>
      <c r="D401" s="75"/>
      <c r="E401" s="75"/>
      <c r="F401" s="75" t="s">
        <v>331</v>
      </c>
      <c r="G401" s="75" t="n">
        <f aca="false">COUNTIFS(Data!$B$2:$B$1833,$L401,Data!$C$2:$C$1833,$M401,Data!$D$2:$D$1833,$N401,Data!$E$2:$E$1833,$O401,Data!$F$2:$F$1833,$F401,Data!$H$2:$H$1833,1)</f>
        <v>2</v>
      </c>
      <c r="H401" s="75" t="n">
        <v>688</v>
      </c>
      <c r="I401" s="76" t="str">
        <f aca="false">INDEX(Data!$G$2:$G$1833,MATCH($H401,Data!$A$2:$A$1833,0))</f>
        <v>Can resolve misunderstandings and deal effectively with frictions that arise during the collaborative process.</v>
      </c>
      <c r="J401" s="77" t="s">
        <v>2772</v>
      </c>
      <c r="L401" s="70" t="s">
        <v>395</v>
      </c>
      <c r="M401" s="70" t="s">
        <v>817</v>
      </c>
      <c r="N401" s="70" t="s">
        <v>1043</v>
      </c>
      <c r="O401" s="70" t="s">
        <v>1064</v>
      </c>
    </row>
    <row r="402" customFormat="false" ht="15" hidden="false" customHeight="true" outlineLevel="0" collapsed="false">
      <c r="A402" s="67" t="str">
        <f aca="false">IFERROR(INDEX(対訳マスタ!$C$2:$C$136,MATCH($L402,対訳マスタ!$B$2:$B$136,0)),$L402)</f>
        <v>コミュニケーション言語方略</v>
      </c>
      <c r="B402" s="67" t="str">
        <f aca="false">IF($M402="—","—",IFERROR(INDEX(対訳マスタ!$C$2:$C$136,MATCH($M402,対訳マスタ!$B$2:$B$136,0)),$M402))</f>
        <v>相互行為</v>
      </c>
      <c r="C402" s="67" t="str">
        <f aca="false">IF($N402="—","—",IFERROR(INDEX(対訳マスタ!$C$2:$C$136,MATCH($N402,対訳マスタ!$B$2:$B$136,0)),$N402))</f>
        <v>—</v>
      </c>
      <c r="D402" s="67" t="str">
        <f aca="false">IFERROR(INDEX(対訳マスタ!$C$2:$C$136,MATCH($O402,対訳マスタ!$B$2:$B$136,0)),$O402)</f>
        <v>発言権のやりとり（ターンテイキング）</v>
      </c>
      <c r="E402" s="67" t="s">
        <v>1087</v>
      </c>
      <c r="F402" s="67" t="s">
        <v>86</v>
      </c>
      <c r="G402" s="67" t="n">
        <f aca="false">COUNTIFS(Data!$B$2:$B$1833,$L402,Data!$C$2:$C$1833,$M402,Data!$D$2:$D$1833,$N402,Data!$E$2:$E$1833,$O402,Data!$F$2:$F$1833,$F402,Data!$H$2:$H$1833,1)</f>
        <v>0</v>
      </c>
      <c r="H402" s="67" t="s">
        <v>624</v>
      </c>
      <c r="I402" s="68" t="s">
        <v>624</v>
      </c>
      <c r="J402" s="68" t="s">
        <v>624</v>
      </c>
      <c r="L402" s="70" t="s">
        <v>396</v>
      </c>
      <c r="M402" s="70" t="s">
        <v>817</v>
      </c>
      <c r="N402" s="70" t="s">
        <v>624</v>
      </c>
      <c r="O402" s="70" t="s">
        <v>1087</v>
      </c>
    </row>
    <row r="403" customFormat="false" ht="15" hidden="false" customHeight="true" outlineLevel="0" collapsed="false">
      <c r="A403" s="70"/>
      <c r="B403" s="70"/>
      <c r="C403" s="70"/>
      <c r="D403" s="70"/>
      <c r="E403" s="70"/>
      <c r="F403" s="70" t="s">
        <v>101</v>
      </c>
      <c r="G403" s="70" t="n">
        <f aca="false">COUNTIFS(Data!$B$2:$B$1833,$L403,Data!$C$2:$C$1833,$M403,Data!$D$2:$D$1833,$N403,Data!$E$2:$E$1833,$O403,Data!$F$2:$F$1833,$F403,Data!$H$2:$H$1833,1)</f>
        <v>0</v>
      </c>
      <c r="H403" s="70" t="s">
        <v>624</v>
      </c>
      <c r="I403" s="31" t="s">
        <v>624</v>
      </c>
      <c r="J403" s="31" t="s">
        <v>624</v>
      </c>
      <c r="L403" s="70" t="s">
        <v>396</v>
      </c>
      <c r="M403" s="70" t="s">
        <v>817</v>
      </c>
      <c r="N403" s="70" t="s">
        <v>624</v>
      </c>
      <c r="O403" s="70" t="s">
        <v>1087</v>
      </c>
    </row>
    <row r="404" customFormat="false" ht="15" hidden="false" customHeight="true" outlineLevel="0" collapsed="false">
      <c r="A404" s="70"/>
      <c r="B404" s="70"/>
      <c r="C404" s="70"/>
      <c r="D404" s="70"/>
      <c r="E404" s="70"/>
      <c r="F404" s="70" t="s">
        <v>13</v>
      </c>
      <c r="G404" s="70" t="n">
        <f aca="false">COUNTIFS(Data!$B$2:$B$1833,$L404,Data!$C$2:$C$1833,$M404,Data!$D$2:$D$1833,$N404,Data!$E$2:$E$1833,$O404,Data!$F$2:$F$1833,$F404,Data!$H$2:$H$1833,1)</f>
        <v>1</v>
      </c>
      <c r="H404" s="70" t="n">
        <v>720</v>
      </c>
      <c r="I404" s="31" t="str">
        <f aca="false">INDEX(Data!$G$2:$G$1833,MATCH($H404,Data!$A$2:$A$1833,0))</f>
        <v>Can ask for attention.</v>
      </c>
      <c r="J404" s="71" t="s">
        <v>2773</v>
      </c>
      <c r="L404" s="70" t="s">
        <v>396</v>
      </c>
      <c r="M404" s="70" t="s">
        <v>817</v>
      </c>
      <c r="N404" s="70" t="s">
        <v>624</v>
      </c>
      <c r="O404" s="70" t="s">
        <v>1087</v>
      </c>
    </row>
    <row r="405" customFormat="false" ht="15" hidden="false" customHeight="true" outlineLevel="0" collapsed="false">
      <c r="A405" s="70"/>
      <c r="B405" s="70"/>
      <c r="C405" s="70"/>
      <c r="D405" s="70"/>
      <c r="E405" s="70"/>
      <c r="F405" s="70" t="s">
        <v>123</v>
      </c>
      <c r="G405" s="70" t="n">
        <f aca="false">COUNTIFS(Data!$B$2:$B$1833,$L405,Data!$C$2:$C$1833,$M405,Data!$D$2:$D$1833,$N405,Data!$E$2:$E$1833,$O405,Data!$F$2:$F$1833,$F405,Data!$H$2:$H$1833,1)</f>
        <v>2</v>
      </c>
      <c r="H405" s="70" t="n">
        <v>719</v>
      </c>
      <c r="I405" s="31" t="str">
        <f aca="false">INDEX(Data!$G$2:$G$1833,MATCH($H405,Data!$A$2:$A$1833,0))</f>
        <v>Can initiate, maintain and close simple, face-to-face conversation.</v>
      </c>
      <c r="J405" s="71" t="s">
        <v>2774</v>
      </c>
      <c r="L405" s="70" t="s">
        <v>396</v>
      </c>
      <c r="M405" s="70" t="s">
        <v>817</v>
      </c>
      <c r="N405" s="70" t="s">
        <v>624</v>
      </c>
      <c r="O405" s="70" t="s">
        <v>1087</v>
      </c>
    </row>
    <row r="406" customFormat="false" ht="26.25" hidden="false" customHeight="true" outlineLevel="0" collapsed="false">
      <c r="A406" s="70"/>
      <c r="B406" s="70"/>
      <c r="C406" s="70"/>
      <c r="D406" s="70"/>
      <c r="E406" s="70"/>
      <c r="F406" s="70" t="s">
        <v>21</v>
      </c>
      <c r="G406" s="70" t="n">
        <f aca="false">COUNTIFS(Data!$B$2:$B$1833,$L406,Data!$C$2:$C$1833,$M406,Data!$D$2:$D$1833,$N406,Data!$E$2:$E$1833,$O406,Data!$F$2:$F$1833,$F406,Data!$H$2:$H$1833,1)</f>
        <v>1</v>
      </c>
      <c r="H406" s="70" t="n">
        <v>717</v>
      </c>
      <c r="I406" s="31" t="str">
        <f aca="false">INDEX(Data!$G$2:$G$1833,MATCH($H406,Data!$A$2:$A$1833,0))</f>
        <v>Can initiate, maintain and close simple, face-to-face conversation on topics that are familiar or of personal interest.</v>
      </c>
      <c r="J406" s="71" t="s">
        <v>2775</v>
      </c>
      <c r="L406" s="70" t="s">
        <v>396</v>
      </c>
      <c r="M406" s="70" t="s">
        <v>817</v>
      </c>
      <c r="N406" s="70" t="s">
        <v>624</v>
      </c>
      <c r="O406" s="70" t="s">
        <v>1087</v>
      </c>
    </row>
    <row r="407" customFormat="false" ht="21.75" hidden="false" customHeight="true" outlineLevel="0" collapsed="false">
      <c r="A407" s="70"/>
      <c r="B407" s="70"/>
      <c r="C407" s="70"/>
      <c r="D407" s="70"/>
      <c r="E407" s="70"/>
      <c r="F407" s="70" t="s">
        <v>52</v>
      </c>
      <c r="G407" s="70" t="n">
        <f aca="false">COUNTIFS(Data!$B$2:$B$1833,$L407,Data!$C$2:$C$1833,$M407,Data!$D$2:$D$1833,$N407,Data!$E$2:$E$1833,$O407,Data!$F$2:$F$1833,$F407,Data!$H$2:$H$1833,1)</f>
        <v>1</v>
      </c>
      <c r="H407" s="70" t="n">
        <v>716</v>
      </c>
      <c r="I407" s="31" t="str">
        <f aca="false">INDEX(Data!$G$2:$G$1833,MATCH($H407,Data!$A$2:$A$1833,0))</f>
        <v>Can intervene in a discussion on a familiar topic, using a suitable phrase to get the floor.</v>
      </c>
      <c r="J407" s="71" t="s">
        <v>2776</v>
      </c>
      <c r="L407" s="70" t="s">
        <v>396</v>
      </c>
      <c r="M407" s="70" t="s">
        <v>817</v>
      </c>
      <c r="N407" s="70" t="s">
        <v>624</v>
      </c>
      <c r="O407" s="70" t="s">
        <v>1087</v>
      </c>
    </row>
    <row r="408" customFormat="false" ht="21.75" hidden="false" customHeight="true" outlineLevel="0" collapsed="false">
      <c r="A408" s="70"/>
      <c r="B408" s="70"/>
      <c r="C408" s="70"/>
      <c r="D408" s="70"/>
      <c r="E408" s="70"/>
      <c r="F408" s="70" t="s">
        <v>259</v>
      </c>
      <c r="G408" s="70" t="n">
        <f aca="false">COUNTIFS(Data!$B$2:$B$1833,$L408,Data!$C$2:$C$1833,$M408,Data!$D$2:$D$1833,$N408,Data!$E$2:$E$1833,$O408,Data!$F$2:$F$1833,$F408,Data!$H$2:$H$1833,1)</f>
        <v>4</v>
      </c>
      <c r="H408" s="70" t="n">
        <v>713</v>
      </c>
      <c r="I408" s="31" t="str">
        <f aca="false">INDEX(Data!$G$2:$G$1833,MATCH($H408,Data!$A$2:$A$1833,0))</f>
        <v>Can initiate, maintain and end discourse appropriately with effective turntaking.</v>
      </c>
      <c r="J408" s="71" t="s">
        <v>2777</v>
      </c>
      <c r="L408" s="70" t="s">
        <v>396</v>
      </c>
      <c r="M408" s="70" t="s">
        <v>817</v>
      </c>
      <c r="N408" s="70" t="s">
        <v>624</v>
      </c>
      <c r="O408" s="70" t="s">
        <v>1087</v>
      </c>
    </row>
    <row r="409" customFormat="false" ht="15" hidden="false" customHeight="true" outlineLevel="0" collapsed="false">
      <c r="A409" s="70"/>
      <c r="B409" s="70"/>
      <c r="C409" s="70"/>
      <c r="D409" s="70"/>
      <c r="E409" s="70"/>
      <c r="F409" s="70" t="s">
        <v>36</v>
      </c>
      <c r="G409" s="70" t="n">
        <f aca="false">COUNTIFS(Data!$B$2:$B$1833,$L409,Data!$C$2:$C$1833,$M409,Data!$D$2:$D$1833,$N409,Data!$E$2:$E$1833,$O409,Data!$F$2:$F$1833,$F409,Data!$H$2:$H$1833,1)</f>
        <v>0</v>
      </c>
      <c r="H409" s="70" t="s">
        <v>624</v>
      </c>
      <c r="I409" s="31" t="s">
        <v>624</v>
      </c>
      <c r="J409" s="31" t="s">
        <v>624</v>
      </c>
      <c r="L409" s="70" t="s">
        <v>396</v>
      </c>
      <c r="M409" s="70" t="s">
        <v>817</v>
      </c>
      <c r="N409" s="70" t="s">
        <v>624</v>
      </c>
      <c r="O409" s="70" t="s">
        <v>1087</v>
      </c>
    </row>
    <row r="410" customFormat="false" ht="32.25" hidden="false" customHeight="true" outlineLevel="0" collapsed="false">
      <c r="A410" s="70"/>
      <c r="B410" s="70"/>
      <c r="C410" s="70"/>
      <c r="D410" s="70"/>
      <c r="E410" s="70"/>
      <c r="F410" s="70" t="s">
        <v>74</v>
      </c>
      <c r="G410" s="70" t="n">
        <f aca="false">COUNTIFS(Data!$B$2:$B$1833,$L410,Data!$C$2:$C$1833,$M410,Data!$D$2:$D$1833,$N410,Data!$E$2:$E$1833,$O410,Data!$F$2:$F$1833,$F410,Data!$H$2:$H$1833,1)</f>
        <v>1</v>
      </c>
      <c r="H410" s="70" t="n">
        <v>711</v>
      </c>
      <c r="I410" s="31" t="str">
        <f aca="false">INDEX(Data!$G$2:$G$1833,MATCH($H410,Data!$A$2:$A$1833,0))</f>
        <v>Can select a suitable phrase from a readily available range of discourse functions to preface their remarks appropriately in order to get the floor, or to gain time and keep the floor whilst thinking.</v>
      </c>
      <c r="J410" s="71" t="s">
        <v>2778</v>
      </c>
      <c r="L410" s="70" t="s">
        <v>396</v>
      </c>
      <c r="M410" s="70" t="s">
        <v>817</v>
      </c>
      <c r="N410" s="70" t="s">
        <v>624</v>
      </c>
      <c r="O410" s="70" t="s">
        <v>1087</v>
      </c>
    </row>
    <row r="411" customFormat="false" ht="15" hidden="false" customHeight="true" outlineLevel="0" collapsed="false">
      <c r="A411" s="70"/>
      <c r="B411" s="70"/>
      <c r="C411" s="70"/>
      <c r="D411" s="70"/>
      <c r="E411" s="70"/>
      <c r="F411" s="70" t="s">
        <v>331</v>
      </c>
      <c r="G411" s="70" t="n">
        <f aca="false">COUNTIFS(Data!$B$2:$B$1833,$L411,Data!$C$2:$C$1833,$M411,Data!$D$2:$D$1833,$N411,Data!$E$2:$E$1833,$O411,Data!$F$2:$F$1833,$F411,Data!$H$2:$H$1833,1)</f>
        <v>0</v>
      </c>
      <c r="H411" s="70" t="s">
        <v>624</v>
      </c>
      <c r="I411" s="31" t="s">
        <v>624</v>
      </c>
      <c r="J411" s="31" t="s">
        <v>624</v>
      </c>
      <c r="L411" s="70" t="s">
        <v>396</v>
      </c>
      <c r="M411" s="70" t="s">
        <v>817</v>
      </c>
      <c r="N411" s="70" t="s">
        <v>624</v>
      </c>
      <c r="O411" s="70" t="s">
        <v>1087</v>
      </c>
    </row>
    <row r="412" customFormat="false" ht="15" hidden="false" customHeight="true" outlineLevel="0" collapsed="false">
      <c r="A412" s="73" t="str">
        <f aca="false">IFERROR(INDEX(対訳マスタ!$C$2:$C$136,MATCH($L412,対訳マスタ!$B$2:$B$136,0)),$L412)</f>
        <v>コミュニケーション言語方略</v>
      </c>
      <c r="B412" s="73" t="str">
        <f aca="false">IF($M412="—","—",IFERROR(INDEX(対訳マスタ!$C$2:$C$136,MATCH($M412,対訳マスタ!$B$2:$B$136,0)),$M412))</f>
        <v>相互行為</v>
      </c>
      <c r="C412" s="73" t="str">
        <f aca="false">IF($N412="—","—",IFERROR(INDEX(対訳マスタ!$C$2:$C$136,MATCH($N412,対訳マスタ!$B$2:$B$136,0)),$N412))</f>
        <v>—</v>
      </c>
      <c r="D412" s="73" t="str">
        <f aca="false">IFERROR(INDEX(対訳マスタ!$C$2:$C$136,MATCH($O412,対訳マスタ!$B$2:$B$136,0)),$O412)</f>
        <v>協力（会話を協調して進める）</v>
      </c>
      <c r="E412" s="73" t="s">
        <v>1098</v>
      </c>
      <c r="F412" s="73" t="s">
        <v>86</v>
      </c>
      <c r="G412" s="73" t="n">
        <f aca="false">COUNTIFS(Data!$B$2:$B$1833,$L412,Data!$C$2:$C$1833,$M412,Data!$D$2:$D$1833,$N412,Data!$E$2:$E$1833,$O412,Data!$F$2:$F$1833,$F412,Data!$H$2:$H$1833,1)</f>
        <v>0</v>
      </c>
      <c r="H412" s="73" t="s">
        <v>624</v>
      </c>
      <c r="I412" s="74" t="s">
        <v>624</v>
      </c>
      <c r="J412" s="74" t="s">
        <v>624</v>
      </c>
      <c r="L412" s="70" t="s">
        <v>396</v>
      </c>
      <c r="M412" s="70" t="s">
        <v>817</v>
      </c>
      <c r="N412" s="70" t="s">
        <v>624</v>
      </c>
      <c r="O412" s="70" t="s">
        <v>1098</v>
      </c>
    </row>
    <row r="413" customFormat="false" ht="15" hidden="false" customHeight="true" outlineLevel="0" collapsed="false">
      <c r="A413" s="75"/>
      <c r="B413" s="75"/>
      <c r="C413" s="75"/>
      <c r="D413" s="75"/>
      <c r="E413" s="75"/>
      <c r="F413" s="75" t="s">
        <v>101</v>
      </c>
      <c r="G413" s="75" t="n">
        <f aca="false">COUNTIFS(Data!$B$2:$B$1833,$L413,Data!$C$2:$C$1833,$M413,Data!$D$2:$D$1833,$N413,Data!$E$2:$E$1833,$O413,Data!$F$2:$F$1833,$F413,Data!$H$2:$H$1833,1)</f>
        <v>0</v>
      </c>
      <c r="H413" s="75" t="s">
        <v>624</v>
      </c>
      <c r="I413" s="76" t="s">
        <v>624</v>
      </c>
      <c r="J413" s="76" t="s">
        <v>624</v>
      </c>
      <c r="L413" s="70" t="s">
        <v>396</v>
      </c>
      <c r="M413" s="70" t="s">
        <v>817</v>
      </c>
      <c r="N413" s="70" t="s">
        <v>624</v>
      </c>
      <c r="O413" s="70" t="s">
        <v>1098</v>
      </c>
    </row>
    <row r="414" customFormat="false" ht="15" hidden="false" customHeight="true" outlineLevel="0" collapsed="false">
      <c r="A414" s="75"/>
      <c r="B414" s="75"/>
      <c r="C414" s="75"/>
      <c r="D414" s="75"/>
      <c r="E414" s="75"/>
      <c r="F414" s="75" t="s">
        <v>13</v>
      </c>
      <c r="G414" s="75" t="n">
        <f aca="false">COUNTIFS(Data!$B$2:$B$1833,$L414,Data!$C$2:$C$1833,$M414,Data!$D$2:$D$1833,$N414,Data!$E$2:$E$1833,$O414,Data!$F$2:$F$1833,$F414,Data!$H$2:$H$1833,1)</f>
        <v>1</v>
      </c>
      <c r="H414" s="75" t="n">
        <v>733</v>
      </c>
      <c r="I414" s="76" t="str">
        <f aca="false">INDEX(Data!$G$2:$G$1833,MATCH($H414,Data!$A$2:$A$1833,0))</f>
        <v>Can indicate when they are following.</v>
      </c>
      <c r="J414" s="77" t="s">
        <v>2779</v>
      </c>
      <c r="L414" s="70" t="s">
        <v>396</v>
      </c>
      <c r="M414" s="70" t="s">
        <v>817</v>
      </c>
      <c r="N414" s="70" t="s">
        <v>624</v>
      </c>
      <c r="O414" s="70" t="s">
        <v>1098</v>
      </c>
    </row>
    <row r="415" customFormat="false" ht="15" hidden="false" customHeight="true" outlineLevel="0" collapsed="false">
      <c r="A415" s="75"/>
      <c r="B415" s="75"/>
      <c r="C415" s="75"/>
      <c r="D415" s="75"/>
      <c r="E415" s="75"/>
      <c r="F415" s="75" t="s">
        <v>123</v>
      </c>
      <c r="G415" s="75" t="n">
        <f aca="false">COUNTIFS(Data!$B$2:$B$1833,$L415,Data!$C$2:$C$1833,$M415,Data!$D$2:$D$1833,$N415,Data!$E$2:$E$1833,$O415,Data!$F$2:$F$1833,$F415,Data!$H$2:$H$1833,1)</f>
        <v>0</v>
      </c>
      <c r="H415" s="75" t="s">
        <v>624</v>
      </c>
      <c r="I415" s="76" t="s">
        <v>624</v>
      </c>
      <c r="J415" s="76" t="s">
        <v>624</v>
      </c>
      <c r="L415" s="70" t="s">
        <v>396</v>
      </c>
      <c r="M415" s="70" t="s">
        <v>817</v>
      </c>
      <c r="N415" s="70" t="s">
        <v>624</v>
      </c>
      <c r="O415" s="70" t="s">
        <v>1098</v>
      </c>
    </row>
    <row r="416" customFormat="false" ht="15" hidden="false" customHeight="true" outlineLevel="0" collapsed="false">
      <c r="A416" s="75"/>
      <c r="B416" s="75"/>
      <c r="C416" s="75"/>
      <c r="D416" s="75"/>
      <c r="E416" s="75"/>
      <c r="F416" s="75" t="s">
        <v>21</v>
      </c>
      <c r="G416" s="75" t="n">
        <f aca="false">COUNTIFS(Data!$B$2:$B$1833,$L416,Data!$C$2:$C$1833,$M416,Data!$D$2:$D$1833,$N416,Data!$E$2:$E$1833,$O416,Data!$F$2:$F$1833,$F416,Data!$H$2:$H$1833,1)</f>
        <v>2</v>
      </c>
      <c r="H416" s="75" t="n">
        <v>732</v>
      </c>
      <c r="I416" s="76" t="str">
        <f aca="false">INDEX(Data!$G$2:$G$1833,MATCH($H416,Data!$A$2:$A$1833,0))</f>
        <v>Can invite others into the discussion.</v>
      </c>
      <c r="J416" s="77" t="s">
        <v>2780</v>
      </c>
      <c r="L416" s="70" t="s">
        <v>396</v>
      </c>
      <c r="M416" s="70" t="s">
        <v>817</v>
      </c>
      <c r="N416" s="70" t="s">
        <v>624</v>
      </c>
      <c r="O416" s="70" t="s">
        <v>1098</v>
      </c>
    </row>
    <row r="417" customFormat="false" ht="21.75" hidden="false" customHeight="true" outlineLevel="0" collapsed="false">
      <c r="A417" s="75"/>
      <c r="B417" s="75"/>
      <c r="C417" s="75"/>
      <c r="D417" s="75"/>
      <c r="E417" s="75"/>
      <c r="F417" s="75" t="s">
        <v>52</v>
      </c>
      <c r="G417" s="75" t="n">
        <f aca="false">COUNTIFS(Data!$B$2:$B$1833,$L417,Data!$C$2:$C$1833,$M417,Data!$D$2:$D$1833,$N417,Data!$E$2:$E$1833,$O417,Data!$F$2:$F$1833,$F417,Data!$H$2:$H$1833,1)</f>
        <v>2</v>
      </c>
      <c r="H417" s="75" t="n">
        <v>730</v>
      </c>
      <c r="I417" s="76" t="str">
        <f aca="false">INDEX(Data!$G$2:$G$1833,MATCH($H417,Data!$A$2:$A$1833,0))</f>
        <v>Can summarise the point reached in a discussion and so help focus the argument.</v>
      </c>
      <c r="J417" s="77" t="s">
        <v>2781</v>
      </c>
      <c r="L417" s="70" t="s">
        <v>396</v>
      </c>
      <c r="M417" s="70" t="s">
        <v>817</v>
      </c>
      <c r="N417" s="70" t="s">
        <v>624</v>
      </c>
      <c r="O417" s="70" t="s">
        <v>1098</v>
      </c>
    </row>
    <row r="418" customFormat="false" ht="21.75" hidden="false" customHeight="true" outlineLevel="0" collapsed="false">
      <c r="A418" s="75"/>
      <c r="B418" s="75"/>
      <c r="C418" s="75"/>
      <c r="D418" s="75"/>
      <c r="E418" s="75"/>
      <c r="F418" s="75" t="s">
        <v>259</v>
      </c>
      <c r="G418" s="75" t="n">
        <f aca="false">COUNTIFS(Data!$B$2:$B$1833,$L418,Data!$C$2:$C$1833,$M418,Data!$D$2:$D$1833,$N418,Data!$E$2:$E$1833,$O418,Data!$F$2:$F$1833,$F418,Data!$H$2:$H$1833,1)</f>
        <v>2</v>
      </c>
      <c r="H418" s="75" t="n">
        <v>728</v>
      </c>
      <c r="I418" s="76" t="str">
        <f aca="false">INDEX(Data!$G$2:$G$1833,MATCH($H418,Data!$A$2:$A$1833,0))</f>
        <v>Can summarise the point reached at a particular stage in a discussion and propose the next steps.</v>
      </c>
      <c r="J418" s="77" t="s">
        <v>2782</v>
      </c>
      <c r="L418" s="70" t="s">
        <v>396</v>
      </c>
      <c r="M418" s="70" t="s">
        <v>817</v>
      </c>
      <c r="N418" s="70" t="s">
        <v>624</v>
      </c>
      <c r="O418" s="70" t="s">
        <v>1098</v>
      </c>
    </row>
    <row r="419" customFormat="false" ht="26.25" hidden="false" customHeight="true" outlineLevel="0" collapsed="false">
      <c r="A419" s="75"/>
      <c r="B419" s="75"/>
      <c r="C419" s="75"/>
      <c r="D419" s="75"/>
      <c r="E419" s="75"/>
      <c r="F419" s="75" t="s">
        <v>36</v>
      </c>
      <c r="G419" s="75" t="n">
        <f aca="false">COUNTIFS(Data!$B$2:$B$1833,$L419,Data!$C$2:$C$1833,$M419,Data!$D$2:$D$1833,$N419,Data!$E$2:$E$1833,$O419,Data!$F$2:$F$1833,$F419,Data!$H$2:$H$1833,1)</f>
        <v>2</v>
      </c>
      <c r="H419" s="75" t="n">
        <v>725</v>
      </c>
      <c r="I419" s="76" t="str">
        <f aca="false">INDEX(Data!$G$2:$G$1833,MATCH($H419,Data!$A$2:$A$1833,0))</f>
        <v>Can give feedback on and follow up statements and inferences and so help the development of the discussion.</v>
      </c>
      <c r="J419" s="77" t="s">
        <v>2783</v>
      </c>
      <c r="L419" s="70" t="s">
        <v>396</v>
      </c>
      <c r="M419" s="70" t="s">
        <v>817</v>
      </c>
      <c r="N419" s="70" t="s">
        <v>624</v>
      </c>
      <c r="O419" s="70" t="s">
        <v>1098</v>
      </c>
    </row>
    <row r="420" customFormat="false" ht="15" hidden="false" customHeight="true" outlineLevel="0" collapsed="false">
      <c r="A420" s="75"/>
      <c r="B420" s="75"/>
      <c r="C420" s="75"/>
      <c r="D420" s="75"/>
      <c r="E420" s="75"/>
      <c r="F420" s="75" t="s">
        <v>74</v>
      </c>
      <c r="G420" s="75" t="n">
        <f aca="false">COUNTIFS(Data!$B$2:$B$1833,$L420,Data!$C$2:$C$1833,$M420,Data!$D$2:$D$1833,$N420,Data!$E$2:$E$1833,$O420,Data!$F$2:$F$1833,$F420,Data!$H$2:$H$1833,1)</f>
        <v>1</v>
      </c>
      <c r="H420" s="75" t="n">
        <v>724</v>
      </c>
      <c r="I420" s="76" t="str">
        <f aca="false">INDEX(Data!$G$2:$G$1833,MATCH($H420,Data!$A$2:$A$1833,0))</f>
        <v>Can relate own contribution skilfully to that of others.</v>
      </c>
      <c r="J420" s="77" t="s">
        <v>2784</v>
      </c>
      <c r="L420" s="70" t="s">
        <v>396</v>
      </c>
      <c r="M420" s="70" t="s">
        <v>817</v>
      </c>
      <c r="N420" s="70" t="s">
        <v>624</v>
      </c>
      <c r="O420" s="70" t="s">
        <v>1098</v>
      </c>
    </row>
    <row r="421" customFormat="false" ht="26.25" hidden="false" customHeight="true" outlineLevel="0" collapsed="false">
      <c r="A421" s="75"/>
      <c r="B421" s="75"/>
      <c r="C421" s="75"/>
      <c r="D421" s="75"/>
      <c r="E421" s="75"/>
      <c r="F421" s="75" t="s">
        <v>331</v>
      </c>
      <c r="G421" s="75" t="n">
        <f aca="false">COUNTIFS(Data!$B$2:$B$1833,$L421,Data!$C$2:$C$1833,$M421,Data!$D$2:$D$1833,$N421,Data!$E$2:$E$1833,$O421,Data!$F$2:$F$1833,$F421,Data!$H$2:$H$1833,1)</f>
        <v>1</v>
      </c>
      <c r="H421" s="75" t="n">
        <v>723</v>
      </c>
      <c r="I421" s="76" t="str">
        <f aca="false">INDEX(Data!$G$2:$G$1833,MATCH($H421,Data!$A$2:$A$1833,0))</f>
        <v>Can link contributions skilfully to those of others, widen the scope of the interaction and help steer it towards an outcome.</v>
      </c>
      <c r="J421" s="77" t="s">
        <v>2785</v>
      </c>
      <c r="L421" s="70" t="s">
        <v>396</v>
      </c>
      <c r="M421" s="70" t="s">
        <v>817</v>
      </c>
      <c r="N421" s="70" t="s">
        <v>624</v>
      </c>
      <c r="O421" s="70" t="s">
        <v>1098</v>
      </c>
    </row>
    <row r="422" customFormat="false" ht="15" hidden="false" customHeight="true" outlineLevel="0" collapsed="false">
      <c r="A422" s="67" t="str">
        <f aca="false">IFERROR(INDEX(対訳マスタ!$C$2:$C$136,MATCH($L422,対訳マスタ!$B$2:$B$136,0)),$L422)</f>
        <v>コミュニケーション言語方略</v>
      </c>
      <c r="B422" s="67" t="str">
        <f aca="false">IF($M422="—","—",IFERROR(INDEX(対訳マスタ!$C$2:$C$136,MATCH($M422,対訳マスタ!$B$2:$B$136,0)),$M422))</f>
        <v>相互行為</v>
      </c>
      <c r="C422" s="67" t="str">
        <f aca="false">IF($N422="—","—",IFERROR(INDEX(対訳マスタ!$C$2:$C$136,MATCH($N422,対訳マスタ!$B$2:$B$136,0)),$N422))</f>
        <v>—</v>
      </c>
      <c r="D422" s="67" t="str">
        <f aca="false">IFERROR(INDEX(対訳マスタ!$C$2:$C$136,MATCH($O422,対訳マスタ!$B$2:$B$136,0)),$O422)</f>
        <v>明確化の要求（聞き返し）</v>
      </c>
      <c r="E422" s="67" t="s">
        <v>1110</v>
      </c>
      <c r="F422" s="67" t="s">
        <v>86</v>
      </c>
      <c r="G422" s="67" t="n">
        <f aca="false">COUNTIFS(Data!$B$2:$B$1833,$L422,Data!$C$2:$C$1833,$M422,Data!$D$2:$D$1833,$N422,Data!$E$2:$E$1833,$O422,Data!$F$2:$F$1833,$F422,Data!$H$2:$H$1833,1)</f>
        <v>0</v>
      </c>
      <c r="H422" s="67" t="s">
        <v>624</v>
      </c>
      <c r="I422" s="68" t="s">
        <v>624</v>
      </c>
      <c r="J422" s="68" t="s">
        <v>624</v>
      </c>
      <c r="L422" s="70" t="s">
        <v>396</v>
      </c>
      <c r="M422" s="70" t="s">
        <v>817</v>
      </c>
      <c r="N422" s="70" t="s">
        <v>624</v>
      </c>
      <c r="O422" s="70" t="s">
        <v>1110</v>
      </c>
    </row>
    <row r="423" customFormat="false" ht="15" hidden="false" customHeight="true" outlineLevel="0" collapsed="false">
      <c r="A423" s="70"/>
      <c r="B423" s="70"/>
      <c r="C423" s="70"/>
      <c r="D423" s="70"/>
      <c r="E423" s="70"/>
      <c r="F423" s="70" t="s">
        <v>101</v>
      </c>
      <c r="G423" s="70" t="n">
        <f aca="false">COUNTIFS(Data!$B$2:$B$1833,$L423,Data!$C$2:$C$1833,$M423,Data!$D$2:$D$1833,$N423,Data!$E$2:$E$1833,$O423,Data!$F$2:$F$1833,$F423,Data!$H$2:$H$1833,1)</f>
        <v>2</v>
      </c>
      <c r="H423" s="70" t="n">
        <v>748</v>
      </c>
      <c r="I423" s="31" t="str">
        <f aca="false">INDEX(Data!$G$2:$G$1833,MATCH($H423,Data!$A$2:$A$1833,0))</f>
        <v>Can express in a simple way that they do not understand.</v>
      </c>
      <c r="J423" s="71" t="s">
        <v>2786</v>
      </c>
      <c r="L423" s="70" t="s">
        <v>396</v>
      </c>
      <c r="M423" s="70" t="s">
        <v>817</v>
      </c>
      <c r="N423" s="70" t="s">
        <v>624</v>
      </c>
      <c r="O423" s="70" t="s">
        <v>1110</v>
      </c>
    </row>
    <row r="424" customFormat="false" ht="15" hidden="false" customHeight="true" outlineLevel="0" collapsed="false">
      <c r="A424" s="70"/>
      <c r="B424" s="70"/>
      <c r="C424" s="70"/>
      <c r="D424" s="70"/>
      <c r="E424" s="70"/>
      <c r="F424" s="70" t="s">
        <v>13</v>
      </c>
      <c r="G424" s="70" t="n">
        <f aca="false">COUNTIFS(Data!$B$2:$B$1833,$L424,Data!$C$2:$C$1833,$M424,Data!$D$2:$D$1833,$N424,Data!$E$2:$E$1833,$O424,Data!$F$2:$F$1833,$F424,Data!$H$2:$H$1833,1)</f>
        <v>2</v>
      </c>
      <c r="H424" s="70" t="n">
        <v>745</v>
      </c>
      <c r="I424" s="31" t="str">
        <f aca="false">INDEX(Data!$G$2:$G$1833,MATCH($H424,Data!$A$2:$A$1833,0))</f>
        <v>Can indicate that they did not follow.</v>
      </c>
      <c r="J424" s="71" t="s">
        <v>2787</v>
      </c>
      <c r="L424" s="70" t="s">
        <v>396</v>
      </c>
      <c r="M424" s="70" t="s">
        <v>817</v>
      </c>
      <c r="N424" s="70" t="s">
        <v>624</v>
      </c>
      <c r="O424" s="70" t="s">
        <v>1110</v>
      </c>
    </row>
    <row r="425" customFormat="false" ht="15" hidden="false" customHeight="true" outlineLevel="0" collapsed="false">
      <c r="A425" s="70"/>
      <c r="B425" s="70"/>
      <c r="C425" s="70"/>
      <c r="D425" s="70"/>
      <c r="E425" s="70"/>
      <c r="F425" s="70" t="s">
        <v>123</v>
      </c>
      <c r="G425" s="70" t="n">
        <f aca="false">COUNTIFS(Data!$B$2:$B$1833,$L425,Data!$C$2:$C$1833,$M425,Data!$D$2:$D$1833,$N425,Data!$E$2:$E$1833,$O425,Data!$F$2:$F$1833,$F425,Data!$H$2:$H$1833,1)</f>
        <v>2</v>
      </c>
      <c r="H425" s="70" t="n">
        <v>743</v>
      </c>
      <c r="I425" s="31" t="str">
        <f aca="false">INDEX(Data!$G$2:$G$1833,MATCH($H425,Data!$A$2:$A$1833,0))</f>
        <v>Can ask very simply for repetition when they do not understand.</v>
      </c>
      <c r="J425" s="71" t="s">
        <v>2788</v>
      </c>
      <c r="L425" s="70" t="s">
        <v>396</v>
      </c>
      <c r="M425" s="70" t="s">
        <v>817</v>
      </c>
      <c r="N425" s="70" t="s">
        <v>624</v>
      </c>
      <c r="O425" s="70" t="s">
        <v>1110</v>
      </c>
    </row>
    <row r="426" customFormat="false" ht="15" hidden="false" customHeight="true" outlineLevel="0" collapsed="false">
      <c r="A426" s="70"/>
      <c r="B426" s="70"/>
      <c r="C426" s="70"/>
      <c r="D426" s="70"/>
      <c r="E426" s="70"/>
      <c r="F426" s="70" t="s">
        <v>21</v>
      </c>
      <c r="G426" s="70" t="n">
        <f aca="false">COUNTIFS(Data!$B$2:$B$1833,$L426,Data!$C$2:$C$1833,$M426,Data!$D$2:$D$1833,$N426,Data!$E$2:$E$1833,$O426,Data!$F$2:$F$1833,$F426,Data!$H$2:$H$1833,1)</f>
        <v>1</v>
      </c>
      <c r="H426" s="70" t="n">
        <v>742</v>
      </c>
      <c r="I426" s="31" t="str">
        <f aca="false">INDEX(Data!$G$2:$G$1833,MATCH($H426,Data!$A$2:$A$1833,0))</f>
        <v>Can ask someone to clarify or elaborate what they have just said.</v>
      </c>
      <c r="J426" s="71" t="s">
        <v>2789</v>
      </c>
      <c r="L426" s="70" t="s">
        <v>396</v>
      </c>
      <c r="M426" s="70" t="s">
        <v>817</v>
      </c>
      <c r="N426" s="70" t="s">
        <v>624</v>
      </c>
      <c r="O426" s="70" t="s">
        <v>1110</v>
      </c>
    </row>
    <row r="427" customFormat="false" ht="26.25" hidden="false" customHeight="true" outlineLevel="0" collapsed="false">
      <c r="A427" s="70"/>
      <c r="B427" s="70"/>
      <c r="C427" s="70"/>
      <c r="D427" s="70"/>
      <c r="E427" s="70"/>
      <c r="F427" s="70" t="s">
        <v>52</v>
      </c>
      <c r="G427" s="70" t="n">
        <f aca="false">COUNTIFS(Data!$B$2:$B$1833,$L427,Data!$C$2:$C$1833,$M427,Data!$D$2:$D$1833,$N427,Data!$E$2:$E$1833,$O427,Data!$F$2:$F$1833,$F427,Data!$H$2:$H$1833,1)</f>
        <v>1</v>
      </c>
      <c r="H427" s="70" t="n">
        <v>741</v>
      </c>
      <c r="I427" s="31" t="str">
        <f aca="false">INDEX(Data!$G$2:$G$1833,MATCH($H427,Data!$A$2:$A$1833,0))</f>
        <v>Can ask for further details and clarifications from other group members in order to move a discussion forward.</v>
      </c>
      <c r="J427" s="71" t="s">
        <v>2790</v>
      </c>
      <c r="L427" s="70" t="s">
        <v>396</v>
      </c>
      <c r="M427" s="70" t="s">
        <v>817</v>
      </c>
      <c r="N427" s="70" t="s">
        <v>624</v>
      </c>
      <c r="O427" s="70" t="s">
        <v>1110</v>
      </c>
    </row>
    <row r="428" customFormat="false" ht="21.75" hidden="false" customHeight="true" outlineLevel="0" collapsed="false">
      <c r="A428" s="70"/>
      <c r="B428" s="70"/>
      <c r="C428" s="70"/>
      <c r="D428" s="70"/>
      <c r="E428" s="70"/>
      <c r="F428" s="70" t="s">
        <v>259</v>
      </c>
      <c r="G428" s="70" t="n">
        <f aca="false">COUNTIFS(Data!$B$2:$B$1833,$L428,Data!$C$2:$C$1833,$M428,Data!$D$2:$D$1833,$N428,Data!$E$2:$E$1833,$O428,Data!$F$2:$F$1833,$F428,Data!$H$2:$H$1833,1)</f>
        <v>2</v>
      </c>
      <c r="H428" s="70" t="n">
        <v>739</v>
      </c>
      <c r="I428" s="31" t="str">
        <f aca="false">INDEX(Data!$G$2:$G$1833,MATCH($H428,Data!$A$2:$A$1833,0))</f>
        <v>Can ask for explanation or clarification to ensure they understand complex, abstract ideas.</v>
      </c>
      <c r="J428" s="71" t="s">
        <v>2791</v>
      </c>
      <c r="L428" s="70" t="s">
        <v>396</v>
      </c>
      <c r="M428" s="70" t="s">
        <v>817</v>
      </c>
      <c r="N428" s="70" t="s">
        <v>624</v>
      </c>
      <c r="O428" s="70" t="s">
        <v>1110</v>
      </c>
    </row>
    <row r="429" customFormat="false" ht="26.25" hidden="false" customHeight="true" outlineLevel="0" collapsed="false">
      <c r="A429" s="70"/>
      <c r="B429" s="70"/>
      <c r="C429" s="70"/>
      <c r="D429" s="70"/>
      <c r="E429" s="70"/>
      <c r="F429" s="70" t="s">
        <v>36</v>
      </c>
      <c r="G429" s="70" t="n">
        <f aca="false">COUNTIFS(Data!$B$2:$B$1833,$L429,Data!$C$2:$C$1833,$M429,Data!$D$2:$D$1833,$N429,Data!$E$2:$E$1833,$O429,Data!$F$2:$F$1833,$F429,Data!$H$2:$H$1833,1)</f>
        <v>1</v>
      </c>
      <c r="H429" s="70" t="n">
        <v>738</v>
      </c>
      <c r="I429" s="31" t="str">
        <f aca="false">INDEX(Data!$G$2:$G$1833,MATCH($H429,Data!$A$2:$A$1833,0))</f>
        <v>Can ask follow-up questions to check that they have understood what someone intended to say, and get clarification of ambiguous points.</v>
      </c>
      <c r="J429" s="71" t="s">
        <v>2792</v>
      </c>
      <c r="L429" s="70" t="s">
        <v>396</v>
      </c>
      <c r="M429" s="70" t="s">
        <v>817</v>
      </c>
      <c r="N429" s="70" t="s">
        <v>624</v>
      </c>
      <c r="O429" s="70" t="s">
        <v>1110</v>
      </c>
    </row>
    <row r="430" customFormat="false" ht="26.25" hidden="false" customHeight="true" outlineLevel="0" collapsed="false">
      <c r="A430" s="70"/>
      <c r="B430" s="70"/>
      <c r="C430" s="70"/>
      <c r="D430" s="70"/>
      <c r="E430" s="70"/>
      <c r="F430" s="70" t="s">
        <v>74</v>
      </c>
      <c r="G430" s="70" t="n">
        <f aca="false">COUNTIFS(Data!$B$2:$B$1833,$L430,Data!$C$2:$C$1833,$M430,Data!$D$2:$D$1833,$N430,Data!$E$2:$E$1833,$O430,Data!$F$2:$F$1833,$F430,Data!$H$2:$H$1833,1)</f>
        <v>1</v>
      </c>
      <c r="H430" s="70" t="n">
        <v>737</v>
      </c>
      <c r="I430" s="31" t="str">
        <f aca="false">INDEX(Data!$G$2:$G$1833,MATCH($H430,Data!$A$2:$A$1833,0))</f>
        <v>Can ask for explanation or clarification to ensure they understand complex, abstract ideas in professional or academic contexts, live or online.</v>
      </c>
      <c r="J430" s="71" t="s">
        <v>2793</v>
      </c>
      <c r="L430" s="70" t="s">
        <v>396</v>
      </c>
      <c r="M430" s="70" t="s">
        <v>817</v>
      </c>
      <c r="N430" s="70" t="s">
        <v>624</v>
      </c>
      <c r="O430" s="70" t="s">
        <v>1110</v>
      </c>
    </row>
    <row r="431" customFormat="false" ht="15" hidden="false" customHeight="true" outlineLevel="0" collapsed="false">
      <c r="A431" s="70"/>
      <c r="B431" s="70"/>
      <c r="C431" s="70"/>
      <c r="D431" s="70"/>
      <c r="E431" s="70"/>
      <c r="F431" s="70" t="s">
        <v>331</v>
      </c>
      <c r="G431" s="70" t="n">
        <f aca="false">COUNTIFS(Data!$B$2:$B$1833,$L431,Data!$C$2:$C$1833,$M431,Data!$D$2:$D$1833,$N431,Data!$E$2:$E$1833,$O431,Data!$F$2:$F$1833,$F431,Data!$H$2:$H$1833,1)</f>
        <v>0</v>
      </c>
      <c r="H431" s="70" t="s">
        <v>624</v>
      </c>
      <c r="I431" s="31" t="s">
        <v>624</v>
      </c>
      <c r="J431" s="31" t="s">
        <v>624</v>
      </c>
      <c r="L431" s="70" t="s">
        <v>396</v>
      </c>
      <c r="M431" s="70" t="s">
        <v>817</v>
      </c>
      <c r="N431" s="70" t="s">
        <v>624</v>
      </c>
      <c r="O431" s="70" t="s">
        <v>1110</v>
      </c>
    </row>
    <row r="432" customFormat="false" ht="15" hidden="false" customHeight="true" outlineLevel="0" collapsed="false">
      <c r="A432" s="73" t="str">
        <f aca="false">IFERROR(INDEX(対訳マスタ!$C$2:$C$136,MATCH($L432,対訳マスタ!$B$2:$B$136,0)),$L432)</f>
        <v>コミュニケーション言語活動</v>
      </c>
      <c r="B432" s="73" t="str">
        <f aca="false">IF($M432="—","—",IFERROR(INDEX(対訳マスタ!$C$2:$C$136,MATCH($M432,対訳マスタ!$B$2:$B$136,0)),$M432))</f>
        <v>仲介</v>
      </c>
      <c r="C432" s="73" t="str">
        <f aca="false">IF($N432="—","—",IFERROR(INDEX(対訳マスタ!$C$2:$C$136,MATCH($N432,対訳マスタ!$B$2:$B$136,0)),$N432))</f>
        <v>—</v>
      </c>
      <c r="D432" s="73" t="str">
        <f aca="false">IFERROR(INDEX(対訳マスタ!$C$2:$C$136,MATCH($O432,対訳マスタ!$B$2:$B$136,0)),$O432)</f>
        <v>仲介（総合）</v>
      </c>
      <c r="E432" s="73" t="s">
        <v>1124</v>
      </c>
      <c r="F432" s="73" t="s">
        <v>86</v>
      </c>
      <c r="G432" s="73" t="n">
        <f aca="false">COUNTIFS(Data!$B$2:$B$1833,$L432,Data!$C$2:$C$1833,$M432,Data!$D$2:$D$1833,$N432,Data!$E$2:$E$1833,$O432,Data!$F$2:$F$1833,$F432,Data!$H$2:$H$1833,1)</f>
        <v>0</v>
      </c>
      <c r="H432" s="73" t="s">
        <v>624</v>
      </c>
      <c r="I432" s="74" t="s">
        <v>624</v>
      </c>
      <c r="J432" s="74" t="s">
        <v>624</v>
      </c>
      <c r="L432" s="70" t="s">
        <v>395</v>
      </c>
      <c r="M432" s="70" t="s">
        <v>1123</v>
      </c>
      <c r="N432" s="70" t="s">
        <v>624</v>
      </c>
      <c r="O432" s="70" t="s">
        <v>1124</v>
      </c>
    </row>
    <row r="433" customFormat="false" ht="39" hidden="false" customHeight="true" outlineLevel="0" collapsed="false">
      <c r="A433" s="75"/>
      <c r="B433" s="75"/>
      <c r="C433" s="75"/>
      <c r="D433" s="75"/>
      <c r="E433" s="75"/>
      <c r="F433" s="75" t="s">
        <v>101</v>
      </c>
      <c r="G433" s="75" t="n">
        <f aca="false">COUNTIFS(Data!$B$2:$B$1833,$L433,Data!$C$2:$C$1833,$M433,Data!$D$2:$D$1833,$N433,Data!$E$2:$E$1833,$O433,Data!$F$2:$F$1833,$F433,Data!$H$2:$H$1833,1)</f>
        <v>1</v>
      </c>
      <c r="H433" s="75" t="n">
        <v>758</v>
      </c>
      <c r="I433" s="76" t="str">
        <f aca="false">INDEX(Data!$G$2:$G$1833,MATCH($H433,Data!$A$2:$A$1833,0))</f>
        <v>Can use simple words/signs and non-verbal signals to show interest in an idea. Can convey simple, predictable information of immediate interest given in short, simple signs and notices, posters and programmes.</v>
      </c>
      <c r="J433" s="77" t="s">
        <v>2794</v>
      </c>
      <c r="L433" s="70" t="s">
        <v>395</v>
      </c>
      <c r="M433" s="70" t="s">
        <v>1123</v>
      </c>
      <c r="N433" s="70" t="s">
        <v>624</v>
      </c>
      <c r="O433" s="70" t="s">
        <v>1124</v>
      </c>
    </row>
    <row r="434" customFormat="false" ht="53.25" hidden="false" customHeight="true" outlineLevel="0" collapsed="false">
      <c r="A434" s="75"/>
      <c r="B434" s="75"/>
      <c r="C434" s="75"/>
      <c r="D434" s="75"/>
      <c r="E434" s="75"/>
      <c r="F434" s="75" t="s">
        <v>13</v>
      </c>
      <c r="G434" s="75" t="n">
        <f aca="false">COUNTIFS(Data!$B$2:$B$1833,$L434,Data!$C$2:$C$1833,$M434,Data!$D$2:$D$1833,$N434,Data!$E$2:$E$1833,$O434,Data!$F$2:$F$1833,$F434,Data!$H$2:$H$1833,1)</f>
        <v>1</v>
      </c>
      <c r="H434" s="75" t="n">
        <v>757</v>
      </c>
      <c r="I434" s="76" t="str">
        <f aca="false">INDEX(Data!$G$2:$G$1833,MATCH($H434,Data!$A$2:$A$1833,0))</f>
        <v>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v>
      </c>
      <c r="J434" s="77" t="s">
        <v>2795</v>
      </c>
      <c r="L434" s="70" t="s">
        <v>395</v>
      </c>
      <c r="M434" s="70" t="s">
        <v>1123</v>
      </c>
      <c r="N434" s="70" t="s">
        <v>624</v>
      </c>
      <c r="O434" s="70" t="s">
        <v>1124</v>
      </c>
    </row>
    <row r="435" customFormat="false" ht="63.75" hidden="false" customHeight="true" outlineLevel="0" collapsed="false">
      <c r="A435" s="75"/>
      <c r="B435" s="75"/>
      <c r="C435" s="75"/>
      <c r="D435" s="75"/>
      <c r="E435" s="75"/>
      <c r="F435" s="75" t="s">
        <v>123</v>
      </c>
      <c r="G435" s="75" t="n">
        <f aca="false">COUNTIFS(Data!$B$2:$B$1833,$L435,Data!$C$2:$C$1833,$M435,Data!$D$2:$D$1833,$N435,Data!$E$2:$E$1833,$O435,Data!$F$2:$F$1833,$F435,Data!$H$2:$H$1833,1)</f>
        <v>1</v>
      </c>
      <c r="H435" s="75" t="n">
        <v>756</v>
      </c>
      <c r="I435" s="76" t="str">
        <f aca="false">INDEX(Data!$G$2:$G$1833,MATCH($H435,Data!$A$2:$A$1833,0))</f>
        <v>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v>
      </c>
      <c r="J435" s="77" t="s">
        <v>2796</v>
      </c>
      <c r="L435" s="70" t="s">
        <v>395</v>
      </c>
      <c r="M435" s="70" t="s">
        <v>1123</v>
      </c>
      <c r="N435" s="70" t="s">
        <v>624</v>
      </c>
      <c r="O435" s="70" t="s">
        <v>1124</v>
      </c>
    </row>
    <row r="436" customFormat="false" ht="64.5" hidden="false" customHeight="true" outlineLevel="0" collapsed="false">
      <c r="A436" s="75"/>
      <c r="B436" s="75"/>
      <c r="C436" s="75"/>
      <c r="D436" s="75"/>
      <c r="E436" s="75"/>
      <c r="F436" s="75" t="s">
        <v>21</v>
      </c>
      <c r="G436" s="75" t="n">
        <f aca="false">COUNTIFS(Data!$B$2:$B$1833,$L436,Data!$C$2:$C$1833,$M436,Data!$D$2:$D$1833,$N436,Data!$E$2:$E$1833,$O436,Data!$F$2:$F$1833,$F436,Data!$H$2:$H$1833,1)</f>
        <v>1</v>
      </c>
      <c r="H436" s="75" t="n">
        <v>755</v>
      </c>
      <c r="I436" s="76" t="str">
        <f aca="false">INDEX(Data!$G$2:$G$1833,MATCH($H436,Data!$A$2:$A$1833,0))</f>
        <v>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v>
      </c>
      <c r="J436" s="77" t="s">
        <v>2797</v>
      </c>
      <c r="L436" s="70" t="s">
        <v>395</v>
      </c>
      <c r="M436" s="70" t="s">
        <v>1123</v>
      </c>
      <c r="N436" s="70" t="s">
        <v>624</v>
      </c>
      <c r="O436" s="70" t="s">
        <v>1124</v>
      </c>
    </row>
    <row r="437" customFormat="false" ht="63.75" hidden="false" customHeight="true" outlineLevel="0" collapsed="false">
      <c r="A437" s="75"/>
      <c r="B437" s="75"/>
      <c r="C437" s="75"/>
      <c r="D437" s="75"/>
      <c r="E437" s="75"/>
      <c r="F437" s="75" t="s">
        <v>52</v>
      </c>
      <c r="G437" s="75" t="n">
        <f aca="false">COUNTIFS(Data!$B$2:$B$1833,$L437,Data!$C$2:$C$1833,$M437,Data!$D$2:$D$1833,$N437,Data!$E$2:$E$1833,$O437,Data!$F$2:$F$1833,$F437,Data!$H$2:$H$1833,1)</f>
        <v>1</v>
      </c>
      <c r="H437" s="75" t="n">
        <v>754</v>
      </c>
      <c r="I437" s="76" t="str">
        <f aca="false">INDEX(Data!$G$2:$G$1833,MATCH($H437,Data!$A$2:$A$1833,0))</f>
        <v>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v>
      </c>
      <c r="J437" s="77" t="s">
        <v>2798</v>
      </c>
      <c r="L437" s="70" t="s">
        <v>395</v>
      </c>
      <c r="M437" s="70" t="s">
        <v>1123</v>
      </c>
      <c r="N437" s="70" t="s">
        <v>624</v>
      </c>
      <c r="O437" s="70" t="s">
        <v>1124</v>
      </c>
    </row>
    <row r="438" customFormat="false" ht="84.75" hidden="false" customHeight="true" outlineLevel="0" collapsed="false">
      <c r="A438" s="75"/>
      <c r="B438" s="75"/>
      <c r="C438" s="75"/>
      <c r="D438" s="75"/>
      <c r="E438" s="75"/>
      <c r="F438" s="75" t="s">
        <v>259</v>
      </c>
      <c r="G438" s="75" t="n">
        <f aca="false">COUNTIFS(Data!$B$2:$B$1833,$L438,Data!$C$2:$C$1833,$M438,Data!$D$2:$D$1833,$N438,Data!$E$2:$E$1833,$O438,Data!$F$2:$F$1833,$F438,Data!$H$2:$H$1833,1)</f>
        <v>1</v>
      </c>
      <c r="H438" s="75" t="n">
        <v>753</v>
      </c>
      <c r="I438" s="76" t="str">
        <f aca="false">INDEX(Data!$G$2:$G$1833,MATCH($H438,Data!$A$2:$A$1833,0))</f>
        <v>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v>
      </c>
      <c r="J438" s="77" t="s">
        <v>2799</v>
      </c>
      <c r="L438" s="70" t="s">
        <v>395</v>
      </c>
      <c r="M438" s="70" t="s">
        <v>1123</v>
      </c>
      <c r="N438" s="70" t="s">
        <v>624</v>
      </c>
      <c r="O438" s="70" t="s">
        <v>1124</v>
      </c>
    </row>
    <row r="439" customFormat="false" ht="84.75" hidden="false" customHeight="true" outlineLevel="0" collapsed="false">
      <c r="A439" s="75"/>
      <c r="B439" s="75"/>
      <c r="C439" s="75"/>
      <c r="D439" s="75"/>
      <c r="E439" s="75"/>
      <c r="F439" s="75" t="s">
        <v>36</v>
      </c>
      <c r="G439" s="75" t="n">
        <f aca="false">COUNTIFS(Data!$B$2:$B$1833,$L439,Data!$C$2:$C$1833,$M439,Data!$D$2:$D$1833,$N439,Data!$E$2:$E$1833,$O439,Data!$F$2:$F$1833,$F439,Data!$H$2:$H$1833,1)</f>
        <v>1</v>
      </c>
      <c r="H439" s="75" t="n">
        <v>752</v>
      </c>
      <c r="I439" s="76" t="str">
        <f aca="false">INDEX(Data!$G$2:$G$1833,MATCH($H439,Data!$A$2:$A$1833,0))</f>
        <v>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v>
      </c>
      <c r="J439" s="77" t="s">
        <v>2800</v>
      </c>
      <c r="L439" s="70" t="s">
        <v>395</v>
      </c>
      <c r="M439" s="70" t="s">
        <v>1123</v>
      </c>
      <c r="N439" s="70" t="s">
        <v>624</v>
      </c>
      <c r="O439" s="70" t="s">
        <v>1124</v>
      </c>
    </row>
    <row r="440" customFormat="false" ht="84.75" hidden="false" customHeight="true" outlineLevel="0" collapsed="false">
      <c r="A440" s="75"/>
      <c r="B440" s="75"/>
      <c r="C440" s="75"/>
      <c r="D440" s="75"/>
      <c r="E440" s="75"/>
      <c r="F440" s="75" t="s">
        <v>74</v>
      </c>
      <c r="G440" s="75" t="n">
        <f aca="false">COUNTIFS(Data!$B$2:$B$1833,$L440,Data!$C$2:$C$1833,$M440,Data!$D$2:$D$1833,$N440,Data!$E$2:$E$1833,$O440,Data!$F$2:$F$1833,$F440,Data!$H$2:$H$1833,1)</f>
        <v>1</v>
      </c>
      <c r="H440" s="75" t="n">
        <v>751</v>
      </c>
      <c r="I440" s="76" t="str">
        <f aca="false">INDEX(Data!$G$2:$G$1833,MATCH($H440,Data!$A$2:$A$1833,0))</f>
        <v>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v>
      </c>
      <c r="J440" s="77" t="s">
        <v>2801</v>
      </c>
      <c r="L440" s="70" t="s">
        <v>395</v>
      </c>
      <c r="M440" s="70" t="s">
        <v>1123</v>
      </c>
      <c r="N440" s="70" t="s">
        <v>624</v>
      </c>
      <c r="O440" s="70" t="s">
        <v>1124</v>
      </c>
    </row>
    <row r="441" customFormat="false" ht="74.25" hidden="false" customHeight="true" outlineLevel="0" collapsed="false">
      <c r="A441" s="75"/>
      <c r="B441" s="75"/>
      <c r="C441" s="75"/>
      <c r="D441" s="75"/>
      <c r="E441" s="75"/>
      <c r="F441" s="75" t="s">
        <v>331</v>
      </c>
      <c r="G441" s="75" t="n">
        <f aca="false">COUNTIFS(Data!$B$2:$B$1833,$L441,Data!$C$2:$C$1833,$M441,Data!$D$2:$D$1833,$N441,Data!$E$2:$E$1833,$O441,Data!$F$2:$F$1833,$F441,Data!$H$2:$H$1833,1)</f>
        <v>1</v>
      </c>
      <c r="H441" s="75" t="n">
        <v>750</v>
      </c>
      <c r="I441" s="76" t="str">
        <f aca="false">INDEX(Data!$G$2:$G$1833,MATCH($H441,Data!$A$2:$A$1833,0))</f>
        <v>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v>
      </c>
      <c r="J441" s="77" t="s">
        <v>2802</v>
      </c>
      <c r="L441" s="70" t="s">
        <v>395</v>
      </c>
      <c r="M441" s="70" t="s">
        <v>1123</v>
      </c>
      <c r="N441" s="70" t="s">
        <v>624</v>
      </c>
      <c r="O441" s="70" t="s">
        <v>1124</v>
      </c>
    </row>
    <row r="442" customFormat="false" ht="26.25" hidden="false" customHeight="true" outlineLevel="0" collapsed="false">
      <c r="A442" s="67" t="str">
        <f aca="false">IFERROR(INDEX(対訳マスタ!$C$2:$C$136,MATCH($L442,対訳マスタ!$B$2:$B$136,0)),$L442)</f>
        <v>コミュニケーション言語活動</v>
      </c>
      <c r="B442" s="67" t="str">
        <f aca="false">IF($M442="—","—",IFERROR(INDEX(対訳マスタ!$C$2:$C$136,MATCH($M442,対訳マスタ!$B$2:$B$136,0)),$M442))</f>
        <v>仲介</v>
      </c>
      <c r="C442" s="67" t="str">
        <f aca="false">IF($N442="—","—",IFERROR(INDEX(対訳マスタ!$C$2:$C$136,MATCH($N442,対訳マスタ!$B$2:$B$136,0)),$N442))</f>
        <v>テキストの仲介</v>
      </c>
      <c r="D442" s="67" t="str">
        <f aca="false">IFERROR(INDEX(対訳マスタ!$C$2:$C$136,MATCH($O442,対訳マスタ!$B$2:$B$136,0)),$O442)</f>
        <v>特定情報の伝達（口頭・手話）</v>
      </c>
      <c r="E442" s="67" t="s">
        <v>1135</v>
      </c>
      <c r="F442" s="67" t="s">
        <v>86</v>
      </c>
      <c r="G442" s="67" t="n">
        <f aca="false">COUNTIFS(Data!$B$2:$B$1833,$L442,Data!$C$2:$C$1833,$M442,Data!$D$2:$D$1833,$N442,Data!$E$2:$E$1833,$O442,Data!$F$2:$F$1833,$F442,Data!$H$2:$H$1833,1)</f>
        <v>2</v>
      </c>
      <c r="H442" s="67" t="n">
        <v>773</v>
      </c>
      <c r="I442" s="68" t="str">
        <f aca="false">INDEX(Data!$G$2:$G$1833,MATCH($H442,Data!$A$2:$A$1833,0))</f>
        <v>Can relay (in Language B) very basic information (e.g. numbers and prices) from short, simple, illustrated texts (in Language A).</v>
      </c>
      <c r="J442" s="69" t="s">
        <v>2803</v>
      </c>
      <c r="L442" s="70" t="s">
        <v>395</v>
      </c>
      <c r="M442" s="70" t="s">
        <v>1123</v>
      </c>
      <c r="N442" s="70" t="s">
        <v>1134</v>
      </c>
      <c r="O442" s="70" t="s">
        <v>1135</v>
      </c>
    </row>
    <row r="443" customFormat="false" ht="26.25" hidden="false" customHeight="true" outlineLevel="0" collapsed="false">
      <c r="A443" s="70"/>
      <c r="B443" s="70"/>
      <c r="C443" s="70"/>
      <c r="D443" s="70"/>
      <c r="E443" s="70"/>
      <c r="F443" s="70" t="s">
        <v>101</v>
      </c>
      <c r="G443" s="70" t="n">
        <f aca="false">COUNTIFS(Data!$B$2:$B$1833,$L443,Data!$C$2:$C$1833,$M443,Data!$D$2:$D$1833,$N443,Data!$E$2:$E$1833,$O443,Data!$F$2:$F$1833,$F443,Data!$H$2:$H$1833,1)</f>
        <v>1</v>
      </c>
      <c r="H443" s="70" t="n">
        <v>771</v>
      </c>
      <c r="I443" s="31" t="str">
        <f aca="false">INDEX(Data!$G$2:$G$1833,MATCH($H443,Data!$A$2:$A$1833,0))</f>
        <v>Can relay (in Language B) simple, predictable information about times and places given in short, simple statements (delivered in Language A).</v>
      </c>
      <c r="J443" s="71" t="s">
        <v>2804</v>
      </c>
      <c r="L443" s="70" t="s">
        <v>395</v>
      </c>
      <c r="M443" s="70" t="s">
        <v>1123</v>
      </c>
      <c r="N443" s="70" t="s">
        <v>1134</v>
      </c>
      <c r="O443" s="70" t="s">
        <v>1135</v>
      </c>
    </row>
    <row r="444" customFormat="false" ht="32.25" hidden="false" customHeight="true" outlineLevel="0" collapsed="false">
      <c r="A444" s="70"/>
      <c r="B444" s="70"/>
      <c r="C444" s="70"/>
      <c r="D444" s="70"/>
      <c r="E444" s="70"/>
      <c r="F444" s="70" t="s">
        <v>13</v>
      </c>
      <c r="G444" s="70" t="n">
        <f aca="false">COUNTIFS(Data!$B$2:$B$1833,$L444,Data!$C$2:$C$1833,$M444,Data!$D$2:$D$1833,$N444,Data!$E$2:$E$1833,$O444,Data!$F$2:$F$1833,$F444,Data!$H$2:$H$1833,1)</f>
        <v>2</v>
      </c>
      <c r="H444" s="70" t="n">
        <v>770</v>
      </c>
      <c r="I444" s="31" t="str">
        <f aca="false">INDEX(Data!$G$2:$G$1833,MATCH($H444,Data!$A$2:$A$1833,0))</f>
        <v>Can relay (in Language B) in a simple way a series of short, simple instructions, provided the original (in Language A) is clearly and slowly articulated.</v>
      </c>
      <c r="J444" s="71" t="s">
        <v>2805</v>
      </c>
      <c r="L444" s="70" t="s">
        <v>395</v>
      </c>
      <c r="M444" s="70" t="s">
        <v>1123</v>
      </c>
      <c r="N444" s="70" t="s">
        <v>1134</v>
      </c>
      <c r="O444" s="70" t="s">
        <v>1135</v>
      </c>
    </row>
    <row r="445" customFormat="false" ht="26.25" hidden="false" customHeight="true" outlineLevel="0" collapsed="false">
      <c r="A445" s="70"/>
      <c r="B445" s="70"/>
      <c r="C445" s="70"/>
      <c r="D445" s="70"/>
      <c r="E445" s="70"/>
      <c r="F445" s="70" t="s">
        <v>123</v>
      </c>
      <c r="G445" s="70" t="n">
        <f aca="false">COUNTIFS(Data!$B$2:$B$1833,$L445,Data!$C$2:$C$1833,$M445,Data!$D$2:$D$1833,$N445,Data!$E$2:$E$1833,$O445,Data!$F$2:$F$1833,$F445,Data!$H$2:$H$1833,1)</f>
        <v>2</v>
      </c>
      <c r="H445" s="70" t="n">
        <v>768</v>
      </c>
      <c r="I445" s="31" t="str">
        <f aca="false">INDEX(Data!$G$2:$G$1833,MATCH($H445,Data!$A$2:$A$1833,0))</f>
        <v>Can relay (in Language B) specific, relevant information contained in short, simple texts, labels and notices (in Language A) on familiar subjects.</v>
      </c>
      <c r="J445" s="71" t="s">
        <v>2806</v>
      </c>
      <c r="L445" s="70" t="s">
        <v>395</v>
      </c>
      <c r="M445" s="70" t="s">
        <v>1123</v>
      </c>
      <c r="N445" s="70" t="s">
        <v>1134</v>
      </c>
      <c r="O445" s="70" t="s">
        <v>1135</v>
      </c>
    </row>
    <row r="446" customFormat="false" ht="26.25" hidden="false" customHeight="true" outlineLevel="0" collapsed="false">
      <c r="A446" s="70"/>
      <c r="B446" s="70"/>
      <c r="C446" s="70"/>
      <c r="D446" s="70"/>
      <c r="E446" s="70"/>
      <c r="F446" s="70" t="s">
        <v>21</v>
      </c>
      <c r="G446" s="70" t="n">
        <f aca="false">COUNTIFS(Data!$B$2:$B$1833,$L446,Data!$C$2:$C$1833,$M446,Data!$D$2:$D$1833,$N446,Data!$E$2:$E$1833,$O446,Data!$F$2:$F$1833,$F446,Data!$H$2:$H$1833,1)</f>
        <v>3</v>
      </c>
      <c r="H446" s="70" t="n">
        <v>764</v>
      </c>
      <c r="I446" s="31" t="str">
        <f aca="false">INDEX(Data!$G$2:$G$1833,MATCH($H446,Data!$A$2:$A$1833,0))</f>
        <v>Can relay (in Language B) the content of public announcements and messages delivered clearly at normal speed (in Language A).</v>
      </c>
      <c r="J446" s="71" t="s">
        <v>2807</v>
      </c>
      <c r="L446" s="70" t="s">
        <v>395</v>
      </c>
      <c r="M446" s="70" t="s">
        <v>1123</v>
      </c>
      <c r="N446" s="70" t="s">
        <v>1134</v>
      </c>
      <c r="O446" s="70" t="s">
        <v>1135</v>
      </c>
    </row>
    <row r="447" customFormat="false" ht="15" hidden="false" customHeight="true" outlineLevel="0" collapsed="false">
      <c r="A447" s="70"/>
      <c r="B447" s="70"/>
      <c r="C447" s="70"/>
      <c r="D447" s="70"/>
      <c r="E447" s="70"/>
      <c r="F447" s="70" t="s">
        <v>52</v>
      </c>
      <c r="G447" s="70" t="n">
        <f aca="false">COUNTIFS(Data!$B$2:$B$1833,$L447,Data!$C$2:$C$1833,$M447,Data!$D$2:$D$1833,$N447,Data!$E$2:$E$1833,$O447,Data!$F$2:$F$1833,$F447,Data!$H$2:$H$1833,1)</f>
        <v>0</v>
      </c>
      <c r="H447" s="70" t="s">
        <v>624</v>
      </c>
      <c r="I447" s="31" t="s">
        <v>624</v>
      </c>
      <c r="J447" s="31" t="s">
        <v>624</v>
      </c>
      <c r="L447" s="70" t="s">
        <v>395</v>
      </c>
      <c r="M447" s="70" t="s">
        <v>1123</v>
      </c>
      <c r="N447" s="70" t="s">
        <v>1134</v>
      </c>
      <c r="O447" s="70" t="s">
        <v>1135</v>
      </c>
    </row>
    <row r="448" customFormat="false" ht="32.25" hidden="false" customHeight="true" outlineLevel="0" collapsed="false">
      <c r="A448" s="70"/>
      <c r="B448" s="70"/>
      <c r="C448" s="70"/>
      <c r="D448" s="70"/>
      <c r="E448" s="70"/>
      <c r="F448" s="70" t="s">
        <v>259</v>
      </c>
      <c r="G448" s="70" t="n">
        <f aca="false">COUNTIFS(Data!$B$2:$B$1833,$L448,Data!$C$2:$C$1833,$M448,Data!$D$2:$D$1833,$N448,Data!$E$2:$E$1833,$O448,Data!$F$2:$F$1833,$F448,Data!$H$2:$H$1833,1)</f>
        <v>1</v>
      </c>
      <c r="H448" s="70" t="n">
        <v>763</v>
      </c>
      <c r="I448" s="31" t="str">
        <f aca="false">INDEX(Data!$G$2:$G$1833,MATCH($H448,Data!$A$2:$A$1833,0))</f>
        <v>Can relay (in Language B) the main point(s) contained in formal correspondence and/or reports (in Language A) on general subjects and on subjects related to their fields of interest.</v>
      </c>
      <c r="J448" s="71" t="s">
        <v>2808</v>
      </c>
      <c r="L448" s="70" t="s">
        <v>395</v>
      </c>
      <c r="M448" s="70" t="s">
        <v>1123</v>
      </c>
      <c r="N448" s="70" t="s">
        <v>1134</v>
      </c>
      <c r="O448" s="70" t="s">
        <v>1135</v>
      </c>
    </row>
    <row r="449" customFormat="false" ht="32.25" hidden="false" customHeight="true" outlineLevel="0" collapsed="false">
      <c r="A449" s="70"/>
      <c r="B449" s="70"/>
      <c r="C449" s="70"/>
      <c r="D449" s="70"/>
      <c r="E449" s="70"/>
      <c r="F449" s="70" t="s">
        <v>36</v>
      </c>
      <c r="G449" s="70" t="n">
        <f aca="false">COUNTIFS(Data!$B$2:$B$1833,$L449,Data!$C$2:$C$1833,$M449,Data!$D$2:$D$1833,$N449,Data!$E$2:$E$1833,$O449,Data!$F$2:$F$1833,$F449,Data!$H$2:$H$1833,1)</f>
        <v>1</v>
      </c>
      <c r="H449" s="70" t="n">
        <v>762</v>
      </c>
      <c r="I449" s="31" t="str">
        <f aca="false">INDEX(Data!$G$2:$G$1833,MATCH($H449,Data!$A$2:$A$1833,0))</f>
        <v>Can relay (in Language B) which presentations given (in Language A) at a conference or which articles in a book (in Language A) are particularly relevant for a specific purpose.</v>
      </c>
      <c r="J449" s="71" t="s">
        <v>2809</v>
      </c>
      <c r="L449" s="70" t="s">
        <v>395</v>
      </c>
      <c r="M449" s="70" t="s">
        <v>1123</v>
      </c>
      <c r="N449" s="70" t="s">
        <v>1134</v>
      </c>
      <c r="O449" s="70" t="s">
        <v>1135</v>
      </c>
    </row>
    <row r="450" customFormat="false" ht="26.25" hidden="false" customHeight="true" outlineLevel="0" collapsed="false">
      <c r="A450" s="70"/>
      <c r="B450" s="70"/>
      <c r="C450" s="70"/>
      <c r="D450" s="70"/>
      <c r="E450" s="70"/>
      <c r="F450" s="70" t="s">
        <v>74</v>
      </c>
      <c r="G450" s="70" t="n">
        <f aca="false">COUNTIFS(Data!$B$2:$B$1833,$L450,Data!$C$2:$C$1833,$M450,Data!$D$2:$D$1833,$N450,Data!$E$2:$E$1833,$O450,Data!$F$2:$F$1833,$F450,Data!$H$2:$H$1833,1)</f>
        <v>1</v>
      </c>
      <c r="H450" s="70" t="n">
        <v>761</v>
      </c>
      <c r="I450" s="31" t="str">
        <f aca="false">INDEX(Data!$G$2:$G$1833,MATCH($H450,Data!$A$2:$A$1833,0))</f>
        <v>Can explain (in Language B) the relevance of specific information found in a particular section of a long, complex text (in Language A).</v>
      </c>
      <c r="J450" s="71" t="s">
        <v>2810</v>
      </c>
      <c r="L450" s="70" t="s">
        <v>395</v>
      </c>
      <c r="M450" s="70" t="s">
        <v>1123</v>
      </c>
      <c r="N450" s="70" t="s">
        <v>1134</v>
      </c>
      <c r="O450" s="70" t="s">
        <v>1135</v>
      </c>
    </row>
    <row r="451" customFormat="false" ht="15" hidden="false" customHeight="true" outlineLevel="0" collapsed="false">
      <c r="A451" s="70"/>
      <c r="B451" s="70"/>
      <c r="C451" s="70"/>
      <c r="D451" s="70"/>
      <c r="E451" s="70"/>
      <c r="F451" s="70" t="s">
        <v>331</v>
      </c>
      <c r="G451" s="70" t="n">
        <f aca="false">COUNTIFS(Data!$B$2:$B$1833,$L451,Data!$C$2:$C$1833,$M451,Data!$D$2:$D$1833,$N451,Data!$E$2:$E$1833,$O451,Data!$F$2:$F$1833,$F451,Data!$H$2:$H$1833,1)</f>
        <v>0</v>
      </c>
      <c r="H451" s="70" t="s">
        <v>624</v>
      </c>
      <c r="I451" s="31" t="s">
        <v>624</v>
      </c>
      <c r="J451" s="31" t="s">
        <v>624</v>
      </c>
      <c r="L451" s="70" t="s">
        <v>395</v>
      </c>
      <c r="M451" s="70" t="s">
        <v>1123</v>
      </c>
      <c r="N451" s="70" t="s">
        <v>1134</v>
      </c>
      <c r="O451" s="70" t="s">
        <v>1135</v>
      </c>
    </row>
    <row r="452" customFormat="false" ht="32.25" hidden="false" customHeight="true" outlineLevel="0" collapsed="false">
      <c r="A452" s="73" t="str">
        <f aca="false">IFERROR(INDEX(対訳マスタ!$C$2:$C$136,MATCH($L452,対訳マスタ!$B$2:$B$136,0)),$L452)</f>
        <v>コミュニケーション言語活動</v>
      </c>
      <c r="B452" s="73" t="str">
        <f aca="false">IF($M452="—","—",IFERROR(INDEX(対訳マスタ!$C$2:$C$136,MATCH($M452,対訳マスタ!$B$2:$B$136,0)),$M452))</f>
        <v>仲介</v>
      </c>
      <c r="C452" s="73" t="str">
        <f aca="false">IF($N452="—","—",IFERROR(INDEX(対訳マスタ!$C$2:$C$136,MATCH($N452,対訳マスタ!$B$2:$B$136,0)),$N452))</f>
        <v>テキストの仲介</v>
      </c>
      <c r="D452" s="73" t="str">
        <f aca="false">IFERROR(INDEX(対訳マスタ!$C$2:$C$136,MATCH($O452,対訳マスタ!$B$2:$B$136,0)),$O452)</f>
        <v>特定情報の伝達（文章）</v>
      </c>
      <c r="E452" s="73" t="s">
        <v>1149</v>
      </c>
      <c r="F452" s="73" t="s">
        <v>86</v>
      </c>
      <c r="G452" s="73" t="n">
        <f aca="false">COUNTIFS(Data!$B$2:$B$1833,$L452,Data!$C$2:$C$1833,$M452,Data!$D$2:$D$1833,$N452,Data!$E$2:$E$1833,$O452,Data!$F$2:$F$1833,$F452,Data!$H$2:$H$1833,1)</f>
        <v>1</v>
      </c>
      <c r="H452" s="73" t="n">
        <v>788</v>
      </c>
      <c r="I452" s="74" t="str">
        <f aca="false">INDEX(Data!$G$2:$G$1833,MATCH($H452,Data!$A$2:$A$1833,0))</f>
        <v>Can list (in Language B) names, numbers, prices and very simple information from texts (in Language A) that are of immediate interest, that are composed in very simple language and contain illustrations.</v>
      </c>
      <c r="J452" s="78" t="s">
        <v>2811</v>
      </c>
      <c r="L452" s="70" t="s">
        <v>395</v>
      </c>
      <c r="M452" s="70" t="s">
        <v>1123</v>
      </c>
      <c r="N452" s="70" t="s">
        <v>1134</v>
      </c>
      <c r="O452" s="70" t="s">
        <v>1149</v>
      </c>
    </row>
    <row r="453" customFormat="false" ht="39" hidden="false" customHeight="true" outlineLevel="0" collapsed="false">
      <c r="A453" s="75"/>
      <c r="B453" s="75"/>
      <c r="C453" s="75"/>
      <c r="D453" s="75"/>
      <c r="E453" s="75"/>
      <c r="F453" s="75" t="s">
        <v>101</v>
      </c>
      <c r="G453" s="75" t="n">
        <f aca="false">COUNTIFS(Data!$B$2:$B$1833,$L453,Data!$C$2:$C$1833,$M453,Data!$D$2:$D$1833,$N453,Data!$E$2:$E$1833,$O453,Data!$F$2:$F$1833,$F453,Data!$H$2:$H$1833,1)</f>
        <v>1</v>
      </c>
      <c r="H453" s="75" t="n">
        <v>787</v>
      </c>
      <c r="I453" s="76" t="str">
        <f aca="false">INDEX(Data!$G$2:$G$1833,MATCH($H453,Data!$A$2:$A$1833,0))</f>
        <v>Can list (in Language B) names, numbers, prices and very simple information of immediate interest in oral texts (in Language A), provided the articulation is very slow and clear, with repetition.</v>
      </c>
      <c r="J453" s="77" t="s">
        <v>2812</v>
      </c>
      <c r="L453" s="70" t="s">
        <v>395</v>
      </c>
      <c r="M453" s="70" t="s">
        <v>1123</v>
      </c>
      <c r="N453" s="70" t="s">
        <v>1134</v>
      </c>
      <c r="O453" s="70" t="s">
        <v>1149</v>
      </c>
    </row>
    <row r="454" customFormat="false" ht="26.25" hidden="false" customHeight="true" outlineLevel="0" collapsed="false">
      <c r="A454" s="75"/>
      <c r="B454" s="75"/>
      <c r="C454" s="75"/>
      <c r="D454" s="75"/>
      <c r="E454" s="75"/>
      <c r="F454" s="75" t="s">
        <v>13</v>
      </c>
      <c r="G454" s="75" t="n">
        <f aca="false">COUNTIFS(Data!$B$2:$B$1833,$L454,Data!$C$2:$C$1833,$M454,Data!$D$2:$D$1833,$N454,Data!$E$2:$E$1833,$O454,Data!$F$2:$F$1833,$F454,Data!$H$2:$H$1833,1)</f>
        <v>2</v>
      </c>
      <c r="H454" s="75" t="n">
        <v>786</v>
      </c>
      <c r="I454" s="76" t="str">
        <f aca="false">INDEX(Data!$G$2:$G$1833,MATCH($H454,Data!$A$2:$A$1833,0))</f>
        <v>Can list (in Language B) specific information contained in simple texts (in Language A) on everyday subjects of immediate interest or need.</v>
      </c>
      <c r="J454" s="77" t="s">
        <v>2813</v>
      </c>
      <c r="L454" s="70" t="s">
        <v>395</v>
      </c>
      <c r="M454" s="70" t="s">
        <v>1123</v>
      </c>
      <c r="N454" s="70" t="s">
        <v>1134</v>
      </c>
      <c r="O454" s="70" t="s">
        <v>1149</v>
      </c>
    </row>
    <row r="455" customFormat="false" ht="32.25" hidden="false" customHeight="true" outlineLevel="0" collapsed="false">
      <c r="A455" s="75"/>
      <c r="B455" s="75"/>
      <c r="C455" s="75"/>
      <c r="D455" s="75"/>
      <c r="E455" s="75"/>
      <c r="F455" s="75" t="s">
        <v>123</v>
      </c>
      <c r="G455" s="75" t="n">
        <f aca="false">COUNTIFS(Data!$B$2:$B$1833,$L455,Data!$C$2:$C$1833,$M455,Data!$D$2:$D$1833,$N455,Data!$E$2:$E$1833,$O455,Data!$F$2:$F$1833,$F455,Data!$H$2:$H$1833,1)</f>
        <v>1</v>
      </c>
      <c r="H455" s="75" t="n">
        <v>784</v>
      </c>
      <c r="I455" s="76" t="str">
        <f aca="false">INDEX(Data!$G$2:$G$1833,MATCH($H455,Data!$A$2:$A$1833,0))</f>
        <v>Can relay in writing (in Language B) specific information contained in short simple informational texts (in Language A), provided the texts concern concrete, familiar subjects and are composed in simple everyday language.</v>
      </c>
      <c r="J455" s="77" t="s">
        <v>2814</v>
      </c>
      <c r="L455" s="70" t="s">
        <v>395</v>
      </c>
      <c r="M455" s="70" t="s">
        <v>1123</v>
      </c>
      <c r="N455" s="70" t="s">
        <v>1134</v>
      </c>
      <c r="O455" s="70" t="s">
        <v>1149</v>
      </c>
    </row>
    <row r="456" customFormat="false" ht="26.25" hidden="false" customHeight="true" outlineLevel="0" collapsed="false">
      <c r="A456" s="75"/>
      <c r="B456" s="75"/>
      <c r="C456" s="75"/>
      <c r="D456" s="75"/>
      <c r="E456" s="75"/>
      <c r="F456" s="75" t="s">
        <v>21</v>
      </c>
      <c r="G456" s="75" t="n">
        <f aca="false">COUNTIFS(Data!$B$2:$B$1833,$L456,Data!$C$2:$C$1833,$M456,Data!$D$2:$D$1833,$N456,Data!$E$2:$E$1833,$O456,Data!$F$2:$F$1833,$F456,Data!$H$2:$H$1833,1)</f>
        <v>3</v>
      </c>
      <c r="H456" s="75" t="n">
        <v>782</v>
      </c>
      <c r="I456" s="76" t="str">
        <f aca="false">INDEX(Data!$G$2:$G$1833,MATCH($H456,Data!$A$2:$A$1833,0))</f>
        <v>Can relay in writing (in Language B) specific, relevant information contained in straightforward informational texts (in Language A) on familiar subjects.</v>
      </c>
      <c r="J456" s="77" t="s">
        <v>2815</v>
      </c>
      <c r="L456" s="70" t="s">
        <v>395</v>
      </c>
      <c r="M456" s="70" t="s">
        <v>1123</v>
      </c>
      <c r="N456" s="70" t="s">
        <v>1134</v>
      </c>
      <c r="O456" s="70" t="s">
        <v>1149</v>
      </c>
    </row>
    <row r="457" customFormat="false" ht="15" hidden="false" customHeight="true" outlineLevel="0" collapsed="false">
      <c r="A457" s="75"/>
      <c r="B457" s="75"/>
      <c r="C457" s="75"/>
      <c r="D457" s="75"/>
      <c r="E457" s="75"/>
      <c r="F457" s="75" t="s">
        <v>52</v>
      </c>
      <c r="G457" s="75" t="n">
        <f aca="false">COUNTIFS(Data!$B$2:$B$1833,$L457,Data!$C$2:$C$1833,$M457,Data!$D$2:$D$1833,$N457,Data!$E$2:$E$1833,$O457,Data!$F$2:$F$1833,$F457,Data!$H$2:$H$1833,1)</f>
        <v>0</v>
      </c>
      <c r="H457" s="75" t="s">
        <v>624</v>
      </c>
      <c r="I457" s="76" t="s">
        <v>624</v>
      </c>
      <c r="J457" s="76" t="s">
        <v>624</v>
      </c>
      <c r="L457" s="70" t="s">
        <v>395</v>
      </c>
      <c r="M457" s="70" t="s">
        <v>1123</v>
      </c>
      <c r="N457" s="70" t="s">
        <v>1134</v>
      </c>
      <c r="O457" s="70" t="s">
        <v>1149</v>
      </c>
    </row>
    <row r="458" customFormat="false" ht="26.25" hidden="false" customHeight="true" outlineLevel="0" collapsed="false">
      <c r="A458" s="75"/>
      <c r="B458" s="75"/>
      <c r="C458" s="75"/>
      <c r="D458" s="75"/>
      <c r="E458" s="75"/>
      <c r="F458" s="75" t="s">
        <v>259</v>
      </c>
      <c r="G458" s="75" t="n">
        <f aca="false">COUNTIFS(Data!$B$2:$B$1833,$L458,Data!$C$2:$C$1833,$M458,Data!$D$2:$D$1833,$N458,Data!$E$2:$E$1833,$O458,Data!$F$2:$F$1833,$F458,Data!$H$2:$H$1833,1)</f>
        <v>2</v>
      </c>
      <c r="H458" s="75" t="n">
        <v>779</v>
      </c>
      <c r="I458" s="76" t="str">
        <f aca="false">INDEX(Data!$G$2:$G$1833,MATCH($H458,Data!$A$2:$A$1833,0))</f>
        <v>Can relay in a written report (in Language B) relevant decisions that were taken in a meeting (in Language A).</v>
      </c>
      <c r="J458" s="77" t="s">
        <v>2816</v>
      </c>
      <c r="L458" s="70" t="s">
        <v>395</v>
      </c>
      <c r="M458" s="70" t="s">
        <v>1123</v>
      </c>
      <c r="N458" s="70" t="s">
        <v>1134</v>
      </c>
      <c r="O458" s="70" t="s">
        <v>1149</v>
      </c>
    </row>
    <row r="459" customFormat="false" ht="26.25" hidden="false" customHeight="true" outlineLevel="0" collapsed="false">
      <c r="A459" s="75"/>
      <c r="B459" s="75"/>
      <c r="C459" s="75"/>
      <c r="D459" s="75"/>
      <c r="E459" s="75"/>
      <c r="F459" s="75" t="s">
        <v>36</v>
      </c>
      <c r="G459" s="75" t="n">
        <f aca="false">COUNTIFS(Data!$B$2:$B$1833,$L459,Data!$C$2:$C$1833,$M459,Data!$D$2:$D$1833,$N459,Data!$E$2:$E$1833,$O459,Data!$F$2:$F$1833,$F459,Data!$H$2:$H$1833,1)</f>
        <v>3</v>
      </c>
      <c r="H459" s="75" t="n">
        <v>778</v>
      </c>
      <c r="I459" s="76" t="str">
        <f aca="false">INDEX(Data!$G$2:$G$1833,MATCH($H459,Data!$A$2:$A$1833,0))</f>
        <v>Can relay in writing (in Language B) the relevant point(s) contained in an article (in Language A) from an academic or professional journal.</v>
      </c>
      <c r="J459" s="77" t="s">
        <v>2817</v>
      </c>
      <c r="L459" s="70" t="s">
        <v>395</v>
      </c>
      <c r="M459" s="70" t="s">
        <v>1123</v>
      </c>
      <c r="N459" s="70" t="s">
        <v>1134</v>
      </c>
      <c r="O459" s="70" t="s">
        <v>1149</v>
      </c>
    </row>
    <row r="460" customFormat="false" ht="15" hidden="false" customHeight="true" outlineLevel="0" collapsed="false">
      <c r="A460" s="75"/>
      <c r="B460" s="75"/>
      <c r="C460" s="75"/>
      <c r="D460" s="75"/>
      <c r="E460" s="75"/>
      <c r="F460" s="75" t="s">
        <v>74</v>
      </c>
      <c r="G460" s="75" t="n">
        <f aca="false">COUNTIFS(Data!$B$2:$B$1833,$L460,Data!$C$2:$C$1833,$M460,Data!$D$2:$D$1833,$N460,Data!$E$2:$E$1833,$O460,Data!$F$2:$F$1833,$F460,Data!$H$2:$H$1833,1)</f>
        <v>0</v>
      </c>
      <c r="H460" s="75" t="s">
        <v>624</v>
      </c>
      <c r="I460" s="76" t="s">
        <v>624</v>
      </c>
      <c r="J460" s="76" t="s">
        <v>624</v>
      </c>
      <c r="L460" s="70" t="s">
        <v>395</v>
      </c>
      <c r="M460" s="70" t="s">
        <v>1123</v>
      </c>
      <c r="N460" s="70" t="s">
        <v>1134</v>
      </c>
      <c r="O460" s="70" t="s">
        <v>1149</v>
      </c>
    </row>
    <row r="461" customFormat="false" ht="15" hidden="false" customHeight="true" outlineLevel="0" collapsed="false">
      <c r="A461" s="75"/>
      <c r="B461" s="75"/>
      <c r="C461" s="75"/>
      <c r="D461" s="75"/>
      <c r="E461" s="75"/>
      <c r="F461" s="75" t="s">
        <v>331</v>
      </c>
      <c r="G461" s="75" t="n">
        <f aca="false">COUNTIFS(Data!$B$2:$B$1833,$L461,Data!$C$2:$C$1833,$M461,Data!$D$2:$D$1833,$N461,Data!$E$2:$E$1833,$O461,Data!$F$2:$F$1833,$F461,Data!$H$2:$H$1833,1)</f>
        <v>0</v>
      </c>
      <c r="H461" s="75" t="s">
        <v>624</v>
      </c>
      <c r="I461" s="76" t="s">
        <v>624</v>
      </c>
      <c r="J461" s="76" t="s">
        <v>624</v>
      </c>
      <c r="L461" s="70" t="s">
        <v>395</v>
      </c>
      <c r="M461" s="70" t="s">
        <v>1123</v>
      </c>
      <c r="N461" s="70" t="s">
        <v>1134</v>
      </c>
      <c r="O461" s="70" t="s">
        <v>1149</v>
      </c>
    </row>
    <row r="462" customFormat="false" ht="15" hidden="false" customHeight="true" outlineLevel="0" collapsed="false">
      <c r="A462" s="67" t="str">
        <f aca="false">IFERROR(INDEX(対訳マスタ!$C$2:$C$136,MATCH($L462,対訳マスタ!$B$2:$B$136,0)),$L462)</f>
        <v>コミュニケーション言語活動</v>
      </c>
      <c r="B462" s="67" t="str">
        <f aca="false">IF($M462="—","—",IFERROR(INDEX(対訳マスタ!$C$2:$C$136,MATCH($M462,対訳マスタ!$B$2:$B$136,0)),$M462))</f>
        <v>仲介</v>
      </c>
      <c r="C462" s="67" t="str">
        <f aca="false">IF($N462="—","—",IFERROR(INDEX(対訳マスタ!$C$2:$C$136,MATCH($N462,対訳マスタ!$B$2:$B$136,0)),$N462))</f>
        <v>テキストの仲介</v>
      </c>
      <c r="D462" s="67" t="str">
        <f aca="false">IFERROR(INDEX(対訳マスタ!$C$2:$C$136,MATCH($O462,対訳マスタ!$B$2:$B$136,0)),$O462)</f>
        <v>データの説明（口頭・手話）</v>
      </c>
      <c r="E462" s="67" t="s">
        <v>1163</v>
      </c>
      <c r="F462" s="67" t="s">
        <v>86</v>
      </c>
      <c r="G462" s="67" t="n">
        <f aca="false">COUNTIFS(Data!$B$2:$B$1833,$L462,Data!$C$2:$C$1833,$M462,Data!$D$2:$D$1833,$N462,Data!$E$2:$E$1833,$O462,Data!$F$2:$F$1833,$F462,Data!$H$2:$H$1833,1)</f>
        <v>0</v>
      </c>
      <c r="H462" s="67" t="s">
        <v>624</v>
      </c>
      <c r="I462" s="68" t="s">
        <v>624</v>
      </c>
      <c r="J462" s="68" t="s">
        <v>624</v>
      </c>
      <c r="L462" s="70" t="s">
        <v>395</v>
      </c>
      <c r="M462" s="70" t="s">
        <v>1123</v>
      </c>
      <c r="N462" s="70" t="s">
        <v>1134</v>
      </c>
      <c r="O462" s="70" t="s">
        <v>1163</v>
      </c>
    </row>
    <row r="463" customFormat="false" ht="15" hidden="false" customHeight="true" outlineLevel="0" collapsed="false">
      <c r="A463" s="70"/>
      <c r="B463" s="70"/>
      <c r="C463" s="70"/>
      <c r="D463" s="70"/>
      <c r="E463" s="70"/>
      <c r="F463" s="70" t="s">
        <v>101</v>
      </c>
      <c r="G463" s="70" t="n">
        <f aca="false">COUNTIFS(Data!$B$2:$B$1833,$L463,Data!$C$2:$C$1833,$M463,Data!$D$2:$D$1833,$N463,Data!$E$2:$E$1833,$O463,Data!$F$2:$F$1833,$F463,Data!$H$2:$H$1833,1)</f>
        <v>0</v>
      </c>
      <c r="H463" s="70" t="s">
        <v>624</v>
      </c>
      <c r="I463" s="31" t="s">
        <v>624</v>
      </c>
      <c r="J463" s="31" t="s">
        <v>624</v>
      </c>
      <c r="L463" s="70" t="s">
        <v>395</v>
      </c>
      <c r="M463" s="70" t="s">
        <v>1123</v>
      </c>
      <c r="N463" s="70" t="s">
        <v>1134</v>
      </c>
      <c r="O463" s="70" t="s">
        <v>1163</v>
      </c>
    </row>
    <row r="464" customFormat="false" ht="15" hidden="false" customHeight="true" outlineLevel="0" collapsed="false">
      <c r="A464" s="70"/>
      <c r="B464" s="70"/>
      <c r="C464" s="70"/>
      <c r="D464" s="70"/>
      <c r="E464" s="70"/>
      <c r="F464" s="70" t="s">
        <v>13</v>
      </c>
      <c r="G464" s="70" t="n">
        <f aca="false">COUNTIFS(Data!$B$2:$B$1833,$L464,Data!$C$2:$C$1833,$M464,Data!$D$2:$D$1833,$N464,Data!$E$2:$E$1833,$O464,Data!$F$2:$F$1833,$F464,Data!$H$2:$H$1833,1)</f>
        <v>0</v>
      </c>
      <c r="H464" s="70" t="s">
        <v>624</v>
      </c>
      <c r="I464" s="31" t="s">
        <v>624</v>
      </c>
      <c r="J464" s="31" t="s">
        <v>624</v>
      </c>
      <c r="L464" s="70" t="s">
        <v>395</v>
      </c>
      <c r="M464" s="70" t="s">
        <v>1123</v>
      </c>
      <c r="N464" s="70" t="s">
        <v>1134</v>
      </c>
      <c r="O464" s="70" t="s">
        <v>1163</v>
      </c>
    </row>
    <row r="465" customFormat="false" ht="39" hidden="false" customHeight="true" outlineLevel="0" collapsed="false">
      <c r="A465" s="70"/>
      <c r="B465" s="70"/>
      <c r="C465" s="70"/>
      <c r="D465" s="70"/>
      <c r="E465" s="70"/>
      <c r="F465" s="70" t="s">
        <v>123</v>
      </c>
      <c r="G465" s="70" t="n">
        <f aca="false">COUNTIFS(Data!$B$2:$B$1833,$L465,Data!$C$2:$C$1833,$M465,Data!$D$2:$D$1833,$N465,Data!$E$2:$E$1833,$O465,Data!$F$2:$F$1833,$F465,Data!$H$2:$H$1833,1)</f>
        <v>1</v>
      </c>
      <c r="H465" s="70" t="n">
        <v>794</v>
      </c>
      <c r="I465" s="31" t="str">
        <f aca="false">INDEX(Data!$G$2:$G$1833,MATCH($H465,Data!$A$2:$A$1833,0))</f>
        <v>Can interpret and describe (in Language B) simple visuals on familiar topics (e.g. a weather map, a basic flow chart) (with text in Language A), even though pauses, false starts and reformulation may be very evident.</v>
      </c>
      <c r="J465" s="71" t="s">
        <v>2818</v>
      </c>
      <c r="L465" s="70" t="s">
        <v>395</v>
      </c>
      <c r="M465" s="70" t="s">
        <v>1123</v>
      </c>
      <c r="N465" s="70" t="s">
        <v>1134</v>
      </c>
      <c r="O465" s="70" t="s">
        <v>1163</v>
      </c>
    </row>
    <row r="466" customFormat="false" ht="32.25" hidden="false" customHeight="true" outlineLevel="0" collapsed="false">
      <c r="A466" s="70"/>
      <c r="B466" s="70"/>
      <c r="C466" s="70"/>
      <c r="D466" s="70"/>
      <c r="E466" s="70"/>
      <c r="F466" s="70" t="s">
        <v>21</v>
      </c>
      <c r="G466" s="70" t="n">
        <f aca="false">COUNTIFS(Data!$B$2:$B$1833,$L466,Data!$C$2:$C$1833,$M466,Data!$D$2:$D$1833,$N466,Data!$E$2:$E$1833,$O466,Data!$F$2:$F$1833,$F466,Data!$H$2:$H$1833,1)</f>
        <v>1</v>
      </c>
      <c r="H466" s="70" t="n">
        <v>793</v>
      </c>
      <c r="I466" s="31" t="str">
        <f aca="false">INDEX(Data!$G$2:$G$1833,MATCH($H466,Data!$A$2:$A$1833,0))</f>
        <v>Can interpret and describe (in Language B) overall trends shown in simple diagrams (e.g. graphs, bar charts) (with text in Language A), even though lexical limitations cause difficulty with formulation at times.</v>
      </c>
      <c r="J466" s="71" t="s">
        <v>2819</v>
      </c>
      <c r="L466" s="70" t="s">
        <v>395</v>
      </c>
      <c r="M466" s="70" t="s">
        <v>1123</v>
      </c>
      <c r="N466" s="70" t="s">
        <v>1134</v>
      </c>
      <c r="O466" s="70" t="s">
        <v>1163</v>
      </c>
    </row>
    <row r="467" customFormat="false" ht="32.25" hidden="false" customHeight="true" outlineLevel="0" collapsed="false">
      <c r="A467" s="70"/>
      <c r="B467" s="70"/>
      <c r="C467" s="70"/>
      <c r="D467" s="70"/>
      <c r="E467" s="70"/>
      <c r="F467" s="70" t="s">
        <v>52</v>
      </c>
      <c r="G467" s="70" t="n">
        <f aca="false">COUNTIFS(Data!$B$2:$B$1833,$L467,Data!$C$2:$C$1833,$M467,Data!$D$2:$D$1833,$N467,Data!$E$2:$E$1833,$O467,Data!$F$2:$F$1833,$F467,Data!$H$2:$H$1833,1)</f>
        <v>1</v>
      </c>
      <c r="H467" s="70" t="n">
        <v>792</v>
      </c>
      <c r="I467" s="31" t="str">
        <f aca="false">INDEX(Data!$G$2:$G$1833,MATCH($H467,Data!$A$2:$A$1833,0))</f>
        <v>Can interpret and describe (in Language B) detailed information in diagrams in their fields of interest (with text in Language A), even though lexical gaps may cause hesitation or imprecise formulation.</v>
      </c>
      <c r="J467" s="71" t="s">
        <v>2820</v>
      </c>
      <c r="L467" s="70" t="s">
        <v>395</v>
      </c>
      <c r="M467" s="70" t="s">
        <v>1123</v>
      </c>
      <c r="N467" s="70" t="s">
        <v>1134</v>
      </c>
      <c r="O467" s="70" t="s">
        <v>1163</v>
      </c>
    </row>
    <row r="468" customFormat="false" ht="32.25" hidden="false" customHeight="true" outlineLevel="0" collapsed="false">
      <c r="A468" s="70"/>
      <c r="B468" s="70"/>
      <c r="C468" s="70"/>
      <c r="D468" s="70"/>
      <c r="E468" s="70"/>
      <c r="F468" s="70" t="s">
        <v>259</v>
      </c>
      <c r="G468" s="70" t="n">
        <f aca="false">COUNTIFS(Data!$B$2:$B$1833,$L468,Data!$C$2:$C$1833,$M468,Data!$D$2:$D$1833,$N468,Data!$E$2:$E$1833,$O468,Data!$F$2:$F$1833,$F468,Data!$H$2:$H$1833,1)</f>
        <v>1</v>
      </c>
      <c r="H468" s="70" t="n">
        <v>791</v>
      </c>
      <c r="I468" s="31" t="str">
        <f aca="false">INDEX(Data!$G$2:$G$1833,MATCH($H468,Data!$A$2:$A$1833,0))</f>
        <v>Can interpret and describe reliably (in Language B) detailed information contained in complex diagrams, charts and other visually organised information (with text in Language A) on topics in their fields of interest.</v>
      </c>
      <c r="J468" s="71" t="s">
        <v>2821</v>
      </c>
      <c r="L468" s="70" t="s">
        <v>395</v>
      </c>
      <c r="M468" s="70" t="s">
        <v>1123</v>
      </c>
      <c r="N468" s="70" t="s">
        <v>1134</v>
      </c>
      <c r="O468" s="70" t="s">
        <v>1163</v>
      </c>
    </row>
    <row r="469" customFormat="false" ht="15" hidden="false" customHeight="true" outlineLevel="0" collapsed="false">
      <c r="A469" s="70"/>
      <c r="B469" s="70"/>
      <c r="C469" s="70"/>
      <c r="D469" s="70"/>
      <c r="E469" s="70"/>
      <c r="F469" s="70" t="s">
        <v>36</v>
      </c>
      <c r="G469" s="70" t="n">
        <f aca="false">COUNTIFS(Data!$B$2:$B$1833,$L469,Data!$C$2:$C$1833,$M469,Data!$D$2:$D$1833,$N469,Data!$E$2:$E$1833,$O469,Data!$F$2:$F$1833,$F469,Data!$H$2:$H$1833,1)</f>
        <v>0</v>
      </c>
      <c r="H469" s="70" t="s">
        <v>624</v>
      </c>
      <c r="I469" s="31" t="s">
        <v>624</v>
      </c>
      <c r="J469" s="31" t="s">
        <v>624</v>
      </c>
      <c r="L469" s="70" t="s">
        <v>395</v>
      </c>
      <c r="M469" s="70" t="s">
        <v>1123</v>
      </c>
      <c r="N469" s="70" t="s">
        <v>1134</v>
      </c>
      <c r="O469" s="70" t="s">
        <v>1163</v>
      </c>
    </row>
    <row r="470" customFormat="false" ht="42.75" hidden="false" customHeight="true" outlineLevel="0" collapsed="false">
      <c r="A470" s="70"/>
      <c r="B470" s="70"/>
      <c r="C470" s="70"/>
      <c r="D470" s="70"/>
      <c r="E470" s="70"/>
      <c r="F470" s="70" t="s">
        <v>74</v>
      </c>
      <c r="G470" s="70" t="n">
        <f aca="false">COUNTIFS(Data!$B$2:$B$1833,$L470,Data!$C$2:$C$1833,$M470,Data!$D$2:$D$1833,$N470,Data!$E$2:$E$1833,$O470,Data!$F$2:$F$1833,$F470,Data!$H$2:$H$1833,1)</f>
        <v>1</v>
      </c>
      <c r="H470" s="70" t="n">
        <v>790</v>
      </c>
      <c r="I470" s="31" t="str">
        <f aca="false">INDEX(Data!$G$2:$G$1833,MATCH($H470,Data!$A$2:$A$1833,0))</f>
        <v>Can interpret and describe clearly and reliably (in Language B) the salient points and details contained in complex diagrams and other visually organised information (with text in Language A) on complex academic or professional topics.</v>
      </c>
      <c r="J470" s="71" t="s">
        <v>2822</v>
      </c>
      <c r="L470" s="70" t="s">
        <v>395</v>
      </c>
      <c r="M470" s="70" t="s">
        <v>1123</v>
      </c>
      <c r="N470" s="70" t="s">
        <v>1134</v>
      </c>
      <c r="O470" s="70" t="s">
        <v>1163</v>
      </c>
    </row>
    <row r="471" customFormat="false" ht="42.75" hidden="false" customHeight="true" outlineLevel="0" collapsed="false">
      <c r="A471" s="70"/>
      <c r="B471" s="70"/>
      <c r="C471" s="70"/>
      <c r="D471" s="70"/>
      <c r="E471" s="70"/>
      <c r="F471" s="70" t="s">
        <v>331</v>
      </c>
      <c r="G471" s="70" t="n">
        <f aca="false">COUNTIFS(Data!$B$2:$B$1833,$L471,Data!$C$2:$C$1833,$M471,Data!$D$2:$D$1833,$N471,Data!$E$2:$E$1833,$O471,Data!$F$2:$F$1833,$F471,Data!$H$2:$H$1833,1)</f>
        <v>1</v>
      </c>
      <c r="H471" s="70" t="n">
        <v>789</v>
      </c>
      <c r="I471" s="31" t="str">
        <f aca="false">INDEX(Data!$G$2:$G$1833,MATCH($H471,Data!$A$2:$A$1833,0))</f>
        <v>Can interpret and describe clearly and reliably (in Language B) various forms of empirical data and visually organised information (with text in Language A) from conceptually complex research concerning academic or professional topics.</v>
      </c>
      <c r="J471" s="71" t="s">
        <v>2823</v>
      </c>
      <c r="L471" s="70" t="s">
        <v>395</v>
      </c>
      <c r="M471" s="70" t="s">
        <v>1123</v>
      </c>
      <c r="N471" s="70" t="s">
        <v>1134</v>
      </c>
      <c r="O471" s="70" t="s">
        <v>1163</v>
      </c>
    </row>
    <row r="472" customFormat="false" ht="15" hidden="false" customHeight="true" outlineLevel="0" collapsed="false">
      <c r="A472" s="73" t="str">
        <f aca="false">IFERROR(INDEX(対訳マスタ!$C$2:$C$136,MATCH($L472,対訳マスタ!$B$2:$B$136,0)),$L472)</f>
        <v>コミュニケーション言語活動</v>
      </c>
      <c r="B472" s="73" t="str">
        <f aca="false">IF($M472="—","—",IFERROR(INDEX(対訳マスタ!$C$2:$C$136,MATCH($M472,対訳マスタ!$B$2:$B$136,0)),$M472))</f>
        <v>仲介</v>
      </c>
      <c r="C472" s="73" t="str">
        <f aca="false">IF($N472="—","—",IFERROR(INDEX(対訳マスタ!$C$2:$C$136,MATCH($N472,対訳マスタ!$B$2:$B$136,0)),$N472))</f>
        <v>テキストの仲介</v>
      </c>
      <c r="D472" s="73" t="str">
        <f aca="false">IFERROR(INDEX(対訳マスタ!$C$2:$C$136,MATCH($O472,対訳マスタ!$B$2:$B$136,0)),$O472)</f>
        <v>データの説明（文章）</v>
      </c>
      <c r="E472" s="73" t="s">
        <v>1170</v>
      </c>
      <c r="F472" s="73" t="s">
        <v>86</v>
      </c>
      <c r="G472" s="73" t="n">
        <f aca="false">COUNTIFS(Data!$B$2:$B$1833,$L472,Data!$C$2:$C$1833,$M472,Data!$D$2:$D$1833,$N472,Data!$E$2:$E$1833,$O472,Data!$F$2:$F$1833,$F472,Data!$H$2:$H$1833,1)</f>
        <v>0</v>
      </c>
      <c r="H472" s="73" t="s">
        <v>624</v>
      </c>
      <c r="I472" s="74" t="s">
        <v>624</v>
      </c>
      <c r="J472" s="74" t="s">
        <v>624</v>
      </c>
      <c r="L472" s="70" t="s">
        <v>395</v>
      </c>
      <c r="M472" s="70" t="s">
        <v>1123</v>
      </c>
      <c r="N472" s="70" t="s">
        <v>1134</v>
      </c>
      <c r="O472" s="70" t="s">
        <v>1170</v>
      </c>
    </row>
    <row r="473" customFormat="false" ht="15" hidden="false" customHeight="true" outlineLevel="0" collapsed="false">
      <c r="A473" s="75"/>
      <c r="B473" s="75"/>
      <c r="C473" s="75"/>
      <c r="D473" s="75"/>
      <c r="E473" s="75"/>
      <c r="F473" s="75" t="s">
        <v>101</v>
      </c>
      <c r="G473" s="75" t="n">
        <f aca="false">COUNTIFS(Data!$B$2:$B$1833,$L473,Data!$C$2:$C$1833,$M473,Data!$D$2:$D$1833,$N473,Data!$E$2:$E$1833,$O473,Data!$F$2:$F$1833,$F473,Data!$H$2:$H$1833,1)</f>
        <v>0</v>
      </c>
      <c r="H473" s="75" t="s">
        <v>624</v>
      </c>
      <c r="I473" s="76" t="s">
        <v>624</v>
      </c>
      <c r="J473" s="76" t="s">
        <v>624</v>
      </c>
      <c r="L473" s="70" t="s">
        <v>395</v>
      </c>
      <c r="M473" s="70" t="s">
        <v>1123</v>
      </c>
      <c r="N473" s="70" t="s">
        <v>1134</v>
      </c>
      <c r="O473" s="70" t="s">
        <v>1170</v>
      </c>
    </row>
    <row r="474" customFormat="false" ht="15" hidden="false" customHeight="true" outlineLevel="0" collapsed="false">
      <c r="A474" s="75"/>
      <c r="B474" s="75"/>
      <c r="C474" s="75"/>
      <c r="D474" s="75"/>
      <c r="E474" s="75"/>
      <c r="F474" s="75" t="s">
        <v>13</v>
      </c>
      <c r="G474" s="75" t="n">
        <f aca="false">COUNTIFS(Data!$B$2:$B$1833,$L474,Data!$C$2:$C$1833,$M474,Data!$D$2:$D$1833,$N474,Data!$E$2:$E$1833,$O474,Data!$F$2:$F$1833,$F474,Data!$H$2:$H$1833,1)</f>
        <v>0</v>
      </c>
      <c r="H474" s="75" t="s">
        <v>624</v>
      </c>
      <c r="I474" s="76" t="s">
        <v>624</v>
      </c>
      <c r="J474" s="76" t="s">
        <v>624</v>
      </c>
      <c r="L474" s="70" t="s">
        <v>395</v>
      </c>
      <c r="M474" s="70" t="s">
        <v>1123</v>
      </c>
      <c r="N474" s="70" t="s">
        <v>1134</v>
      </c>
      <c r="O474" s="70" t="s">
        <v>1170</v>
      </c>
    </row>
    <row r="475" customFormat="false" ht="15" hidden="false" customHeight="true" outlineLevel="0" collapsed="false">
      <c r="A475" s="75"/>
      <c r="B475" s="75"/>
      <c r="C475" s="75"/>
      <c r="D475" s="75"/>
      <c r="E475" s="75"/>
      <c r="F475" s="75" t="s">
        <v>123</v>
      </c>
      <c r="G475" s="75" t="n">
        <f aca="false">COUNTIFS(Data!$B$2:$B$1833,$L475,Data!$C$2:$C$1833,$M475,Data!$D$2:$D$1833,$N475,Data!$E$2:$E$1833,$O475,Data!$F$2:$F$1833,$F475,Data!$H$2:$H$1833,1)</f>
        <v>0</v>
      </c>
      <c r="H475" s="75" t="s">
        <v>624</v>
      </c>
      <c r="I475" s="76" t="s">
        <v>624</v>
      </c>
      <c r="J475" s="76" t="s">
        <v>624</v>
      </c>
      <c r="L475" s="70" t="s">
        <v>395</v>
      </c>
      <c r="M475" s="70" t="s">
        <v>1123</v>
      </c>
      <c r="N475" s="70" t="s">
        <v>1134</v>
      </c>
      <c r="O475" s="70" t="s">
        <v>1170</v>
      </c>
    </row>
    <row r="476" customFormat="false" ht="32.25" hidden="false" customHeight="true" outlineLevel="0" collapsed="false">
      <c r="A476" s="75"/>
      <c r="B476" s="75"/>
      <c r="C476" s="75"/>
      <c r="D476" s="75"/>
      <c r="E476" s="75"/>
      <c r="F476" s="75" t="s">
        <v>21</v>
      </c>
      <c r="G476" s="75" t="n">
        <f aca="false">COUNTIFS(Data!$B$2:$B$1833,$L476,Data!$C$2:$C$1833,$M476,Data!$D$2:$D$1833,$N476,Data!$E$2:$E$1833,$O476,Data!$F$2:$F$1833,$F476,Data!$H$2:$H$1833,1)</f>
        <v>1</v>
      </c>
      <c r="H476" s="75" t="n">
        <v>802</v>
      </c>
      <c r="I476" s="76" t="str">
        <f aca="false">INDEX(Data!$G$2:$G$1833,MATCH($H476,Data!$A$2:$A$1833,0))</f>
        <v>Can describe in simple sentences (in Language B) the main facts shown in visuals on familiar topics (e.g. a weather map, a basic flow chart) (with text in Language A).</v>
      </c>
      <c r="J476" s="77" t="s">
        <v>2824</v>
      </c>
      <c r="L476" s="70" t="s">
        <v>395</v>
      </c>
      <c r="M476" s="70" t="s">
        <v>1123</v>
      </c>
      <c r="N476" s="70" t="s">
        <v>1134</v>
      </c>
      <c r="O476" s="70" t="s">
        <v>1170</v>
      </c>
    </row>
    <row r="477" customFormat="false" ht="42.75" hidden="false" customHeight="true" outlineLevel="0" collapsed="false">
      <c r="A477" s="75"/>
      <c r="B477" s="75"/>
      <c r="C477" s="75"/>
      <c r="D477" s="75"/>
      <c r="E477" s="75"/>
      <c r="F477" s="75" t="s">
        <v>52</v>
      </c>
      <c r="G477" s="75" t="n">
        <f aca="false">COUNTIFS(Data!$B$2:$B$1833,$L477,Data!$C$2:$C$1833,$M477,Data!$D$2:$D$1833,$N477,Data!$E$2:$E$1833,$O477,Data!$F$2:$F$1833,$F477,Data!$H$2:$H$1833,1)</f>
        <v>1</v>
      </c>
      <c r="H477" s="75" t="n">
        <v>801</v>
      </c>
      <c r="I477" s="76" t="str">
        <f aca="false">INDEX(Data!$G$2:$G$1833,MATCH($H477,Data!$A$2:$A$1833,0))</f>
        <v>Can interpret and present in writing (in Language B) the overall trends shown in simple diagrams (e.g. graphs, bar charts) (with text in Language A), explaining the important points in more detail, given the help of a dictionary or other reference materials.</v>
      </c>
      <c r="J477" s="77" t="s">
        <v>2825</v>
      </c>
      <c r="L477" s="70" t="s">
        <v>395</v>
      </c>
      <c r="M477" s="70" t="s">
        <v>1123</v>
      </c>
      <c r="N477" s="70" t="s">
        <v>1134</v>
      </c>
      <c r="O477" s="70" t="s">
        <v>1170</v>
      </c>
    </row>
    <row r="478" customFormat="false" ht="32.25" hidden="false" customHeight="true" outlineLevel="0" collapsed="false">
      <c r="A478" s="75"/>
      <c r="B478" s="75"/>
      <c r="C478" s="75"/>
      <c r="D478" s="75"/>
      <c r="E478" s="75"/>
      <c r="F478" s="75" t="s">
        <v>259</v>
      </c>
      <c r="G478" s="75" t="n">
        <f aca="false">COUNTIFS(Data!$B$2:$B$1833,$L478,Data!$C$2:$C$1833,$M478,Data!$D$2:$D$1833,$N478,Data!$E$2:$E$1833,$O478,Data!$F$2:$F$1833,$F478,Data!$H$2:$H$1833,1)</f>
        <v>1</v>
      </c>
      <c r="H478" s="75" t="n">
        <v>800</v>
      </c>
      <c r="I478" s="76" t="str">
        <f aca="false">INDEX(Data!$G$2:$G$1833,MATCH($H478,Data!$A$2:$A$1833,0))</f>
        <v>Can interpret and present reliably in writing (in Language B) detailed information from diagrams and visually organised data in their fields of interest (with text in Language A).</v>
      </c>
      <c r="J478" s="77" t="s">
        <v>2826</v>
      </c>
      <c r="L478" s="70" t="s">
        <v>395</v>
      </c>
      <c r="M478" s="70" t="s">
        <v>1123</v>
      </c>
      <c r="N478" s="70" t="s">
        <v>1134</v>
      </c>
      <c r="O478" s="70" t="s">
        <v>1170</v>
      </c>
    </row>
    <row r="479" customFormat="false" ht="15" hidden="false" customHeight="true" outlineLevel="0" collapsed="false">
      <c r="A479" s="75"/>
      <c r="B479" s="75"/>
      <c r="C479" s="75"/>
      <c r="D479" s="75"/>
      <c r="E479" s="75"/>
      <c r="F479" s="75" t="s">
        <v>36</v>
      </c>
      <c r="G479" s="75" t="n">
        <f aca="false">COUNTIFS(Data!$B$2:$B$1833,$L479,Data!$C$2:$C$1833,$M479,Data!$D$2:$D$1833,$N479,Data!$E$2:$E$1833,$O479,Data!$F$2:$F$1833,$F479,Data!$H$2:$H$1833,1)</f>
        <v>0</v>
      </c>
      <c r="H479" s="75" t="s">
        <v>624</v>
      </c>
      <c r="I479" s="76" t="s">
        <v>624</v>
      </c>
      <c r="J479" s="76" t="s">
        <v>624</v>
      </c>
      <c r="L479" s="70" t="s">
        <v>395</v>
      </c>
      <c r="M479" s="70" t="s">
        <v>1123</v>
      </c>
      <c r="N479" s="70" t="s">
        <v>1134</v>
      </c>
      <c r="O479" s="70" t="s">
        <v>1170</v>
      </c>
    </row>
    <row r="480" customFormat="false" ht="42.75" hidden="false" customHeight="true" outlineLevel="0" collapsed="false">
      <c r="A480" s="75"/>
      <c r="B480" s="75"/>
      <c r="C480" s="75"/>
      <c r="D480" s="75"/>
      <c r="E480" s="75"/>
      <c r="F480" s="75" t="s">
        <v>74</v>
      </c>
      <c r="G480" s="75" t="n">
        <f aca="false">COUNTIFS(Data!$B$2:$B$1833,$L480,Data!$C$2:$C$1833,$M480,Data!$D$2:$D$1833,$N480,Data!$E$2:$E$1833,$O480,Data!$F$2:$F$1833,$F480,Data!$H$2:$H$1833,1)</f>
        <v>1</v>
      </c>
      <c r="H480" s="75" t="n">
        <v>799</v>
      </c>
      <c r="I480" s="76" t="str">
        <f aca="false">INDEX(Data!$G$2:$G$1833,MATCH($H480,Data!$A$2:$A$1833,0))</f>
        <v>Can interpret and present clearly and reliably in writing (in Language B) the salient, relevant points contained in complex diagrams and other visually organised data (with text in Language A) on complex academic or professional topics.</v>
      </c>
      <c r="J480" s="77" t="s">
        <v>2827</v>
      </c>
      <c r="L480" s="70" t="s">
        <v>395</v>
      </c>
      <c r="M480" s="70" t="s">
        <v>1123</v>
      </c>
      <c r="N480" s="70" t="s">
        <v>1134</v>
      </c>
      <c r="O480" s="70" t="s">
        <v>1170</v>
      </c>
    </row>
    <row r="481" customFormat="false" ht="32.25" hidden="false" customHeight="true" outlineLevel="0" collapsed="false">
      <c r="A481" s="75"/>
      <c r="B481" s="75"/>
      <c r="C481" s="75"/>
      <c r="D481" s="75"/>
      <c r="E481" s="75"/>
      <c r="F481" s="75" t="s">
        <v>331</v>
      </c>
      <c r="G481" s="75" t="n">
        <f aca="false">COUNTIFS(Data!$B$2:$B$1833,$L481,Data!$C$2:$C$1833,$M481,Data!$D$2:$D$1833,$N481,Data!$E$2:$E$1833,$O481,Data!$F$2:$F$1833,$F481,Data!$H$2:$H$1833,1)</f>
        <v>1</v>
      </c>
      <c r="H481" s="75" t="n">
        <v>798</v>
      </c>
      <c r="I481" s="76" t="str">
        <f aca="false">INDEX(Data!$G$2:$G$1833,MATCH($H481,Data!$A$2:$A$1833,0))</f>
        <v>Can interpret and present in writing (in Language B) various forms of empirical data (with text in Language A) from conceptually complex research on academic or professional topics.</v>
      </c>
      <c r="J481" s="77" t="s">
        <v>2828</v>
      </c>
      <c r="L481" s="70" t="s">
        <v>395</v>
      </c>
      <c r="M481" s="70" t="s">
        <v>1123</v>
      </c>
      <c r="N481" s="70" t="s">
        <v>1134</v>
      </c>
      <c r="O481" s="70" t="s">
        <v>1170</v>
      </c>
    </row>
    <row r="482" customFormat="false" ht="15" hidden="false" customHeight="true" outlineLevel="0" collapsed="false">
      <c r="A482" s="67" t="str">
        <f aca="false">IFERROR(INDEX(対訳マスタ!$C$2:$C$136,MATCH($L482,対訳マスタ!$B$2:$B$136,0)),$L482)</f>
        <v>コミュニケーション言語活動</v>
      </c>
      <c r="B482" s="67" t="str">
        <f aca="false">IF($M482="—","—",IFERROR(INDEX(対訳マスタ!$C$2:$C$136,MATCH($M482,対訳マスタ!$B$2:$B$136,0)),$M482))</f>
        <v>仲介</v>
      </c>
      <c r="C482" s="67" t="str">
        <f aca="false">IF($N482="—","—",IFERROR(INDEX(対訳マスタ!$C$2:$C$136,MATCH($N482,対訳マスタ!$B$2:$B$136,0)),$N482))</f>
        <v>テキストの仲介</v>
      </c>
      <c r="D482" s="67" t="str">
        <f aca="false">IFERROR(INDEX(対訳マスタ!$C$2:$C$136,MATCH($O482,対訳マスタ!$B$2:$B$136,0)),$O482)</f>
        <v>テキストの加工・要約（口頭・手話）</v>
      </c>
      <c r="E482" s="67" t="s">
        <v>1176</v>
      </c>
      <c r="F482" s="67" t="s">
        <v>86</v>
      </c>
      <c r="G482" s="67" t="n">
        <f aca="false">COUNTIFS(Data!$B$2:$B$1833,$L482,Data!$C$2:$C$1833,$M482,Data!$D$2:$D$1833,$N482,Data!$E$2:$E$1833,$O482,Data!$F$2:$F$1833,$F482,Data!$H$2:$H$1833,1)</f>
        <v>0</v>
      </c>
      <c r="H482" s="67" t="s">
        <v>624</v>
      </c>
      <c r="I482" s="68" t="s">
        <v>624</v>
      </c>
      <c r="J482" s="68" t="s">
        <v>624</v>
      </c>
      <c r="L482" s="70" t="s">
        <v>395</v>
      </c>
      <c r="M482" s="70" t="s">
        <v>1123</v>
      </c>
      <c r="N482" s="70" t="s">
        <v>1134</v>
      </c>
      <c r="O482" s="70" t="s">
        <v>1176</v>
      </c>
    </row>
    <row r="483" customFormat="false" ht="26.25" hidden="false" customHeight="true" outlineLevel="0" collapsed="false">
      <c r="A483" s="70"/>
      <c r="B483" s="70"/>
      <c r="C483" s="70"/>
      <c r="D483" s="70"/>
      <c r="E483" s="70"/>
      <c r="F483" s="70" t="s">
        <v>101</v>
      </c>
      <c r="G483" s="70" t="n">
        <f aca="false">COUNTIFS(Data!$B$2:$B$1833,$L483,Data!$C$2:$C$1833,$M483,Data!$D$2:$D$1833,$N483,Data!$E$2:$E$1833,$O483,Data!$F$2:$F$1833,$F483,Data!$H$2:$H$1833,1)</f>
        <v>1</v>
      </c>
      <c r="H483" s="70" t="n">
        <v>833</v>
      </c>
      <c r="I483" s="31" t="str">
        <f aca="false">INDEX(Data!$G$2:$G$1833,MATCH($H483,Data!$A$2:$A$1833,0))</f>
        <v>Can convey (in Language B) simple, predictable information given in short, very simple signs and notices, posters and programmes (in Language A).</v>
      </c>
      <c r="J483" s="71" t="s">
        <v>2829</v>
      </c>
      <c r="L483" s="70" t="s">
        <v>395</v>
      </c>
      <c r="M483" s="70" t="s">
        <v>1123</v>
      </c>
      <c r="N483" s="70" t="s">
        <v>1134</v>
      </c>
      <c r="O483" s="70" t="s">
        <v>1176</v>
      </c>
    </row>
    <row r="484" customFormat="false" ht="42.75" hidden="false" customHeight="true" outlineLevel="0" collapsed="false">
      <c r="A484" s="70"/>
      <c r="B484" s="70"/>
      <c r="C484" s="70"/>
      <c r="D484" s="70"/>
      <c r="E484" s="70"/>
      <c r="F484" s="70" t="s">
        <v>13</v>
      </c>
      <c r="G484" s="70" t="n">
        <f aca="false">COUNTIFS(Data!$B$2:$B$1833,$L484,Data!$C$2:$C$1833,$M484,Data!$D$2:$D$1833,$N484,Data!$E$2:$E$1833,$O484,Data!$F$2:$F$1833,$F484,Data!$H$2:$H$1833,1)</f>
        <v>1</v>
      </c>
      <c r="H484" s="70" t="n">
        <v>832</v>
      </c>
      <c r="I484" s="31" t="str">
        <f aca="false">INDEX(Data!$G$2:$G$1833,MATCH($H484,Data!$A$2:$A$1833,0))</f>
        <v>Can convey (in Language B) the main point(s) contained in clearly structured, short, simple texts (in Language A), supplementing their limited repertoire with other means (e.g. gestures, drawings, words/signs from other languages) in order to do so.</v>
      </c>
      <c r="J484" s="71" t="s">
        <v>2830</v>
      </c>
      <c r="L484" s="70" t="s">
        <v>395</v>
      </c>
      <c r="M484" s="70" t="s">
        <v>1123</v>
      </c>
      <c r="N484" s="70" t="s">
        <v>1134</v>
      </c>
      <c r="O484" s="70" t="s">
        <v>1176</v>
      </c>
    </row>
    <row r="485" customFormat="false" ht="26.25" hidden="false" customHeight="true" outlineLevel="0" collapsed="false">
      <c r="A485" s="70"/>
      <c r="B485" s="70"/>
      <c r="C485" s="70"/>
      <c r="D485" s="70"/>
      <c r="E485" s="70"/>
      <c r="F485" s="70" t="s">
        <v>123</v>
      </c>
      <c r="G485" s="70" t="n">
        <f aca="false">COUNTIFS(Data!$B$2:$B$1833,$L485,Data!$C$2:$C$1833,$M485,Data!$D$2:$D$1833,$N485,Data!$E$2:$E$1833,$O485,Data!$F$2:$F$1833,$F485,Data!$H$2:$H$1833,1)</f>
        <v>3</v>
      </c>
      <c r="H485" s="70" t="n">
        <v>831</v>
      </c>
      <c r="I485" s="31" t="str">
        <f aca="false">INDEX(Data!$G$2:$G$1833,MATCH($H485,Data!$A$2:$A$1833,0))</f>
        <v>Can summarise (in Language B) the main point(s) in simple, short informational texts (in Language A) on familiar topics.</v>
      </c>
      <c r="J485" s="71" t="s">
        <v>2831</v>
      </c>
      <c r="L485" s="70" t="s">
        <v>395</v>
      </c>
      <c r="M485" s="70" t="s">
        <v>1123</v>
      </c>
      <c r="N485" s="70" t="s">
        <v>1134</v>
      </c>
      <c r="O485" s="70" t="s">
        <v>1176</v>
      </c>
    </row>
    <row r="486" customFormat="false" ht="26.25" hidden="false" customHeight="true" outlineLevel="0" collapsed="false">
      <c r="A486" s="70"/>
      <c r="B486" s="70"/>
      <c r="C486" s="70"/>
      <c r="D486" s="70"/>
      <c r="E486" s="70"/>
      <c r="F486" s="70" t="s">
        <v>21</v>
      </c>
      <c r="G486" s="70" t="n">
        <f aca="false">COUNTIFS(Data!$B$2:$B$1833,$L486,Data!$C$2:$C$1833,$M486,Data!$D$2:$D$1833,$N486,Data!$E$2:$E$1833,$O486,Data!$F$2:$F$1833,$F486,Data!$H$2:$H$1833,1)</f>
        <v>5</v>
      </c>
      <c r="H486" s="70" t="n">
        <v>828</v>
      </c>
      <c r="I486" s="31" t="str">
        <f aca="false">INDEX(Data!$G$2:$G$1833,MATCH($H486,Data!$A$2:$A$1833,0))</f>
        <v>Can summarise (in Language B) the main points or events in TV programmes and video clips (in Language A), provided they can view them several times.</v>
      </c>
      <c r="J486" s="71" t="s">
        <v>2832</v>
      </c>
      <c r="L486" s="70" t="s">
        <v>395</v>
      </c>
      <c r="M486" s="70" t="s">
        <v>1123</v>
      </c>
      <c r="N486" s="70" t="s">
        <v>1134</v>
      </c>
      <c r="O486" s="70" t="s">
        <v>1176</v>
      </c>
    </row>
    <row r="487" customFormat="false" ht="26.25" hidden="false" customHeight="true" outlineLevel="0" collapsed="false">
      <c r="A487" s="70"/>
      <c r="B487" s="70"/>
      <c r="C487" s="70"/>
      <c r="D487" s="70"/>
      <c r="E487" s="70"/>
      <c r="F487" s="70" t="s">
        <v>52</v>
      </c>
      <c r="G487" s="70" t="n">
        <f aca="false">COUNTIFS(Data!$B$2:$B$1833,$L487,Data!$C$2:$C$1833,$M487,Data!$D$2:$D$1833,$N487,Data!$E$2:$E$1833,$O487,Data!$F$2:$F$1833,$F487,Data!$H$2:$H$1833,1)</f>
        <v>3</v>
      </c>
      <c r="H487" s="70" t="n">
        <v>823</v>
      </c>
      <c r="I487" s="31" t="str">
        <f aca="false">INDEX(Data!$G$2:$G$1833,MATCH($H487,Data!$A$2:$A$1833,0))</f>
        <v>Can collate short pieces of information from several sources (in Language A) and summarise them (in Language B) for somebody else.</v>
      </c>
      <c r="J487" s="71" t="s">
        <v>2833</v>
      </c>
      <c r="L487" s="70" t="s">
        <v>395</v>
      </c>
      <c r="M487" s="70" t="s">
        <v>1123</v>
      </c>
      <c r="N487" s="70" t="s">
        <v>1134</v>
      </c>
      <c r="O487" s="70" t="s">
        <v>1176</v>
      </c>
    </row>
    <row r="488" customFormat="false" ht="21.75" hidden="false" customHeight="true" outlineLevel="0" collapsed="false">
      <c r="A488" s="70"/>
      <c r="B488" s="70"/>
      <c r="C488" s="70"/>
      <c r="D488" s="70"/>
      <c r="E488" s="70"/>
      <c r="F488" s="70" t="s">
        <v>259</v>
      </c>
      <c r="G488" s="70" t="n">
        <f aca="false">COUNTIFS(Data!$B$2:$B$1833,$L488,Data!$C$2:$C$1833,$M488,Data!$D$2:$D$1833,$N488,Data!$E$2:$E$1833,$O488,Data!$F$2:$F$1833,$F488,Data!$H$2:$H$1833,1)</f>
        <v>6</v>
      </c>
      <c r="H488" s="70" t="n">
        <v>820</v>
      </c>
      <c r="I488" s="31" t="str">
        <f aca="false">INDEX(Data!$G$2:$G$1833,MATCH($H488,Data!$A$2:$A$1833,0))</f>
        <v>Can summarise (in Language B) the plot and sequence of events in a film or play (in Language A).</v>
      </c>
      <c r="J488" s="71" t="s">
        <v>2834</v>
      </c>
      <c r="L488" s="70" t="s">
        <v>395</v>
      </c>
      <c r="M488" s="70" t="s">
        <v>1123</v>
      </c>
      <c r="N488" s="70" t="s">
        <v>1134</v>
      </c>
      <c r="O488" s="70" t="s">
        <v>1176</v>
      </c>
    </row>
    <row r="489" customFormat="false" ht="26.25" hidden="false" customHeight="true" outlineLevel="0" collapsed="false">
      <c r="A489" s="70"/>
      <c r="B489" s="70"/>
      <c r="C489" s="70"/>
      <c r="D489" s="70"/>
      <c r="E489" s="70"/>
      <c r="F489" s="70" t="s">
        <v>36</v>
      </c>
      <c r="G489" s="70" t="n">
        <f aca="false">COUNTIFS(Data!$B$2:$B$1833,$L489,Data!$C$2:$C$1833,$M489,Data!$D$2:$D$1833,$N489,Data!$E$2:$E$1833,$O489,Data!$F$2:$F$1833,$F489,Data!$H$2:$H$1833,1)</f>
        <v>2</v>
      </c>
      <c r="H489" s="70" t="n">
        <v>814</v>
      </c>
      <c r="I489" s="31" t="str">
        <f aca="false">INDEX(Data!$G$2:$G$1833,MATCH($H489,Data!$A$2:$A$1833,0))</f>
        <v>Can summarise (in Language B) the main points of complex discussions (in Language A), weighing up the different points of view presented.</v>
      </c>
      <c r="J489" s="71" t="s">
        <v>2835</v>
      </c>
      <c r="L489" s="70" t="s">
        <v>395</v>
      </c>
      <c r="M489" s="70" t="s">
        <v>1123</v>
      </c>
      <c r="N489" s="70" t="s">
        <v>1134</v>
      </c>
      <c r="O489" s="70" t="s">
        <v>1176</v>
      </c>
    </row>
    <row r="490" customFormat="false" ht="15" hidden="false" customHeight="true" outlineLevel="0" collapsed="false">
      <c r="A490" s="70"/>
      <c r="B490" s="70"/>
      <c r="C490" s="70"/>
      <c r="D490" s="70"/>
      <c r="E490" s="70"/>
      <c r="F490" s="70" t="s">
        <v>74</v>
      </c>
      <c r="G490" s="70" t="n">
        <f aca="false">COUNTIFS(Data!$B$2:$B$1833,$L490,Data!$C$2:$C$1833,$M490,Data!$D$2:$D$1833,$N490,Data!$E$2:$E$1833,$O490,Data!$F$2:$F$1833,$F490,Data!$H$2:$H$1833,1)</f>
        <v>6</v>
      </c>
      <c r="H490" s="70" t="n">
        <v>807</v>
      </c>
      <c r="I490" s="31" t="str">
        <f aca="false">INDEX(Data!$G$2:$G$1833,MATCH($H490,Data!$A$2:$A$1833,0))</f>
        <v>Can summarise (in Language B) long, demanding texts (in Language A).</v>
      </c>
      <c r="J490" s="71" t="s">
        <v>2836</v>
      </c>
      <c r="L490" s="70" t="s">
        <v>395</v>
      </c>
      <c r="M490" s="70" t="s">
        <v>1123</v>
      </c>
      <c r="N490" s="70" t="s">
        <v>1134</v>
      </c>
      <c r="O490" s="70" t="s">
        <v>1176</v>
      </c>
    </row>
    <row r="491" customFormat="false" ht="39" hidden="false" customHeight="true" outlineLevel="0" collapsed="false">
      <c r="A491" s="70"/>
      <c r="B491" s="70"/>
      <c r="C491" s="70"/>
      <c r="D491" s="70"/>
      <c r="E491" s="70"/>
      <c r="F491" s="70" t="s">
        <v>331</v>
      </c>
      <c r="G491" s="70" t="n">
        <f aca="false">COUNTIFS(Data!$B$2:$B$1833,$L491,Data!$C$2:$C$1833,$M491,Data!$D$2:$D$1833,$N491,Data!$E$2:$E$1833,$O491,Data!$F$2:$F$1833,$F491,Data!$H$2:$H$1833,1)</f>
        <v>1</v>
      </c>
      <c r="H491" s="70" t="n">
        <v>806</v>
      </c>
      <c r="I491" s="31" t="str">
        <f aca="false">INDEX(Data!$G$2:$G$1833,MATCH($H491,Data!$A$2:$A$1833,0))</f>
        <v>Can explain (in Language B) inferences when links or implications are not made explicit (in Language A), and point out the sociocultural implications of the form of expression (e.g. understatement, irony, sarcasm).</v>
      </c>
      <c r="J491" s="71" t="s">
        <v>2837</v>
      </c>
      <c r="L491" s="70" t="s">
        <v>395</v>
      </c>
      <c r="M491" s="70" t="s">
        <v>1123</v>
      </c>
      <c r="N491" s="70" t="s">
        <v>1134</v>
      </c>
      <c r="O491" s="70" t="s">
        <v>1176</v>
      </c>
    </row>
    <row r="492" customFormat="false" ht="15" hidden="false" customHeight="true" outlineLevel="0" collapsed="false">
      <c r="A492" s="73" t="str">
        <f aca="false">IFERROR(INDEX(対訳マスタ!$C$2:$C$136,MATCH($L492,対訳マスタ!$B$2:$B$136,0)),$L492)</f>
        <v>コミュニケーション言語活動</v>
      </c>
      <c r="B492" s="73" t="str">
        <f aca="false">IF($M492="—","—",IFERROR(INDEX(対訳マスタ!$C$2:$C$136,MATCH($M492,対訳マスタ!$B$2:$B$136,0)),$M492))</f>
        <v>仲介</v>
      </c>
      <c r="C492" s="73" t="str">
        <f aca="false">IF($N492="—","—",IFERROR(INDEX(対訳マスタ!$C$2:$C$136,MATCH($N492,対訳マスタ!$B$2:$B$136,0)),$N492))</f>
        <v>テキストの仲介</v>
      </c>
      <c r="D492" s="73" t="str">
        <f aca="false">IFERROR(INDEX(対訳マスタ!$C$2:$C$136,MATCH($O492,対訳マスタ!$B$2:$B$136,0)),$O492)</f>
        <v>テキストの加工・要約（文章）</v>
      </c>
      <c r="E492" s="73" t="s">
        <v>1205</v>
      </c>
      <c r="F492" s="73" t="s">
        <v>86</v>
      </c>
      <c r="G492" s="73" t="n">
        <f aca="false">COUNTIFS(Data!$B$2:$B$1833,$L492,Data!$C$2:$C$1833,$M492,Data!$D$2:$D$1833,$N492,Data!$E$2:$E$1833,$O492,Data!$F$2:$F$1833,$F492,Data!$H$2:$H$1833,1)</f>
        <v>0</v>
      </c>
      <c r="H492" s="73" t="s">
        <v>624</v>
      </c>
      <c r="I492" s="74" t="s">
        <v>624</v>
      </c>
      <c r="J492" s="74" t="s">
        <v>624</v>
      </c>
      <c r="L492" s="70" t="s">
        <v>395</v>
      </c>
      <c r="M492" s="70" t="s">
        <v>1123</v>
      </c>
      <c r="N492" s="70" t="s">
        <v>1134</v>
      </c>
      <c r="O492" s="70" t="s">
        <v>1205</v>
      </c>
    </row>
    <row r="493" customFormat="false" ht="21.75" hidden="false" customHeight="true" outlineLevel="0" collapsed="false">
      <c r="A493" s="75"/>
      <c r="B493" s="75"/>
      <c r="C493" s="75"/>
      <c r="D493" s="75"/>
      <c r="E493" s="75"/>
      <c r="F493" s="75" t="s">
        <v>101</v>
      </c>
      <c r="G493" s="75" t="n">
        <f aca="false">COUNTIFS(Data!$B$2:$B$1833,$L493,Data!$C$2:$C$1833,$M493,Data!$D$2:$D$1833,$N493,Data!$E$2:$E$1833,$O493,Data!$F$2:$F$1833,$F493,Data!$H$2:$H$1833,1)</f>
        <v>2</v>
      </c>
      <c r="H493" s="75" t="n">
        <v>851</v>
      </c>
      <c r="I493" s="76" t="str">
        <f aca="false">INDEX(Data!$G$2:$G$1833,MATCH($H493,Data!$A$2:$A$1833,0))</f>
        <v>Can copy out single words and short texts presented in standard printed format.</v>
      </c>
      <c r="J493" s="77" t="s">
        <v>2838</v>
      </c>
      <c r="L493" s="70" t="s">
        <v>395</v>
      </c>
      <c r="M493" s="70" t="s">
        <v>1123</v>
      </c>
      <c r="N493" s="70" t="s">
        <v>1134</v>
      </c>
      <c r="O493" s="70" t="s">
        <v>1205</v>
      </c>
    </row>
    <row r="494" customFormat="false" ht="15" hidden="false" customHeight="true" outlineLevel="0" collapsed="false">
      <c r="A494" s="75"/>
      <c r="B494" s="75"/>
      <c r="C494" s="75"/>
      <c r="D494" s="75"/>
      <c r="E494" s="75"/>
      <c r="F494" s="75" t="s">
        <v>13</v>
      </c>
      <c r="G494" s="75" t="n">
        <f aca="false">COUNTIFS(Data!$B$2:$B$1833,$L494,Data!$C$2:$C$1833,$M494,Data!$D$2:$D$1833,$N494,Data!$E$2:$E$1833,$O494,Data!$F$2:$F$1833,$F494,Data!$H$2:$H$1833,1)</f>
        <v>2</v>
      </c>
      <c r="H494" s="75" t="n">
        <v>849</v>
      </c>
      <c r="I494" s="76" t="str">
        <f aca="false">INDEX(Data!$G$2:$G$1833,MATCH($H494,Data!$A$2:$A$1833,0))</f>
        <v>Can copy out short texts in printed or clearly handwritten format.</v>
      </c>
      <c r="J494" s="77" t="s">
        <v>2839</v>
      </c>
      <c r="L494" s="70" t="s">
        <v>395</v>
      </c>
      <c r="M494" s="70" t="s">
        <v>1123</v>
      </c>
      <c r="N494" s="70" t="s">
        <v>1134</v>
      </c>
      <c r="O494" s="70" t="s">
        <v>1205</v>
      </c>
    </row>
    <row r="495" customFormat="false" ht="26.25" hidden="false" customHeight="true" outlineLevel="0" collapsed="false">
      <c r="A495" s="75"/>
      <c r="B495" s="75"/>
      <c r="C495" s="75"/>
      <c r="D495" s="75"/>
      <c r="E495" s="75"/>
      <c r="F495" s="75" t="s">
        <v>123</v>
      </c>
      <c r="G495" s="75" t="n">
        <f aca="false">COUNTIFS(Data!$B$2:$B$1833,$L495,Data!$C$2:$C$1833,$M495,Data!$D$2:$D$1833,$N495,Data!$E$2:$E$1833,$O495,Data!$F$2:$F$1833,$F495,Data!$H$2:$H$1833,1)</f>
        <v>2</v>
      </c>
      <c r="H495" s="75" t="n">
        <v>847</v>
      </c>
      <c r="I495" s="76" t="str">
        <f aca="false">INDEX(Data!$G$2:$G$1833,MATCH($H495,Data!$A$2:$A$1833,0))</f>
        <v>Can pick out and reproduce key words and phrases or short sentences from a short text within the learner’s limited competence and experience.</v>
      </c>
      <c r="J495" s="77" t="s">
        <v>2840</v>
      </c>
      <c r="L495" s="70" t="s">
        <v>395</v>
      </c>
      <c r="M495" s="70" t="s">
        <v>1123</v>
      </c>
      <c r="N495" s="70" t="s">
        <v>1134</v>
      </c>
      <c r="O495" s="70" t="s">
        <v>1205</v>
      </c>
    </row>
    <row r="496" customFormat="false" ht="21.75" hidden="false" customHeight="true" outlineLevel="0" collapsed="false">
      <c r="A496" s="75"/>
      <c r="B496" s="75"/>
      <c r="C496" s="75"/>
      <c r="D496" s="75"/>
      <c r="E496" s="75"/>
      <c r="F496" s="75" t="s">
        <v>21</v>
      </c>
      <c r="G496" s="75" t="n">
        <f aca="false">COUNTIFS(Data!$B$2:$B$1833,$L496,Data!$C$2:$C$1833,$M496,Data!$D$2:$D$1833,$N496,Data!$E$2:$E$1833,$O496,Data!$F$2:$F$1833,$F496,Data!$H$2:$H$1833,1)</f>
        <v>2</v>
      </c>
      <c r="H496" s="75" t="n">
        <v>845</v>
      </c>
      <c r="I496" s="76" t="str">
        <f aca="false">INDEX(Data!$G$2:$G$1833,MATCH($H496,Data!$A$2:$A$1833,0))</f>
        <v>Can paraphrase short passages in a simple fashion, using the original text wording and ordering.</v>
      </c>
      <c r="J496" s="77" t="s">
        <v>2841</v>
      </c>
      <c r="L496" s="70" t="s">
        <v>395</v>
      </c>
      <c r="M496" s="70" t="s">
        <v>1123</v>
      </c>
      <c r="N496" s="70" t="s">
        <v>1134</v>
      </c>
      <c r="O496" s="70" t="s">
        <v>1205</v>
      </c>
    </row>
    <row r="497" customFormat="false" ht="26.25" hidden="false" customHeight="true" outlineLevel="0" collapsed="false">
      <c r="A497" s="75"/>
      <c r="B497" s="75"/>
      <c r="C497" s="75"/>
      <c r="D497" s="75"/>
      <c r="E497" s="75"/>
      <c r="F497" s="75" t="s">
        <v>52</v>
      </c>
      <c r="G497" s="75" t="n">
        <f aca="false">COUNTIFS(Data!$B$2:$B$1833,$L497,Data!$C$2:$C$1833,$M497,Data!$D$2:$D$1833,$N497,Data!$E$2:$E$1833,$O497,Data!$F$2:$F$1833,$F497,Data!$H$2:$H$1833,1)</f>
        <v>1</v>
      </c>
      <c r="H497" s="75" t="n">
        <v>843</v>
      </c>
      <c r="I497" s="76" t="str">
        <f aca="false">INDEX(Data!$G$2:$G$1833,MATCH($H497,Data!$A$2:$A$1833,0))</f>
        <v>Can summarise in writing (in Language B) the information and arguments contained in texts (in Language A) on subjects of general or personal interest.</v>
      </c>
      <c r="J497" s="77" t="s">
        <v>2842</v>
      </c>
      <c r="L497" s="70" t="s">
        <v>395</v>
      </c>
      <c r="M497" s="70" t="s">
        <v>1123</v>
      </c>
      <c r="N497" s="70" t="s">
        <v>1134</v>
      </c>
      <c r="O497" s="70" t="s">
        <v>1205</v>
      </c>
    </row>
    <row r="498" customFormat="false" ht="32.25" hidden="false" customHeight="true" outlineLevel="0" collapsed="false">
      <c r="A498" s="75"/>
      <c r="B498" s="75"/>
      <c r="C498" s="75"/>
      <c r="D498" s="75"/>
      <c r="E498" s="75"/>
      <c r="F498" s="75" t="s">
        <v>259</v>
      </c>
      <c r="G498" s="75" t="n">
        <f aca="false">COUNTIFS(Data!$B$2:$B$1833,$L498,Data!$C$2:$C$1833,$M498,Data!$D$2:$D$1833,$N498,Data!$E$2:$E$1833,$O498,Data!$F$2:$F$1833,$F498,Data!$H$2:$H$1833,1)</f>
        <v>1</v>
      </c>
      <c r="H498" s="75" t="n">
        <v>842</v>
      </c>
      <c r="I498" s="76" t="str">
        <f aca="false">INDEX(Data!$G$2:$G$1833,MATCH($H498,Data!$A$2:$A$1833,0))</f>
        <v>Can summarise in writing (in Language B) the main content of complex texts (in Language A) on subjects related to their fields of interest and specialisation.</v>
      </c>
      <c r="J498" s="77" t="s">
        <v>2843</v>
      </c>
      <c r="L498" s="70" t="s">
        <v>395</v>
      </c>
      <c r="M498" s="70" t="s">
        <v>1123</v>
      </c>
      <c r="N498" s="70" t="s">
        <v>1134</v>
      </c>
      <c r="O498" s="70" t="s">
        <v>1205</v>
      </c>
    </row>
    <row r="499" customFormat="false" ht="32.25" hidden="false" customHeight="true" outlineLevel="0" collapsed="false">
      <c r="A499" s="75"/>
      <c r="B499" s="75"/>
      <c r="C499" s="75"/>
      <c r="D499" s="75"/>
      <c r="E499" s="75"/>
      <c r="F499" s="75" t="s">
        <v>36</v>
      </c>
      <c r="G499" s="75" t="n">
        <f aca="false">COUNTIFS(Data!$B$2:$B$1833,$L499,Data!$C$2:$C$1833,$M499,Data!$D$2:$D$1833,$N499,Data!$E$2:$E$1833,$O499,Data!$F$2:$F$1833,$F499,Data!$H$2:$H$1833,1)</f>
        <v>3</v>
      </c>
      <c r="H499" s="75" t="n">
        <v>841</v>
      </c>
      <c r="I499" s="76" t="str">
        <f aca="false">INDEX(Data!$G$2:$G$1833,MATCH($H499,Data!$A$2:$A$1833,0))</f>
        <v>Can explain in writing (in Language B) the viewpoint articulated in a complex text (in Language A), supporting inferences they make with reference to specific information in the original.</v>
      </c>
      <c r="J499" s="77" t="s">
        <v>2844</v>
      </c>
      <c r="L499" s="70" t="s">
        <v>395</v>
      </c>
      <c r="M499" s="70" t="s">
        <v>1123</v>
      </c>
      <c r="N499" s="70" t="s">
        <v>1134</v>
      </c>
      <c r="O499" s="70" t="s">
        <v>1205</v>
      </c>
    </row>
    <row r="500" customFormat="false" ht="32.25" hidden="false" customHeight="true" outlineLevel="0" collapsed="false">
      <c r="A500" s="75"/>
      <c r="B500" s="75"/>
      <c r="C500" s="75"/>
      <c r="D500" s="75"/>
      <c r="E500" s="75"/>
      <c r="F500" s="75" t="s">
        <v>74</v>
      </c>
      <c r="G500" s="75" t="n">
        <f aca="false">COUNTIFS(Data!$B$2:$B$1833,$L500,Data!$C$2:$C$1833,$M500,Data!$D$2:$D$1833,$N500,Data!$E$2:$E$1833,$O500,Data!$F$2:$F$1833,$F500,Data!$H$2:$H$1833,1)</f>
        <v>2</v>
      </c>
      <c r="H500" s="75" t="n">
        <v>837</v>
      </c>
      <c r="I500" s="76" t="str">
        <f aca="false">INDEX(Data!$G$2:$G$1833,MATCH($H500,Data!$A$2:$A$1833,0))</f>
        <v>Can summarise in writing (in Language B) long, complex texts (in Language A), interpreting the content appropriately, provided they can occasionally check the precise meaning of unusual, technical terms.</v>
      </c>
      <c r="J500" s="77" t="s">
        <v>2845</v>
      </c>
      <c r="L500" s="70" t="s">
        <v>395</v>
      </c>
      <c r="M500" s="70" t="s">
        <v>1123</v>
      </c>
      <c r="N500" s="70" t="s">
        <v>1134</v>
      </c>
      <c r="O500" s="70" t="s">
        <v>1205</v>
      </c>
    </row>
    <row r="501" customFormat="false" ht="26.25" hidden="false" customHeight="true" outlineLevel="0" collapsed="false">
      <c r="A501" s="75"/>
      <c r="B501" s="75"/>
      <c r="C501" s="75"/>
      <c r="D501" s="75"/>
      <c r="E501" s="75"/>
      <c r="F501" s="75" t="s">
        <v>331</v>
      </c>
      <c r="G501" s="75" t="n">
        <f aca="false">COUNTIFS(Data!$B$2:$B$1833,$L501,Data!$C$2:$C$1833,$M501,Data!$D$2:$D$1833,$N501,Data!$E$2:$E$1833,$O501,Data!$F$2:$F$1833,$F501,Data!$H$2:$H$1833,1)</f>
        <v>2</v>
      </c>
      <c r="H501" s="75" t="n">
        <v>836</v>
      </c>
      <c r="I501" s="76" t="str">
        <f aca="false">INDEX(Data!$G$2:$G$1833,MATCH($H501,Data!$A$2:$A$1833,0))</f>
        <v>Can summarise information from different sources, reconstructing arguments and accounts in a coherent presentation of the overall result.</v>
      </c>
      <c r="J501" s="77" t="s">
        <v>2846</v>
      </c>
      <c r="L501" s="70" t="s">
        <v>395</v>
      </c>
      <c r="M501" s="70" t="s">
        <v>1123</v>
      </c>
      <c r="N501" s="70" t="s">
        <v>1134</v>
      </c>
      <c r="O501" s="70" t="s">
        <v>1205</v>
      </c>
    </row>
    <row r="502" customFormat="false" ht="15" hidden="false" customHeight="true" outlineLevel="0" collapsed="false">
      <c r="A502" s="67" t="str">
        <f aca="false">IFERROR(INDEX(対訳マスタ!$C$2:$C$136,MATCH($L502,対訳マスタ!$B$2:$B$136,0)),$L502)</f>
        <v>コミュニケーション言語活動</v>
      </c>
      <c r="B502" s="67" t="str">
        <f aca="false">IF($M502="—","—",IFERROR(INDEX(対訳マスタ!$C$2:$C$136,MATCH($M502,対訳マスタ!$B$2:$B$136,0)),$M502))</f>
        <v>仲介</v>
      </c>
      <c r="C502" s="67" t="str">
        <f aca="false">IF($N502="—","—",IFERROR(INDEX(対訳マスタ!$C$2:$C$136,MATCH($N502,対訳マスタ!$B$2:$B$136,0)),$N502))</f>
        <v>テキストの仲介</v>
      </c>
      <c r="D502" s="67" t="str">
        <f aca="false">IFERROR(INDEX(対訳マスタ!$C$2:$C$136,MATCH($O502,対訳マスタ!$B$2:$B$136,0)),$O502)</f>
        <v>書かれたテキストの翻訳（口頭・手話）</v>
      </c>
      <c r="E502" s="67" t="s">
        <v>1223</v>
      </c>
      <c r="F502" s="67" t="s">
        <v>86</v>
      </c>
      <c r="G502" s="67" t="n">
        <f aca="false">COUNTIFS(Data!$B$2:$B$1833,$L502,Data!$C$2:$C$1833,$M502,Data!$D$2:$D$1833,$N502,Data!$E$2:$E$1833,$O502,Data!$F$2:$F$1833,$F502,Data!$H$2:$H$1833,1)</f>
        <v>0</v>
      </c>
      <c r="H502" s="67" t="s">
        <v>624</v>
      </c>
      <c r="I502" s="68" t="s">
        <v>624</v>
      </c>
      <c r="J502" s="68" t="s">
        <v>624</v>
      </c>
      <c r="L502" s="70" t="s">
        <v>395</v>
      </c>
      <c r="M502" s="70" t="s">
        <v>1123</v>
      </c>
      <c r="N502" s="70" t="s">
        <v>1134</v>
      </c>
      <c r="O502" s="70" t="s">
        <v>1223</v>
      </c>
    </row>
    <row r="503" customFormat="false" ht="32.25" hidden="false" customHeight="true" outlineLevel="0" collapsed="false">
      <c r="A503" s="70"/>
      <c r="B503" s="70"/>
      <c r="C503" s="70"/>
      <c r="D503" s="70"/>
      <c r="E503" s="70"/>
      <c r="F503" s="70" t="s">
        <v>101</v>
      </c>
      <c r="G503" s="70" t="n">
        <f aca="false">COUNTIFS(Data!$B$2:$B$1833,$L503,Data!$C$2:$C$1833,$M503,Data!$D$2:$D$1833,$N503,Data!$E$2:$E$1833,$O503,Data!$F$2:$F$1833,$F503,Data!$H$2:$H$1833,1)</f>
        <v>1</v>
      </c>
      <c r="H503" s="70" t="n">
        <v>861</v>
      </c>
      <c r="I503" s="31" t="str">
        <f aca="false">INDEX(Data!$G$2:$G$1833,MATCH($H503,Data!$A$2:$A$1833,0))</f>
        <v>Can provide a simple, rough oral translation (into Language B) of simple everyday words/signs and phrases (written in Language A) that are encountered on signs and notices, posters, programmes, leaflets, etc.</v>
      </c>
      <c r="J503" s="71" t="s">
        <v>2847</v>
      </c>
      <c r="L503" s="70" t="s">
        <v>395</v>
      </c>
      <c r="M503" s="70" t="s">
        <v>1123</v>
      </c>
      <c r="N503" s="70" t="s">
        <v>1134</v>
      </c>
      <c r="O503" s="70" t="s">
        <v>1223</v>
      </c>
    </row>
    <row r="504" customFormat="false" ht="32.25" hidden="false" customHeight="true" outlineLevel="0" collapsed="false">
      <c r="A504" s="70"/>
      <c r="B504" s="70"/>
      <c r="C504" s="70"/>
      <c r="D504" s="70"/>
      <c r="E504" s="70"/>
      <c r="F504" s="70" t="s">
        <v>13</v>
      </c>
      <c r="G504" s="70" t="n">
        <f aca="false">COUNTIFS(Data!$B$2:$B$1833,$L504,Data!$C$2:$C$1833,$M504,Data!$D$2:$D$1833,$N504,Data!$E$2:$E$1833,$O504,Data!$F$2:$F$1833,$F504,Data!$H$2:$H$1833,1)</f>
        <v>2</v>
      </c>
      <c r="H504" s="70" t="n">
        <v>859</v>
      </c>
      <c r="I504" s="31" t="str">
        <f aca="false">INDEX(Data!$G$2:$G$1833,MATCH($H504,Data!$A$2:$A$1833,0))</f>
        <v>Can provide a simple, rough oral translation (into Language B) of short, simple texts (e.g. notices on familiar subjects) (written in Language A), capturing the most essential point.</v>
      </c>
      <c r="J504" s="71" t="s">
        <v>2848</v>
      </c>
      <c r="L504" s="70" t="s">
        <v>395</v>
      </c>
      <c r="M504" s="70" t="s">
        <v>1123</v>
      </c>
      <c r="N504" s="70" t="s">
        <v>1134</v>
      </c>
      <c r="O504" s="70" t="s">
        <v>1223</v>
      </c>
    </row>
    <row r="505" customFormat="false" ht="32.25" hidden="false" customHeight="true" outlineLevel="0" collapsed="false">
      <c r="A505" s="70"/>
      <c r="B505" s="70"/>
      <c r="C505" s="70"/>
      <c r="D505" s="70"/>
      <c r="E505" s="70"/>
      <c r="F505" s="70" t="s">
        <v>123</v>
      </c>
      <c r="G505" s="70" t="n">
        <f aca="false">COUNTIFS(Data!$B$2:$B$1833,$L505,Data!$C$2:$C$1833,$M505,Data!$D$2:$D$1833,$N505,Data!$E$2:$E$1833,$O505,Data!$F$2:$F$1833,$F505,Data!$H$2:$H$1833,1)</f>
        <v>1</v>
      </c>
      <c r="H505" s="70" t="n">
        <v>858</v>
      </c>
      <c r="I505" s="31" t="str">
        <f aca="false">INDEX(Data!$G$2:$G$1833,MATCH($H505,Data!$A$2:$A$1833,0))</f>
        <v>Can provide an approximate oral translation (into Language B) of short, simple, everyday texts (e.g. brochure entries, notices, instructions, letters or e-mails) (written in Language A).</v>
      </c>
      <c r="J505" s="71" t="s">
        <v>2849</v>
      </c>
      <c r="L505" s="70" t="s">
        <v>395</v>
      </c>
      <c r="M505" s="70" t="s">
        <v>1123</v>
      </c>
      <c r="N505" s="70" t="s">
        <v>1134</v>
      </c>
      <c r="O505" s="70" t="s">
        <v>1223</v>
      </c>
    </row>
    <row r="506" customFormat="false" ht="42.75" hidden="false" customHeight="true" outlineLevel="0" collapsed="false">
      <c r="A506" s="70"/>
      <c r="B506" s="70"/>
      <c r="C506" s="70"/>
      <c r="D506" s="70"/>
      <c r="E506" s="70"/>
      <c r="F506" s="70" t="s">
        <v>21</v>
      </c>
      <c r="G506" s="70" t="n">
        <f aca="false">COUNTIFS(Data!$B$2:$B$1833,$L506,Data!$C$2:$C$1833,$M506,Data!$D$2:$D$1833,$N506,Data!$E$2:$E$1833,$O506,Data!$F$2:$F$1833,$F506,Data!$H$2:$H$1833,1)</f>
        <v>1</v>
      </c>
      <c r="H506" s="70" t="n">
        <v>857</v>
      </c>
      <c r="I506" s="31" t="str">
        <f aca="false">INDEX(Data!$G$2:$G$1833,MATCH($H506,Data!$A$2:$A$1833,0))</f>
        <v>Can provide an approximate oral translation (into Language B) of clear, well-structured informational texts (written in Language A) on subjects that are familiar or of personal interest, although lexical limitations cause difficulty with formulation at times.</v>
      </c>
      <c r="J506" s="71" t="s">
        <v>2850</v>
      </c>
      <c r="L506" s="70" t="s">
        <v>395</v>
      </c>
      <c r="M506" s="70" t="s">
        <v>1123</v>
      </c>
      <c r="N506" s="70" t="s">
        <v>1134</v>
      </c>
      <c r="O506" s="70" t="s">
        <v>1223</v>
      </c>
    </row>
    <row r="507" customFormat="false" ht="42.75" hidden="false" customHeight="true" outlineLevel="0" collapsed="false">
      <c r="A507" s="70"/>
      <c r="B507" s="70"/>
      <c r="C507" s="70"/>
      <c r="D507" s="70"/>
      <c r="E507" s="70"/>
      <c r="F507" s="70" t="s">
        <v>52</v>
      </c>
      <c r="G507" s="70" t="n">
        <f aca="false">COUNTIFS(Data!$B$2:$B$1833,$L507,Data!$C$2:$C$1833,$M507,Data!$D$2:$D$1833,$N507,Data!$E$2:$E$1833,$O507,Data!$F$2:$F$1833,$F507,Data!$H$2:$H$1833,1)</f>
        <v>1</v>
      </c>
      <c r="H507" s="70" t="n">
        <v>856</v>
      </c>
      <c r="I507" s="31" t="str">
        <f aca="false">INDEX(Data!$G$2:$G$1833,MATCH($H507,Data!$A$2:$A$1833,0))</f>
        <v>Can provide oral translation (into Language B) of texts (written in Language A) containing information and arguments on subjects within their fields of professional, academic and personal interest, provided they are written in uncomplicated, standard language.</v>
      </c>
      <c r="J507" s="71" t="s">
        <v>2851</v>
      </c>
      <c r="L507" s="70" t="s">
        <v>395</v>
      </c>
      <c r="M507" s="70" t="s">
        <v>1123</v>
      </c>
      <c r="N507" s="70" t="s">
        <v>1134</v>
      </c>
      <c r="O507" s="70" t="s">
        <v>1223</v>
      </c>
    </row>
    <row r="508" customFormat="false" ht="15" hidden="false" customHeight="true" outlineLevel="0" collapsed="false">
      <c r="A508" s="70"/>
      <c r="B508" s="70"/>
      <c r="C508" s="70"/>
      <c r="D508" s="70"/>
      <c r="E508" s="70"/>
      <c r="F508" s="70" t="s">
        <v>259</v>
      </c>
      <c r="G508" s="70" t="n">
        <f aca="false">COUNTIFS(Data!$B$2:$B$1833,$L508,Data!$C$2:$C$1833,$M508,Data!$D$2:$D$1833,$N508,Data!$E$2:$E$1833,$O508,Data!$F$2:$F$1833,$F508,Data!$H$2:$H$1833,1)</f>
        <v>0</v>
      </c>
      <c r="H508" s="70" t="s">
        <v>624</v>
      </c>
      <c r="I508" s="31" t="s">
        <v>624</v>
      </c>
      <c r="J508" s="31" t="s">
        <v>624</v>
      </c>
      <c r="L508" s="70" t="s">
        <v>395</v>
      </c>
      <c r="M508" s="70" t="s">
        <v>1123</v>
      </c>
      <c r="N508" s="70" t="s">
        <v>1134</v>
      </c>
      <c r="O508" s="70" t="s">
        <v>1223</v>
      </c>
    </row>
    <row r="509" customFormat="false" ht="32.25" hidden="false" customHeight="true" outlineLevel="0" collapsed="false">
      <c r="A509" s="70"/>
      <c r="B509" s="70"/>
      <c r="C509" s="70"/>
      <c r="D509" s="70"/>
      <c r="E509" s="70"/>
      <c r="F509" s="70" t="s">
        <v>36</v>
      </c>
      <c r="G509" s="70" t="n">
        <f aca="false">COUNTIFS(Data!$B$2:$B$1833,$L509,Data!$C$2:$C$1833,$M509,Data!$D$2:$D$1833,$N509,Data!$E$2:$E$1833,$O509,Data!$F$2:$F$1833,$F509,Data!$H$2:$H$1833,1)</f>
        <v>1</v>
      </c>
      <c r="H509" s="70" t="n">
        <v>855</v>
      </c>
      <c r="I509" s="31" t="str">
        <f aca="false">INDEX(Data!$G$2:$G$1833,MATCH($H509,Data!$A$2:$A$1833,0))</f>
        <v>Can provide oral translation (into Language B) of complex texts (written in Language A) containing information and arguments on subjects within their fields of professional, academic and personal interest.</v>
      </c>
      <c r="J509" s="71" t="s">
        <v>2852</v>
      </c>
      <c r="L509" s="70" t="s">
        <v>395</v>
      </c>
      <c r="M509" s="70" t="s">
        <v>1123</v>
      </c>
      <c r="N509" s="70" t="s">
        <v>1134</v>
      </c>
      <c r="O509" s="70" t="s">
        <v>1223</v>
      </c>
    </row>
    <row r="510" customFormat="false" ht="32.25" hidden="false" customHeight="true" outlineLevel="0" collapsed="false">
      <c r="A510" s="70"/>
      <c r="B510" s="70"/>
      <c r="C510" s="70"/>
      <c r="D510" s="70"/>
      <c r="E510" s="70"/>
      <c r="F510" s="70" t="s">
        <v>74</v>
      </c>
      <c r="G510" s="70" t="n">
        <f aca="false">COUNTIFS(Data!$B$2:$B$1833,$L510,Data!$C$2:$C$1833,$M510,Data!$D$2:$D$1833,$N510,Data!$E$2:$E$1833,$O510,Data!$F$2:$F$1833,$F510,Data!$H$2:$H$1833,1)</f>
        <v>1</v>
      </c>
      <c r="H510" s="70" t="n">
        <v>854</v>
      </c>
      <c r="I510" s="31" t="str">
        <f aca="false">INDEX(Data!$G$2:$G$1833,MATCH($H510,Data!$A$2:$A$1833,0))</f>
        <v>Can provide fluent oral translation (into Language B) of complex texts (written in Language A) on a wide range of general and specialised topics, capturing most nuances.</v>
      </c>
      <c r="J510" s="71" t="s">
        <v>2853</v>
      </c>
      <c r="L510" s="70" t="s">
        <v>395</v>
      </c>
      <c r="M510" s="70" t="s">
        <v>1123</v>
      </c>
      <c r="N510" s="70" t="s">
        <v>1134</v>
      </c>
      <c r="O510" s="70" t="s">
        <v>1223</v>
      </c>
    </row>
    <row r="511" customFormat="false" ht="42.75" hidden="false" customHeight="true" outlineLevel="0" collapsed="false">
      <c r="A511" s="70"/>
      <c r="B511" s="70"/>
      <c r="C511" s="70"/>
      <c r="D511" s="70"/>
      <c r="E511" s="70"/>
      <c r="F511" s="70" t="s">
        <v>331</v>
      </c>
      <c r="G511" s="70" t="n">
        <f aca="false">COUNTIFS(Data!$B$2:$B$1833,$L511,Data!$C$2:$C$1833,$M511,Data!$D$2:$D$1833,$N511,Data!$E$2:$E$1833,$O511,Data!$F$2:$F$1833,$F511,Data!$H$2:$H$1833,1)</f>
        <v>1</v>
      </c>
      <c r="H511" s="70" t="n">
        <v>853</v>
      </c>
      <c r="I511" s="31" t="str">
        <f aca="false">INDEX(Data!$G$2:$G$1833,MATCH($H511,Data!$A$2:$A$1833,0))</f>
        <v>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v>
      </c>
      <c r="J511" s="71" t="s">
        <v>2854</v>
      </c>
      <c r="L511" s="70" t="s">
        <v>395</v>
      </c>
      <c r="M511" s="70" t="s">
        <v>1123</v>
      </c>
      <c r="N511" s="70" t="s">
        <v>1134</v>
      </c>
      <c r="O511" s="70" t="s">
        <v>1223</v>
      </c>
    </row>
    <row r="512" customFormat="false" ht="15" hidden="false" customHeight="true" outlineLevel="0" collapsed="false">
      <c r="A512" s="73" t="str">
        <f aca="false">IFERROR(INDEX(対訳マスタ!$C$2:$C$136,MATCH($L512,対訳マスタ!$B$2:$B$136,0)),$L512)</f>
        <v>コミュニケーション言語活動</v>
      </c>
      <c r="B512" s="73" t="str">
        <f aca="false">IF($M512="—","—",IFERROR(INDEX(対訳マスタ!$C$2:$C$136,MATCH($M512,対訳マスタ!$B$2:$B$136,0)),$M512))</f>
        <v>仲介</v>
      </c>
      <c r="C512" s="73" t="str">
        <f aca="false">IF($N512="—","—",IFERROR(INDEX(対訳マスタ!$C$2:$C$136,MATCH($N512,対訳マスタ!$B$2:$B$136,0)),$N512))</f>
        <v>テキストの仲介</v>
      </c>
      <c r="D512" s="73" t="str">
        <f aca="false">IFERROR(INDEX(対訳マスタ!$C$2:$C$136,MATCH($O512,対訳マスタ!$B$2:$B$136,0)),$O512)</f>
        <v>書かれたテキストの翻訳（文章）</v>
      </c>
      <c r="E512" s="73" t="s">
        <v>1233</v>
      </c>
      <c r="F512" s="73" t="s">
        <v>86</v>
      </c>
      <c r="G512" s="73" t="n">
        <f aca="false">COUNTIFS(Data!$B$2:$B$1833,$L512,Data!$C$2:$C$1833,$M512,Data!$D$2:$D$1833,$N512,Data!$E$2:$E$1833,$O512,Data!$F$2:$F$1833,$F512,Data!$H$2:$H$1833,1)</f>
        <v>0</v>
      </c>
      <c r="H512" s="73" t="s">
        <v>624</v>
      </c>
      <c r="I512" s="74" t="s">
        <v>624</v>
      </c>
      <c r="J512" s="74" t="s">
        <v>624</v>
      </c>
      <c r="L512" s="70" t="s">
        <v>395</v>
      </c>
      <c r="M512" s="70" t="s">
        <v>1123</v>
      </c>
      <c r="N512" s="70" t="s">
        <v>1134</v>
      </c>
      <c r="O512" s="70" t="s">
        <v>1233</v>
      </c>
    </row>
    <row r="513" customFormat="false" ht="32.25" hidden="false" customHeight="true" outlineLevel="0" collapsed="false">
      <c r="A513" s="75"/>
      <c r="B513" s="75"/>
      <c r="C513" s="75"/>
      <c r="D513" s="75"/>
      <c r="E513" s="75"/>
      <c r="F513" s="75" t="s">
        <v>101</v>
      </c>
      <c r="G513" s="75" t="n">
        <f aca="false">COUNTIFS(Data!$B$2:$B$1833,$L513,Data!$C$2:$C$1833,$M513,Data!$D$2:$D$1833,$N513,Data!$E$2:$E$1833,$O513,Data!$F$2:$F$1833,$F513,Data!$H$2:$H$1833,1)</f>
        <v>1</v>
      </c>
      <c r="H513" s="75" t="n">
        <v>870</v>
      </c>
      <c r="I513" s="76" t="str">
        <f aca="false">INDEX(Data!$G$2:$G$1833,MATCH($H513,Data!$A$2:$A$1833,0))</f>
        <v>Can, with the help of a dictionary, translate simple words/signs and phrases (from Language A into Language B), but may not always select the appropriate meaning.</v>
      </c>
      <c r="J513" s="77" t="s">
        <v>2855</v>
      </c>
      <c r="L513" s="70" t="s">
        <v>395</v>
      </c>
      <c r="M513" s="70" t="s">
        <v>1123</v>
      </c>
      <c r="N513" s="70" t="s">
        <v>1134</v>
      </c>
      <c r="O513" s="70" t="s">
        <v>1233</v>
      </c>
    </row>
    <row r="514" customFormat="false" ht="42.75" hidden="false" customHeight="true" outlineLevel="0" collapsed="false">
      <c r="A514" s="75"/>
      <c r="B514" s="75"/>
      <c r="C514" s="75"/>
      <c r="D514" s="75"/>
      <c r="E514" s="75"/>
      <c r="F514" s="75" t="s">
        <v>13</v>
      </c>
      <c r="G514" s="75" t="n">
        <f aca="false">COUNTIFS(Data!$B$2:$B$1833,$L514,Data!$C$2:$C$1833,$M514,Data!$D$2:$D$1833,$N514,Data!$E$2:$E$1833,$O514,Data!$F$2:$F$1833,$F514,Data!$H$2:$H$1833,1)</f>
        <v>1</v>
      </c>
      <c r="H514" s="75" t="n">
        <v>869</v>
      </c>
      <c r="I514" s="76" t="str">
        <f aca="false">INDEX(Data!$G$2:$G$1833,MATCH($H514,Data!$A$2:$A$1833,0))</f>
        <v>Can use simple language to provide an approximate translation (from Language A into Language B) of very short texts on familiar and everyday themes that contain the highest frequency vocabulary; despite errors, the translation remains comprehensible.</v>
      </c>
      <c r="J514" s="77" t="s">
        <v>2856</v>
      </c>
      <c r="L514" s="70" t="s">
        <v>395</v>
      </c>
      <c r="M514" s="70" t="s">
        <v>1123</v>
      </c>
      <c r="N514" s="70" t="s">
        <v>1134</v>
      </c>
      <c r="O514" s="70" t="s">
        <v>1233</v>
      </c>
    </row>
    <row r="515" customFormat="false" ht="15" hidden="false" customHeight="true" outlineLevel="0" collapsed="false">
      <c r="A515" s="75"/>
      <c r="B515" s="75"/>
      <c r="C515" s="75"/>
      <c r="D515" s="75"/>
      <c r="E515" s="75"/>
      <c r="F515" s="75" t="s">
        <v>123</v>
      </c>
      <c r="G515" s="75" t="n">
        <f aca="false">COUNTIFS(Data!$B$2:$B$1833,$L515,Data!$C$2:$C$1833,$M515,Data!$D$2:$D$1833,$N515,Data!$E$2:$E$1833,$O515,Data!$F$2:$F$1833,$F515,Data!$H$2:$H$1833,1)</f>
        <v>0</v>
      </c>
      <c r="H515" s="75" t="s">
        <v>624</v>
      </c>
      <c r="I515" s="76" t="s">
        <v>624</v>
      </c>
      <c r="J515" s="76" t="s">
        <v>624</v>
      </c>
      <c r="L515" s="70" t="s">
        <v>395</v>
      </c>
      <c r="M515" s="70" t="s">
        <v>1123</v>
      </c>
      <c r="N515" s="70" t="s">
        <v>1134</v>
      </c>
      <c r="O515" s="70" t="s">
        <v>1233</v>
      </c>
    </row>
    <row r="516" customFormat="false" ht="32.25" hidden="false" customHeight="true" outlineLevel="0" collapsed="false">
      <c r="A516" s="75"/>
      <c r="B516" s="75"/>
      <c r="C516" s="75"/>
      <c r="D516" s="75"/>
      <c r="E516" s="75"/>
      <c r="F516" s="75" t="s">
        <v>21</v>
      </c>
      <c r="G516" s="75" t="n">
        <f aca="false">COUNTIFS(Data!$B$2:$B$1833,$L516,Data!$C$2:$C$1833,$M516,Data!$D$2:$D$1833,$N516,Data!$E$2:$E$1833,$O516,Data!$F$2:$F$1833,$F516,Data!$H$2:$H$1833,1)</f>
        <v>1</v>
      </c>
      <c r="H516" s="75" t="n">
        <v>868</v>
      </c>
      <c r="I516" s="76" t="str">
        <f aca="false">INDEX(Data!$G$2:$G$1833,MATCH($H516,Data!$A$2:$A$1833,0))</f>
        <v>Can produce approximate translations (from Language A into Language B) of information contained in short, factual texts written in uncomplicated, standard language; despite errors, the translation remains comprehensible.</v>
      </c>
      <c r="J516" s="77" t="s">
        <v>2857</v>
      </c>
      <c r="L516" s="70" t="s">
        <v>395</v>
      </c>
      <c r="M516" s="70" t="s">
        <v>1123</v>
      </c>
      <c r="N516" s="70" t="s">
        <v>1134</v>
      </c>
      <c r="O516" s="70" t="s">
        <v>1233</v>
      </c>
    </row>
    <row r="517" customFormat="false" ht="42.75" hidden="false" customHeight="true" outlineLevel="0" collapsed="false">
      <c r="A517" s="75"/>
      <c r="B517" s="75"/>
      <c r="C517" s="75"/>
      <c r="D517" s="75"/>
      <c r="E517" s="75"/>
      <c r="F517" s="75" t="s">
        <v>52</v>
      </c>
      <c r="G517" s="75" t="n">
        <f aca="false">COUNTIFS(Data!$B$2:$B$1833,$L517,Data!$C$2:$C$1833,$M517,Data!$D$2:$D$1833,$N517,Data!$E$2:$E$1833,$O517,Data!$F$2:$F$1833,$F517,Data!$H$2:$H$1833,1)</f>
        <v>1</v>
      </c>
      <c r="H517" s="75" t="n">
        <v>867</v>
      </c>
      <c r="I517" s="76" t="str">
        <f aca="false">INDEX(Data!$G$2:$G$1833,MATCH($H517,Data!$A$2:$A$1833,0))</f>
        <v>Can produce approximate translations (from Language A into Language B) of straightforward, factual texts that are written in uncomplicated, standard language, closely following the structure of the original; although linguistic errors may occur, the translation remains comprehensible.</v>
      </c>
      <c r="J517" s="77" t="s">
        <v>2858</v>
      </c>
      <c r="L517" s="70" t="s">
        <v>395</v>
      </c>
      <c r="M517" s="70" t="s">
        <v>1123</v>
      </c>
      <c r="N517" s="70" t="s">
        <v>1134</v>
      </c>
      <c r="O517" s="70" t="s">
        <v>1233</v>
      </c>
    </row>
    <row r="518" customFormat="false" ht="42.75" hidden="false" customHeight="true" outlineLevel="0" collapsed="false">
      <c r="A518" s="75"/>
      <c r="B518" s="75"/>
      <c r="C518" s="75"/>
      <c r="D518" s="75"/>
      <c r="E518" s="75"/>
      <c r="F518" s="75" t="s">
        <v>259</v>
      </c>
      <c r="G518" s="75" t="n">
        <f aca="false">COUNTIFS(Data!$B$2:$B$1833,$L518,Data!$C$2:$C$1833,$M518,Data!$D$2:$D$1833,$N518,Data!$E$2:$E$1833,$O518,Data!$F$2:$F$1833,$F518,Data!$H$2:$H$1833,1)</f>
        <v>1</v>
      </c>
      <c r="H518" s="75" t="n">
        <v>866</v>
      </c>
      <c r="I518" s="76" t="str">
        <f aca="false">INDEX(Data!$G$2:$G$1833,MATCH($H518,Data!$A$2:$A$1833,0))</f>
        <v>Can produce translations (into Language B) that closely follow the sentence and paragraph structure of the original text (in Language A), conveying the main points of the source text accurately, though the translation may read awkwardly.</v>
      </c>
      <c r="J518" s="77" t="s">
        <v>2859</v>
      </c>
      <c r="L518" s="70" t="s">
        <v>395</v>
      </c>
      <c r="M518" s="70" t="s">
        <v>1123</v>
      </c>
      <c r="N518" s="70" t="s">
        <v>1134</v>
      </c>
      <c r="O518" s="70" t="s">
        <v>1233</v>
      </c>
    </row>
    <row r="519" customFormat="false" ht="39" hidden="false" customHeight="true" outlineLevel="0" collapsed="false">
      <c r="A519" s="75"/>
      <c r="B519" s="75"/>
      <c r="C519" s="75"/>
      <c r="D519" s="75"/>
      <c r="E519" s="75"/>
      <c r="F519" s="75" t="s">
        <v>36</v>
      </c>
      <c r="G519" s="75" t="n">
        <f aca="false">COUNTIFS(Data!$B$2:$B$1833,$L519,Data!$C$2:$C$1833,$M519,Data!$D$2:$D$1833,$N519,Data!$E$2:$E$1833,$O519,Data!$F$2:$F$1833,$F519,Data!$H$2:$H$1833,1)</f>
        <v>1</v>
      </c>
      <c r="H519" s="75" t="n">
        <v>865</v>
      </c>
      <c r="I519" s="76" t="str">
        <f aca="false">INDEX(Data!$G$2:$G$1833,MATCH($H519,Data!$A$2:$A$1833,0))</f>
        <v>Can produce clearly organised translations (from Language A into Language B) that reflect normal language usage but may be over-influenced by the order, paragraphing, punctuation and particular formulations of the original.</v>
      </c>
      <c r="J519" s="77" t="s">
        <v>2860</v>
      </c>
      <c r="L519" s="70" t="s">
        <v>395</v>
      </c>
      <c r="M519" s="70" t="s">
        <v>1123</v>
      </c>
      <c r="N519" s="70" t="s">
        <v>1134</v>
      </c>
      <c r="O519" s="70" t="s">
        <v>1233</v>
      </c>
    </row>
    <row r="520" customFormat="false" ht="53.25" hidden="false" customHeight="true" outlineLevel="0" collapsed="false">
      <c r="A520" s="75"/>
      <c r="B520" s="75"/>
      <c r="C520" s="75"/>
      <c r="D520" s="75"/>
      <c r="E520" s="75"/>
      <c r="F520" s="75" t="s">
        <v>74</v>
      </c>
      <c r="G520" s="75" t="n">
        <f aca="false">COUNTIFS(Data!$B$2:$B$1833,$L520,Data!$C$2:$C$1833,$M520,Data!$D$2:$D$1833,$N520,Data!$E$2:$E$1833,$O520,Data!$F$2:$F$1833,$F520,Data!$H$2:$H$1833,1)</f>
        <v>1</v>
      </c>
      <c r="H520" s="75" t="n">
        <v>864</v>
      </c>
      <c r="I520" s="76" t="str">
        <f aca="false">INDEX(Data!$G$2:$G$1833,MATCH($H520,Data!$A$2:$A$1833,0))</f>
        <v>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v>
      </c>
      <c r="J520" s="77" t="s">
        <v>2861</v>
      </c>
      <c r="L520" s="70" t="s">
        <v>395</v>
      </c>
      <c r="M520" s="70" t="s">
        <v>1123</v>
      </c>
      <c r="N520" s="70" t="s">
        <v>1134</v>
      </c>
      <c r="O520" s="70" t="s">
        <v>1233</v>
      </c>
    </row>
    <row r="521" customFormat="false" ht="32.25" hidden="false" customHeight="true" outlineLevel="0" collapsed="false">
      <c r="A521" s="75"/>
      <c r="B521" s="75"/>
      <c r="C521" s="75"/>
      <c r="D521" s="75"/>
      <c r="E521" s="75"/>
      <c r="F521" s="75" t="s">
        <v>331</v>
      </c>
      <c r="G521" s="75" t="n">
        <f aca="false">COUNTIFS(Data!$B$2:$B$1833,$L521,Data!$C$2:$C$1833,$M521,Data!$D$2:$D$1833,$N521,Data!$E$2:$E$1833,$O521,Data!$F$2:$F$1833,$F521,Data!$H$2:$H$1833,1)</f>
        <v>1</v>
      </c>
      <c r="H521" s="75" t="n">
        <v>863</v>
      </c>
      <c r="I521" s="76" t="str">
        <f aca="false">INDEX(Data!$G$2:$G$1833,MATCH($H521,Data!$A$2:$A$1833,0))</f>
        <v>Can translate (into Language B) technical material outside their field of specialisation (written in Language A), provided subject matter accuracy is checked by a specialist in the field concerned.</v>
      </c>
      <c r="J521" s="77" t="s">
        <v>2862</v>
      </c>
      <c r="L521" s="70" t="s">
        <v>395</v>
      </c>
      <c r="M521" s="70" t="s">
        <v>1123</v>
      </c>
      <c r="N521" s="70" t="s">
        <v>1134</v>
      </c>
      <c r="O521" s="70" t="s">
        <v>1233</v>
      </c>
    </row>
    <row r="522" customFormat="false" ht="15" hidden="false" customHeight="true" outlineLevel="0" collapsed="false">
      <c r="A522" s="67" t="str">
        <f aca="false">IFERROR(INDEX(対訳マスタ!$C$2:$C$136,MATCH($L522,対訳マスタ!$B$2:$B$136,0)),$L522)</f>
        <v>コミュニケーション言語活動</v>
      </c>
      <c r="B522" s="67" t="str">
        <f aca="false">IF($M522="—","—",IFERROR(INDEX(対訳マスタ!$C$2:$C$136,MATCH($M522,対訳マスタ!$B$2:$B$136,0)),$M522))</f>
        <v>仲介</v>
      </c>
      <c r="C522" s="67" t="str">
        <f aca="false">IF($N522="—","—",IFERROR(INDEX(対訳マスタ!$C$2:$C$136,MATCH($N522,対訳マスタ!$B$2:$B$136,0)),$N522))</f>
        <v>テキストの仲介</v>
      </c>
      <c r="D522" s="67" t="str">
        <f aca="false">IFERROR(INDEX(対訳マスタ!$C$2:$C$136,MATCH($O522,対訳マスタ!$B$2:$B$136,0)),$O522)</f>
        <v>ノートテイキング（講義・会議など）</v>
      </c>
      <c r="E522" s="67" t="s">
        <v>1242</v>
      </c>
      <c r="F522" s="67" t="s">
        <v>86</v>
      </c>
      <c r="G522" s="67" t="n">
        <f aca="false">COUNTIFS(Data!$B$2:$B$1833,$L522,Data!$C$2:$C$1833,$M522,Data!$D$2:$D$1833,$N522,Data!$E$2:$E$1833,$O522,Data!$F$2:$F$1833,$F522,Data!$H$2:$H$1833,1)</f>
        <v>0</v>
      </c>
      <c r="H522" s="67" t="s">
        <v>624</v>
      </c>
      <c r="I522" s="68" t="s">
        <v>624</v>
      </c>
      <c r="J522" s="68" t="s">
        <v>624</v>
      </c>
      <c r="L522" s="70" t="s">
        <v>395</v>
      </c>
      <c r="M522" s="70" t="s">
        <v>1123</v>
      </c>
      <c r="N522" s="70" t="s">
        <v>1134</v>
      </c>
      <c r="O522" s="70" t="s">
        <v>1242</v>
      </c>
    </row>
    <row r="523" customFormat="false" ht="15" hidden="false" customHeight="true" outlineLevel="0" collapsed="false">
      <c r="A523" s="70"/>
      <c r="B523" s="70"/>
      <c r="C523" s="70"/>
      <c r="D523" s="70"/>
      <c r="E523" s="70"/>
      <c r="F523" s="70" t="s">
        <v>101</v>
      </c>
      <c r="G523" s="70" t="n">
        <f aca="false">COUNTIFS(Data!$B$2:$B$1833,$L523,Data!$C$2:$C$1833,$M523,Data!$D$2:$D$1833,$N523,Data!$E$2:$E$1833,$O523,Data!$F$2:$F$1833,$F523,Data!$H$2:$H$1833,1)</f>
        <v>0</v>
      </c>
      <c r="H523" s="70" t="s">
        <v>624</v>
      </c>
      <c r="I523" s="31" t="s">
        <v>624</v>
      </c>
      <c r="J523" s="31" t="s">
        <v>624</v>
      </c>
      <c r="L523" s="70" t="s">
        <v>395</v>
      </c>
      <c r="M523" s="70" t="s">
        <v>1123</v>
      </c>
      <c r="N523" s="70" t="s">
        <v>1134</v>
      </c>
      <c r="O523" s="70" t="s">
        <v>1242</v>
      </c>
    </row>
    <row r="524" customFormat="false" ht="32.25" hidden="false" customHeight="true" outlineLevel="0" collapsed="false">
      <c r="A524" s="70"/>
      <c r="B524" s="70"/>
      <c r="C524" s="70"/>
      <c r="D524" s="70"/>
      <c r="E524" s="70"/>
      <c r="F524" s="70" t="s">
        <v>13</v>
      </c>
      <c r="G524" s="70" t="n">
        <f aca="false">COUNTIFS(Data!$B$2:$B$1833,$L524,Data!$C$2:$C$1833,$M524,Data!$D$2:$D$1833,$N524,Data!$E$2:$E$1833,$O524,Data!$F$2:$F$1833,$F524,Data!$H$2:$H$1833,1)</f>
        <v>1</v>
      </c>
      <c r="H524" s="70" t="n">
        <v>883</v>
      </c>
      <c r="I524" s="31" t="str">
        <f aca="false">INDEX(Data!$G$2:$G$1833,MATCH($H524,Data!$A$2:$A$1833,0))</f>
        <v>Can take simple notes at a presentation/demonstration where the subject matter is familiar and predictable and the presenter allows for clarification and note-taking.</v>
      </c>
      <c r="J524" s="71" t="s">
        <v>2863</v>
      </c>
      <c r="L524" s="70" t="s">
        <v>395</v>
      </c>
      <c r="M524" s="70" t="s">
        <v>1123</v>
      </c>
      <c r="N524" s="70" t="s">
        <v>1134</v>
      </c>
      <c r="O524" s="70" t="s">
        <v>1242</v>
      </c>
    </row>
    <row r="525" customFormat="false" ht="15" hidden="false" customHeight="true" outlineLevel="0" collapsed="false">
      <c r="A525" s="70"/>
      <c r="B525" s="70"/>
      <c r="C525" s="70"/>
      <c r="D525" s="70"/>
      <c r="E525" s="70"/>
      <c r="F525" s="70" t="s">
        <v>123</v>
      </c>
      <c r="G525" s="70" t="n">
        <f aca="false">COUNTIFS(Data!$B$2:$B$1833,$L525,Data!$C$2:$C$1833,$M525,Data!$D$2:$D$1833,$N525,Data!$E$2:$E$1833,$O525,Data!$F$2:$F$1833,$F525,Data!$H$2:$H$1833,1)</f>
        <v>0</v>
      </c>
      <c r="H525" s="70" t="s">
        <v>624</v>
      </c>
      <c r="I525" s="31" t="s">
        <v>624</v>
      </c>
      <c r="J525" s="31" t="s">
        <v>624</v>
      </c>
      <c r="L525" s="70" t="s">
        <v>395</v>
      </c>
      <c r="M525" s="70" t="s">
        <v>1123</v>
      </c>
      <c r="N525" s="70" t="s">
        <v>1134</v>
      </c>
      <c r="O525" s="70" t="s">
        <v>1242</v>
      </c>
    </row>
    <row r="526" customFormat="false" ht="32.25" hidden="false" customHeight="true" outlineLevel="0" collapsed="false">
      <c r="A526" s="70"/>
      <c r="B526" s="70"/>
      <c r="C526" s="70"/>
      <c r="D526" s="70"/>
      <c r="E526" s="70"/>
      <c r="F526" s="70" t="s">
        <v>21</v>
      </c>
      <c r="G526" s="70" t="n">
        <f aca="false">COUNTIFS(Data!$B$2:$B$1833,$L526,Data!$C$2:$C$1833,$M526,Data!$D$2:$D$1833,$N526,Data!$E$2:$E$1833,$O526,Data!$F$2:$F$1833,$F526,Data!$H$2:$H$1833,1)</f>
        <v>2</v>
      </c>
      <c r="H526" s="70" t="n">
        <v>882</v>
      </c>
      <c r="I526" s="31" t="str">
        <f aca="false">INDEX(Data!$G$2:$G$1833,MATCH($H526,Data!$A$2:$A$1833,0))</f>
        <v>Can note down routine instructions in a meeting on a familiar subject, provided these are formulated in simple language and they are given sufficient time to do so.</v>
      </c>
      <c r="J526" s="71" t="s">
        <v>2864</v>
      </c>
      <c r="L526" s="70" t="s">
        <v>395</v>
      </c>
      <c r="M526" s="70" t="s">
        <v>1123</v>
      </c>
      <c r="N526" s="70" t="s">
        <v>1134</v>
      </c>
      <c r="O526" s="70" t="s">
        <v>1242</v>
      </c>
    </row>
    <row r="527" customFormat="false" ht="32.25" hidden="false" customHeight="true" outlineLevel="0" collapsed="false">
      <c r="A527" s="70"/>
      <c r="B527" s="70"/>
      <c r="C527" s="70"/>
      <c r="D527" s="70"/>
      <c r="E527" s="70"/>
      <c r="F527" s="70" t="s">
        <v>52</v>
      </c>
      <c r="G527" s="70" t="n">
        <f aca="false">COUNTIFS(Data!$B$2:$B$1833,$L527,Data!$C$2:$C$1833,$M527,Data!$D$2:$D$1833,$N527,Data!$E$2:$E$1833,$O527,Data!$F$2:$F$1833,$F527,Data!$H$2:$H$1833,1)</f>
        <v>1</v>
      </c>
      <c r="H527" s="70" t="n">
        <v>880</v>
      </c>
      <c r="I527" s="31" t="str">
        <f aca="false">INDEX(Data!$G$2:$G$1833,MATCH($H527,Data!$A$2:$A$1833,0))</f>
        <v>Can take notes during a lecture which are precise enough for their own use at a later date, provided the topic is within their field of interest and the lecture is clear and well structured.</v>
      </c>
      <c r="J527" s="71" t="s">
        <v>2865</v>
      </c>
      <c r="L527" s="70" t="s">
        <v>395</v>
      </c>
      <c r="M527" s="70" t="s">
        <v>1123</v>
      </c>
      <c r="N527" s="70" t="s">
        <v>1134</v>
      </c>
      <c r="O527" s="70" t="s">
        <v>1242</v>
      </c>
    </row>
    <row r="528" customFormat="false" ht="26.25" hidden="false" customHeight="true" outlineLevel="0" collapsed="false">
      <c r="A528" s="70"/>
      <c r="B528" s="70"/>
      <c r="C528" s="70"/>
      <c r="D528" s="70"/>
      <c r="E528" s="70"/>
      <c r="F528" s="70" t="s">
        <v>259</v>
      </c>
      <c r="G528" s="70" t="n">
        <f aca="false">COUNTIFS(Data!$B$2:$B$1833,$L528,Data!$C$2:$C$1833,$M528,Data!$D$2:$D$1833,$N528,Data!$E$2:$E$1833,$O528,Data!$F$2:$F$1833,$F528,Data!$H$2:$H$1833,1)</f>
        <v>2</v>
      </c>
      <c r="H528" s="70" t="n">
        <v>879</v>
      </c>
      <c r="I528" s="31" t="str">
        <f aca="false">INDEX(Data!$G$2:$G$1833,MATCH($H528,Data!$A$2:$A$1833,0))</f>
        <v>Can take accurate notes in meetings and seminars on most matters likely to arise within their field of interest.</v>
      </c>
      <c r="J528" s="71" t="s">
        <v>2866</v>
      </c>
      <c r="L528" s="70" t="s">
        <v>395</v>
      </c>
      <c r="M528" s="70" t="s">
        <v>1123</v>
      </c>
      <c r="N528" s="70" t="s">
        <v>1134</v>
      </c>
      <c r="O528" s="70" t="s">
        <v>1242</v>
      </c>
    </row>
    <row r="529" customFormat="false" ht="15" hidden="false" customHeight="true" outlineLevel="0" collapsed="false">
      <c r="A529" s="70"/>
      <c r="B529" s="70"/>
      <c r="C529" s="70"/>
      <c r="D529" s="70"/>
      <c r="E529" s="70"/>
      <c r="F529" s="70" t="s">
        <v>36</v>
      </c>
      <c r="G529" s="70" t="n">
        <f aca="false">COUNTIFS(Data!$B$2:$B$1833,$L529,Data!$C$2:$C$1833,$M529,Data!$D$2:$D$1833,$N529,Data!$E$2:$E$1833,$O529,Data!$F$2:$F$1833,$F529,Data!$H$2:$H$1833,1)</f>
        <v>0</v>
      </c>
      <c r="H529" s="70" t="s">
        <v>624</v>
      </c>
      <c r="I529" s="31" t="s">
        <v>624</v>
      </c>
      <c r="J529" s="31" t="s">
        <v>624</v>
      </c>
      <c r="L529" s="70" t="s">
        <v>395</v>
      </c>
      <c r="M529" s="70" t="s">
        <v>1123</v>
      </c>
      <c r="N529" s="70" t="s">
        <v>1134</v>
      </c>
      <c r="O529" s="70" t="s">
        <v>1242</v>
      </c>
    </row>
    <row r="530" customFormat="false" ht="26.25" hidden="false" customHeight="true" outlineLevel="0" collapsed="false">
      <c r="A530" s="70"/>
      <c r="B530" s="70"/>
      <c r="C530" s="70"/>
      <c r="D530" s="70"/>
      <c r="E530" s="70"/>
      <c r="F530" s="70" t="s">
        <v>74</v>
      </c>
      <c r="G530" s="70" t="n">
        <f aca="false">COUNTIFS(Data!$B$2:$B$1833,$L530,Data!$C$2:$C$1833,$M530,Data!$D$2:$D$1833,$N530,Data!$E$2:$E$1833,$O530,Data!$F$2:$F$1833,$F530,Data!$H$2:$H$1833,1)</f>
        <v>3</v>
      </c>
      <c r="H530" s="70" t="n">
        <v>876</v>
      </c>
      <c r="I530" s="31" t="str">
        <f aca="false">INDEX(Data!$G$2:$G$1833,MATCH($H530,Data!$A$2:$A$1833,0))</f>
        <v>Can make decisions about what to note down and what to omit as the lecture or seminar proceeds, even on unfamiliar matters.</v>
      </c>
      <c r="J530" s="71" t="s">
        <v>2867</v>
      </c>
      <c r="L530" s="70" t="s">
        <v>395</v>
      </c>
      <c r="M530" s="70" t="s">
        <v>1123</v>
      </c>
      <c r="N530" s="70" t="s">
        <v>1134</v>
      </c>
      <c r="O530" s="70" t="s">
        <v>1242</v>
      </c>
    </row>
    <row r="531" customFormat="false" ht="21.75" hidden="false" customHeight="true" outlineLevel="0" collapsed="false">
      <c r="A531" s="70"/>
      <c r="B531" s="70"/>
      <c r="C531" s="70"/>
      <c r="D531" s="70"/>
      <c r="E531" s="70"/>
      <c r="F531" s="70" t="s">
        <v>331</v>
      </c>
      <c r="G531" s="70" t="n">
        <f aca="false">COUNTIFS(Data!$B$2:$B$1833,$L531,Data!$C$2:$C$1833,$M531,Data!$D$2:$D$1833,$N531,Data!$E$2:$E$1833,$O531,Data!$F$2:$F$1833,$F531,Data!$H$2:$H$1833,1)</f>
        <v>3</v>
      </c>
      <c r="H531" s="70" t="n">
        <v>873</v>
      </c>
      <c r="I531" s="31" t="str">
        <f aca="false">INDEX(Data!$G$2:$G$1833,MATCH($H531,Data!$A$2:$A$1833,0))</f>
        <v>Is aware of the implications and allusions of what is said and can take notes on them as well as on the actual words used.</v>
      </c>
      <c r="J531" s="71" t="s">
        <v>2868</v>
      </c>
      <c r="L531" s="70" t="s">
        <v>395</v>
      </c>
      <c r="M531" s="70" t="s">
        <v>1123</v>
      </c>
      <c r="N531" s="70" t="s">
        <v>1134</v>
      </c>
      <c r="O531" s="70" t="s">
        <v>1242</v>
      </c>
    </row>
    <row r="532" customFormat="false" ht="15" hidden="false" customHeight="true" outlineLevel="0" collapsed="false">
      <c r="A532" s="73" t="str">
        <f aca="false">IFERROR(INDEX(対訳マスタ!$C$2:$C$136,MATCH($L532,対訳マスタ!$B$2:$B$136,0)),$L532)</f>
        <v>コミュニケーション言語活動</v>
      </c>
      <c r="B532" s="73" t="str">
        <f aca="false">IF($M532="—","—",IFERROR(INDEX(対訳マスタ!$C$2:$C$136,MATCH($M532,対訳マスタ!$B$2:$B$136,0)),$M532))</f>
        <v>仲介</v>
      </c>
      <c r="C532" s="73" t="str">
        <f aca="false">IF($N532="—","—",IFERROR(INDEX(対訳マスタ!$C$2:$C$136,MATCH($N532,対訳マスタ!$B$2:$B$136,0)),$N532))</f>
        <v>テキストの仲介</v>
      </c>
      <c r="D532" s="73" t="str">
        <f aca="false">IFERROR(INDEX(対訳マスタ!$C$2:$C$136,MATCH($O532,対訳マスタ!$B$2:$B$136,0)),$O532)</f>
        <v>創作テキストへの個人的な反応の表現</v>
      </c>
      <c r="E532" s="73" t="s">
        <v>1255</v>
      </c>
      <c r="F532" s="73" t="s">
        <v>86</v>
      </c>
      <c r="G532" s="73" t="n">
        <f aca="false">COUNTIFS(Data!$B$2:$B$1833,$L532,Data!$C$2:$C$1833,$M532,Data!$D$2:$D$1833,$N532,Data!$E$2:$E$1833,$O532,Data!$F$2:$F$1833,$F532,Data!$H$2:$H$1833,1)</f>
        <v>0</v>
      </c>
      <c r="H532" s="73" t="s">
        <v>624</v>
      </c>
      <c r="I532" s="74" t="s">
        <v>624</v>
      </c>
      <c r="J532" s="74" t="s">
        <v>624</v>
      </c>
      <c r="L532" s="70" t="s">
        <v>395</v>
      </c>
      <c r="M532" s="70" t="s">
        <v>1123</v>
      </c>
      <c r="N532" s="70" t="s">
        <v>1134</v>
      </c>
      <c r="O532" s="70" t="s">
        <v>1255</v>
      </c>
    </row>
    <row r="533" customFormat="false" ht="15" hidden="false" customHeight="true" outlineLevel="0" collapsed="false">
      <c r="A533" s="75"/>
      <c r="B533" s="75"/>
      <c r="C533" s="75"/>
      <c r="D533" s="75"/>
      <c r="E533" s="75"/>
      <c r="F533" s="75" t="s">
        <v>101</v>
      </c>
      <c r="G533" s="75" t="n">
        <f aca="false">COUNTIFS(Data!$B$2:$B$1833,$L533,Data!$C$2:$C$1833,$M533,Data!$D$2:$D$1833,$N533,Data!$E$2:$E$1833,$O533,Data!$F$2:$F$1833,$F533,Data!$H$2:$H$1833,1)</f>
        <v>1</v>
      </c>
      <c r="H533" s="75" t="n">
        <v>904</v>
      </c>
      <c r="I533" s="76" t="str">
        <f aca="false">INDEX(Data!$G$2:$G$1833,MATCH($H533,Data!$A$2:$A$1833,0))</f>
        <v>Can use simple words/signs to state how a work made them feel.</v>
      </c>
      <c r="J533" s="77" t="s">
        <v>2869</v>
      </c>
      <c r="L533" s="70" t="s">
        <v>395</v>
      </c>
      <c r="M533" s="70" t="s">
        <v>1123</v>
      </c>
      <c r="N533" s="70" t="s">
        <v>1134</v>
      </c>
      <c r="O533" s="70" t="s">
        <v>1255</v>
      </c>
    </row>
    <row r="534" customFormat="false" ht="21.75" hidden="false" customHeight="true" outlineLevel="0" collapsed="false">
      <c r="A534" s="75"/>
      <c r="B534" s="75"/>
      <c r="C534" s="75"/>
      <c r="D534" s="75"/>
      <c r="E534" s="75"/>
      <c r="F534" s="75" t="s">
        <v>13</v>
      </c>
      <c r="G534" s="75" t="n">
        <f aca="false">COUNTIFS(Data!$B$2:$B$1833,$L534,Data!$C$2:$C$1833,$M534,Data!$D$2:$D$1833,$N534,Data!$E$2:$E$1833,$O534,Data!$F$2:$F$1833,$F534,Data!$H$2:$H$1833,1)</f>
        <v>3</v>
      </c>
      <c r="H534" s="75" t="n">
        <v>903</v>
      </c>
      <c r="I534" s="76" t="str">
        <f aca="false">INDEX(Data!$G$2:$G$1833,MATCH($H534,Data!$A$2:$A$1833,0))</f>
        <v>Can state whether they liked a work or not and explain why in simple language.</v>
      </c>
      <c r="J534" s="77" t="s">
        <v>2870</v>
      </c>
      <c r="L534" s="70" t="s">
        <v>395</v>
      </c>
      <c r="M534" s="70" t="s">
        <v>1123</v>
      </c>
      <c r="N534" s="70" t="s">
        <v>1134</v>
      </c>
      <c r="O534" s="70" t="s">
        <v>1255</v>
      </c>
    </row>
    <row r="535" customFormat="false" ht="15" hidden="false" customHeight="true" outlineLevel="0" collapsed="false">
      <c r="A535" s="75"/>
      <c r="B535" s="75"/>
      <c r="C535" s="75"/>
      <c r="D535" s="75"/>
      <c r="E535" s="75"/>
      <c r="F535" s="75" t="s">
        <v>123</v>
      </c>
      <c r="G535" s="75" t="n">
        <f aca="false">COUNTIFS(Data!$B$2:$B$1833,$L535,Data!$C$2:$C$1833,$M535,Data!$D$2:$D$1833,$N535,Data!$E$2:$E$1833,$O535,Data!$F$2:$F$1833,$F535,Data!$H$2:$H$1833,1)</f>
        <v>0</v>
      </c>
      <c r="H535" s="75" t="s">
        <v>624</v>
      </c>
      <c r="I535" s="76" t="s">
        <v>624</v>
      </c>
      <c r="J535" s="76" t="s">
        <v>624</v>
      </c>
      <c r="L535" s="70" t="s">
        <v>395</v>
      </c>
      <c r="M535" s="70" t="s">
        <v>1123</v>
      </c>
      <c r="N535" s="70" t="s">
        <v>1134</v>
      </c>
      <c r="O535" s="70" t="s">
        <v>1255</v>
      </c>
    </row>
    <row r="536" customFormat="false" ht="15" hidden="false" customHeight="true" outlineLevel="0" collapsed="false">
      <c r="A536" s="75"/>
      <c r="B536" s="75"/>
      <c r="C536" s="75"/>
      <c r="D536" s="75"/>
      <c r="E536" s="75"/>
      <c r="F536" s="75" t="s">
        <v>21</v>
      </c>
      <c r="G536" s="75" t="n">
        <f aca="false">COUNTIFS(Data!$B$2:$B$1833,$L536,Data!$C$2:$C$1833,$M536,Data!$D$2:$D$1833,$N536,Data!$E$2:$E$1833,$O536,Data!$F$2:$F$1833,$F536,Data!$H$2:$H$1833,1)</f>
        <v>8</v>
      </c>
      <c r="H536" s="75" t="n">
        <v>899</v>
      </c>
      <c r="I536" s="76" t="str">
        <f aca="false">INDEX(Data!$G$2:$G$1833,MATCH($H536,Data!$A$2:$A$1833,0))</f>
        <v>Can describe the personality of a character.</v>
      </c>
      <c r="J536" s="77" t="s">
        <v>2871</v>
      </c>
      <c r="L536" s="70" t="s">
        <v>395</v>
      </c>
      <c r="M536" s="70" t="s">
        <v>1123</v>
      </c>
      <c r="N536" s="70" t="s">
        <v>1134</v>
      </c>
      <c r="O536" s="70" t="s">
        <v>1255</v>
      </c>
    </row>
    <row r="537" customFormat="false" ht="15" hidden="false" customHeight="true" outlineLevel="0" collapsed="false">
      <c r="A537" s="75"/>
      <c r="B537" s="75"/>
      <c r="C537" s="75"/>
      <c r="D537" s="75"/>
      <c r="E537" s="75"/>
      <c r="F537" s="75" t="s">
        <v>52</v>
      </c>
      <c r="G537" s="75" t="n">
        <f aca="false">COUNTIFS(Data!$B$2:$B$1833,$L537,Data!$C$2:$C$1833,$M537,Data!$D$2:$D$1833,$N537,Data!$E$2:$E$1833,$O537,Data!$F$2:$F$1833,$F537,Data!$H$2:$H$1833,1)</f>
        <v>0</v>
      </c>
      <c r="H537" s="75" t="s">
        <v>624</v>
      </c>
      <c r="I537" s="76" t="s">
        <v>624</v>
      </c>
      <c r="J537" s="76" t="s">
        <v>624</v>
      </c>
      <c r="L537" s="70" t="s">
        <v>395</v>
      </c>
      <c r="M537" s="70" t="s">
        <v>1123</v>
      </c>
      <c r="N537" s="70" t="s">
        <v>1134</v>
      </c>
      <c r="O537" s="70" t="s">
        <v>1255</v>
      </c>
    </row>
    <row r="538" customFormat="false" ht="26.25" hidden="false" customHeight="true" outlineLevel="0" collapsed="false">
      <c r="A538" s="75"/>
      <c r="B538" s="75"/>
      <c r="C538" s="75"/>
      <c r="D538" s="75"/>
      <c r="E538" s="75"/>
      <c r="F538" s="75" t="s">
        <v>259</v>
      </c>
      <c r="G538" s="75" t="n">
        <f aca="false">COUNTIFS(Data!$B$2:$B$1833,$L538,Data!$C$2:$C$1833,$M538,Data!$D$2:$D$1833,$N538,Data!$E$2:$E$1833,$O538,Data!$F$2:$F$1833,$F538,Data!$H$2:$H$1833,1)</f>
        <v>4</v>
      </c>
      <c r="H538" s="75" t="n">
        <v>891</v>
      </c>
      <c r="I538" s="76" t="str">
        <f aca="false">INDEX(Data!$G$2:$G$1833,MATCH($H538,Data!$A$2:$A$1833,0))</f>
        <v>Can describe their emotional response to a work and elaborate on the way in which it has evoked this response.</v>
      </c>
      <c r="J538" s="77" t="s">
        <v>2872</v>
      </c>
      <c r="L538" s="70" t="s">
        <v>395</v>
      </c>
      <c r="M538" s="70" t="s">
        <v>1123</v>
      </c>
      <c r="N538" s="70" t="s">
        <v>1134</v>
      </c>
      <c r="O538" s="70" t="s">
        <v>1255</v>
      </c>
    </row>
    <row r="539" customFormat="false" ht="15" hidden="false" customHeight="true" outlineLevel="0" collapsed="false">
      <c r="A539" s="75"/>
      <c r="B539" s="75"/>
      <c r="C539" s="75"/>
      <c r="D539" s="75"/>
      <c r="E539" s="75"/>
      <c r="F539" s="75" t="s">
        <v>36</v>
      </c>
      <c r="G539" s="75" t="n">
        <f aca="false">COUNTIFS(Data!$B$2:$B$1833,$L539,Data!$C$2:$C$1833,$M539,Data!$D$2:$D$1833,$N539,Data!$E$2:$E$1833,$O539,Data!$F$2:$F$1833,$F539,Data!$H$2:$H$1833,1)</f>
        <v>0</v>
      </c>
      <c r="H539" s="75" t="s">
        <v>624</v>
      </c>
      <c r="I539" s="76" t="s">
        <v>624</v>
      </c>
      <c r="J539" s="76" t="s">
        <v>624</v>
      </c>
      <c r="L539" s="70" t="s">
        <v>395</v>
      </c>
      <c r="M539" s="70" t="s">
        <v>1123</v>
      </c>
      <c r="N539" s="70" t="s">
        <v>1134</v>
      </c>
      <c r="O539" s="70" t="s">
        <v>1255</v>
      </c>
    </row>
    <row r="540" customFormat="false" ht="26.25" hidden="false" customHeight="true" outlineLevel="0" collapsed="false">
      <c r="A540" s="75"/>
      <c r="B540" s="75"/>
      <c r="C540" s="75"/>
      <c r="D540" s="75"/>
      <c r="E540" s="75"/>
      <c r="F540" s="75" t="s">
        <v>74</v>
      </c>
      <c r="G540" s="75" t="n">
        <f aca="false">COUNTIFS(Data!$B$2:$B$1833,$L540,Data!$C$2:$C$1833,$M540,Data!$D$2:$D$1833,$N540,Data!$E$2:$E$1833,$O540,Data!$F$2:$F$1833,$F540,Data!$H$2:$H$1833,1)</f>
        <v>2</v>
      </c>
      <c r="H540" s="75" t="n">
        <v>887</v>
      </c>
      <c r="I540" s="76" t="str">
        <f aca="false">INDEX(Data!$G$2:$G$1833,MATCH($H540,Data!$A$2:$A$1833,0))</f>
        <v>Can describe in detail a personal interpretation of a work, outlining their reactions to certain features and explaining their significance.</v>
      </c>
      <c r="J540" s="77" t="s">
        <v>2873</v>
      </c>
      <c r="L540" s="70" t="s">
        <v>395</v>
      </c>
      <c r="M540" s="70" t="s">
        <v>1123</v>
      </c>
      <c r="N540" s="70" t="s">
        <v>1134</v>
      </c>
      <c r="O540" s="70" t="s">
        <v>1255</v>
      </c>
    </row>
    <row r="541" customFormat="false" ht="15" hidden="false" customHeight="true" outlineLevel="0" collapsed="false">
      <c r="A541" s="75"/>
      <c r="B541" s="75"/>
      <c r="C541" s="75"/>
      <c r="D541" s="75"/>
      <c r="E541" s="75"/>
      <c r="F541" s="75" t="s">
        <v>331</v>
      </c>
      <c r="G541" s="75" t="n">
        <f aca="false">COUNTIFS(Data!$B$2:$B$1833,$L541,Data!$C$2:$C$1833,$M541,Data!$D$2:$D$1833,$N541,Data!$E$2:$E$1833,$O541,Data!$F$2:$F$1833,$F541,Data!$H$2:$H$1833,1)</f>
        <v>0</v>
      </c>
      <c r="H541" s="75" t="s">
        <v>624</v>
      </c>
      <c r="I541" s="76" t="s">
        <v>624</v>
      </c>
      <c r="J541" s="76" t="s">
        <v>624</v>
      </c>
      <c r="L541" s="70" t="s">
        <v>395</v>
      </c>
      <c r="M541" s="70" t="s">
        <v>1123</v>
      </c>
      <c r="N541" s="70" t="s">
        <v>1134</v>
      </c>
      <c r="O541" s="70" t="s">
        <v>1255</v>
      </c>
    </row>
    <row r="542" customFormat="false" ht="15" hidden="false" customHeight="true" outlineLevel="0" collapsed="false">
      <c r="A542" s="67" t="str">
        <f aca="false">IFERROR(INDEX(対訳マスタ!$C$2:$C$136,MATCH($L542,対訳マスタ!$B$2:$B$136,0)),$L542)</f>
        <v>コミュニケーション言語活動</v>
      </c>
      <c r="B542" s="67" t="str">
        <f aca="false">IF($M542="—","—",IFERROR(INDEX(対訳マスタ!$C$2:$C$136,MATCH($M542,対訳マスタ!$B$2:$B$136,0)),$M542))</f>
        <v>仲介</v>
      </c>
      <c r="C542" s="67" t="str">
        <f aca="false">IF($N542="—","—",IFERROR(INDEX(対訳マスタ!$C$2:$C$136,MATCH($N542,対訳マスタ!$B$2:$B$136,0)),$N542))</f>
        <v>テキストの仲介</v>
      </c>
      <c r="D542" s="67" t="str">
        <f aca="false">IFERROR(INDEX(対訳マスタ!$C$2:$C$136,MATCH($O542,対訳マスタ!$B$2:$B$136,0)),$O542)</f>
        <v>創作テキストの分析と批評（文学を含む）</v>
      </c>
      <c r="E542" s="67" t="s">
        <v>1274</v>
      </c>
      <c r="F542" s="67" t="s">
        <v>86</v>
      </c>
      <c r="G542" s="67" t="n">
        <f aca="false">COUNTIFS(Data!$B$2:$B$1833,$L542,Data!$C$2:$C$1833,$M542,Data!$D$2:$D$1833,$N542,Data!$E$2:$E$1833,$O542,Data!$F$2:$F$1833,$F542,Data!$H$2:$H$1833,1)</f>
        <v>0</v>
      </c>
      <c r="H542" s="67" t="s">
        <v>624</v>
      </c>
      <c r="I542" s="68" t="s">
        <v>624</v>
      </c>
      <c r="J542" s="68" t="s">
        <v>624</v>
      </c>
      <c r="L542" s="70" t="s">
        <v>395</v>
      </c>
      <c r="M542" s="70" t="s">
        <v>1123</v>
      </c>
      <c r="N542" s="70" t="s">
        <v>1134</v>
      </c>
      <c r="O542" s="70" t="s">
        <v>1274</v>
      </c>
    </row>
    <row r="543" customFormat="false" ht="15" hidden="false" customHeight="true" outlineLevel="0" collapsed="false">
      <c r="A543" s="70"/>
      <c r="B543" s="70"/>
      <c r="C543" s="70"/>
      <c r="D543" s="70"/>
      <c r="E543" s="70"/>
      <c r="F543" s="70" t="s">
        <v>101</v>
      </c>
      <c r="G543" s="70" t="n">
        <f aca="false">COUNTIFS(Data!$B$2:$B$1833,$L543,Data!$C$2:$C$1833,$M543,Data!$D$2:$D$1833,$N543,Data!$E$2:$E$1833,$O543,Data!$F$2:$F$1833,$F543,Data!$H$2:$H$1833,1)</f>
        <v>0</v>
      </c>
      <c r="H543" s="70" t="s">
        <v>624</v>
      </c>
      <c r="I543" s="31" t="s">
        <v>624</v>
      </c>
      <c r="J543" s="31" t="s">
        <v>624</v>
      </c>
      <c r="L543" s="70" t="s">
        <v>395</v>
      </c>
      <c r="M543" s="70" t="s">
        <v>1123</v>
      </c>
      <c r="N543" s="70" t="s">
        <v>1134</v>
      </c>
      <c r="O543" s="70" t="s">
        <v>1274</v>
      </c>
    </row>
    <row r="544" customFormat="false" ht="32.25" hidden="false" customHeight="true" outlineLevel="0" collapsed="false">
      <c r="A544" s="70"/>
      <c r="B544" s="70"/>
      <c r="C544" s="70"/>
      <c r="D544" s="70"/>
      <c r="E544" s="70"/>
      <c r="F544" s="70" t="s">
        <v>13</v>
      </c>
      <c r="G544" s="70" t="n">
        <f aca="false">COUNTIFS(Data!$B$2:$B$1833,$L544,Data!$C$2:$C$1833,$M544,Data!$D$2:$D$1833,$N544,Data!$E$2:$E$1833,$O544,Data!$F$2:$F$1833,$F544,Data!$H$2:$H$1833,1)</f>
        <v>1</v>
      </c>
      <c r="H544" s="70" t="n">
        <v>919</v>
      </c>
      <c r="I544" s="31" t="str">
        <f aca="false">INDEX(Data!$G$2:$G$1833,MATCH($H544,Data!$A$2:$A$1833,0))</f>
        <v>Can identify and briefly describe, in basic formulaic language, the key themes and characters in short, simple narratives involving familiar situations that contain only high frequency everyday language.</v>
      </c>
      <c r="J544" s="71" t="s">
        <v>2874</v>
      </c>
      <c r="L544" s="70" t="s">
        <v>395</v>
      </c>
      <c r="M544" s="70" t="s">
        <v>1123</v>
      </c>
      <c r="N544" s="70" t="s">
        <v>1134</v>
      </c>
      <c r="O544" s="70" t="s">
        <v>1274</v>
      </c>
    </row>
    <row r="545" customFormat="false" ht="15" hidden="false" customHeight="true" outlineLevel="0" collapsed="false">
      <c r="A545" s="70"/>
      <c r="B545" s="70"/>
      <c r="C545" s="70"/>
      <c r="D545" s="70"/>
      <c r="E545" s="70"/>
      <c r="F545" s="70" t="s">
        <v>123</v>
      </c>
      <c r="G545" s="70" t="n">
        <f aca="false">COUNTIFS(Data!$B$2:$B$1833,$L545,Data!$C$2:$C$1833,$M545,Data!$D$2:$D$1833,$N545,Data!$E$2:$E$1833,$O545,Data!$F$2:$F$1833,$F545,Data!$H$2:$H$1833,1)</f>
        <v>0</v>
      </c>
      <c r="H545" s="70" t="s">
        <v>624</v>
      </c>
      <c r="I545" s="31" t="s">
        <v>624</v>
      </c>
      <c r="J545" s="31" t="s">
        <v>624</v>
      </c>
      <c r="L545" s="70" t="s">
        <v>395</v>
      </c>
      <c r="M545" s="70" t="s">
        <v>1123</v>
      </c>
      <c r="N545" s="70" t="s">
        <v>1134</v>
      </c>
      <c r="O545" s="70" t="s">
        <v>1274</v>
      </c>
    </row>
    <row r="546" customFormat="false" ht="26.25" hidden="false" customHeight="true" outlineLevel="0" collapsed="false">
      <c r="A546" s="70"/>
      <c r="B546" s="70"/>
      <c r="C546" s="70"/>
      <c r="D546" s="70"/>
      <c r="E546" s="70"/>
      <c r="F546" s="70" t="s">
        <v>21</v>
      </c>
      <c r="G546" s="70" t="n">
        <f aca="false">COUNTIFS(Data!$B$2:$B$1833,$L546,Data!$C$2:$C$1833,$M546,Data!$D$2:$D$1833,$N546,Data!$E$2:$E$1833,$O546,Data!$F$2:$F$1833,$F546,Data!$H$2:$H$1833,1)</f>
        <v>2</v>
      </c>
      <c r="H546" s="70" t="n">
        <v>918</v>
      </c>
      <c r="I546" s="31" t="str">
        <f aca="false">INDEX(Data!$G$2:$G$1833,MATCH($H546,Data!$A$2:$A$1833,0))</f>
        <v>Can describe the key themes and characters in short narratives involving familiar situations that contain only high frequency everyday language.</v>
      </c>
      <c r="J546" s="71" t="s">
        <v>2875</v>
      </c>
      <c r="L546" s="70" t="s">
        <v>395</v>
      </c>
      <c r="M546" s="70" t="s">
        <v>1123</v>
      </c>
      <c r="N546" s="70" t="s">
        <v>1134</v>
      </c>
      <c r="O546" s="70" t="s">
        <v>1274</v>
      </c>
    </row>
    <row r="547" customFormat="false" ht="15" hidden="false" customHeight="true" outlineLevel="0" collapsed="false">
      <c r="A547" s="70"/>
      <c r="B547" s="70"/>
      <c r="C547" s="70"/>
      <c r="D547" s="70"/>
      <c r="E547" s="70"/>
      <c r="F547" s="70" t="s">
        <v>52</v>
      </c>
      <c r="G547" s="70" t="n">
        <f aca="false">COUNTIFS(Data!$B$2:$B$1833,$L547,Data!$C$2:$C$1833,$M547,Data!$D$2:$D$1833,$N547,Data!$E$2:$E$1833,$O547,Data!$F$2:$F$1833,$F547,Data!$H$2:$H$1833,1)</f>
        <v>0</v>
      </c>
      <c r="H547" s="70" t="s">
        <v>624</v>
      </c>
      <c r="I547" s="31" t="s">
        <v>624</v>
      </c>
      <c r="J547" s="31" t="s">
        <v>624</v>
      </c>
      <c r="L547" s="70" t="s">
        <v>395</v>
      </c>
      <c r="M547" s="70" t="s">
        <v>1123</v>
      </c>
      <c r="N547" s="70" t="s">
        <v>1134</v>
      </c>
      <c r="O547" s="70" t="s">
        <v>1274</v>
      </c>
    </row>
    <row r="548" customFormat="false" ht="26.25" hidden="false" customHeight="true" outlineLevel="0" collapsed="false">
      <c r="A548" s="70"/>
      <c r="B548" s="70"/>
      <c r="C548" s="70"/>
      <c r="D548" s="70"/>
      <c r="E548" s="70"/>
      <c r="F548" s="70" t="s">
        <v>259</v>
      </c>
      <c r="G548" s="70" t="n">
        <f aca="false">COUNTIFS(Data!$B$2:$B$1833,$L548,Data!$C$2:$C$1833,$M548,Data!$D$2:$D$1833,$N548,Data!$E$2:$E$1833,$O548,Data!$F$2:$F$1833,$F548,Data!$H$2:$H$1833,1)</f>
        <v>4</v>
      </c>
      <c r="H548" s="70" t="n">
        <v>915</v>
      </c>
      <c r="I548" s="31" t="str">
        <f aca="false">INDEX(Data!$G$2:$G$1833,MATCH($H548,Data!$A$2:$A$1833,0))</f>
        <v>Can evaluate the way the work encourages identification with characters, giving examples.</v>
      </c>
      <c r="J548" s="71" t="s">
        <v>2876</v>
      </c>
      <c r="L548" s="70" t="s">
        <v>395</v>
      </c>
      <c r="M548" s="70" t="s">
        <v>1123</v>
      </c>
      <c r="N548" s="70" t="s">
        <v>1134</v>
      </c>
      <c r="O548" s="70" t="s">
        <v>1274</v>
      </c>
    </row>
    <row r="549" customFormat="false" ht="15" hidden="false" customHeight="true" outlineLevel="0" collapsed="false">
      <c r="A549" s="70"/>
      <c r="B549" s="70"/>
      <c r="C549" s="70"/>
      <c r="D549" s="70"/>
      <c r="E549" s="70"/>
      <c r="F549" s="70" t="s">
        <v>36</v>
      </c>
      <c r="G549" s="70" t="n">
        <f aca="false">COUNTIFS(Data!$B$2:$B$1833,$L549,Data!$C$2:$C$1833,$M549,Data!$D$2:$D$1833,$N549,Data!$E$2:$E$1833,$O549,Data!$F$2:$F$1833,$F549,Data!$H$2:$H$1833,1)</f>
        <v>0</v>
      </c>
      <c r="H549" s="70" t="s">
        <v>624</v>
      </c>
      <c r="I549" s="31" t="s">
        <v>624</v>
      </c>
      <c r="J549" s="31" t="s">
        <v>624</v>
      </c>
      <c r="L549" s="70" t="s">
        <v>395</v>
      </c>
      <c r="M549" s="70" t="s">
        <v>1123</v>
      </c>
      <c r="N549" s="70" t="s">
        <v>1134</v>
      </c>
      <c r="O549" s="70" t="s">
        <v>1274</v>
      </c>
    </row>
    <row r="550" customFormat="false" ht="15" hidden="false" customHeight="true" outlineLevel="0" collapsed="false">
      <c r="A550" s="70"/>
      <c r="B550" s="70"/>
      <c r="C550" s="70"/>
      <c r="D550" s="70"/>
      <c r="E550" s="70"/>
      <c r="F550" s="70" t="s">
        <v>74</v>
      </c>
      <c r="G550" s="70" t="n">
        <f aca="false">COUNTIFS(Data!$B$2:$B$1833,$L550,Data!$C$2:$C$1833,$M550,Data!$D$2:$D$1833,$N550,Data!$E$2:$E$1833,$O550,Data!$F$2:$F$1833,$F550,Data!$H$2:$H$1833,1)</f>
        <v>3</v>
      </c>
      <c r="H550" s="70" t="n">
        <v>911</v>
      </c>
      <c r="I550" s="31" t="str">
        <f aca="false">INDEX(Data!$G$2:$G$1833,MATCH($H550,Data!$A$2:$A$1833,0))</f>
        <v>Can evaluate the extent to which a work follows the conventions of its genre.</v>
      </c>
      <c r="J550" s="71" t="s">
        <v>2877</v>
      </c>
      <c r="L550" s="70" t="s">
        <v>395</v>
      </c>
      <c r="M550" s="70" t="s">
        <v>1123</v>
      </c>
      <c r="N550" s="70" t="s">
        <v>1134</v>
      </c>
      <c r="O550" s="70" t="s">
        <v>1274</v>
      </c>
    </row>
    <row r="551" customFormat="false" ht="21.75" hidden="false" customHeight="true" outlineLevel="0" collapsed="false">
      <c r="A551" s="70"/>
      <c r="B551" s="70"/>
      <c r="C551" s="70"/>
      <c r="D551" s="70"/>
      <c r="E551" s="70"/>
      <c r="F551" s="70" t="s">
        <v>331</v>
      </c>
      <c r="G551" s="70" t="n">
        <f aca="false">COUNTIFS(Data!$B$2:$B$1833,$L551,Data!$C$2:$C$1833,$M551,Data!$D$2:$D$1833,$N551,Data!$E$2:$E$1833,$O551,Data!$F$2:$F$1833,$F551,Data!$H$2:$H$1833,1)</f>
        <v>4</v>
      </c>
      <c r="H551" s="70" t="n">
        <v>909</v>
      </c>
      <c r="I551" s="31" t="str">
        <f aca="false">INDEX(Data!$G$2:$G$1833,MATCH($H551,Data!$A$2:$A$1833,0))</f>
        <v>Can give a critical appreciation of deliberate breaches of linguistic conventions in a piece of writing.</v>
      </c>
      <c r="J551" s="71" t="s">
        <v>2878</v>
      </c>
      <c r="L551" s="70" t="s">
        <v>395</v>
      </c>
      <c r="M551" s="70" t="s">
        <v>1123</v>
      </c>
      <c r="N551" s="70" t="s">
        <v>1134</v>
      </c>
      <c r="O551" s="70" t="s">
        <v>1274</v>
      </c>
    </row>
    <row r="552" customFormat="false" ht="15" hidden="false" customHeight="true" outlineLevel="0" collapsed="false">
      <c r="A552" s="73" t="str">
        <f aca="false">IFERROR(INDEX(対訳マスタ!$C$2:$C$136,MATCH($L552,対訳マスタ!$B$2:$B$136,0)),$L552)</f>
        <v>コミュニケーション言語活動</v>
      </c>
      <c r="B552" s="73" t="str">
        <f aca="false">IF($M552="—","—",IFERROR(INDEX(対訳マスタ!$C$2:$C$136,MATCH($M552,対訳マスタ!$B$2:$B$136,0)),$M552))</f>
        <v>仲介</v>
      </c>
      <c r="C552" s="73" t="str">
        <f aca="false">IF($N552="—","—",IFERROR(INDEX(対訳マスタ!$C$2:$C$136,MATCH($N552,対訳マスタ!$B$2:$B$136,0)),$N552))</f>
        <v>概念の仲介</v>
      </c>
      <c r="D552" s="73" t="str">
        <f aca="false">IFERROR(INDEX(対訳マスタ!$C$2:$C$136,MATCH($O552,対訳マスタ!$B$2:$B$136,0)),$O552)</f>
        <v>仲間との協働的やりとりの促進</v>
      </c>
      <c r="E552" s="73" t="s">
        <v>1290</v>
      </c>
      <c r="F552" s="73" t="s">
        <v>86</v>
      </c>
      <c r="G552" s="73" t="n">
        <f aca="false">COUNTIFS(Data!$B$2:$B$1833,$L552,Data!$C$2:$C$1833,$M552,Data!$D$2:$D$1833,$N552,Data!$E$2:$E$1833,$O552,Data!$F$2:$F$1833,$F552,Data!$H$2:$H$1833,1)</f>
        <v>0</v>
      </c>
      <c r="H552" s="73" t="s">
        <v>624</v>
      </c>
      <c r="I552" s="74" t="s">
        <v>624</v>
      </c>
      <c r="J552" s="74" t="s">
        <v>624</v>
      </c>
      <c r="L552" s="70" t="s">
        <v>395</v>
      </c>
      <c r="M552" s="70" t="s">
        <v>1123</v>
      </c>
      <c r="N552" s="70" t="s">
        <v>1289</v>
      </c>
      <c r="O552" s="70" t="s">
        <v>1290</v>
      </c>
    </row>
    <row r="553" customFormat="false" ht="32.25" hidden="false" customHeight="true" outlineLevel="0" collapsed="false">
      <c r="A553" s="75"/>
      <c r="B553" s="75"/>
      <c r="C553" s="75"/>
      <c r="D553" s="75"/>
      <c r="E553" s="75"/>
      <c r="F553" s="75" t="s">
        <v>101</v>
      </c>
      <c r="G553" s="75" t="n">
        <f aca="false">COUNTIFS(Data!$B$2:$B$1833,$L553,Data!$C$2:$C$1833,$M553,Data!$D$2:$D$1833,$N553,Data!$E$2:$E$1833,$O553,Data!$F$2:$F$1833,$F553,Data!$H$2:$H$1833,1)</f>
        <v>1</v>
      </c>
      <c r="H553" s="75" t="n">
        <v>936</v>
      </c>
      <c r="I553" s="76" t="str">
        <f aca="false">INDEX(Data!$G$2:$G$1833,MATCH($H553,Data!$A$2:$A$1833,0))</f>
        <v>Can invite others’ contributions to very simple tasks using short, simple phrases prepared in advance. Can indicate that they understand and ask whether others understand.</v>
      </c>
      <c r="J553" s="77" t="s">
        <v>2879</v>
      </c>
      <c r="L553" s="70" t="s">
        <v>395</v>
      </c>
      <c r="M553" s="70" t="s">
        <v>1123</v>
      </c>
      <c r="N553" s="70" t="s">
        <v>1289</v>
      </c>
      <c r="O553" s="70" t="s">
        <v>1290</v>
      </c>
    </row>
    <row r="554" customFormat="false" ht="32.25" hidden="false" customHeight="true" outlineLevel="0" collapsed="false">
      <c r="A554" s="75"/>
      <c r="B554" s="75"/>
      <c r="C554" s="75"/>
      <c r="D554" s="75"/>
      <c r="E554" s="75"/>
      <c r="F554" s="75" t="s">
        <v>13</v>
      </c>
      <c r="G554" s="75" t="n">
        <f aca="false">COUNTIFS(Data!$B$2:$B$1833,$L554,Data!$C$2:$C$1833,$M554,Data!$D$2:$D$1833,$N554,Data!$E$2:$E$1833,$O554,Data!$F$2:$F$1833,$F554,Data!$H$2:$H$1833,1)</f>
        <v>1</v>
      </c>
      <c r="H554" s="75" t="n">
        <v>935</v>
      </c>
      <c r="I554" s="76" t="str">
        <f aca="false">INDEX(Data!$G$2:$G$1833,MATCH($H554,Data!$A$2:$A$1833,0))</f>
        <v>Can collaborate in simple, practical tasks, asking what others think, making suggestions and understanding responses, provided they can ask for repetition or reformulation from time to time.</v>
      </c>
      <c r="J554" s="77" t="s">
        <v>2880</v>
      </c>
      <c r="L554" s="70" t="s">
        <v>395</v>
      </c>
      <c r="M554" s="70" t="s">
        <v>1123</v>
      </c>
      <c r="N554" s="70" t="s">
        <v>1289</v>
      </c>
      <c r="O554" s="70" t="s">
        <v>1290</v>
      </c>
    </row>
    <row r="555" customFormat="false" ht="32.25" hidden="false" customHeight="true" outlineLevel="0" collapsed="false">
      <c r="A555" s="75"/>
      <c r="B555" s="75"/>
      <c r="C555" s="75"/>
      <c r="D555" s="75"/>
      <c r="E555" s="75"/>
      <c r="F555" s="75" t="s">
        <v>123</v>
      </c>
      <c r="G555" s="75" t="n">
        <f aca="false">COUNTIFS(Data!$B$2:$B$1833,$L555,Data!$C$2:$C$1833,$M555,Data!$D$2:$D$1833,$N555,Data!$E$2:$E$1833,$O555,Data!$F$2:$F$1833,$F555,Data!$H$2:$H$1833,1)</f>
        <v>1</v>
      </c>
      <c r="H555" s="75" t="n">
        <v>934</v>
      </c>
      <c r="I555" s="76" t="str">
        <f aca="false">INDEX(Data!$G$2:$G$1833,MATCH($H555,Data!$A$2:$A$1833,0))</f>
        <v>Can collaborate in simple, shared tasks, provided other participants articulate slowly and one or more people help them contribute and express their suggestions.</v>
      </c>
      <c r="J555" s="77" t="s">
        <v>2881</v>
      </c>
      <c r="L555" s="70" t="s">
        <v>395</v>
      </c>
      <c r="M555" s="70" t="s">
        <v>1123</v>
      </c>
      <c r="N555" s="70" t="s">
        <v>1289</v>
      </c>
      <c r="O555" s="70" t="s">
        <v>1290</v>
      </c>
    </row>
    <row r="556" customFormat="false" ht="15" hidden="false" customHeight="true" outlineLevel="0" collapsed="false">
      <c r="A556" s="75"/>
      <c r="B556" s="75"/>
      <c r="C556" s="75"/>
      <c r="D556" s="75"/>
      <c r="E556" s="75"/>
      <c r="F556" s="75" t="s">
        <v>21</v>
      </c>
      <c r="G556" s="75" t="n">
        <f aca="false">COUNTIFS(Data!$B$2:$B$1833,$L556,Data!$C$2:$C$1833,$M556,Data!$D$2:$D$1833,$N556,Data!$E$2:$E$1833,$O556,Data!$F$2:$F$1833,$F556,Data!$H$2:$H$1833,1)</f>
        <v>1</v>
      </c>
      <c r="H556" s="75" t="n">
        <v>933</v>
      </c>
      <c r="I556" s="76" t="str">
        <f aca="false">INDEX(Data!$G$2:$G$1833,MATCH($H556,Data!$A$2:$A$1833,0))</f>
        <v>Can invite other people in a group to contribute their views.</v>
      </c>
      <c r="J556" s="77" t="s">
        <v>2882</v>
      </c>
      <c r="L556" s="70" t="s">
        <v>395</v>
      </c>
      <c r="M556" s="70" t="s">
        <v>1123</v>
      </c>
      <c r="N556" s="70" t="s">
        <v>1289</v>
      </c>
      <c r="O556" s="70" t="s">
        <v>1290</v>
      </c>
    </row>
    <row r="557" customFormat="false" ht="26.25" hidden="false" customHeight="true" outlineLevel="0" collapsed="false">
      <c r="A557" s="75"/>
      <c r="B557" s="75"/>
      <c r="C557" s="75"/>
      <c r="D557" s="75"/>
      <c r="E557" s="75"/>
      <c r="F557" s="75" t="s">
        <v>52</v>
      </c>
      <c r="G557" s="75" t="n">
        <f aca="false">COUNTIFS(Data!$B$2:$B$1833,$L557,Data!$C$2:$C$1833,$M557,Data!$D$2:$D$1833,$N557,Data!$E$2:$E$1833,$O557,Data!$F$2:$F$1833,$F557,Data!$H$2:$H$1833,1)</f>
        <v>3</v>
      </c>
      <c r="H557" s="75" t="n">
        <v>932</v>
      </c>
      <c r="I557" s="76" t="str">
        <f aca="false">INDEX(Data!$G$2:$G$1833,MATCH($H557,Data!$A$2:$A$1833,0))</f>
        <v>Can define the task in basic terms in a discussion and ask others to contribute their expertise and experience.</v>
      </c>
      <c r="J557" s="77" t="s">
        <v>2883</v>
      </c>
      <c r="L557" s="70" t="s">
        <v>395</v>
      </c>
      <c r="M557" s="70" t="s">
        <v>1123</v>
      </c>
      <c r="N557" s="70" t="s">
        <v>1289</v>
      </c>
      <c r="O557" s="70" t="s">
        <v>1290</v>
      </c>
    </row>
    <row r="558" customFormat="false" ht="21.75" hidden="false" customHeight="true" outlineLevel="0" collapsed="false">
      <c r="A558" s="75"/>
      <c r="B558" s="75"/>
      <c r="C558" s="75"/>
      <c r="D558" s="75"/>
      <c r="E558" s="75"/>
      <c r="F558" s="75" t="s">
        <v>259</v>
      </c>
      <c r="G558" s="75" t="n">
        <f aca="false">COUNTIFS(Data!$B$2:$B$1833,$L558,Data!$C$2:$C$1833,$M558,Data!$D$2:$D$1833,$N558,Data!$E$2:$E$1833,$O558,Data!$F$2:$F$1833,$F558,Data!$H$2:$H$1833,1)</f>
        <v>3</v>
      </c>
      <c r="H558" s="75" t="n">
        <v>928</v>
      </c>
      <c r="I558" s="76" t="str">
        <f aca="false">INDEX(Data!$G$2:$G$1833,MATCH($H558,Data!$A$2:$A$1833,0))</f>
        <v>Can help define goals for teamwork and compare options for how to achieve them.</v>
      </c>
      <c r="J558" s="77" t="s">
        <v>2884</v>
      </c>
      <c r="L558" s="70" t="s">
        <v>395</v>
      </c>
      <c r="M558" s="70" t="s">
        <v>1123</v>
      </c>
      <c r="N558" s="70" t="s">
        <v>1289</v>
      </c>
      <c r="O558" s="70" t="s">
        <v>1290</v>
      </c>
    </row>
    <row r="559" customFormat="false" ht="26.25" hidden="false" customHeight="true" outlineLevel="0" collapsed="false">
      <c r="A559" s="75"/>
      <c r="B559" s="75"/>
      <c r="C559" s="75"/>
      <c r="D559" s="75"/>
      <c r="E559" s="75"/>
      <c r="F559" s="75" t="s">
        <v>36</v>
      </c>
      <c r="G559" s="75" t="n">
        <f aca="false">COUNTIFS(Data!$B$2:$B$1833,$L559,Data!$C$2:$C$1833,$M559,Data!$D$2:$D$1833,$N559,Data!$E$2:$E$1833,$O559,Data!$F$2:$F$1833,$F559,Data!$H$2:$H$1833,1)</f>
        <v>2</v>
      </c>
      <c r="H559" s="75" t="n">
        <v>925</v>
      </c>
      <c r="I559" s="76" t="str">
        <f aca="false">INDEX(Data!$G$2:$G$1833,MATCH($H559,Data!$A$2:$A$1833,0))</f>
        <v>Can, based on people’s reactions, adjust the way they formulate questions and/or intervene in a group interaction.</v>
      </c>
      <c r="J559" s="77" t="s">
        <v>2885</v>
      </c>
      <c r="L559" s="70" t="s">
        <v>395</v>
      </c>
      <c r="M559" s="70" t="s">
        <v>1123</v>
      </c>
      <c r="N559" s="70" t="s">
        <v>1289</v>
      </c>
      <c r="O559" s="70" t="s">
        <v>1290</v>
      </c>
    </row>
    <row r="560" customFormat="false" ht="15" hidden="false" customHeight="true" outlineLevel="0" collapsed="false">
      <c r="A560" s="75"/>
      <c r="B560" s="75"/>
      <c r="C560" s="75"/>
      <c r="D560" s="75"/>
      <c r="E560" s="75"/>
      <c r="F560" s="75" t="s">
        <v>74</v>
      </c>
      <c r="G560" s="75" t="n">
        <f aca="false">COUNTIFS(Data!$B$2:$B$1833,$L560,Data!$C$2:$C$1833,$M560,Data!$D$2:$D$1833,$N560,Data!$E$2:$E$1833,$O560,Data!$F$2:$F$1833,$F560,Data!$H$2:$H$1833,1)</f>
        <v>2</v>
      </c>
      <c r="H560" s="75" t="n">
        <v>924</v>
      </c>
      <c r="I560" s="76" t="str">
        <f aca="false">INDEX(Data!$G$2:$G$1833,MATCH($H560,Data!$A$2:$A$1833,0))</f>
        <v>Can develop the interaction and tactfully help steer it towards a conclusion.</v>
      </c>
      <c r="J560" s="77" t="s">
        <v>2886</v>
      </c>
      <c r="L560" s="70" t="s">
        <v>395</v>
      </c>
      <c r="M560" s="70" t="s">
        <v>1123</v>
      </c>
      <c r="N560" s="70" t="s">
        <v>1289</v>
      </c>
      <c r="O560" s="70" t="s">
        <v>1290</v>
      </c>
    </row>
    <row r="561" customFormat="false" ht="15" hidden="false" customHeight="true" outlineLevel="0" collapsed="false">
      <c r="A561" s="75"/>
      <c r="B561" s="75"/>
      <c r="C561" s="75"/>
      <c r="D561" s="75"/>
      <c r="E561" s="75"/>
      <c r="F561" s="75" t="s">
        <v>331</v>
      </c>
      <c r="G561" s="75" t="n">
        <f aca="false">COUNTIFS(Data!$B$2:$B$1833,$L561,Data!$C$2:$C$1833,$M561,Data!$D$2:$D$1833,$N561,Data!$E$2:$E$1833,$O561,Data!$F$2:$F$1833,$F561,Data!$H$2:$H$1833,1)</f>
        <v>0</v>
      </c>
      <c r="H561" s="75" t="s">
        <v>624</v>
      </c>
      <c r="I561" s="76" t="s">
        <v>624</v>
      </c>
      <c r="J561" s="76" t="s">
        <v>624</v>
      </c>
      <c r="L561" s="70" t="s">
        <v>395</v>
      </c>
      <c r="M561" s="70" t="s">
        <v>1123</v>
      </c>
      <c r="N561" s="70" t="s">
        <v>1289</v>
      </c>
      <c r="O561" s="70" t="s">
        <v>1290</v>
      </c>
    </row>
    <row r="562" customFormat="false" ht="15" hidden="false" customHeight="true" outlineLevel="0" collapsed="false">
      <c r="A562" s="67" t="str">
        <f aca="false">IFERROR(INDEX(対訳マスタ!$C$2:$C$136,MATCH($L562,対訳マスタ!$B$2:$B$136,0)),$L562)</f>
        <v>コミュニケーション言語活動</v>
      </c>
      <c r="B562" s="67" t="str">
        <f aca="false">IF($M562="—","—",IFERROR(INDEX(対訳マスタ!$C$2:$C$136,MATCH($M562,対訳マスタ!$B$2:$B$136,0)),$M562))</f>
        <v>仲介</v>
      </c>
      <c r="C562" s="67" t="str">
        <f aca="false">IF($N562="—","—",IFERROR(INDEX(対訳マスタ!$C$2:$C$136,MATCH($N562,対訳マスタ!$B$2:$B$136,0)),$N562))</f>
        <v>概念の仲介</v>
      </c>
      <c r="D562" s="67" t="str">
        <f aca="false">IFERROR(INDEX(対訳マスタ!$C$2:$C$136,MATCH($O562,対訳マスタ!$B$2:$B$136,0)),$O562)</f>
        <v>意味の共同構築</v>
      </c>
      <c r="E562" s="67" t="s">
        <v>1305</v>
      </c>
      <c r="F562" s="67" t="s">
        <v>86</v>
      </c>
      <c r="G562" s="67" t="n">
        <f aca="false">COUNTIFS(Data!$B$2:$B$1833,$L562,Data!$C$2:$C$1833,$M562,Data!$D$2:$D$1833,$N562,Data!$E$2:$E$1833,$O562,Data!$F$2:$F$1833,$F562,Data!$H$2:$H$1833,1)</f>
        <v>0</v>
      </c>
      <c r="H562" s="67" t="s">
        <v>624</v>
      </c>
      <c r="I562" s="68" t="s">
        <v>624</v>
      </c>
      <c r="J562" s="68" t="s">
        <v>624</v>
      </c>
      <c r="L562" s="70" t="s">
        <v>395</v>
      </c>
      <c r="M562" s="70" t="s">
        <v>1123</v>
      </c>
      <c r="N562" s="70" t="s">
        <v>1289</v>
      </c>
      <c r="O562" s="70" t="s">
        <v>1305</v>
      </c>
    </row>
    <row r="563" customFormat="false" ht="26.25" hidden="false" customHeight="true" outlineLevel="0" collapsed="false">
      <c r="A563" s="70"/>
      <c r="B563" s="70"/>
      <c r="C563" s="70"/>
      <c r="D563" s="70"/>
      <c r="E563" s="70"/>
      <c r="F563" s="70" t="s">
        <v>101</v>
      </c>
      <c r="G563" s="70" t="n">
        <f aca="false">COUNTIFS(Data!$B$2:$B$1833,$L563,Data!$C$2:$C$1833,$M563,Data!$D$2:$D$1833,$N563,Data!$E$2:$E$1833,$O563,Data!$F$2:$F$1833,$F563,Data!$H$2:$H$1833,1)</f>
        <v>1</v>
      </c>
      <c r="H563" s="70" t="n">
        <v>955</v>
      </c>
      <c r="I563" s="31" t="str">
        <f aca="false">INDEX(Data!$G$2:$G$1833,MATCH($H563,Data!$A$2:$A$1833,0))</f>
        <v>Can express an idea and ask what others think, using very simple words/signs and phrases, provided they can prepare in advance.</v>
      </c>
      <c r="J563" s="71" t="s">
        <v>2887</v>
      </c>
      <c r="L563" s="70" t="s">
        <v>395</v>
      </c>
      <c r="M563" s="70" t="s">
        <v>1123</v>
      </c>
      <c r="N563" s="70" t="s">
        <v>1289</v>
      </c>
      <c r="O563" s="70" t="s">
        <v>1305</v>
      </c>
    </row>
    <row r="564" customFormat="false" ht="15" hidden="false" customHeight="true" outlineLevel="0" collapsed="false">
      <c r="A564" s="70"/>
      <c r="B564" s="70"/>
      <c r="C564" s="70"/>
      <c r="D564" s="70"/>
      <c r="E564" s="70"/>
      <c r="F564" s="70" t="s">
        <v>13</v>
      </c>
      <c r="G564" s="70" t="n">
        <f aca="false">COUNTIFS(Data!$B$2:$B$1833,$L564,Data!$C$2:$C$1833,$M564,Data!$D$2:$D$1833,$N564,Data!$E$2:$E$1833,$O564,Data!$F$2:$F$1833,$F564,Data!$H$2:$H$1833,1)</f>
        <v>2</v>
      </c>
      <c r="H564" s="70" t="n">
        <v>954</v>
      </c>
      <c r="I564" s="31" t="str">
        <f aca="false">INDEX(Data!$G$2:$G$1833,MATCH($H564,Data!$A$2:$A$1833,0))</f>
        <v>Can make suggestions in a simple way.</v>
      </c>
      <c r="J564" s="71" t="s">
        <v>2888</v>
      </c>
      <c r="L564" s="70" t="s">
        <v>395</v>
      </c>
      <c r="M564" s="70" t="s">
        <v>1123</v>
      </c>
      <c r="N564" s="70" t="s">
        <v>1289</v>
      </c>
      <c r="O564" s="70" t="s">
        <v>1305</v>
      </c>
    </row>
    <row r="565" customFormat="false" ht="26.25" hidden="false" customHeight="true" outlineLevel="0" collapsed="false">
      <c r="A565" s="70"/>
      <c r="B565" s="70"/>
      <c r="C565" s="70"/>
      <c r="D565" s="70"/>
      <c r="E565" s="70"/>
      <c r="F565" s="70" t="s">
        <v>123</v>
      </c>
      <c r="G565" s="70" t="n">
        <f aca="false">COUNTIFS(Data!$B$2:$B$1833,$L565,Data!$C$2:$C$1833,$M565,Data!$D$2:$D$1833,$N565,Data!$E$2:$E$1833,$O565,Data!$F$2:$F$1833,$F565,Data!$H$2:$H$1833,1)</f>
        <v>1</v>
      </c>
      <c r="H565" s="70" t="n">
        <v>952</v>
      </c>
      <c r="I565" s="31" t="str">
        <f aca="false">INDEX(Data!$G$2:$G$1833,MATCH($H565,Data!$A$2:$A$1833,0))</f>
        <v>Can ensure that the person they are addressing understands what they mean by asking appropriate questions.</v>
      </c>
      <c r="J565" s="71" t="s">
        <v>2889</v>
      </c>
      <c r="L565" s="70" t="s">
        <v>395</v>
      </c>
      <c r="M565" s="70" t="s">
        <v>1123</v>
      </c>
      <c r="N565" s="70" t="s">
        <v>1289</v>
      </c>
      <c r="O565" s="70" t="s">
        <v>1305</v>
      </c>
    </row>
    <row r="566" customFormat="false" ht="15" hidden="false" customHeight="true" outlineLevel="0" collapsed="false">
      <c r="A566" s="70"/>
      <c r="B566" s="70"/>
      <c r="C566" s="70"/>
      <c r="D566" s="70"/>
      <c r="E566" s="70"/>
      <c r="F566" s="70" t="s">
        <v>21</v>
      </c>
      <c r="G566" s="70" t="n">
        <f aca="false">COUNTIFS(Data!$B$2:$B$1833,$L566,Data!$C$2:$C$1833,$M566,Data!$D$2:$D$1833,$N566,Data!$E$2:$E$1833,$O566,Data!$F$2:$F$1833,$F566,Data!$H$2:$H$1833,1)</f>
        <v>2</v>
      </c>
      <c r="H566" s="70" t="n">
        <v>950</v>
      </c>
      <c r="I566" s="31" t="str">
        <f aca="false">INDEX(Data!$G$2:$G$1833,MATCH($H566,Data!$A$2:$A$1833,0))</f>
        <v>Can ask a group member to give the reason(s) for their views.</v>
      </c>
      <c r="J566" s="71" t="s">
        <v>2890</v>
      </c>
      <c r="L566" s="70" t="s">
        <v>395</v>
      </c>
      <c r="M566" s="70" t="s">
        <v>1123</v>
      </c>
      <c r="N566" s="70" t="s">
        <v>1289</v>
      </c>
      <c r="O566" s="70" t="s">
        <v>1305</v>
      </c>
    </row>
    <row r="567" customFormat="false" ht="21.75" hidden="false" customHeight="true" outlineLevel="0" collapsed="false">
      <c r="A567" s="70"/>
      <c r="B567" s="70"/>
      <c r="C567" s="70"/>
      <c r="D567" s="70"/>
      <c r="E567" s="70"/>
      <c r="F567" s="70" t="s">
        <v>52</v>
      </c>
      <c r="G567" s="70" t="n">
        <f aca="false">COUNTIFS(Data!$B$2:$B$1833,$L567,Data!$C$2:$C$1833,$M567,Data!$D$2:$D$1833,$N567,Data!$E$2:$E$1833,$O567,Data!$F$2:$F$1833,$F567,Data!$H$2:$H$1833,1)</f>
        <v>2</v>
      </c>
      <c r="H567" s="70" t="n">
        <v>949</v>
      </c>
      <c r="I567" s="31" t="str">
        <f aca="false">INDEX(Data!$G$2:$G$1833,MATCH($H567,Data!$A$2:$A$1833,0))</f>
        <v>Can use questions, comments and simple reformulations to maintain the focus of a discussion.</v>
      </c>
      <c r="J567" s="71" t="s">
        <v>2891</v>
      </c>
      <c r="L567" s="70" t="s">
        <v>395</v>
      </c>
      <c r="M567" s="70" t="s">
        <v>1123</v>
      </c>
      <c r="N567" s="70" t="s">
        <v>1289</v>
      </c>
      <c r="O567" s="70" t="s">
        <v>1305</v>
      </c>
    </row>
    <row r="568" customFormat="false" ht="15" hidden="false" customHeight="true" outlineLevel="0" collapsed="false">
      <c r="A568" s="70"/>
      <c r="B568" s="70"/>
      <c r="C568" s="70"/>
      <c r="D568" s="70"/>
      <c r="E568" s="70"/>
      <c r="F568" s="70" t="s">
        <v>259</v>
      </c>
      <c r="G568" s="70" t="n">
        <f aca="false">COUNTIFS(Data!$B$2:$B$1833,$L568,Data!$C$2:$C$1833,$M568,Data!$D$2:$D$1833,$N568,Data!$E$2:$E$1833,$O568,Data!$F$2:$F$1833,$F568,Data!$H$2:$H$1833,1)</f>
        <v>3</v>
      </c>
      <c r="H568" s="70" t="n">
        <v>945</v>
      </c>
      <c r="I568" s="31" t="str">
        <f aca="false">INDEX(Data!$G$2:$G$1833,MATCH($H568,Data!$A$2:$A$1833,0))</f>
        <v>Can further develop other people’s ideas and opinions.</v>
      </c>
      <c r="J568" s="71" t="s">
        <v>2892</v>
      </c>
      <c r="L568" s="70" t="s">
        <v>395</v>
      </c>
      <c r="M568" s="70" t="s">
        <v>1123</v>
      </c>
      <c r="N568" s="70" t="s">
        <v>1289</v>
      </c>
      <c r="O568" s="70" t="s">
        <v>1305</v>
      </c>
    </row>
    <row r="569" customFormat="false" ht="26.25" hidden="false" customHeight="true" outlineLevel="0" collapsed="false">
      <c r="A569" s="70"/>
      <c r="B569" s="70"/>
      <c r="C569" s="70"/>
      <c r="D569" s="70"/>
      <c r="E569" s="70"/>
      <c r="F569" s="70" t="s">
        <v>36</v>
      </c>
      <c r="G569" s="70" t="n">
        <f aca="false">COUNTIFS(Data!$B$2:$B$1833,$L569,Data!$C$2:$C$1833,$M569,Data!$D$2:$D$1833,$N569,Data!$E$2:$E$1833,$O569,Data!$F$2:$F$1833,$F569,Data!$H$2:$H$1833,1)</f>
        <v>3</v>
      </c>
      <c r="H569" s="70" t="n">
        <v>942</v>
      </c>
      <c r="I569" s="31" t="str">
        <f aca="false">INDEX(Data!$G$2:$G$1833,MATCH($H569,Data!$A$2:$A$1833,0))</f>
        <v>Can highlight the main issue that needs to be resolved in a complex task and the important aspects that need to be taken into account.</v>
      </c>
      <c r="J569" s="71" t="s">
        <v>2893</v>
      </c>
      <c r="L569" s="70" t="s">
        <v>395</v>
      </c>
      <c r="M569" s="70" t="s">
        <v>1123</v>
      </c>
      <c r="N569" s="70" t="s">
        <v>1289</v>
      </c>
      <c r="O569" s="70" t="s">
        <v>1305</v>
      </c>
    </row>
    <row r="570" customFormat="false" ht="21.75" hidden="false" customHeight="true" outlineLevel="0" collapsed="false">
      <c r="A570" s="70"/>
      <c r="B570" s="70"/>
      <c r="C570" s="70"/>
      <c r="D570" s="70"/>
      <c r="E570" s="70"/>
      <c r="F570" s="70" t="s">
        <v>74</v>
      </c>
      <c r="G570" s="70" t="n">
        <f aca="false">COUNTIFS(Data!$B$2:$B$1833,$L570,Data!$C$2:$C$1833,$M570,Data!$D$2:$D$1833,$N570,Data!$E$2:$E$1833,$O570,Data!$F$2:$F$1833,$F570,Data!$H$2:$H$1833,1)</f>
        <v>3</v>
      </c>
      <c r="H570" s="70" t="n">
        <v>940</v>
      </c>
      <c r="I570" s="31" t="str">
        <f aca="false">INDEX(Data!$G$2:$G$1833,MATCH($H570,Data!$A$2:$A$1833,0))</f>
        <v>Can evaluate problems, challenges and proposals in a collaborative discussion in order to decide on the way forward.</v>
      </c>
      <c r="J570" s="71" t="s">
        <v>2894</v>
      </c>
      <c r="L570" s="70" t="s">
        <v>395</v>
      </c>
      <c r="M570" s="70" t="s">
        <v>1123</v>
      </c>
      <c r="N570" s="70" t="s">
        <v>1289</v>
      </c>
      <c r="O570" s="70" t="s">
        <v>1305</v>
      </c>
    </row>
    <row r="571" customFormat="false" ht="26.25" hidden="false" customHeight="true" outlineLevel="0" collapsed="false">
      <c r="A571" s="70"/>
      <c r="B571" s="70"/>
      <c r="C571" s="70"/>
      <c r="D571" s="70"/>
      <c r="E571" s="70"/>
      <c r="F571" s="70" t="s">
        <v>331</v>
      </c>
      <c r="G571" s="70" t="n">
        <f aca="false">COUNTIFS(Data!$B$2:$B$1833,$L571,Data!$C$2:$C$1833,$M571,Data!$D$2:$D$1833,$N571,Data!$E$2:$E$1833,$O571,Data!$F$2:$F$1833,$F571,Data!$H$2:$H$1833,1)</f>
        <v>1</v>
      </c>
      <c r="H571" s="70" t="n">
        <v>938</v>
      </c>
      <c r="I571" s="31" t="str">
        <f aca="false">INDEX(Data!$G$2:$G$1833,MATCH($H571,Data!$A$2:$A$1833,0))</f>
        <v>Can summarise, evaluate and link the various contributions in order to facilitate agreement on a solution or a way forward.</v>
      </c>
      <c r="J571" s="71" t="s">
        <v>2895</v>
      </c>
      <c r="L571" s="70" t="s">
        <v>395</v>
      </c>
      <c r="M571" s="70" t="s">
        <v>1123</v>
      </c>
      <c r="N571" s="70" t="s">
        <v>1289</v>
      </c>
      <c r="O571" s="70" t="s">
        <v>1305</v>
      </c>
    </row>
    <row r="572" customFormat="false" ht="15" hidden="false" customHeight="true" outlineLevel="0" collapsed="false">
      <c r="A572" s="73" t="str">
        <f aca="false">IFERROR(INDEX(対訳マスタ!$C$2:$C$136,MATCH($L572,対訳マスタ!$B$2:$B$136,0)),$L572)</f>
        <v>コミュニケーション言語活動</v>
      </c>
      <c r="B572" s="73" t="str">
        <f aca="false">IF($M572="—","—",IFERROR(INDEX(対訳マスタ!$C$2:$C$136,MATCH($M572,対訳マスタ!$B$2:$B$136,0)),$M572))</f>
        <v>仲介</v>
      </c>
      <c r="C572" s="73" t="str">
        <f aca="false">IF($N572="—","—",IFERROR(INDEX(対訳マスタ!$C$2:$C$136,MATCH($N572,対訳マスタ!$B$2:$B$136,0)),$N572))</f>
        <v>概念の仲介</v>
      </c>
      <c r="D572" s="73" t="str">
        <f aca="false">IFERROR(INDEX(対訳マスタ!$C$2:$C$136,MATCH($O572,対訳マスタ!$B$2:$B$136,0)),$O572)</f>
        <v>やりとりの運営（進行管理）</v>
      </c>
      <c r="E572" s="73" t="s">
        <v>1324</v>
      </c>
      <c r="F572" s="73" t="s">
        <v>86</v>
      </c>
      <c r="G572" s="73" t="n">
        <f aca="false">COUNTIFS(Data!$B$2:$B$1833,$L572,Data!$C$2:$C$1833,$M572,Data!$D$2:$D$1833,$N572,Data!$E$2:$E$1833,$O572,Data!$F$2:$F$1833,$F572,Data!$H$2:$H$1833,1)</f>
        <v>0</v>
      </c>
      <c r="H572" s="73" t="s">
        <v>624</v>
      </c>
      <c r="I572" s="74" t="s">
        <v>624</v>
      </c>
      <c r="J572" s="74" t="s">
        <v>624</v>
      </c>
      <c r="L572" s="70" t="s">
        <v>395</v>
      </c>
      <c r="M572" s="70" t="s">
        <v>1123</v>
      </c>
      <c r="N572" s="70" t="s">
        <v>1289</v>
      </c>
      <c r="O572" s="70" t="s">
        <v>1324</v>
      </c>
    </row>
    <row r="573" customFormat="false" ht="15" hidden="false" customHeight="true" outlineLevel="0" collapsed="false">
      <c r="A573" s="75"/>
      <c r="B573" s="75"/>
      <c r="C573" s="75"/>
      <c r="D573" s="75"/>
      <c r="E573" s="75"/>
      <c r="F573" s="75" t="s">
        <v>101</v>
      </c>
      <c r="G573" s="75" t="n">
        <f aca="false">COUNTIFS(Data!$B$2:$B$1833,$L573,Data!$C$2:$C$1833,$M573,Data!$D$2:$D$1833,$N573,Data!$E$2:$E$1833,$O573,Data!$F$2:$F$1833,$F573,Data!$H$2:$H$1833,1)</f>
        <v>0</v>
      </c>
      <c r="H573" s="75" t="s">
        <v>624</v>
      </c>
      <c r="I573" s="76" t="s">
        <v>624</v>
      </c>
      <c r="J573" s="76" t="s">
        <v>624</v>
      </c>
      <c r="L573" s="70" t="s">
        <v>395</v>
      </c>
      <c r="M573" s="70" t="s">
        <v>1123</v>
      </c>
      <c r="N573" s="70" t="s">
        <v>1289</v>
      </c>
      <c r="O573" s="70" t="s">
        <v>1324</v>
      </c>
    </row>
    <row r="574" customFormat="false" ht="26.25" hidden="false" customHeight="true" outlineLevel="0" collapsed="false">
      <c r="A574" s="75"/>
      <c r="B574" s="75"/>
      <c r="C574" s="75"/>
      <c r="D574" s="75"/>
      <c r="E574" s="75"/>
      <c r="F574" s="75" t="s">
        <v>13</v>
      </c>
      <c r="G574" s="75" t="n">
        <f aca="false">COUNTIFS(Data!$B$2:$B$1833,$L574,Data!$C$2:$C$1833,$M574,Data!$D$2:$D$1833,$N574,Data!$E$2:$E$1833,$O574,Data!$F$2:$F$1833,$F574,Data!$H$2:$H$1833,1)</f>
        <v>1</v>
      </c>
      <c r="H574" s="75" t="n">
        <v>969</v>
      </c>
      <c r="I574" s="76" t="str">
        <f aca="false">INDEX(Data!$G$2:$G$1833,MATCH($H574,Data!$A$2:$A$1833,0))</f>
        <v>Can give very simple instructions to a co-operative group, given some help with formulation when necessary.</v>
      </c>
      <c r="J574" s="77" t="s">
        <v>2896</v>
      </c>
      <c r="L574" s="70" t="s">
        <v>395</v>
      </c>
      <c r="M574" s="70" t="s">
        <v>1123</v>
      </c>
      <c r="N574" s="70" t="s">
        <v>1289</v>
      </c>
      <c r="O574" s="70" t="s">
        <v>1324</v>
      </c>
    </row>
    <row r="575" customFormat="false" ht="15" hidden="false" customHeight="true" outlineLevel="0" collapsed="false">
      <c r="A575" s="75"/>
      <c r="B575" s="75"/>
      <c r="C575" s="75"/>
      <c r="D575" s="75"/>
      <c r="E575" s="75"/>
      <c r="F575" s="75" t="s">
        <v>123</v>
      </c>
      <c r="G575" s="75" t="n">
        <f aca="false">COUNTIFS(Data!$B$2:$B$1833,$L575,Data!$C$2:$C$1833,$M575,Data!$D$2:$D$1833,$N575,Data!$E$2:$E$1833,$O575,Data!$F$2:$F$1833,$F575,Data!$H$2:$H$1833,1)</f>
        <v>0</v>
      </c>
      <c r="H575" s="75" t="s">
        <v>624</v>
      </c>
      <c r="I575" s="76" t="s">
        <v>624</v>
      </c>
      <c r="J575" s="76" t="s">
        <v>624</v>
      </c>
      <c r="L575" s="70" t="s">
        <v>395</v>
      </c>
      <c r="M575" s="70" t="s">
        <v>1123</v>
      </c>
      <c r="N575" s="70" t="s">
        <v>1289</v>
      </c>
      <c r="O575" s="70" t="s">
        <v>1324</v>
      </c>
    </row>
    <row r="576" customFormat="false" ht="15" hidden="false" customHeight="true" outlineLevel="0" collapsed="false">
      <c r="A576" s="75"/>
      <c r="B576" s="75"/>
      <c r="C576" s="75"/>
      <c r="D576" s="75"/>
      <c r="E576" s="75"/>
      <c r="F576" s="75" t="s">
        <v>21</v>
      </c>
      <c r="G576" s="75" t="n">
        <f aca="false">COUNTIFS(Data!$B$2:$B$1833,$L576,Data!$C$2:$C$1833,$M576,Data!$D$2:$D$1833,$N576,Data!$E$2:$E$1833,$O576,Data!$F$2:$F$1833,$F576,Data!$H$2:$H$1833,1)</f>
        <v>1</v>
      </c>
      <c r="H576" s="75" t="n">
        <v>968</v>
      </c>
      <c r="I576" s="76" t="str">
        <f aca="false">INDEX(Data!$G$2:$G$1833,MATCH($H576,Data!$A$2:$A$1833,0))</f>
        <v>Can give simple, clear instructions to organise an activity.</v>
      </c>
      <c r="J576" s="77" t="s">
        <v>2897</v>
      </c>
      <c r="L576" s="70" t="s">
        <v>395</v>
      </c>
      <c r="M576" s="70" t="s">
        <v>1123</v>
      </c>
      <c r="N576" s="70" t="s">
        <v>1289</v>
      </c>
      <c r="O576" s="70" t="s">
        <v>1324</v>
      </c>
    </row>
    <row r="577" customFormat="false" ht="21.75" hidden="false" customHeight="true" outlineLevel="0" collapsed="false">
      <c r="A577" s="75"/>
      <c r="B577" s="75"/>
      <c r="C577" s="75"/>
      <c r="D577" s="75"/>
      <c r="E577" s="75"/>
      <c r="F577" s="75" t="s">
        <v>52</v>
      </c>
      <c r="G577" s="75" t="n">
        <f aca="false">COUNTIFS(Data!$B$2:$B$1833,$L577,Data!$C$2:$C$1833,$M577,Data!$D$2:$D$1833,$N577,Data!$E$2:$E$1833,$O577,Data!$F$2:$F$1833,$F577,Data!$H$2:$H$1833,1)</f>
        <v>1</v>
      </c>
      <c r="H577" s="75" t="n">
        <v>967</v>
      </c>
      <c r="I577" s="76" t="str">
        <f aca="false">INDEX(Data!$G$2:$G$1833,MATCH($H577,Data!$A$2:$A$1833,0))</f>
        <v>Can allocate turns in a discussion, inviting a participant to express their views.</v>
      </c>
      <c r="J577" s="77" t="s">
        <v>2898</v>
      </c>
      <c r="L577" s="70" t="s">
        <v>395</v>
      </c>
      <c r="M577" s="70" t="s">
        <v>1123</v>
      </c>
      <c r="N577" s="70" t="s">
        <v>1289</v>
      </c>
      <c r="O577" s="70" t="s">
        <v>1324</v>
      </c>
    </row>
    <row r="578" customFormat="false" ht="26.25" hidden="false" customHeight="true" outlineLevel="0" collapsed="false">
      <c r="A578" s="75"/>
      <c r="B578" s="75"/>
      <c r="C578" s="75"/>
      <c r="D578" s="75"/>
      <c r="E578" s="75"/>
      <c r="F578" s="75" t="s">
        <v>259</v>
      </c>
      <c r="G578" s="75" t="n">
        <f aca="false">COUNTIFS(Data!$B$2:$B$1833,$L578,Data!$C$2:$C$1833,$M578,Data!$D$2:$D$1833,$N578,Data!$E$2:$E$1833,$O578,Data!$F$2:$F$1833,$F578,Data!$H$2:$H$1833,1)</f>
        <v>3</v>
      </c>
      <c r="H578" s="75" t="n">
        <v>966</v>
      </c>
      <c r="I578" s="76" t="str">
        <f aca="false">INDEX(Data!$G$2:$G$1833,MATCH($H578,Data!$A$2:$A$1833,0))</f>
        <v>Can intervene when necessary to set a group back on task with new instructions or to encourage more even participation.</v>
      </c>
      <c r="J578" s="77" t="s">
        <v>2899</v>
      </c>
      <c r="L578" s="70" t="s">
        <v>395</v>
      </c>
      <c r="M578" s="70" t="s">
        <v>1123</v>
      </c>
      <c r="N578" s="70" t="s">
        <v>1289</v>
      </c>
      <c r="O578" s="70" t="s">
        <v>1324</v>
      </c>
    </row>
    <row r="579" customFormat="false" ht="15" hidden="false" customHeight="true" outlineLevel="0" collapsed="false">
      <c r="A579" s="75"/>
      <c r="B579" s="75"/>
      <c r="C579" s="75"/>
      <c r="D579" s="75"/>
      <c r="E579" s="75"/>
      <c r="F579" s="75" t="s">
        <v>36</v>
      </c>
      <c r="G579" s="75" t="n">
        <f aca="false">COUNTIFS(Data!$B$2:$B$1833,$L579,Data!$C$2:$C$1833,$M579,Data!$D$2:$D$1833,$N579,Data!$E$2:$E$1833,$O579,Data!$F$2:$F$1833,$F579,Data!$H$2:$H$1833,1)</f>
        <v>3</v>
      </c>
      <c r="H579" s="75" t="n">
        <v>961</v>
      </c>
      <c r="I579" s="76" t="str">
        <f aca="false">INDEX(Data!$G$2:$G$1833,MATCH($H579,Data!$A$2:$A$1833,0))</f>
        <v>Can organise and manage collaborative group work efficiently.</v>
      </c>
      <c r="J579" s="77" t="s">
        <v>2900</v>
      </c>
      <c r="L579" s="70" t="s">
        <v>395</v>
      </c>
      <c r="M579" s="70" t="s">
        <v>1123</v>
      </c>
      <c r="N579" s="70" t="s">
        <v>1289</v>
      </c>
      <c r="O579" s="70" t="s">
        <v>1324</v>
      </c>
    </row>
    <row r="580" customFormat="false" ht="26.25" hidden="false" customHeight="true" outlineLevel="0" collapsed="false">
      <c r="A580" s="75"/>
      <c r="B580" s="75"/>
      <c r="C580" s="75"/>
      <c r="D580" s="75"/>
      <c r="E580" s="75"/>
      <c r="F580" s="75" t="s">
        <v>74</v>
      </c>
      <c r="G580" s="75" t="n">
        <f aca="false">COUNTIFS(Data!$B$2:$B$1833,$L580,Data!$C$2:$C$1833,$M580,Data!$D$2:$D$1833,$N580,Data!$E$2:$E$1833,$O580,Data!$F$2:$F$1833,$F580,Data!$H$2:$H$1833,1)</f>
        <v>2</v>
      </c>
      <c r="H580" s="75" t="n">
        <v>960</v>
      </c>
      <c r="I580" s="76" t="str">
        <f aca="false">INDEX(Data!$G$2:$G$1833,MATCH($H580,Data!$A$2:$A$1833,0))</f>
        <v>Can intervene diplomatically in order to redirect discussion, prevent one person dominating or confront disruptive behaviour.</v>
      </c>
      <c r="J580" s="77" t="s">
        <v>2901</v>
      </c>
      <c r="L580" s="70" t="s">
        <v>395</v>
      </c>
      <c r="M580" s="70" t="s">
        <v>1123</v>
      </c>
      <c r="N580" s="70" t="s">
        <v>1289</v>
      </c>
      <c r="O580" s="70" t="s">
        <v>1324</v>
      </c>
    </row>
    <row r="581" customFormat="false" ht="21.75" hidden="false" customHeight="true" outlineLevel="0" collapsed="false">
      <c r="A581" s="75"/>
      <c r="B581" s="75"/>
      <c r="C581" s="75"/>
      <c r="D581" s="75"/>
      <c r="E581" s="75"/>
      <c r="F581" s="75" t="s">
        <v>331</v>
      </c>
      <c r="G581" s="75" t="n">
        <f aca="false">COUNTIFS(Data!$B$2:$B$1833,$L581,Data!$C$2:$C$1833,$M581,Data!$D$2:$D$1833,$N581,Data!$E$2:$E$1833,$O581,Data!$F$2:$F$1833,$F581,Data!$H$2:$H$1833,1)</f>
        <v>2</v>
      </c>
      <c r="H581" s="75" t="n">
        <v>958</v>
      </c>
      <c r="I581" s="76" t="str">
        <f aca="false">INDEX(Data!$G$2:$G$1833,MATCH($H581,Data!$A$2:$A$1833,0))</f>
        <v>Can recognise undercurrents in interaction and take appropriate steps to guide the direction of discussion.</v>
      </c>
      <c r="J581" s="77" t="s">
        <v>2902</v>
      </c>
      <c r="L581" s="70" t="s">
        <v>395</v>
      </c>
      <c r="M581" s="70" t="s">
        <v>1123</v>
      </c>
      <c r="N581" s="70" t="s">
        <v>1289</v>
      </c>
      <c r="O581" s="70" t="s">
        <v>1324</v>
      </c>
    </row>
    <row r="582" customFormat="false" ht="15" hidden="false" customHeight="true" outlineLevel="0" collapsed="false">
      <c r="A582" s="67" t="str">
        <f aca="false">IFERROR(INDEX(対訳マスタ!$C$2:$C$136,MATCH($L582,対訳マスタ!$B$2:$B$136,0)),$L582)</f>
        <v>コミュニケーション言語活動</v>
      </c>
      <c r="B582" s="67" t="str">
        <f aca="false">IF($M582="—","—",IFERROR(INDEX(対訳マスタ!$C$2:$C$136,MATCH($M582,対訳マスタ!$B$2:$B$136,0)),$M582))</f>
        <v>仲介</v>
      </c>
      <c r="C582" s="67" t="str">
        <f aca="false">IF($N582="—","—",IFERROR(INDEX(対訳マスタ!$C$2:$C$136,MATCH($N582,対訳マスタ!$B$2:$B$136,0)),$N582))</f>
        <v>概念の仲介</v>
      </c>
      <c r="D582" s="67" t="str">
        <f aca="false">IFERROR(INDEX(対訳マスタ!$C$2:$C$136,MATCH($O582,対訳マスタ!$B$2:$B$136,0)),$O582)</f>
        <v>概念的な対話の促進</v>
      </c>
      <c r="E582" s="67" t="s">
        <v>1338</v>
      </c>
      <c r="F582" s="67" t="s">
        <v>86</v>
      </c>
      <c r="G582" s="67" t="n">
        <f aca="false">COUNTIFS(Data!$B$2:$B$1833,$L582,Data!$C$2:$C$1833,$M582,Data!$D$2:$D$1833,$N582,Data!$E$2:$E$1833,$O582,Data!$F$2:$F$1833,$F582,Data!$H$2:$H$1833,1)</f>
        <v>0</v>
      </c>
      <c r="H582" s="67" t="s">
        <v>624</v>
      </c>
      <c r="I582" s="68" t="s">
        <v>624</v>
      </c>
      <c r="J582" s="68" t="s">
        <v>624</v>
      </c>
      <c r="L582" s="70" t="s">
        <v>395</v>
      </c>
      <c r="M582" s="70" t="s">
        <v>1123</v>
      </c>
      <c r="N582" s="70" t="s">
        <v>1289</v>
      </c>
      <c r="O582" s="70" t="s">
        <v>1338</v>
      </c>
    </row>
    <row r="583" customFormat="false" ht="21.75" hidden="false" customHeight="true" outlineLevel="0" collapsed="false">
      <c r="A583" s="70"/>
      <c r="B583" s="70"/>
      <c r="C583" s="70"/>
      <c r="D583" s="70"/>
      <c r="E583" s="70"/>
      <c r="F583" s="70" t="s">
        <v>101</v>
      </c>
      <c r="G583" s="70" t="n">
        <f aca="false">COUNTIFS(Data!$B$2:$B$1833,$L583,Data!$C$2:$C$1833,$M583,Data!$D$2:$D$1833,$N583,Data!$E$2:$E$1833,$O583,Data!$F$2:$F$1833,$F583,Data!$H$2:$H$1833,1)</f>
        <v>1</v>
      </c>
      <c r="H583" s="70" t="n">
        <v>984</v>
      </c>
      <c r="I583" s="31" t="str">
        <f aca="false">INDEX(Data!$G$2:$G$1833,MATCH($H583,Data!$A$2:$A$1833,0))</f>
        <v>Can use simple isolated words/signs and non-verbal signals to show interest in an idea.</v>
      </c>
      <c r="J583" s="71" t="s">
        <v>2903</v>
      </c>
      <c r="L583" s="70" t="s">
        <v>395</v>
      </c>
      <c r="M583" s="70" t="s">
        <v>1123</v>
      </c>
      <c r="N583" s="70" t="s">
        <v>1289</v>
      </c>
      <c r="O583" s="70" t="s">
        <v>1338</v>
      </c>
    </row>
    <row r="584" customFormat="false" ht="15" hidden="false" customHeight="true" outlineLevel="0" collapsed="false">
      <c r="A584" s="70"/>
      <c r="B584" s="70"/>
      <c r="C584" s="70"/>
      <c r="D584" s="70"/>
      <c r="E584" s="70"/>
      <c r="F584" s="70" t="s">
        <v>13</v>
      </c>
      <c r="G584" s="70" t="n">
        <f aca="false">COUNTIFS(Data!$B$2:$B$1833,$L584,Data!$C$2:$C$1833,$M584,Data!$D$2:$D$1833,$N584,Data!$E$2:$E$1833,$O584,Data!$F$2:$F$1833,$F584,Data!$H$2:$H$1833,1)</f>
        <v>1</v>
      </c>
      <c r="H584" s="70" t="n">
        <v>983</v>
      </c>
      <c r="I584" s="31" t="str">
        <f aca="false">INDEX(Data!$G$2:$G$1833,MATCH($H584,Data!$A$2:$A$1833,0))</f>
        <v>Can ask what somebody thinks of a certain idea.</v>
      </c>
      <c r="J584" s="71" t="s">
        <v>2904</v>
      </c>
      <c r="L584" s="70" t="s">
        <v>395</v>
      </c>
      <c r="M584" s="70" t="s">
        <v>1123</v>
      </c>
      <c r="N584" s="70" t="s">
        <v>1289</v>
      </c>
      <c r="O584" s="70" t="s">
        <v>1338</v>
      </c>
    </row>
    <row r="585" customFormat="false" ht="15" hidden="false" customHeight="true" outlineLevel="0" collapsed="false">
      <c r="A585" s="70"/>
      <c r="B585" s="70"/>
      <c r="C585" s="70"/>
      <c r="D585" s="70"/>
      <c r="E585" s="70"/>
      <c r="F585" s="70" t="s">
        <v>123</v>
      </c>
      <c r="G585" s="70" t="n">
        <f aca="false">COUNTIFS(Data!$B$2:$B$1833,$L585,Data!$C$2:$C$1833,$M585,Data!$D$2:$D$1833,$N585,Data!$E$2:$E$1833,$O585,Data!$F$2:$F$1833,$F585,Data!$H$2:$H$1833,1)</f>
        <v>0</v>
      </c>
      <c r="H585" s="70" t="s">
        <v>624</v>
      </c>
      <c r="I585" s="31" t="s">
        <v>624</v>
      </c>
      <c r="J585" s="31" t="s">
        <v>624</v>
      </c>
      <c r="L585" s="70" t="s">
        <v>395</v>
      </c>
      <c r="M585" s="70" t="s">
        <v>1123</v>
      </c>
      <c r="N585" s="70" t="s">
        <v>1289</v>
      </c>
      <c r="O585" s="70" t="s">
        <v>1338</v>
      </c>
    </row>
    <row r="586" customFormat="false" ht="21.75" hidden="false" customHeight="true" outlineLevel="0" collapsed="false">
      <c r="A586" s="70"/>
      <c r="B586" s="70"/>
      <c r="C586" s="70"/>
      <c r="D586" s="70"/>
      <c r="E586" s="70"/>
      <c r="F586" s="70" t="s">
        <v>21</v>
      </c>
      <c r="G586" s="70" t="n">
        <f aca="false">COUNTIFS(Data!$B$2:$B$1833,$L586,Data!$C$2:$C$1833,$M586,Data!$D$2:$D$1833,$N586,Data!$E$2:$E$1833,$O586,Data!$F$2:$F$1833,$F586,Data!$H$2:$H$1833,1)</f>
        <v>1</v>
      </c>
      <c r="H586" s="70" t="n">
        <v>982</v>
      </c>
      <c r="I586" s="31" t="str">
        <f aca="false">INDEX(Data!$G$2:$G$1833,MATCH($H586,Data!$A$2:$A$1833,0))</f>
        <v>Can ask why someone thinks something, or how they think something would work.</v>
      </c>
      <c r="J586" s="71" t="s">
        <v>2905</v>
      </c>
      <c r="L586" s="70" t="s">
        <v>395</v>
      </c>
      <c r="M586" s="70" t="s">
        <v>1123</v>
      </c>
      <c r="N586" s="70" t="s">
        <v>1289</v>
      </c>
      <c r="O586" s="70" t="s">
        <v>1338</v>
      </c>
    </row>
    <row r="587" customFormat="false" ht="15" hidden="false" customHeight="true" outlineLevel="0" collapsed="false">
      <c r="A587" s="70"/>
      <c r="B587" s="70"/>
      <c r="C587" s="70"/>
      <c r="D587" s="70"/>
      <c r="E587" s="70"/>
      <c r="F587" s="70" t="s">
        <v>52</v>
      </c>
      <c r="G587" s="70" t="n">
        <f aca="false">COUNTIFS(Data!$B$2:$B$1833,$L587,Data!$C$2:$C$1833,$M587,Data!$D$2:$D$1833,$N587,Data!$E$2:$E$1833,$O587,Data!$F$2:$F$1833,$F587,Data!$H$2:$H$1833,1)</f>
        <v>3</v>
      </c>
      <c r="H587" s="70" t="n">
        <v>981</v>
      </c>
      <c r="I587" s="31" t="str">
        <f aca="false">INDEX(Data!$G$2:$G$1833,MATCH($H587,Data!$A$2:$A$1833,0))</f>
        <v>Can ask questions to invite people to clarify their reasoning.</v>
      </c>
      <c r="J587" s="71" t="s">
        <v>2906</v>
      </c>
      <c r="L587" s="70" t="s">
        <v>395</v>
      </c>
      <c r="M587" s="70" t="s">
        <v>1123</v>
      </c>
      <c r="N587" s="70" t="s">
        <v>1289</v>
      </c>
      <c r="O587" s="70" t="s">
        <v>1338</v>
      </c>
    </row>
    <row r="588" customFormat="false" ht="26.25" hidden="false" customHeight="true" outlineLevel="0" collapsed="false">
      <c r="A588" s="70"/>
      <c r="B588" s="70"/>
      <c r="C588" s="70"/>
      <c r="D588" s="70"/>
      <c r="E588" s="70"/>
      <c r="F588" s="70" t="s">
        <v>259</v>
      </c>
      <c r="G588" s="70" t="n">
        <f aca="false">COUNTIFS(Data!$B$2:$B$1833,$L588,Data!$C$2:$C$1833,$M588,Data!$D$2:$D$1833,$N588,Data!$E$2:$E$1833,$O588,Data!$F$2:$F$1833,$F588,Data!$H$2:$H$1833,1)</f>
        <v>3</v>
      </c>
      <c r="H588" s="70" t="n">
        <v>977</v>
      </c>
      <c r="I588" s="31" t="str">
        <f aca="false">INDEX(Data!$G$2:$G$1833,MATCH($H588,Data!$A$2:$A$1833,0))</f>
        <v>Can build on people’s ideas and link them into coherent lines of thinking.</v>
      </c>
      <c r="J588" s="71" t="s">
        <v>2907</v>
      </c>
      <c r="L588" s="70" t="s">
        <v>395</v>
      </c>
      <c r="M588" s="70" t="s">
        <v>1123</v>
      </c>
      <c r="N588" s="70" t="s">
        <v>1289</v>
      </c>
      <c r="O588" s="70" t="s">
        <v>1338</v>
      </c>
    </row>
    <row r="589" customFormat="false" ht="21.75" hidden="false" customHeight="true" outlineLevel="0" collapsed="false">
      <c r="A589" s="70"/>
      <c r="B589" s="70"/>
      <c r="C589" s="70"/>
      <c r="D589" s="70"/>
      <c r="E589" s="70"/>
      <c r="F589" s="70" t="s">
        <v>36</v>
      </c>
      <c r="G589" s="70" t="n">
        <f aca="false">COUNTIFS(Data!$B$2:$B$1833,$L589,Data!$C$2:$C$1833,$M589,Data!$D$2:$D$1833,$N589,Data!$E$2:$E$1833,$O589,Data!$F$2:$F$1833,$F589,Data!$H$2:$H$1833,1)</f>
        <v>2</v>
      </c>
      <c r="H589" s="70" t="n">
        <v>974</v>
      </c>
      <c r="I589" s="31" t="str">
        <f aca="false">INDEX(Data!$G$2:$G$1833,MATCH($H589,Data!$A$2:$A$1833,0))</f>
        <v>Can encourage members of a group to describe and elaborate on their thinking.</v>
      </c>
      <c r="J589" s="71" t="s">
        <v>2908</v>
      </c>
      <c r="L589" s="70" t="s">
        <v>395</v>
      </c>
      <c r="M589" s="70" t="s">
        <v>1123</v>
      </c>
      <c r="N589" s="70" t="s">
        <v>1289</v>
      </c>
      <c r="O589" s="70" t="s">
        <v>1338</v>
      </c>
    </row>
    <row r="590" customFormat="false" ht="32.25" hidden="false" customHeight="true" outlineLevel="0" collapsed="false">
      <c r="A590" s="70"/>
      <c r="B590" s="70"/>
      <c r="C590" s="70"/>
      <c r="D590" s="70"/>
      <c r="E590" s="70"/>
      <c r="F590" s="70" t="s">
        <v>74</v>
      </c>
      <c r="G590" s="70" t="n">
        <f aca="false">COUNTIFS(Data!$B$2:$B$1833,$L590,Data!$C$2:$C$1833,$M590,Data!$D$2:$D$1833,$N590,Data!$E$2:$E$1833,$O590,Data!$F$2:$F$1833,$F590,Data!$H$2:$H$1833,1)</f>
        <v>1</v>
      </c>
      <c r="H590" s="70" t="n">
        <v>973</v>
      </c>
      <c r="I590" s="31" t="str">
        <f aca="false">INDEX(Data!$G$2:$G$1833,MATCH($H590,Data!$A$2:$A$1833,0))</f>
        <v>Can ask a series of open questions that build on different contributions in order to stimulate logical reasoning (e.g. hypothesising, inferring, analysing, justifying and predicting).</v>
      </c>
      <c r="J590" s="71" t="s">
        <v>2909</v>
      </c>
      <c r="L590" s="70" t="s">
        <v>395</v>
      </c>
      <c r="M590" s="70" t="s">
        <v>1123</v>
      </c>
      <c r="N590" s="70" t="s">
        <v>1289</v>
      </c>
      <c r="O590" s="70" t="s">
        <v>1338</v>
      </c>
    </row>
    <row r="591" customFormat="false" ht="32.25" hidden="false" customHeight="true" outlineLevel="0" collapsed="false">
      <c r="A591" s="70"/>
      <c r="B591" s="70"/>
      <c r="C591" s="70"/>
      <c r="D591" s="70"/>
      <c r="E591" s="70"/>
      <c r="F591" s="70" t="s">
        <v>331</v>
      </c>
      <c r="G591" s="70" t="n">
        <f aca="false">COUNTIFS(Data!$B$2:$B$1833,$L591,Data!$C$2:$C$1833,$M591,Data!$D$2:$D$1833,$N591,Data!$E$2:$E$1833,$O591,Data!$F$2:$F$1833,$F591,Data!$H$2:$H$1833,1)</f>
        <v>1</v>
      </c>
      <c r="H591" s="70" t="n">
        <v>972</v>
      </c>
      <c r="I591" s="31" t="str">
        <f aca="false">INDEX(Data!$G$2:$G$1833,MATCH($H591,Data!$A$2:$A$1833,0))</f>
        <v>Can effectively lead the development of ideas in a discussion of complex abstract topics, giving direction by targeting questions and encouraging others to elaborate on their reasoning.</v>
      </c>
      <c r="J591" s="71" t="s">
        <v>2910</v>
      </c>
      <c r="L591" s="70" t="s">
        <v>395</v>
      </c>
      <c r="M591" s="70" t="s">
        <v>1123</v>
      </c>
      <c r="N591" s="70" t="s">
        <v>1289</v>
      </c>
      <c r="O591" s="70" t="s">
        <v>1338</v>
      </c>
    </row>
    <row r="592" customFormat="false" ht="15" hidden="false" customHeight="true" outlineLevel="0" collapsed="false">
      <c r="A592" s="73" t="str">
        <f aca="false">IFERROR(INDEX(対訳マスタ!$C$2:$C$136,MATCH($L592,対訳マスタ!$B$2:$B$136,0)),$L592)</f>
        <v>コミュニケーション言語活動</v>
      </c>
      <c r="B592" s="73" t="str">
        <f aca="false">IF($M592="—","—",IFERROR(INDEX(対訳マスタ!$C$2:$C$136,MATCH($M592,対訳マスタ!$B$2:$B$136,0)),$M592))</f>
        <v>仲介</v>
      </c>
      <c r="C592" s="73" t="str">
        <f aca="false">IF($N592="—","—",IFERROR(INDEX(対訳マスタ!$C$2:$C$136,MATCH($N592,対訳マスタ!$B$2:$B$136,0)),$N592))</f>
        <v>コミュニケーションの仲介</v>
      </c>
      <c r="D592" s="73" t="str">
        <f aca="false">IFERROR(INDEX(対訳マスタ!$C$2:$C$136,MATCH($O592,対訳マスタ!$B$2:$B$136,0)),$O592)</f>
        <v>複文化的な場の醸成</v>
      </c>
      <c r="E592" s="73" t="s">
        <v>1353</v>
      </c>
      <c r="F592" s="73" t="s">
        <v>86</v>
      </c>
      <c r="G592" s="73" t="n">
        <f aca="false">COUNTIFS(Data!$B$2:$B$1833,$L592,Data!$C$2:$C$1833,$M592,Data!$D$2:$D$1833,$N592,Data!$E$2:$E$1833,$O592,Data!$F$2:$F$1833,$F592,Data!$H$2:$H$1833,1)</f>
        <v>0</v>
      </c>
      <c r="H592" s="73" t="s">
        <v>624</v>
      </c>
      <c r="I592" s="74" t="s">
        <v>624</v>
      </c>
      <c r="J592" s="74" t="s">
        <v>624</v>
      </c>
      <c r="L592" s="70" t="s">
        <v>395</v>
      </c>
      <c r="M592" s="70" t="s">
        <v>1123</v>
      </c>
      <c r="N592" s="70" t="s">
        <v>1352</v>
      </c>
      <c r="O592" s="70" t="s">
        <v>1353</v>
      </c>
    </row>
    <row r="593" customFormat="false" ht="42.75" hidden="false" customHeight="true" outlineLevel="0" collapsed="false">
      <c r="A593" s="75"/>
      <c r="B593" s="75"/>
      <c r="C593" s="75"/>
      <c r="D593" s="75"/>
      <c r="E593" s="75"/>
      <c r="F593" s="75" t="s">
        <v>101</v>
      </c>
      <c r="G593" s="75" t="n">
        <f aca="false">COUNTIFS(Data!$B$2:$B$1833,$L593,Data!$C$2:$C$1833,$M593,Data!$D$2:$D$1833,$N593,Data!$E$2:$E$1833,$O593,Data!$F$2:$F$1833,$F593,Data!$H$2:$H$1833,1)</f>
        <v>1</v>
      </c>
      <c r="H593" s="75" t="n">
        <v>1001</v>
      </c>
      <c r="I593" s="76" t="str">
        <f aca="false">INDEX(Data!$G$2:$G$1833,MATCH($H593,Data!$A$2:$A$1833,0))</f>
        <v>Can facilitate an intercultural exchange by showing a welcoming attitude and interest with simple words/signs and non-verbal signals, by inviting others to contribute, and by indicating whether they understand when addressed directly.</v>
      </c>
      <c r="J593" s="77" t="s">
        <v>2911</v>
      </c>
      <c r="L593" s="70" t="s">
        <v>395</v>
      </c>
      <c r="M593" s="70" t="s">
        <v>1123</v>
      </c>
      <c r="N593" s="70" t="s">
        <v>1352</v>
      </c>
      <c r="O593" s="70" t="s">
        <v>1353</v>
      </c>
    </row>
    <row r="594" customFormat="false" ht="32.25" hidden="false" customHeight="true" outlineLevel="0" collapsed="false">
      <c r="A594" s="75"/>
      <c r="B594" s="75"/>
      <c r="C594" s="75"/>
      <c r="D594" s="75"/>
      <c r="E594" s="75"/>
      <c r="F594" s="75" t="s">
        <v>13</v>
      </c>
      <c r="G594" s="75" t="n">
        <f aca="false">COUNTIFS(Data!$B$2:$B$1833,$L594,Data!$C$2:$C$1833,$M594,Data!$D$2:$D$1833,$N594,Data!$E$2:$E$1833,$O594,Data!$F$2:$F$1833,$F594,Data!$H$2:$H$1833,1)</f>
        <v>1</v>
      </c>
      <c r="H594" s="75" t="n">
        <v>1000</v>
      </c>
      <c r="I594" s="76" t="str">
        <f aca="false">INDEX(Data!$G$2:$G$1833,MATCH($H594,Data!$A$2:$A$1833,0))</f>
        <v>Can contribute to an intercultural exchange, using simple words/signs to ask people to explain things and to get clarification of what they say, while exploiting a limited repertoire to express agreement, to invite, to thank, etc.</v>
      </c>
      <c r="J594" s="77" t="s">
        <v>2912</v>
      </c>
      <c r="L594" s="70" t="s">
        <v>395</v>
      </c>
      <c r="M594" s="70" t="s">
        <v>1123</v>
      </c>
      <c r="N594" s="70" t="s">
        <v>1352</v>
      </c>
      <c r="O594" s="70" t="s">
        <v>1353</v>
      </c>
    </row>
    <row r="595" customFormat="false" ht="15" hidden="false" customHeight="true" outlineLevel="0" collapsed="false">
      <c r="A595" s="75"/>
      <c r="B595" s="75"/>
      <c r="C595" s="75"/>
      <c r="D595" s="75"/>
      <c r="E595" s="75"/>
      <c r="F595" s="75" t="s">
        <v>123</v>
      </c>
      <c r="G595" s="75" t="n">
        <f aca="false">COUNTIFS(Data!$B$2:$B$1833,$L595,Data!$C$2:$C$1833,$M595,Data!$D$2:$D$1833,$N595,Data!$E$2:$E$1833,$O595,Data!$F$2:$F$1833,$F595,Data!$H$2:$H$1833,1)</f>
        <v>0</v>
      </c>
      <c r="H595" s="75" t="s">
        <v>624</v>
      </c>
      <c r="I595" s="76" t="s">
        <v>624</v>
      </c>
      <c r="J595" s="76" t="s">
        <v>624</v>
      </c>
      <c r="L595" s="70" t="s">
        <v>395</v>
      </c>
      <c r="M595" s="70" t="s">
        <v>1123</v>
      </c>
      <c r="N595" s="70" t="s">
        <v>1352</v>
      </c>
      <c r="O595" s="70" t="s">
        <v>1353</v>
      </c>
    </row>
    <row r="596" customFormat="false" ht="32.25" hidden="false" customHeight="true" outlineLevel="0" collapsed="false">
      <c r="A596" s="75"/>
      <c r="B596" s="75"/>
      <c r="C596" s="75"/>
      <c r="D596" s="75"/>
      <c r="E596" s="75"/>
      <c r="F596" s="75" t="s">
        <v>21</v>
      </c>
      <c r="G596" s="75" t="n">
        <f aca="false">COUNTIFS(Data!$B$2:$B$1833,$L596,Data!$C$2:$C$1833,$M596,Data!$D$2:$D$1833,$N596,Data!$E$2:$E$1833,$O596,Data!$F$2:$F$1833,$F596,Data!$H$2:$H$1833,1)</f>
        <v>2</v>
      </c>
      <c r="H596" s="75" t="n">
        <v>999</v>
      </c>
      <c r="I596" s="76" t="str">
        <f aca="false">INDEX(Data!$G$2:$G$1833,MATCH($H596,Data!$A$2:$A$1833,0))</f>
        <v>Can help develop a shared communication culture, by exchanging information in a simple way about values and attitudes to language and culture.</v>
      </c>
      <c r="J596" s="77" t="s">
        <v>2913</v>
      </c>
      <c r="L596" s="70" t="s">
        <v>395</v>
      </c>
      <c r="M596" s="70" t="s">
        <v>1123</v>
      </c>
      <c r="N596" s="70" t="s">
        <v>1352</v>
      </c>
      <c r="O596" s="70" t="s">
        <v>1353</v>
      </c>
    </row>
    <row r="597" customFormat="false" ht="26.25" hidden="false" customHeight="true" outlineLevel="0" collapsed="false">
      <c r="A597" s="75"/>
      <c r="B597" s="75"/>
      <c r="C597" s="75"/>
      <c r="D597" s="75"/>
      <c r="E597" s="75"/>
      <c r="F597" s="75" t="s">
        <v>52</v>
      </c>
      <c r="G597" s="75" t="n">
        <f aca="false">COUNTIFS(Data!$B$2:$B$1833,$L597,Data!$C$2:$C$1833,$M597,Data!$D$2:$D$1833,$N597,Data!$E$2:$E$1833,$O597,Data!$F$2:$F$1833,$F597,Data!$H$2:$H$1833,1)</f>
        <v>2</v>
      </c>
      <c r="H597" s="75" t="n">
        <v>997</v>
      </c>
      <c r="I597" s="76" t="str">
        <f aca="false">INDEX(Data!$G$2:$G$1833,MATCH($H597,Data!$A$2:$A$1833,0))</f>
        <v>Can act in a supportive manner in intercultural encounters, recognising the feelings and different worldviews of other members of the group.</v>
      </c>
      <c r="J597" s="77" t="s">
        <v>2914</v>
      </c>
      <c r="L597" s="70" t="s">
        <v>395</v>
      </c>
      <c r="M597" s="70" t="s">
        <v>1123</v>
      </c>
      <c r="N597" s="70" t="s">
        <v>1352</v>
      </c>
      <c r="O597" s="70" t="s">
        <v>1353</v>
      </c>
    </row>
    <row r="598" customFormat="false" ht="26.25" hidden="false" customHeight="true" outlineLevel="0" collapsed="false">
      <c r="A598" s="75"/>
      <c r="B598" s="75"/>
      <c r="C598" s="75"/>
      <c r="D598" s="75"/>
      <c r="E598" s="75"/>
      <c r="F598" s="75" t="s">
        <v>259</v>
      </c>
      <c r="G598" s="75" t="n">
        <f aca="false">COUNTIFS(Data!$B$2:$B$1833,$L598,Data!$C$2:$C$1833,$M598,Data!$D$2:$D$1833,$N598,Data!$E$2:$E$1833,$O598,Data!$F$2:$F$1833,$F598,Data!$H$2:$H$1833,1)</f>
        <v>3</v>
      </c>
      <c r="H598" s="75" t="n">
        <v>995</v>
      </c>
      <c r="I598" s="76" t="str">
        <f aca="false">INDEX(Data!$G$2:$G$1833,MATCH($H598,Data!$A$2:$A$1833,0))</f>
        <v>Can, when collaborating with people from other cultures, adapt the way they work in order to create shared procedures.</v>
      </c>
      <c r="J598" s="77" t="s">
        <v>2915</v>
      </c>
      <c r="L598" s="70" t="s">
        <v>395</v>
      </c>
      <c r="M598" s="70" t="s">
        <v>1123</v>
      </c>
      <c r="N598" s="70" t="s">
        <v>1352</v>
      </c>
      <c r="O598" s="70" t="s">
        <v>1353</v>
      </c>
    </row>
    <row r="599" customFormat="false" ht="32.25" hidden="false" customHeight="true" outlineLevel="0" collapsed="false">
      <c r="A599" s="75"/>
      <c r="B599" s="75"/>
      <c r="C599" s="75"/>
      <c r="D599" s="75"/>
      <c r="E599" s="75"/>
      <c r="F599" s="75" t="s">
        <v>36</v>
      </c>
      <c r="G599" s="75" t="n">
        <f aca="false">COUNTIFS(Data!$B$2:$B$1833,$L599,Data!$C$2:$C$1833,$M599,Data!$D$2:$D$1833,$N599,Data!$E$2:$E$1833,$O599,Data!$F$2:$F$1833,$F599,Data!$H$2:$H$1833,1)</f>
        <v>3</v>
      </c>
      <c r="H599" s="75" t="n">
        <v>990</v>
      </c>
      <c r="I599" s="76" t="str">
        <f aca="false">INDEX(Data!$G$2:$G$1833,MATCH($H599,Data!$A$2:$A$1833,0))</f>
        <v>Can exploit knowledge of sociocultural conventions in order to establish a consensus on how to proceed in a particular situation that is unfamiliar to everyone involved.</v>
      </c>
      <c r="J599" s="77" t="s">
        <v>2916</v>
      </c>
      <c r="L599" s="70" t="s">
        <v>395</v>
      </c>
      <c r="M599" s="70" t="s">
        <v>1123</v>
      </c>
      <c r="N599" s="70" t="s">
        <v>1352</v>
      </c>
      <c r="O599" s="70" t="s">
        <v>1353</v>
      </c>
    </row>
    <row r="600" customFormat="false" ht="39" hidden="false" customHeight="true" outlineLevel="0" collapsed="false">
      <c r="A600" s="75"/>
      <c r="B600" s="75"/>
      <c r="C600" s="75"/>
      <c r="D600" s="75"/>
      <c r="E600" s="75"/>
      <c r="F600" s="75" t="s">
        <v>74</v>
      </c>
      <c r="G600" s="75" t="n">
        <f aca="false">COUNTIFS(Data!$B$2:$B$1833,$L600,Data!$C$2:$C$1833,$M600,Data!$D$2:$D$1833,$N600,Data!$E$2:$E$1833,$O600,Data!$F$2:$F$1833,$F600,Data!$H$2:$H$1833,1)</f>
        <v>2</v>
      </c>
      <c r="H600" s="75" t="n">
        <v>988</v>
      </c>
      <c r="I600" s="76" t="str">
        <f aca="false">INDEX(Data!$G$2:$G$1833,MATCH($H600,Data!$A$2:$A$1833,0))</f>
        <v>Can act as a mediator in intercultural encounters, contributing to a shared communication culture by managing ambiguity, offering advice and support, and heading off misunderstandings.</v>
      </c>
      <c r="J600" s="77" t="s">
        <v>2917</v>
      </c>
      <c r="L600" s="70" t="s">
        <v>395</v>
      </c>
      <c r="M600" s="70" t="s">
        <v>1123</v>
      </c>
      <c r="N600" s="70" t="s">
        <v>1352</v>
      </c>
      <c r="O600" s="70" t="s">
        <v>1353</v>
      </c>
    </row>
    <row r="601" customFormat="false" ht="21.75" hidden="false" customHeight="true" outlineLevel="0" collapsed="false">
      <c r="A601" s="75"/>
      <c r="B601" s="75"/>
      <c r="C601" s="75"/>
      <c r="D601" s="75"/>
      <c r="E601" s="75"/>
      <c r="F601" s="75" t="s">
        <v>331</v>
      </c>
      <c r="G601" s="75" t="n">
        <f aca="false">COUNTIFS(Data!$B$2:$B$1833,$L601,Data!$C$2:$C$1833,$M601,Data!$D$2:$D$1833,$N601,Data!$E$2:$E$1833,$O601,Data!$F$2:$F$1833,$F601,Data!$H$2:$H$1833,1)</f>
        <v>2</v>
      </c>
      <c r="H601" s="75" t="n">
        <v>987</v>
      </c>
      <c r="I601" s="76" t="str">
        <f aca="false">INDEX(Data!$G$2:$G$1833,MATCH($H601,Data!$A$2:$A$1833,0))</f>
        <v>Can guide a sensitive discussion effectively, identifying nuances and undercurrents.</v>
      </c>
      <c r="J601" s="77" t="s">
        <v>2918</v>
      </c>
      <c r="L601" s="70" t="s">
        <v>395</v>
      </c>
      <c r="M601" s="70" t="s">
        <v>1123</v>
      </c>
      <c r="N601" s="70" t="s">
        <v>1352</v>
      </c>
      <c r="O601" s="70" t="s">
        <v>1353</v>
      </c>
    </row>
    <row r="602" customFormat="false" ht="15" hidden="false" customHeight="true" outlineLevel="0" collapsed="false">
      <c r="A602" s="67" t="str">
        <f aca="false">IFERROR(INDEX(対訳マスタ!$C$2:$C$136,MATCH($L602,対訳マスタ!$B$2:$B$136,0)),$L602)</f>
        <v>コミュニケーション言語活動</v>
      </c>
      <c r="B602" s="67" t="str">
        <f aca="false">IF($M602="—","—",IFERROR(INDEX(対訳マスタ!$C$2:$C$136,MATCH($M602,対訳マスタ!$B$2:$B$136,0)),$M602))</f>
        <v>仲介</v>
      </c>
      <c r="C602" s="67" t="str">
        <f aca="false">IF($N602="—","—",IFERROR(INDEX(対訳マスタ!$C$2:$C$136,MATCH($N602,対訳マスタ!$B$2:$B$136,0)),$N602))</f>
        <v>コミュニケーションの仲介</v>
      </c>
      <c r="D602" s="67" t="str">
        <f aca="false">IFERROR(INDEX(対訳マスタ!$C$2:$C$136,MATCH($O602,対訳マスタ!$B$2:$B$136,0)),$O602)</f>
        <v>インフォーマルな場面での橋渡し（友人・同僚間）</v>
      </c>
      <c r="E602" s="67" t="s">
        <v>1370</v>
      </c>
      <c r="F602" s="67" t="s">
        <v>86</v>
      </c>
      <c r="G602" s="67" t="n">
        <f aca="false">COUNTIFS(Data!$B$2:$B$1833,$L602,Data!$C$2:$C$1833,$M602,Data!$D$2:$D$1833,$N602,Data!$E$2:$E$1833,$O602,Data!$F$2:$F$1833,$F602,Data!$H$2:$H$1833,1)</f>
        <v>0</v>
      </c>
      <c r="H602" s="67" t="s">
        <v>624</v>
      </c>
      <c r="I602" s="68" t="s">
        <v>624</v>
      </c>
      <c r="J602" s="68" t="s">
        <v>624</v>
      </c>
      <c r="L602" s="70" t="s">
        <v>395</v>
      </c>
      <c r="M602" s="70" t="s">
        <v>1123</v>
      </c>
      <c r="N602" s="70" t="s">
        <v>1352</v>
      </c>
      <c r="O602" s="70" t="s">
        <v>1370</v>
      </c>
    </row>
    <row r="603" customFormat="false" ht="32.25" hidden="false" customHeight="true" outlineLevel="0" collapsed="false">
      <c r="A603" s="70"/>
      <c r="B603" s="70"/>
      <c r="C603" s="70"/>
      <c r="D603" s="70"/>
      <c r="E603" s="70"/>
      <c r="F603" s="70" t="s">
        <v>101</v>
      </c>
      <c r="G603" s="70" t="n">
        <f aca="false">COUNTIFS(Data!$B$2:$B$1833,$L603,Data!$C$2:$C$1833,$M603,Data!$D$2:$D$1833,$N603,Data!$E$2:$E$1833,$O603,Data!$F$2:$F$1833,$F603,Data!$H$2:$H$1833,1)</f>
        <v>1</v>
      </c>
      <c r="H603" s="70" t="n">
        <v>1012</v>
      </c>
      <c r="I603" s="31" t="str">
        <f aca="false">INDEX(Data!$G$2:$G$1833,MATCH($H603,Data!$A$2:$A$1833,0))</f>
        <v>Can communicate (in Language B) other people’s personal details and very simple, predictable information (in Language A), provided other people help with formulation.</v>
      </c>
      <c r="J603" s="71" t="s">
        <v>2919</v>
      </c>
      <c r="L603" s="70" t="s">
        <v>395</v>
      </c>
      <c r="M603" s="70" t="s">
        <v>1123</v>
      </c>
      <c r="N603" s="70" t="s">
        <v>1352</v>
      </c>
      <c r="O603" s="70" t="s">
        <v>1370</v>
      </c>
    </row>
    <row r="604" customFormat="false" ht="42.75" hidden="false" customHeight="true" outlineLevel="0" collapsed="false">
      <c r="A604" s="70"/>
      <c r="B604" s="70"/>
      <c r="C604" s="70"/>
      <c r="D604" s="70"/>
      <c r="E604" s="70"/>
      <c r="F604" s="70" t="s">
        <v>13</v>
      </c>
      <c r="G604" s="70" t="n">
        <f aca="false">COUNTIFS(Data!$B$2:$B$1833,$L604,Data!$C$2:$C$1833,$M604,Data!$D$2:$D$1833,$N604,Data!$E$2:$E$1833,$O604,Data!$F$2:$F$1833,$F604,Data!$H$2:$H$1833,1)</f>
        <v>1</v>
      </c>
      <c r="H604" s="70" t="n">
        <v>1011</v>
      </c>
      <c r="I604" s="31" t="str">
        <f aca="false">INDEX(Data!$G$2:$G$1833,MATCH($H604,Data!$A$2:$A$1833,0))</f>
        <v>Can communicate (in Language B) the main point of what is said (in Language A) in predictable everyday situations, conveying back and forth information about personal wants and needs, provided other people help with formulation.</v>
      </c>
      <c r="J604" s="71" t="s">
        <v>2920</v>
      </c>
      <c r="L604" s="70" t="s">
        <v>395</v>
      </c>
      <c r="M604" s="70" t="s">
        <v>1123</v>
      </c>
      <c r="N604" s="70" t="s">
        <v>1352</v>
      </c>
      <c r="O604" s="70" t="s">
        <v>1370</v>
      </c>
    </row>
    <row r="605" customFormat="false" ht="42.75" hidden="false" customHeight="true" outlineLevel="0" collapsed="false">
      <c r="A605" s="70"/>
      <c r="B605" s="70"/>
      <c r="C605" s="70"/>
      <c r="D605" s="70"/>
      <c r="E605" s="70"/>
      <c r="F605" s="70" t="s">
        <v>123</v>
      </c>
      <c r="G605" s="70" t="n">
        <f aca="false">COUNTIFS(Data!$B$2:$B$1833,$L605,Data!$C$2:$C$1833,$M605,Data!$D$2:$D$1833,$N605,Data!$E$2:$E$1833,$O605,Data!$F$2:$F$1833,$F605,Data!$H$2:$H$1833,1)</f>
        <v>1</v>
      </c>
      <c r="H605" s="70" t="n">
        <v>1010</v>
      </c>
      <c r="I605" s="31" t="str">
        <f aca="false">INDEX(Data!$G$2:$G$1833,MATCH($H605,Data!$A$2:$A$1833,0))</f>
        <v>Can communicate (in Language B) the overall sense of what is said (in Language A) in everyday situations, following basic cultural conventions and conveying the essential information, provided this is articulated clearly and they can ask for repetition and clarification.</v>
      </c>
      <c r="J605" s="71" t="s">
        <v>2921</v>
      </c>
      <c r="L605" s="70" t="s">
        <v>395</v>
      </c>
      <c r="M605" s="70" t="s">
        <v>1123</v>
      </c>
      <c r="N605" s="70" t="s">
        <v>1352</v>
      </c>
      <c r="O605" s="70" t="s">
        <v>1370</v>
      </c>
    </row>
    <row r="606" customFormat="false" ht="42.75" hidden="false" customHeight="true" outlineLevel="0" collapsed="false">
      <c r="A606" s="70"/>
      <c r="B606" s="70"/>
      <c r="C606" s="70"/>
      <c r="D606" s="70"/>
      <c r="E606" s="70"/>
      <c r="F606" s="70" t="s">
        <v>21</v>
      </c>
      <c r="G606" s="70" t="n">
        <f aca="false">COUNTIFS(Data!$B$2:$B$1833,$L606,Data!$C$2:$C$1833,$M606,Data!$D$2:$D$1833,$N606,Data!$E$2:$E$1833,$O606,Data!$F$2:$F$1833,$F606,Data!$H$2:$H$1833,1)</f>
        <v>1</v>
      </c>
      <c r="H606" s="70" t="n">
        <v>1009</v>
      </c>
      <c r="I606" s="31" t="str">
        <f aca="false">INDEX(Data!$G$2:$G$1833,MATCH($H606,Data!$A$2:$A$1833,0))</f>
        <v>Can communicate (in Language B) the main sense of what is said (in Language A) on subjects of personal interest, while following important politeness conventions, provided the interlocutors articulate clearly and they can ask for clarification and pause to plan how to express things.</v>
      </c>
      <c r="J606" s="71" t="s">
        <v>2922</v>
      </c>
      <c r="L606" s="70" t="s">
        <v>395</v>
      </c>
      <c r="M606" s="70" t="s">
        <v>1123</v>
      </c>
      <c r="N606" s="70" t="s">
        <v>1352</v>
      </c>
      <c r="O606" s="70" t="s">
        <v>1370</v>
      </c>
    </row>
    <row r="607" customFormat="false" ht="53.25" hidden="false" customHeight="true" outlineLevel="0" collapsed="false">
      <c r="A607" s="70"/>
      <c r="B607" s="70"/>
      <c r="C607" s="70"/>
      <c r="D607" s="70"/>
      <c r="E607" s="70"/>
      <c r="F607" s="70" t="s">
        <v>52</v>
      </c>
      <c r="G607" s="70" t="n">
        <f aca="false">COUNTIFS(Data!$B$2:$B$1833,$L607,Data!$C$2:$C$1833,$M607,Data!$D$2:$D$1833,$N607,Data!$E$2:$E$1833,$O607,Data!$F$2:$F$1833,$F607,Data!$H$2:$H$1833,1)</f>
        <v>1</v>
      </c>
      <c r="H607" s="70" t="n">
        <v>1008</v>
      </c>
      <c r="I607" s="31" t="str">
        <f aca="false">INDEX(Data!$G$2:$G$1833,MATCH($H607,Data!$A$2:$A$1833,0))</f>
        <v>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v>
      </c>
      <c r="J607" s="71" t="s">
        <v>2923</v>
      </c>
      <c r="L607" s="70" t="s">
        <v>395</v>
      </c>
      <c r="M607" s="70" t="s">
        <v>1123</v>
      </c>
      <c r="N607" s="70" t="s">
        <v>1352</v>
      </c>
      <c r="O607" s="70" t="s">
        <v>1370</v>
      </c>
    </row>
    <row r="608" customFormat="false" ht="42.75" hidden="false" customHeight="true" outlineLevel="0" collapsed="false">
      <c r="A608" s="70"/>
      <c r="B608" s="70"/>
      <c r="C608" s="70"/>
      <c r="D608" s="70"/>
      <c r="E608" s="70"/>
      <c r="F608" s="70" t="s">
        <v>259</v>
      </c>
      <c r="G608" s="70" t="n">
        <f aca="false">COUNTIFS(Data!$B$2:$B$1833,$L608,Data!$C$2:$C$1833,$M608,Data!$D$2:$D$1833,$N608,Data!$E$2:$E$1833,$O608,Data!$F$2:$F$1833,$F608,Data!$H$2:$H$1833,1)</f>
        <v>2</v>
      </c>
      <c r="H608" s="70" t="n">
        <v>1007</v>
      </c>
      <c r="I608" s="31" t="str">
        <f aca="false">INDEX(Data!$G$2:$G$1833,MATCH($H608,Data!$A$2:$A$1833,0))</f>
        <v>Can communicate (in Language B) the sense of what is said (in Language A) on subjects within their fields of interest, conveying and when necessary explaining the significance of important statements and viewpoints, provided the interlocutors give clarifications if needed.</v>
      </c>
      <c r="J608" s="71" t="s">
        <v>2924</v>
      </c>
      <c r="L608" s="70" t="s">
        <v>395</v>
      </c>
      <c r="M608" s="70" t="s">
        <v>1123</v>
      </c>
      <c r="N608" s="70" t="s">
        <v>1352</v>
      </c>
      <c r="O608" s="70" t="s">
        <v>1370</v>
      </c>
    </row>
    <row r="609" customFormat="false" ht="42.75" hidden="false" customHeight="true" outlineLevel="0" collapsed="false">
      <c r="A609" s="70"/>
      <c r="B609" s="70"/>
      <c r="C609" s="70"/>
      <c r="D609" s="70"/>
      <c r="E609" s="70"/>
      <c r="F609" s="70" t="s">
        <v>36</v>
      </c>
      <c r="G609" s="70" t="n">
        <f aca="false">COUNTIFS(Data!$B$2:$B$1833,$L609,Data!$C$2:$C$1833,$M609,Data!$D$2:$D$1833,$N609,Data!$E$2:$E$1833,$O609,Data!$F$2:$F$1833,$F609,Data!$H$2:$H$1833,1)</f>
        <v>1</v>
      </c>
      <c r="H609" s="70" t="n">
        <v>1005</v>
      </c>
      <c r="I609" s="31" t="str">
        <f aca="false">INDEX(Data!$G$2:$G$1833,MATCH($H609,Data!$A$2:$A$1833,0))</f>
        <v>Can mediate (between Language A and Language B) conveying detailed information, drawing the attention of both sides to background information and sociocultural cues, and posing clarification and follow-up questions or statements as necessary.</v>
      </c>
      <c r="J609" s="71" t="s">
        <v>2925</v>
      </c>
      <c r="L609" s="70" t="s">
        <v>395</v>
      </c>
      <c r="M609" s="70" t="s">
        <v>1123</v>
      </c>
      <c r="N609" s="70" t="s">
        <v>1352</v>
      </c>
      <c r="O609" s="70" t="s">
        <v>1370</v>
      </c>
    </row>
    <row r="610" customFormat="false" ht="42.75" hidden="false" customHeight="true" outlineLevel="0" collapsed="false">
      <c r="A610" s="70"/>
      <c r="B610" s="70"/>
      <c r="C610" s="70"/>
      <c r="D610" s="70"/>
      <c r="E610" s="70"/>
      <c r="F610" s="70" t="s">
        <v>74</v>
      </c>
      <c r="G610" s="70" t="n">
        <f aca="false">COUNTIFS(Data!$B$2:$B$1833,$L610,Data!$C$2:$C$1833,$M610,Data!$D$2:$D$1833,$N610,Data!$E$2:$E$1833,$O610,Data!$F$2:$F$1833,$F610,Data!$H$2:$H$1833,1)</f>
        <v>1</v>
      </c>
      <c r="H610" s="70" t="n">
        <v>1004</v>
      </c>
      <c r="I610" s="31" t="str">
        <f aca="false">INDEX(Data!$G$2:$G$1833,MATCH($H610,Data!$A$2:$A$1833,0))</f>
        <v>Can communicate fluently (in Language B) the sense of what is said (in Language A) on a wide range of subjects of personal, academic and professional interest, conveying significant information clearly and concisely as well as explaining cultural references.</v>
      </c>
      <c r="J610" s="71" t="s">
        <v>2926</v>
      </c>
      <c r="L610" s="70" t="s">
        <v>395</v>
      </c>
      <c r="M610" s="70" t="s">
        <v>1123</v>
      </c>
      <c r="N610" s="70" t="s">
        <v>1352</v>
      </c>
      <c r="O610" s="70" t="s">
        <v>1370</v>
      </c>
    </row>
    <row r="611" customFormat="false" ht="51.75" hidden="false" customHeight="true" outlineLevel="0" collapsed="false">
      <c r="A611" s="70"/>
      <c r="B611" s="70"/>
      <c r="C611" s="70"/>
      <c r="D611" s="70"/>
      <c r="E611" s="70"/>
      <c r="F611" s="70" t="s">
        <v>331</v>
      </c>
      <c r="G611" s="70" t="n">
        <f aca="false">COUNTIFS(Data!$B$2:$B$1833,$L611,Data!$C$2:$C$1833,$M611,Data!$D$2:$D$1833,$N611,Data!$E$2:$E$1833,$O611,Data!$F$2:$F$1833,$F611,Data!$H$2:$H$1833,1)</f>
        <v>1</v>
      </c>
      <c r="H611" s="70" t="n">
        <v>1003</v>
      </c>
      <c r="I611" s="31" t="str">
        <f aca="false">INDEX(Data!$G$2:$G$1833,MATCH($H611,Data!$A$2:$A$1833,0))</f>
        <v>Can communicate in a clear, fluent, well-structured way (in Language B) the sense of what is said (in Language A) on a wide range of general and specialised topics, maintaining appropriate style and register, conveying finer shades of meaning and elaborating on sociocultural implications.</v>
      </c>
      <c r="J611" s="71" t="s">
        <v>2927</v>
      </c>
      <c r="L611" s="70" t="s">
        <v>395</v>
      </c>
      <c r="M611" s="70" t="s">
        <v>1123</v>
      </c>
      <c r="N611" s="70" t="s">
        <v>1352</v>
      </c>
      <c r="O611" s="70" t="s">
        <v>1370</v>
      </c>
    </row>
    <row r="612" customFormat="false" ht="15" hidden="false" customHeight="true" outlineLevel="0" collapsed="false">
      <c r="A612" s="73" t="str">
        <f aca="false">IFERROR(INDEX(対訳マスタ!$C$2:$C$136,MATCH($L612,対訳マスタ!$B$2:$B$136,0)),$L612)</f>
        <v>コミュニケーション言語活動</v>
      </c>
      <c r="B612" s="73" t="str">
        <f aca="false">IF($M612="—","—",IFERROR(INDEX(対訳マスタ!$C$2:$C$136,MATCH($M612,対訳マスタ!$B$2:$B$136,0)),$M612))</f>
        <v>仲介</v>
      </c>
      <c r="C612" s="73" t="str">
        <f aca="false">IF($N612="—","—",IFERROR(INDEX(対訳マスタ!$C$2:$C$136,MATCH($N612,対訳マスタ!$B$2:$B$136,0)),$N612))</f>
        <v>コミュニケーションの仲介</v>
      </c>
      <c r="D612" s="73" t="str">
        <f aca="false">IFERROR(INDEX(対訳マスタ!$C$2:$C$136,MATCH($O612,対訳マスタ!$B$2:$B$136,0)),$O612)</f>
        <v>デリケートな状況・対立の場でのコミュニケーション促進</v>
      </c>
      <c r="E612" s="73" t="s">
        <v>1381</v>
      </c>
      <c r="F612" s="73" t="s">
        <v>86</v>
      </c>
      <c r="G612" s="73" t="n">
        <f aca="false">COUNTIFS(Data!$B$2:$B$1833,$L612,Data!$C$2:$C$1833,$M612,Data!$D$2:$D$1833,$N612,Data!$E$2:$E$1833,$O612,Data!$F$2:$F$1833,$F612,Data!$H$2:$H$1833,1)</f>
        <v>0</v>
      </c>
      <c r="H612" s="73" t="s">
        <v>624</v>
      </c>
      <c r="I612" s="74" t="s">
        <v>624</v>
      </c>
      <c r="J612" s="74" t="s">
        <v>624</v>
      </c>
      <c r="L612" s="70" t="s">
        <v>395</v>
      </c>
      <c r="M612" s="70" t="s">
        <v>1123</v>
      </c>
      <c r="N612" s="70" t="s">
        <v>1352</v>
      </c>
      <c r="O612" s="70" t="s">
        <v>1381</v>
      </c>
    </row>
    <row r="613" customFormat="false" ht="32.25" hidden="false" customHeight="true" outlineLevel="0" collapsed="false">
      <c r="A613" s="75"/>
      <c r="B613" s="75"/>
      <c r="C613" s="75"/>
      <c r="D613" s="75"/>
      <c r="E613" s="75"/>
      <c r="F613" s="75" t="s">
        <v>101</v>
      </c>
      <c r="G613" s="75" t="n">
        <f aca="false">COUNTIFS(Data!$B$2:$B$1833,$L613,Data!$C$2:$C$1833,$M613,Data!$D$2:$D$1833,$N613,Data!$E$2:$E$1833,$O613,Data!$F$2:$F$1833,$F613,Data!$H$2:$H$1833,1)</f>
        <v>1</v>
      </c>
      <c r="H613" s="75" t="n">
        <v>1028</v>
      </c>
      <c r="I613" s="76" t="str">
        <f aca="false">INDEX(Data!$G$2:$G$1833,MATCH($H613,Data!$A$2:$A$1833,0))</f>
        <v>Can recognise when people disagree or when someone has a problem and can use memorised, simple expressions (e.g. “I understand” or “Are you okay?”) to indicate sympathy.</v>
      </c>
      <c r="J613" s="77" t="s">
        <v>2928</v>
      </c>
      <c r="L613" s="70" t="s">
        <v>395</v>
      </c>
      <c r="M613" s="70" t="s">
        <v>1123</v>
      </c>
      <c r="N613" s="70" t="s">
        <v>1352</v>
      </c>
      <c r="O613" s="70" t="s">
        <v>1381</v>
      </c>
    </row>
    <row r="614" customFormat="false" ht="26.25" hidden="false" customHeight="true" outlineLevel="0" collapsed="false">
      <c r="A614" s="75"/>
      <c r="B614" s="75"/>
      <c r="C614" s="75"/>
      <c r="D614" s="75"/>
      <c r="E614" s="75"/>
      <c r="F614" s="75" t="s">
        <v>13</v>
      </c>
      <c r="G614" s="75" t="n">
        <f aca="false">COUNTIFS(Data!$B$2:$B$1833,$L614,Data!$C$2:$C$1833,$M614,Data!$D$2:$D$1833,$N614,Data!$E$2:$E$1833,$O614,Data!$F$2:$F$1833,$F614,Data!$H$2:$H$1833,1)</f>
        <v>1</v>
      </c>
      <c r="H614" s="75" t="n">
        <v>1027</v>
      </c>
      <c r="I614" s="76" t="str">
        <f aca="false">INDEX(Data!$G$2:$G$1833,MATCH($H614,Data!$A$2:$A$1833,0))</f>
        <v>Can recognise when people disagree or when difficulties occur in interaction and adapt memorised, simple phrases to seek compromise and agreement.</v>
      </c>
      <c r="J614" s="77" t="s">
        <v>2929</v>
      </c>
      <c r="L614" s="70" t="s">
        <v>395</v>
      </c>
      <c r="M614" s="70" t="s">
        <v>1123</v>
      </c>
      <c r="N614" s="70" t="s">
        <v>1352</v>
      </c>
      <c r="O614" s="70" t="s">
        <v>1381</v>
      </c>
    </row>
    <row r="615" customFormat="false" ht="15" hidden="false" customHeight="true" outlineLevel="0" collapsed="false">
      <c r="A615" s="75"/>
      <c r="B615" s="75"/>
      <c r="C615" s="75"/>
      <c r="D615" s="75"/>
      <c r="E615" s="75"/>
      <c r="F615" s="75" t="s">
        <v>123</v>
      </c>
      <c r="G615" s="75" t="n">
        <f aca="false">COUNTIFS(Data!$B$2:$B$1833,$L615,Data!$C$2:$C$1833,$M615,Data!$D$2:$D$1833,$N615,Data!$E$2:$E$1833,$O615,Data!$F$2:$F$1833,$F615,Data!$H$2:$H$1833,1)</f>
        <v>0</v>
      </c>
      <c r="H615" s="75" t="s">
        <v>624</v>
      </c>
      <c r="I615" s="76" t="s">
        <v>624</v>
      </c>
      <c r="J615" s="76" t="s">
        <v>624</v>
      </c>
      <c r="L615" s="70" t="s">
        <v>395</v>
      </c>
      <c r="M615" s="70" t="s">
        <v>1123</v>
      </c>
      <c r="N615" s="70" t="s">
        <v>1352</v>
      </c>
      <c r="O615" s="70" t="s">
        <v>1381</v>
      </c>
    </row>
    <row r="616" customFormat="false" ht="32.25" hidden="false" customHeight="true" outlineLevel="0" collapsed="false">
      <c r="A616" s="75"/>
      <c r="B616" s="75"/>
      <c r="C616" s="75"/>
      <c r="D616" s="75"/>
      <c r="E616" s="75"/>
      <c r="F616" s="75" t="s">
        <v>21</v>
      </c>
      <c r="G616" s="75" t="n">
        <f aca="false">COUNTIFS(Data!$B$2:$B$1833,$L616,Data!$C$2:$C$1833,$M616,Data!$D$2:$D$1833,$N616,Data!$E$2:$E$1833,$O616,Data!$F$2:$F$1833,$F616,Data!$H$2:$H$1833,1)</f>
        <v>1</v>
      </c>
      <c r="H616" s="75" t="n">
        <v>1026</v>
      </c>
      <c r="I616" s="76" t="str">
        <f aca="false">INDEX(Data!$G$2:$G$1833,MATCH($H616,Data!$A$2:$A$1833,0))</f>
        <v>Can demonstrate their understanding of the key issues in a disagreement on a topic familiar to them and make simple requests for confirmation and/or clarification.</v>
      </c>
      <c r="J616" s="77" t="s">
        <v>2930</v>
      </c>
      <c r="L616" s="70" t="s">
        <v>395</v>
      </c>
      <c r="M616" s="70" t="s">
        <v>1123</v>
      </c>
      <c r="N616" s="70" t="s">
        <v>1352</v>
      </c>
      <c r="O616" s="70" t="s">
        <v>1381</v>
      </c>
    </row>
    <row r="617" customFormat="false" ht="32.25" hidden="false" customHeight="true" outlineLevel="0" collapsed="false">
      <c r="A617" s="75"/>
      <c r="B617" s="75"/>
      <c r="C617" s="75"/>
      <c r="D617" s="75"/>
      <c r="E617" s="75"/>
      <c r="F617" s="75" t="s">
        <v>52</v>
      </c>
      <c r="G617" s="75" t="n">
        <f aca="false">COUNTIFS(Data!$B$2:$B$1833,$L617,Data!$C$2:$C$1833,$M617,Data!$D$2:$D$1833,$N617,Data!$E$2:$E$1833,$O617,Data!$F$2:$F$1833,$F617,Data!$H$2:$H$1833,1)</f>
        <v>1</v>
      </c>
      <c r="H617" s="75" t="n">
        <v>1025</v>
      </c>
      <c r="I617" s="76" t="str">
        <f aca="false">INDEX(Data!$G$2:$G$1833,MATCH($H617,Data!$A$2:$A$1833,0))</f>
        <v>Can ask parties in a disagreement to explain their point of view, and can respond briefly to their explanations, provided the topic is familiar to them and the parties express themselves clearly.</v>
      </c>
      <c r="J617" s="77" t="s">
        <v>2931</v>
      </c>
      <c r="L617" s="70" t="s">
        <v>395</v>
      </c>
      <c r="M617" s="70" t="s">
        <v>1123</v>
      </c>
      <c r="N617" s="70" t="s">
        <v>1352</v>
      </c>
      <c r="O617" s="70" t="s">
        <v>1381</v>
      </c>
    </row>
    <row r="618" customFormat="false" ht="21.75" hidden="false" customHeight="true" outlineLevel="0" collapsed="false">
      <c r="A618" s="75"/>
      <c r="B618" s="75"/>
      <c r="C618" s="75"/>
      <c r="D618" s="75"/>
      <c r="E618" s="75"/>
      <c r="F618" s="75" t="s">
        <v>259</v>
      </c>
      <c r="G618" s="75" t="n">
        <f aca="false">COUNTIFS(Data!$B$2:$B$1833,$L618,Data!$C$2:$C$1833,$M618,Data!$D$2:$D$1833,$N618,Data!$E$2:$E$1833,$O618,Data!$F$2:$F$1833,$F618,Data!$H$2:$H$1833,1)</f>
        <v>3</v>
      </c>
      <c r="H618" s="75" t="n">
        <v>1022</v>
      </c>
      <c r="I618" s="76" t="str">
        <f aca="false">INDEX(Data!$G$2:$G$1833,MATCH($H618,Data!$A$2:$A$1833,0))</f>
        <v>Can, by asking questions, identify areas of common ground and invite each side to highlight possible solutions.</v>
      </c>
      <c r="J618" s="77" t="s">
        <v>2932</v>
      </c>
      <c r="L618" s="70" t="s">
        <v>395</v>
      </c>
      <c r="M618" s="70" t="s">
        <v>1123</v>
      </c>
      <c r="N618" s="70" t="s">
        <v>1352</v>
      </c>
      <c r="O618" s="70" t="s">
        <v>1381</v>
      </c>
    </row>
    <row r="619" customFormat="false" ht="26.25" hidden="false" customHeight="true" outlineLevel="0" collapsed="false">
      <c r="A619" s="75"/>
      <c r="B619" s="75"/>
      <c r="C619" s="75"/>
      <c r="D619" s="75"/>
      <c r="E619" s="75"/>
      <c r="F619" s="75" t="s">
        <v>36</v>
      </c>
      <c r="G619" s="75" t="n">
        <f aca="false">COUNTIFS(Data!$B$2:$B$1833,$L619,Data!$C$2:$C$1833,$M619,Data!$D$2:$D$1833,$N619,Data!$E$2:$E$1833,$O619,Data!$F$2:$F$1833,$F619,Data!$H$2:$H$1833,1)</f>
        <v>3</v>
      </c>
      <c r="H619" s="75" t="n">
        <v>1021</v>
      </c>
      <c r="I619" s="76" t="str">
        <f aca="false">INDEX(Data!$G$2:$G$1833,MATCH($H619,Data!$A$2:$A$1833,0))</f>
        <v>Can formulate a clear and accurate summary of what has been agreed and what is expected from each of the parties.</v>
      </c>
      <c r="J619" s="77" t="s">
        <v>2933</v>
      </c>
      <c r="L619" s="70" t="s">
        <v>395</v>
      </c>
      <c r="M619" s="70" t="s">
        <v>1123</v>
      </c>
      <c r="N619" s="70" t="s">
        <v>1352</v>
      </c>
      <c r="O619" s="70" t="s">
        <v>1381</v>
      </c>
    </row>
    <row r="620" customFormat="false" ht="26.25" hidden="false" customHeight="true" outlineLevel="0" collapsed="false">
      <c r="A620" s="75"/>
      <c r="B620" s="75"/>
      <c r="C620" s="75"/>
      <c r="D620" s="75"/>
      <c r="E620" s="75"/>
      <c r="F620" s="75" t="s">
        <v>74</v>
      </c>
      <c r="G620" s="75" t="n">
        <f aca="false">COUNTIFS(Data!$B$2:$B$1833,$L620,Data!$C$2:$C$1833,$M620,Data!$D$2:$D$1833,$N620,Data!$E$2:$E$1833,$O620,Data!$F$2:$F$1833,$F620,Data!$H$2:$H$1833,1)</f>
        <v>3</v>
      </c>
      <c r="H620" s="75" t="n">
        <v>1018</v>
      </c>
      <c r="I620" s="76" t="str">
        <f aca="false">INDEX(Data!$G$2:$G$1833,MATCH($H620,Data!$A$2:$A$1833,0))</f>
        <v>Can use persuasive language to suggest that parties in disagreement shift towards a new position.</v>
      </c>
      <c r="J620" s="77" t="s">
        <v>2934</v>
      </c>
      <c r="L620" s="70" t="s">
        <v>395</v>
      </c>
      <c r="M620" s="70" t="s">
        <v>1123</v>
      </c>
      <c r="N620" s="70" t="s">
        <v>1352</v>
      </c>
      <c r="O620" s="70" t="s">
        <v>1381</v>
      </c>
    </row>
    <row r="621" customFormat="false" ht="26.25" hidden="false" customHeight="true" outlineLevel="0" collapsed="false">
      <c r="A621" s="75"/>
      <c r="B621" s="75"/>
      <c r="C621" s="75"/>
      <c r="D621" s="75"/>
      <c r="E621" s="75"/>
      <c r="F621" s="75" t="s">
        <v>331</v>
      </c>
      <c r="G621" s="75" t="n">
        <f aca="false">COUNTIFS(Data!$B$2:$B$1833,$L621,Data!$C$2:$C$1833,$M621,Data!$D$2:$D$1833,$N621,Data!$E$2:$E$1833,$O621,Data!$F$2:$F$1833,$F621,Data!$H$2:$H$1833,1)</f>
        <v>2</v>
      </c>
      <c r="H621" s="75" t="n">
        <v>1015</v>
      </c>
      <c r="I621" s="76" t="str">
        <f aca="false">INDEX(Data!$G$2:$G$1833,MATCH($H621,Data!$A$2:$A$1833,0))</f>
        <v>Can confidently take a firm but diplomatic stance over an issue of principle, while showing respect for the viewpoints of others.</v>
      </c>
      <c r="J621" s="77" t="s">
        <v>2935</v>
      </c>
      <c r="L621" s="70" t="s">
        <v>395</v>
      </c>
      <c r="M621" s="70" t="s">
        <v>1123</v>
      </c>
      <c r="N621" s="70" t="s">
        <v>1352</v>
      </c>
      <c r="O621" s="70" t="s">
        <v>1381</v>
      </c>
    </row>
    <row r="622" customFormat="false" ht="15" hidden="false" customHeight="true" outlineLevel="0" collapsed="false">
      <c r="A622" s="67" t="str">
        <f aca="false">IFERROR(INDEX(対訳マスタ!$C$2:$C$136,MATCH($L622,対訳マスタ!$B$2:$B$136,0)),$L622)</f>
        <v>コミュニケーション言語方略</v>
      </c>
      <c r="B622" s="67" t="str">
        <f aca="false">IF($M622="—","—",IFERROR(INDEX(対訳マスタ!$C$2:$C$136,MATCH($M622,対訳マスタ!$B$2:$B$136,0)),$M622))</f>
        <v>仲介</v>
      </c>
      <c r="C622" s="67" t="str">
        <f aca="false">IF($N622="—","—",IFERROR(INDEX(対訳マスタ!$C$2:$C$136,MATCH($N622,対訳マスタ!$B$2:$B$136,0)),$N622))</f>
        <v>新しい概念を説明する方略</v>
      </c>
      <c r="D622" s="67" t="str">
        <f aca="false">IFERROR(INDEX(対訳マスタ!$C$2:$C$136,MATCH($O622,対訳マスタ!$B$2:$B$136,0)),$O622)</f>
        <v>既有知識への結びつけ</v>
      </c>
      <c r="E622" s="67" t="s">
        <v>1398</v>
      </c>
      <c r="F622" s="67" t="s">
        <v>86</v>
      </c>
      <c r="G622" s="67" t="n">
        <f aca="false">COUNTIFS(Data!$B$2:$B$1833,$L622,Data!$C$2:$C$1833,$M622,Data!$D$2:$D$1833,$N622,Data!$E$2:$E$1833,$O622,Data!$F$2:$F$1833,$F622,Data!$H$2:$H$1833,1)</f>
        <v>0</v>
      </c>
      <c r="H622" s="67" t="s">
        <v>624</v>
      </c>
      <c r="I622" s="68" t="s">
        <v>624</v>
      </c>
      <c r="J622" s="68" t="s">
        <v>624</v>
      </c>
      <c r="L622" s="70" t="s">
        <v>396</v>
      </c>
      <c r="M622" s="70" t="s">
        <v>1123</v>
      </c>
      <c r="N622" s="70" t="s">
        <v>1397</v>
      </c>
      <c r="O622" s="70" t="s">
        <v>1398</v>
      </c>
    </row>
    <row r="623" customFormat="false" ht="15" hidden="false" customHeight="true" outlineLevel="0" collapsed="false">
      <c r="A623" s="70"/>
      <c r="B623" s="70"/>
      <c r="C623" s="70"/>
      <c r="D623" s="70"/>
      <c r="E623" s="70"/>
      <c r="F623" s="70" t="s">
        <v>101</v>
      </c>
      <c r="G623" s="70" t="n">
        <f aca="false">COUNTIFS(Data!$B$2:$B$1833,$L623,Data!$C$2:$C$1833,$M623,Data!$D$2:$D$1833,$N623,Data!$E$2:$E$1833,$O623,Data!$F$2:$F$1833,$F623,Data!$H$2:$H$1833,1)</f>
        <v>0</v>
      </c>
      <c r="H623" s="70" t="s">
        <v>624</v>
      </c>
      <c r="I623" s="31" t="s">
        <v>624</v>
      </c>
      <c r="J623" s="31" t="s">
        <v>624</v>
      </c>
      <c r="L623" s="70" t="s">
        <v>396</v>
      </c>
      <c r="M623" s="70" t="s">
        <v>1123</v>
      </c>
      <c r="N623" s="70" t="s">
        <v>1397</v>
      </c>
      <c r="O623" s="70" t="s">
        <v>1398</v>
      </c>
    </row>
    <row r="624" customFormat="false" ht="15" hidden="false" customHeight="true" outlineLevel="0" collapsed="false">
      <c r="A624" s="70"/>
      <c r="B624" s="70"/>
      <c r="C624" s="70"/>
      <c r="D624" s="70"/>
      <c r="E624" s="70"/>
      <c r="F624" s="70" t="s">
        <v>13</v>
      </c>
      <c r="G624" s="70" t="n">
        <f aca="false">COUNTIFS(Data!$B$2:$B$1833,$L624,Data!$C$2:$C$1833,$M624,Data!$D$2:$D$1833,$N624,Data!$E$2:$E$1833,$O624,Data!$F$2:$F$1833,$F624,Data!$H$2:$H$1833,1)</f>
        <v>0</v>
      </c>
      <c r="H624" s="70" t="s">
        <v>624</v>
      </c>
      <c r="I624" s="31" t="s">
        <v>624</v>
      </c>
      <c r="J624" s="31" t="s">
        <v>624</v>
      </c>
      <c r="L624" s="70" t="s">
        <v>396</v>
      </c>
      <c r="M624" s="70" t="s">
        <v>1123</v>
      </c>
      <c r="N624" s="70" t="s">
        <v>1397</v>
      </c>
      <c r="O624" s="70" t="s">
        <v>1398</v>
      </c>
    </row>
    <row r="625" customFormat="false" ht="15" hidden="false" customHeight="true" outlineLevel="0" collapsed="false">
      <c r="A625" s="70"/>
      <c r="B625" s="70"/>
      <c r="C625" s="70"/>
      <c r="D625" s="70"/>
      <c r="E625" s="70"/>
      <c r="F625" s="70" t="s">
        <v>123</v>
      </c>
      <c r="G625" s="70" t="n">
        <f aca="false">COUNTIFS(Data!$B$2:$B$1833,$L625,Data!$C$2:$C$1833,$M625,Data!$D$2:$D$1833,$N625,Data!$E$2:$E$1833,$O625,Data!$F$2:$F$1833,$F625,Data!$H$2:$H$1833,1)</f>
        <v>0</v>
      </c>
      <c r="H625" s="70" t="s">
        <v>624</v>
      </c>
      <c r="I625" s="31" t="s">
        <v>624</v>
      </c>
      <c r="J625" s="31" t="s">
        <v>624</v>
      </c>
      <c r="L625" s="70" t="s">
        <v>396</v>
      </c>
      <c r="M625" s="70" t="s">
        <v>1123</v>
      </c>
      <c r="N625" s="70" t="s">
        <v>1397</v>
      </c>
      <c r="O625" s="70" t="s">
        <v>1398</v>
      </c>
    </row>
    <row r="626" customFormat="false" ht="21.75" hidden="false" customHeight="true" outlineLevel="0" collapsed="false">
      <c r="A626" s="70"/>
      <c r="B626" s="70"/>
      <c r="C626" s="70"/>
      <c r="D626" s="70"/>
      <c r="E626" s="70"/>
      <c r="F626" s="70" t="s">
        <v>21</v>
      </c>
      <c r="G626" s="70" t="n">
        <f aca="false">COUNTIFS(Data!$B$2:$B$1833,$L626,Data!$C$2:$C$1833,$M626,Data!$D$2:$D$1833,$N626,Data!$E$2:$E$1833,$O626,Data!$F$2:$F$1833,$F626,Data!$H$2:$H$1833,1)</f>
        <v>1</v>
      </c>
      <c r="H626" s="70" t="n">
        <v>1036</v>
      </c>
      <c r="I626" s="31" t="str">
        <f aca="false">INDEX(Data!$G$2:$G$1833,MATCH($H626,Data!$A$2:$A$1833,0))</f>
        <v>Can show how new information is related to what people are familiar with by asking simple questions.</v>
      </c>
      <c r="J626" s="71" t="s">
        <v>2936</v>
      </c>
      <c r="L626" s="70" t="s">
        <v>396</v>
      </c>
      <c r="M626" s="70" t="s">
        <v>1123</v>
      </c>
      <c r="N626" s="70" t="s">
        <v>1397</v>
      </c>
      <c r="O626" s="70" t="s">
        <v>1398</v>
      </c>
    </row>
    <row r="627" customFormat="false" ht="21.75" hidden="false" customHeight="true" outlineLevel="0" collapsed="false">
      <c r="A627" s="70"/>
      <c r="B627" s="70"/>
      <c r="C627" s="70"/>
      <c r="D627" s="70"/>
      <c r="E627" s="70"/>
      <c r="F627" s="70" t="s">
        <v>52</v>
      </c>
      <c r="G627" s="70" t="n">
        <f aca="false">COUNTIFS(Data!$B$2:$B$1833,$L627,Data!$C$2:$C$1833,$M627,Data!$D$2:$D$1833,$N627,Data!$E$2:$E$1833,$O627,Data!$F$2:$F$1833,$F627,Data!$H$2:$H$1833,1)</f>
        <v>1</v>
      </c>
      <c r="H627" s="70" t="n">
        <v>1035</v>
      </c>
      <c r="I627" s="31" t="str">
        <f aca="false">INDEX(Data!$G$2:$G$1833,MATCH($H627,Data!$A$2:$A$1833,0))</f>
        <v>Can explain how something works by providing examples that draw on people’s everyday experiences.</v>
      </c>
      <c r="J627" s="71" t="s">
        <v>2937</v>
      </c>
      <c r="L627" s="70" t="s">
        <v>396</v>
      </c>
      <c r="M627" s="70" t="s">
        <v>1123</v>
      </c>
      <c r="N627" s="70" t="s">
        <v>1397</v>
      </c>
      <c r="O627" s="70" t="s">
        <v>1398</v>
      </c>
    </row>
    <row r="628" customFormat="false" ht="26.25" hidden="false" customHeight="true" outlineLevel="0" collapsed="false">
      <c r="A628" s="70"/>
      <c r="B628" s="70"/>
      <c r="C628" s="70"/>
      <c r="D628" s="70"/>
      <c r="E628" s="70"/>
      <c r="F628" s="70" t="s">
        <v>259</v>
      </c>
      <c r="G628" s="70" t="n">
        <f aca="false">COUNTIFS(Data!$B$2:$B$1833,$L628,Data!$C$2:$C$1833,$M628,Data!$D$2:$D$1833,$N628,Data!$E$2:$E$1833,$O628,Data!$F$2:$F$1833,$F628,Data!$H$2:$H$1833,1)</f>
        <v>2</v>
      </c>
      <c r="H628" s="70" t="n">
        <v>1034</v>
      </c>
      <c r="I628" s="31" t="str">
        <f aca="false">INDEX(Data!$G$2:$G$1833,MATCH($H628,Data!$A$2:$A$1833,0))</f>
        <v>Can explain a new concept or procedure by comparing and contrasting it to one that people are already familiar with.</v>
      </c>
      <c r="J628" s="71" t="s">
        <v>2938</v>
      </c>
      <c r="L628" s="70" t="s">
        <v>396</v>
      </c>
      <c r="M628" s="70" t="s">
        <v>1123</v>
      </c>
      <c r="N628" s="70" t="s">
        <v>1397</v>
      </c>
      <c r="O628" s="70" t="s">
        <v>1398</v>
      </c>
    </row>
    <row r="629" customFormat="false" ht="26.25" hidden="false" customHeight="true" outlineLevel="0" collapsed="false">
      <c r="A629" s="70"/>
      <c r="B629" s="70"/>
      <c r="C629" s="70"/>
      <c r="D629" s="70"/>
      <c r="E629" s="70"/>
      <c r="F629" s="70" t="s">
        <v>36</v>
      </c>
      <c r="G629" s="70" t="n">
        <f aca="false">COUNTIFS(Data!$B$2:$B$1833,$L629,Data!$C$2:$C$1833,$M629,Data!$D$2:$D$1833,$N629,Data!$E$2:$E$1833,$O629,Data!$F$2:$F$1833,$F629,Data!$H$2:$H$1833,1)</f>
        <v>1</v>
      </c>
      <c r="H629" s="70" t="n">
        <v>1032</v>
      </c>
      <c r="I629" s="31" t="str">
        <f aca="false">INDEX(Data!$G$2:$G$1833,MATCH($H629,Data!$A$2:$A$1833,0))</f>
        <v>Can clearly explain the connections between the goals of the session and the personal or professional interests and experiences of the participant(s).</v>
      </c>
      <c r="J629" s="71" t="s">
        <v>2939</v>
      </c>
      <c r="L629" s="70" t="s">
        <v>396</v>
      </c>
      <c r="M629" s="70" t="s">
        <v>1123</v>
      </c>
      <c r="N629" s="70" t="s">
        <v>1397</v>
      </c>
      <c r="O629" s="70" t="s">
        <v>1398</v>
      </c>
    </row>
    <row r="630" customFormat="false" ht="32.25" hidden="false" customHeight="true" outlineLevel="0" collapsed="false">
      <c r="A630" s="70"/>
      <c r="B630" s="70"/>
      <c r="C630" s="70"/>
      <c r="D630" s="70"/>
      <c r="E630" s="70"/>
      <c r="F630" s="70" t="s">
        <v>74</v>
      </c>
      <c r="G630" s="70" t="n">
        <f aca="false">COUNTIFS(Data!$B$2:$B$1833,$L630,Data!$C$2:$C$1833,$M630,Data!$D$2:$D$1833,$N630,Data!$E$2:$E$1833,$O630,Data!$F$2:$F$1833,$F630,Data!$H$2:$H$1833,1)</f>
        <v>1</v>
      </c>
      <c r="H630" s="70" t="n">
        <v>1031</v>
      </c>
      <c r="I630" s="31" t="str">
        <f aca="false">INDEX(Data!$G$2:$G$1833,MATCH($H630,Data!$A$2:$A$1833,0))</f>
        <v>Can spontaneously pose a series of questions to encourage people to think about their prior knowledge of an abstract issue and to help them establish a link to what is going to be explained.</v>
      </c>
      <c r="J630" s="71" t="s">
        <v>2940</v>
      </c>
      <c r="L630" s="70" t="s">
        <v>396</v>
      </c>
      <c r="M630" s="70" t="s">
        <v>1123</v>
      </c>
      <c r="N630" s="70" t="s">
        <v>1397</v>
      </c>
      <c r="O630" s="70" t="s">
        <v>1398</v>
      </c>
    </row>
    <row r="631" customFormat="false" ht="32.25" hidden="false" customHeight="true" outlineLevel="0" collapsed="false">
      <c r="A631" s="70"/>
      <c r="B631" s="70"/>
      <c r="C631" s="70"/>
      <c r="D631" s="70"/>
      <c r="E631" s="70"/>
      <c r="F631" s="70" t="s">
        <v>331</v>
      </c>
      <c r="G631" s="70" t="n">
        <f aca="false">COUNTIFS(Data!$B$2:$B$1833,$L631,Data!$C$2:$C$1833,$M631,Data!$D$2:$D$1833,$N631,Data!$E$2:$E$1833,$O631,Data!$F$2:$F$1833,$F631,Data!$H$2:$H$1833,1)</f>
        <v>1</v>
      </c>
      <c r="H631" s="70" t="n">
        <v>1030</v>
      </c>
      <c r="I631" s="31" t="str">
        <f aca="false">INDEX(Data!$G$2:$G$1833,MATCH($H631,Data!$A$2:$A$1833,0))</f>
        <v>Can introduce complex concepts (e.g. scientific notions) by providing extended definitions and explanations that draw on previous knowledge that can be assumed.</v>
      </c>
      <c r="J631" s="71" t="s">
        <v>2941</v>
      </c>
      <c r="L631" s="70" t="s">
        <v>396</v>
      </c>
      <c r="M631" s="70" t="s">
        <v>1123</v>
      </c>
      <c r="N631" s="70" t="s">
        <v>1397</v>
      </c>
      <c r="O631" s="70" t="s">
        <v>1398</v>
      </c>
    </row>
    <row r="632" customFormat="false" ht="15" hidden="false" customHeight="true" outlineLevel="0" collapsed="false">
      <c r="A632" s="73" t="str">
        <f aca="false">IFERROR(INDEX(対訳マスタ!$C$2:$C$136,MATCH($L632,対訳マスタ!$B$2:$B$136,0)),$L632)</f>
        <v>コミュニケーション言語方略</v>
      </c>
      <c r="B632" s="73" t="str">
        <f aca="false">IF($M632="—","—",IFERROR(INDEX(対訳マスタ!$C$2:$C$136,MATCH($M632,対訳マスタ!$B$2:$B$136,0)),$M632))</f>
        <v>仲介</v>
      </c>
      <c r="C632" s="73" t="str">
        <f aca="false">IF($N632="—","—",IFERROR(INDEX(対訳マスタ!$C$2:$C$136,MATCH($N632,対訳マスタ!$B$2:$B$136,0)),$N632))</f>
        <v>新しい概念を説明する方略</v>
      </c>
      <c r="D632" s="73" t="str">
        <f aca="false">IFERROR(INDEX(対訳マスタ!$C$2:$C$136,MATCH($O632,対訳マスタ!$B$2:$B$136,0)),$O632)</f>
        <v>言葉づかいの調整</v>
      </c>
      <c r="E632" s="73" t="s">
        <v>1406</v>
      </c>
      <c r="F632" s="73" t="s">
        <v>86</v>
      </c>
      <c r="G632" s="73" t="n">
        <f aca="false">COUNTIFS(Data!$B$2:$B$1833,$L632,Data!$C$2:$C$1833,$M632,Data!$D$2:$D$1833,$N632,Data!$E$2:$E$1833,$O632,Data!$F$2:$F$1833,$F632,Data!$H$2:$H$1833,1)</f>
        <v>0</v>
      </c>
      <c r="H632" s="73" t="s">
        <v>624</v>
      </c>
      <c r="I632" s="74" t="s">
        <v>624</v>
      </c>
      <c r="J632" s="74" t="s">
        <v>624</v>
      </c>
      <c r="L632" s="70" t="s">
        <v>396</v>
      </c>
      <c r="M632" s="70" t="s">
        <v>1123</v>
      </c>
      <c r="N632" s="70" t="s">
        <v>1397</v>
      </c>
      <c r="O632" s="70" t="s">
        <v>1406</v>
      </c>
    </row>
    <row r="633" customFormat="false" ht="15" hidden="false" customHeight="true" outlineLevel="0" collapsed="false">
      <c r="A633" s="75"/>
      <c r="B633" s="75"/>
      <c r="C633" s="75"/>
      <c r="D633" s="75"/>
      <c r="E633" s="75"/>
      <c r="F633" s="75" t="s">
        <v>101</v>
      </c>
      <c r="G633" s="75" t="n">
        <f aca="false">COUNTIFS(Data!$B$2:$B$1833,$L633,Data!$C$2:$C$1833,$M633,Data!$D$2:$D$1833,$N633,Data!$E$2:$E$1833,$O633,Data!$F$2:$F$1833,$F633,Data!$H$2:$H$1833,1)</f>
        <v>0</v>
      </c>
      <c r="H633" s="75" t="s">
        <v>624</v>
      </c>
      <c r="I633" s="76" t="s">
        <v>624</v>
      </c>
      <c r="J633" s="76" t="s">
        <v>624</v>
      </c>
      <c r="L633" s="70" t="s">
        <v>396</v>
      </c>
      <c r="M633" s="70" t="s">
        <v>1123</v>
      </c>
      <c r="N633" s="70" t="s">
        <v>1397</v>
      </c>
      <c r="O633" s="70" t="s">
        <v>1406</v>
      </c>
    </row>
    <row r="634" customFormat="false" ht="26.25" hidden="false" customHeight="true" outlineLevel="0" collapsed="false">
      <c r="A634" s="75"/>
      <c r="B634" s="75"/>
      <c r="C634" s="75"/>
      <c r="D634" s="75"/>
      <c r="E634" s="75"/>
      <c r="F634" s="75" t="s">
        <v>13</v>
      </c>
      <c r="G634" s="75" t="n">
        <f aca="false">COUNTIFS(Data!$B$2:$B$1833,$L634,Data!$C$2:$C$1833,$M634,Data!$D$2:$D$1833,$N634,Data!$E$2:$E$1833,$O634,Data!$F$2:$F$1833,$F634,Data!$H$2:$H$1833,1)</f>
        <v>1</v>
      </c>
      <c r="H634" s="75" t="n">
        <v>1049</v>
      </c>
      <c r="I634" s="76" t="str">
        <f aca="false">INDEX(Data!$G$2:$G$1833,MATCH($H634,Data!$A$2:$A$1833,0))</f>
        <v>Can repeat the main point of a simple message on an everyday subject, using different formulation to help someone else understand it.</v>
      </c>
      <c r="J634" s="77" t="s">
        <v>2942</v>
      </c>
      <c r="L634" s="70" t="s">
        <v>396</v>
      </c>
      <c r="M634" s="70" t="s">
        <v>1123</v>
      </c>
      <c r="N634" s="70" t="s">
        <v>1397</v>
      </c>
      <c r="O634" s="70" t="s">
        <v>1406</v>
      </c>
    </row>
    <row r="635" customFormat="false" ht="15" hidden="false" customHeight="true" outlineLevel="0" collapsed="false">
      <c r="A635" s="75"/>
      <c r="B635" s="75"/>
      <c r="C635" s="75"/>
      <c r="D635" s="75"/>
      <c r="E635" s="75"/>
      <c r="F635" s="75" t="s">
        <v>123</v>
      </c>
      <c r="G635" s="75" t="n">
        <f aca="false">COUNTIFS(Data!$B$2:$B$1833,$L635,Data!$C$2:$C$1833,$M635,Data!$D$2:$D$1833,$N635,Data!$E$2:$E$1833,$O635,Data!$F$2:$F$1833,$F635,Data!$H$2:$H$1833,1)</f>
        <v>0</v>
      </c>
      <c r="H635" s="75" t="s">
        <v>624</v>
      </c>
      <c r="I635" s="76" t="s">
        <v>624</v>
      </c>
      <c r="J635" s="76" t="s">
        <v>624</v>
      </c>
      <c r="L635" s="70" t="s">
        <v>396</v>
      </c>
      <c r="M635" s="70" t="s">
        <v>1123</v>
      </c>
      <c r="N635" s="70" t="s">
        <v>1397</v>
      </c>
      <c r="O635" s="70" t="s">
        <v>1406</v>
      </c>
    </row>
    <row r="636" customFormat="false" ht="21.75" hidden="false" customHeight="true" outlineLevel="0" collapsed="false">
      <c r="A636" s="75"/>
      <c r="B636" s="75"/>
      <c r="C636" s="75"/>
      <c r="D636" s="75"/>
      <c r="E636" s="75"/>
      <c r="F636" s="75" t="s">
        <v>21</v>
      </c>
      <c r="G636" s="75" t="n">
        <f aca="false">COUNTIFS(Data!$B$2:$B$1833,$L636,Data!$C$2:$C$1833,$M636,Data!$D$2:$D$1833,$N636,Data!$E$2:$E$1833,$O636,Data!$F$2:$F$1833,$F636,Data!$H$2:$H$1833,1)</f>
        <v>1</v>
      </c>
      <c r="H636" s="75" t="n">
        <v>1048</v>
      </c>
      <c r="I636" s="76" t="str">
        <f aca="false">INDEX(Data!$G$2:$G$1833,MATCH($H636,Data!$A$2:$A$1833,0))</f>
        <v>Can paraphrase short passages in a simple fashion, using the original order of the text.</v>
      </c>
      <c r="J636" s="77" t="s">
        <v>2943</v>
      </c>
      <c r="L636" s="70" t="s">
        <v>396</v>
      </c>
      <c r="M636" s="70" t="s">
        <v>1123</v>
      </c>
      <c r="N636" s="70" t="s">
        <v>1397</v>
      </c>
      <c r="O636" s="70" t="s">
        <v>1406</v>
      </c>
    </row>
    <row r="637" customFormat="false" ht="32.25" hidden="false" customHeight="true" outlineLevel="0" collapsed="false">
      <c r="A637" s="75"/>
      <c r="B637" s="75"/>
      <c r="C637" s="75"/>
      <c r="D637" s="75"/>
      <c r="E637" s="75"/>
      <c r="F637" s="75" t="s">
        <v>52</v>
      </c>
      <c r="G637" s="75" t="n">
        <f aca="false">COUNTIFS(Data!$B$2:$B$1833,$L637,Data!$C$2:$C$1833,$M637,Data!$D$2:$D$1833,$N637,Data!$E$2:$E$1833,$O637,Data!$F$2:$F$1833,$F637,Data!$H$2:$H$1833,1)</f>
        <v>1</v>
      </c>
      <c r="H637" s="75" t="n">
        <v>1047</v>
      </c>
      <c r="I637" s="76" t="str">
        <f aca="false">INDEX(Data!$G$2:$G$1833,MATCH($H637,Data!$A$2:$A$1833,0))</f>
        <v>Can paraphrase more simply the main points made in short, straightforward texts on familiar subjects (e.g. short magazine articles, interviews) to make the contents accessible for others.</v>
      </c>
      <c r="J637" s="77" t="s">
        <v>2944</v>
      </c>
      <c r="L637" s="70" t="s">
        <v>396</v>
      </c>
      <c r="M637" s="70" t="s">
        <v>1123</v>
      </c>
      <c r="N637" s="70" t="s">
        <v>1397</v>
      </c>
      <c r="O637" s="70" t="s">
        <v>1406</v>
      </c>
    </row>
    <row r="638" customFormat="false" ht="39" hidden="false" customHeight="true" outlineLevel="0" collapsed="false">
      <c r="A638" s="75"/>
      <c r="B638" s="75"/>
      <c r="C638" s="75"/>
      <c r="D638" s="75"/>
      <c r="E638" s="75"/>
      <c r="F638" s="75" t="s">
        <v>259</v>
      </c>
      <c r="G638" s="75" t="n">
        <f aca="false">COUNTIFS(Data!$B$2:$B$1833,$L638,Data!$C$2:$C$1833,$M638,Data!$D$2:$D$1833,$N638,Data!$E$2:$E$1833,$O638,Data!$F$2:$F$1833,$F638,Data!$H$2:$H$1833,1)</f>
        <v>1</v>
      </c>
      <c r="H638" s="75" t="n">
        <v>1046</v>
      </c>
      <c r="I638" s="76" t="str">
        <f aca="false">INDEX(Data!$G$2:$G$1833,MATCH($H638,Data!$A$2:$A$1833,0))</f>
        <v>Can make accessible for others the main contents of a text on a subject of interest (e.g. an essay, a forum discussion, a presentation) by paraphrasing in simpler language.</v>
      </c>
      <c r="J638" s="77" t="s">
        <v>2945</v>
      </c>
      <c r="L638" s="70" t="s">
        <v>396</v>
      </c>
      <c r="M638" s="70" t="s">
        <v>1123</v>
      </c>
      <c r="N638" s="70" t="s">
        <v>1397</v>
      </c>
      <c r="O638" s="70" t="s">
        <v>1406</v>
      </c>
    </row>
    <row r="639" customFormat="false" ht="26.25" hidden="false" customHeight="true" outlineLevel="0" collapsed="false">
      <c r="A639" s="75"/>
      <c r="B639" s="75"/>
      <c r="C639" s="75"/>
      <c r="D639" s="75"/>
      <c r="E639" s="75"/>
      <c r="F639" s="75" t="s">
        <v>36</v>
      </c>
      <c r="G639" s="75" t="n">
        <f aca="false">COUNTIFS(Data!$B$2:$B$1833,$L639,Data!$C$2:$C$1833,$M639,Data!$D$2:$D$1833,$N639,Data!$E$2:$E$1833,$O639,Data!$F$2:$F$1833,$F639,Data!$H$2:$H$1833,1)</f>
        <v>2</v>
      </c>
      <c r="H639" s="75" t="n">
        <v>1045</v>
      </c>
      <c r="I639" s="76" t="str">
        <f aca="false">INDEX(Data!$G$2:$G$1833,MATCH($H639,Data!$A$2:$A$1833,0))</f>
        <v>Can make a specific, complex piece of information in their field clearer and more explicit for others by paraphrasing it in simpler language.</v>
      </c>
      <c r="J639" s="77" t="s">
        <v>2946</v>
      </c>
      <c r="L639" s="70" t="s">
        <v>396</v>
      </c>
      <c r="M639" s="70" t="s">
        <v>1123</v>
      </c>
      <c r="N639" s="70" t="s">
        <v>1397</v>
      </c>
      <c r="O639" s="70" t="s">
        <v>1406</v>
      </c>
    </row>
    <row r="640" customFormat="false" ht="26.25" hidden="false" customHeight="true" outlineLevel="0" collapsed="false">
      <c r="A640" s="75"/>
      <c r="B640" s="75"/>
      <c r="C640" s="75"/>
      <c r="D640" s="75"/>
      <c r="E640" s="75"/>
      <c r="F640" s="75" t="s">
        <v>74</v>
      </c>
      <c r="G640" s="75" t="n">
        <f aca="false">COUNTIFS(Data!$B$2:$B$1833,$L640,Data!$C$2:$C$1833,$M640,Data!$D$2:$D$1833,$N640,Data!$E$2:$E$1833,$O640,Data!$F$2:$F$1833,$F640,Data!$H$2:$H$1833,1)</f>
        <v>3</v>
      </c>
      <c r="H640" s="75" t="n">
        <v>1041</v>
      </c>
      <c r="I640" s="76" t="str">
        <f aca="false">INDEX(Data!$G$2:$G$1833,MATCH($H640,Data!$A$2:$A$1833,0))</f>
        <v>Can explain technical terminology and difficult concepts when communicating with non-experts about matters within their own field of specialisation.</v>
      </c>
      <c r="J640" s="77" t="s">
        <v>2947</v>
      </c>
      <c r="L640" s="70" t="s">
        <v>396</v>
      </c>
      <c r="M640" s="70" t="s">
        <v>1123</v>
      </c>
      <c r="N640" s="70" t="s">
        <v>1397</v>
      </c>
      <c r="O640" s="70" t="s">
        <v>1406</v>
      </c>
    </row>
    <row r="641" customFormat="false" ht="32.25" hidden="false" customHeight="true" outlineLevel="0" collapsed="false">
      <c r="A641" s="75"/>
      <c r="B641" s="75"/>
      <c r="C641" s="75"/>
      <c r="D641" s="75"/>
      <c r="E641" s="75"/>
      <c r="F641" s="75" t="s">
        <v>331</v>
      </c>
      <c r="G641" s="75" t="n">
        <f aca="false">COUNTIFS(Data!$B$2:$B$1833,$L641,Data!$C$2:$C$1833,$M641,Data!$D$2:$D$1833,$N641,Data!$E$2:$E$1833,$O641,Data!$F$2:$F$1833,$F641,Data!$H$2:$H$1833,1)</f>
        <v>1</v>
      </c>
      <c r="H641" s="75" t="n">
        <v>1040</v>
      </c>
      <c r="I641" s="76" t="str">
        <f aca="false">INDEX(Data!$G$2:$G$1833,MATCH($H641,Data!$A$2:$A$1833,0))</f>
        <v>Can adapt the language of a very wide range of texts in order to present the main content in a register and degree of sophistication and detail appropriate to the audience concerned.</v>
      </c>
      <c r="J641" s="77" t="s">
        <v>2948</v>
      </c>
      <c r="L641" s="70" t="s">
        <v>396</v>
      </c>
      <c r="M641" s="70" t="s">
        <v>1123</v>
      </c>
      <c r="N641" s="70" t="s">
        <v>1397</v>
      </c>
      <c r="O641" s="70" t="s">
        <v>1406</v>
      </c>
    </row>
    <row r="642" customFormat="false" ht="15" hidden="false" customHeight="true" outlineLevel="0" collapsed="false">
      <c r="A642" s="67" t="str">
        <f aca="false">IFERROR(INDEX(対訳マスタ!$C$2:$C$136,MATCH($L642,対訳マスタ!$B$2:$B$136,0)),$L642)</f>
        <v>コミュニケーション言語方略</v>
      </c>
      <c r="B642" s="67" t="str">
        <f aca="false">IF($M642="—","—",IFERROR(INDEX(対訳マスタ!$C$2:$C$136,MATCH($M642,対訳マスタ!$B$2:$B$136,0)),$M642))</f>
        <v>仲介</v>
      </c>
      <c r="C642" s="67" t="str">
        <f aca="false">IF($N642="—","—",IFERROR(INDEX(対訳マスタ!$C$2:$C$136,MATCH($N642,対訳マスタ!$B$2:$B$136,0)),$N642))</f>
        <v>新しい概念を説明する方略</v>
      </c>
      <c r="D642" s="67" t="str">
        <f aca="false">IFERROR(INDEX(対訳マスタ!$C$2:$C$136,MATCH($O642,対訳マスタ!$B$2:$B$136,0)),$O642)</f>
        <v>複雑な情報の分解</v>
      </c>
      <c r="E642" s="67" t="s">
        <v>1417</v>
      </c>
      <c r="F642" s="67" t="s">
        <v>86</v>
      </c>
      <c r="G642" s="67" t="n">
        <f aca="false">COUNTIFS(Data!$B$2:$B$1833,$L642,Data!$C$2:$C$1833,$M642,Data!$D$2:$D$1833,$N642,Data!$E$2:$E$1833,$O642,Data!$F$2:$F$1833,$F642,Data!$H$2:$H$1833,1)</f>
        <v>0</v>
      </c>
      <c r="H642" s="67" t="s">
        <v>624</v>
      </c>
      <c r="I642" s="68" t="s">
        <v>624</v>
      </c>
      <c r="J642" s="68" t="s">
        <v>624</v>
      </c>
      <c r="L642" s="70" t="s">
        <v>396</v>
      </c>
      <c r="M642" s="70" t="s">
        <v>1123</v>
      </c>
      <c r="N642" s="70" t="s">
        <v>1397</v>
      </c>
      <c r="O642" s="70" t="s">
        <v>1417</v>
      </c>
    </row>
    <row r="643" customFormat="false" ht="15" hidden="false" customHeight="true" outlineLevel="0" collapsed="false">
      <c r="A643" s="70"/>
      <c r="B643" s="70"/>
      <c r="C643" s="70"/>
      <c r="D643" s="70"/>
      <c r="E643" s="70"/>
      <c r="F643" s="70" t="s">
        <v>101</v>
      </c>
      <c r="G643" s="70" t="n">
        <f aca="false">COUNTIFS(Data!$B$2:$B$1833,$L643,Data!$C$2:$C$1833,$M643,Data!$D$2:$D$1833,$N643,Data!$E$2:$E$1833,$O643,Data!$F$2:$F$1833,$F643,Data!$H$2:$H$1833,1)</f>
        <v>0</v>
      </c>
      <c r="H643" s="70" t="s">
        <v>624</v>
      </c>
      <c r="I643" s="31" t="s">
        <v>624</v>
      </c>
      <c r="J643" s="31" t="s">
        <v>624</v>
      </c>
      <c r="L643" s="70" t="s">
        <v>396</v>
      </c>
      <c r="M643" s="70" t="s">
        <v>1123</v>
      </c>
      <c r="N643" s="70" t="s">
        <v>1397</v>
      </c>
      <c r="O643" s="70" t="s">
        <v>1417</v>
      </c>
    </row>
    <row r="644" customFormat="false" ht="15" hidden="false" customHeight="true" outlineLevel="0" collapsed="false">
      <c r="A644" s="70"/>
      <c r="B644" s="70"/>
      <c r="C644" s="70"/>
      <c r="D644" s="70"/>
      <c r="E644" s="70"/>
      <c r="F644" s="70" t="s">
        <v>13</v>
      </c>
      <c r="G644" s="70" t="n">
        <f aca="false">COUNTIFS(Data!$B$2:$B$1833,$L644,Data!$C$2:$C$1833,$M644,Data!$D$2:$D$1833,$N644,Data!$E$2:$E$1833,$O644,Data!$F$2:$F$1833,$F644,Data!$H$2:$H$1833,1)</f>
        <v>0</v>
      </c>
      <c r="H644" s="70" t="s">
        <v>624</v>
      </c>
      <c r="I644" s="31" t="s">
        <v>624</v>
      </c>
      <c r="J644" s="31" t="s">
        <v>624</v>
      </c>
      <c r="L644" s="70" t="s">
        <v>396</v>
      </c>
      <c r="M644" s="70" t="s">
        <v>1123</v>
      </c>
      <c r="N644" s="70" t="s">
        <v>1397</v>
      </c>
      <c r="O644" s="70" t="s">
        <v>1417</v>
      </c>
    </row>
    <row r="645" customFormat="false" ht="15" hidden="false" customHeight="true" outlineLevel="0" collapsed="false">
      <c r="A645" s="70"/>
      <c r="B645" s="70"/>
      <c r="C645" s="70"/>
      <c r="D645" s="70"/>
      <c r="E645" s="70"/>
      <c r="F645" s="70" t="s">
        <v>123</v>
      </c>
      <c r="G645" s="70" t="n">
        <f aca="false">COUNTIFS(Data!$B$2:$B$1833,$L645,Data!$C$2:$C$1833,$M645,Data!$D$2:$D$1833,$N645,Data!$E$2:$E$1833,$O645,Data!$F$2:$F$1833,$F645,Data!$H$2:$H$1833,1)</f>
        <v>0</v>
      </c>
      <c r="H645" s="70" t="s">
        <v>624</v>
      </c>
      <c r="I645" s="31" t="s">
        <v>624</v>
      </c>
      <c r="J645" s="31" t="s">
        <v>624</v>
      </c>
      <c r="L645" s="70" t="s">
        <v>396</v>
      </c>
      <c r="M645" s="70" t="s">
        <v>1123</v>
      </c>
      <c r="N645" s="70" t="s">
        <v>1397</v>
      </c>
      <c r="O645" s="70" t="s">
        <v>1417</v>
      </c>
    </row>
    <row r="646" customFormat="false" ht="32.25" hidden="false" customHeight="true" outlineLevel="0" collapsed="false">
      <c r="A646" s="70"/>
      <c r="B646" s="70"/>
      <c r="C646" s="70"/>
      <c r="D646" s="70"/>
      <c r="E646" s="70"/>
      <c r="F646" s="70" t="s">
        <v>21</v>
      </c>
      <c r="G646" s="70" t="n">
        <f aca="false">COUNTIFS(Data!$B$2:$B$1833,$L646,Data!$C$2:$C$1833,$M646,Data!$D$2:$D$1833,$N646,Data!$E$2:$E$1833,$O646,Data!$F$2:$F$1833,$F646,Data!$H$2:$H$1833,1)</f>
        <v>1</v>
      </c>
      <c r="H646" s="70" t="n">
        <v>1057</v>
      </c>
      <c r="I646" s="31" t="str">
        <f aca="false">INDEX(Data!$G$2:$G$1833,MATCH($H646,Data!$A$2:$A$1833,0))</f>
        <v>Can make a set of instructions easier to understand by repeating them slowly, a few words/signs at a time, employing verbal and non-verbal emphasis to facilitate understanding.</v>
      </c>
      <c r="J646" s="71" t="s">
        <v>2949</v>
      </c>
      <c r="L646" s="70" t="s">
        <v>396</v>
      </c>
      <c r="M646" s="70" t="s">
        <v>1123</v>
      </c>
      <c r="N646" s="70" t="s">
        <v>1397</v>
      </c>
      <c r="O646" s="70" t="s">
        <v>1417</v>
      </c>
    </row>
    <row r="647" customFormat="false" ht="26.25" hidden="false" customHeight="true" outlineLevel="0" collapsed="false">
      <c r="A647" s="70"/>
      <c r="B647" s="70"/>
      <c r="C647" s="70"/>
      <c r="D647" s="70"/>
      <c r="E647" s="70"/>
      <c r="F647" s="70" t="s">
        <v>52</v>
      </c>
      <c r="G647" s="70" t="n">
        <f aca="false">COUNTIFS(Data!$B$2:$B$1833,$L647,Data!$C$2:$C$1833,$M647,Data!$D$2:$D$1833,$N647,Data!$E$2:$E$1833,$O647,Data!$F$2:$F$1833,$F647,Data!$H$2:$H$1833,1)</f>
        <v>1</v>
      </c>
      <c r="H647" s="70" t="n">
        <v>1056</v>
      </c>
      <c r="I647" s="31" t="str">
        <f aca="false">INDEX(Data!$G$2:$G$1833,MATCH($H647,Data!$A$2:$A$1833,0))</f>
        <v>Can make a short instructional or informational text easier to understand by presenting it as a list of separate points.</v>
      </c>
      <c r="J647" s="71" t="s">
        <v>2950</v>
      </c>
      <c r="L647" s="70" t="s">
        <v>396</v>
      </c>
      <c r="M647" s="70" t="s">
        <v>1123</v>
      </c>
      <c r="N647" s="70" t="s">
        <v>1397</v>
      </c>
      <c r="O647" s="70" t="s">
        <v>1417</v>
      </c>
    </row>
    <row r="648" customFormat="false" ht="21.75" hidden="false" customHeight="true" outlineLevel="0" collapsed="false">
      <c r="A648" s="70"/>
      <c r="B648" s="70"/>
      <c r="C648" s="70"/>
      <c r="D648" s="70"/>
      <c r="E648" s="70"/>
      <c r="F648" s="70" t="s">
        <v>259</v>
      </c>
      <c r="G648" s="70" t="n">
        <f aca="false">COUNTIFS(Data!$B$2:$B$1833,$L648,Data!$C$2:$C$1833,$M648,Data!$D$2:$D$1833,$N648,Data!$E$2:$E$1833,$O648,Data!$F$2:$F$1833,$F648,Data!$H$2:$H$1833,1)</f>
        <v>1</v>
      </c>
      <c r="H648" s="70" t="n">
        <v>1055</v>
      </c>
      <c r="I648" s="31" t="str">
        <f aca="false">INDEX(Data!$G$2:$G$1833,MATCH($H648,Data!$A$2:$A$1833,0))</f>
        <v>Can make a complicated process easier to understand by breaking it down into a series of smaller steps.</v>
      </c>
      <c r="J648" s="71" t="s">
        <v>2951</v>
      </c>
      <c r="L648" s="70" t="s">
        <v>396</v>
      </c>
      <c r="M648" s="70" t="s">
        <v>1123</v>
      </c>
      <c r="N648" s="70" t="s">
        <v>1397</v>
      </c>
      <c r="O648" s="70" t="s">
        <v>1417</v>
      </c>
    </row>
    <row r="649" customFormat="false" ht="26.25" hidden="false" customHeight="true" outlineLevel="0" collapsed="false">
      <c r="A649" s="70"/>
      <c r="B649" s="70"/>
      <c r="C649" s="70"/>
      <c r="D649" s="70"/>
      <c r="E649" s="70"/>
      <c r="F649" s="70" t="s">
        <v>36</v>
      </c>
      <c r="G649" s="70" t="n">
        <f aca="false">COUNTIFS(Data!$B$2:$B$1833,$L649,Data!$C$2:$C$1833,$M649,Data!$D$2:$D$1833,$N649,Data!$E$2:$E$1833,$O649,Data!$F$2:$F$1833,$F649,Data!$H$2:$H$1833,1)</f>
        <v>1</v>
      </c>
      <c r="H649" s="70" t="n">
        <v>1054</v>
      </c>
      <c r="I649" s="31" t="str">
        <f aca="false">INDEX(Data!$G$2:$G$1833,MATCH($H649,Data!$A$2:$A$1833,0))</f>
        <v>Can make a complicated issue easier to understand by presenting the components of the argument separately.</v>
      </c>
      <c r="J649" s="71" t="s">
        <v>2952</v>
      </c>
      <c r="L649" s="70" t="s">
        <v>396</v>
      </c>
      <c r="M649" s="70" t="s">
        <v>1123</v>
      </c>
      <c r="N649" s="70" t="s">
        <v>1397</v>
      </c>
      <c r="O649" s="70" t="s">
        <v>1417</v>
      </c>
    </row>
    <row r="650" customFormat="false" ht="42.75" hidden="false" customHeight="true" outlineLevel="0" collapsed="false">
      <c r="A650" s="70"/>
      <c r="B650" s="70"/>
      <c r="C650" s="70"/>
      <c r="D650" s="70"/>
      <c r="E650" s="70"/>
      <c r="F650" s="70" t="s">
        <v>74</v>
      </c>
      <c r="G650" s="70" t="n">
        <f aca="false">COUNTIFS(Data!$B$2:$B$1833,$L650,Data!$C$2:$C$1833,$M650,Data!$D$2:$D$1833,$N650,Data!$E$2:$E$1833,$O650,Data!$F$2:$F$1833,$F650,Data!$H$2:$H$1833,1)</f>
        <v>1</v>
      </c>
      <c r="H650" s="70" t="n">
        <v>1053</v>
      </c>
      <c r="I650" s="31" t="str">
        <f aca="false">INDEX(Data!$G$2:$G$1833,MATCH($H650,Data!$A$2:$A$1833,0))</f>
        <v>Can facilitate understanding of a complex issue by highlighting and categorising the main points, presenting them in a logically connected pattern, and reinforcing the message by repeating the key aspects in different ways.</v>
      </c>
      <c r="J650" s="71" t="s">
        <v>2953</v>
      </c>
      <c r="L650" s="70" t="s">
        <v>396</v>
      </c>
      <c r="M650" s="70" t="s">
        <v>1123</v>
      </c>
      <c r="N650" s="70" t="s">
        <v>1397</v>
      </c>
      <c r="O650" s="70" t="s">
        <v>1417</v>
      </c>
    </row>
    <row r="651" customFormat="false" ht="26.25" hidden="false" customHeight="true" outlineLevel="0" collapsed="false">
      <c r="A651" s="70"/>
      <c r="B651" s="70"/>
      <c r="C651" s="70"/>
      <c r="D651" s="70"/>
      <c r="E651" s="70"/>
      <c r="F651" s="70" t="s">
        <v>331</v>
      </c>
      <c r="G651" s="70" t="n">
        <f aca="false">COUNTIFS(Data!$B$2:$B$1833,$L651,Data!$C$2:$C$1833,$M651,Data!$D$2:$D$1833,$N651,Data!$E$2:$E$1833,$O651,Data!$F$2:$F$1833,$F651,Data!$H$2:$H$1833,1)</f>
        <v>1</v>
      </c>
      <c r="H651" s="70" t="n">
        <v>1052</v>
      </c>
      <c r="I651" s="31" t="str">
        <f aca="false">INDEX(Data!$G$2:$G$1833,MATCH($H651,Data!$A$2:$A$1833,0))</f>
        <v>Can facilitate understanding of a complex issue by explaining the relationship of parts to the whole and encourage different ways of approaching it.</v>
      </c>
      <c r="J651" s="71" t="s">
        <v>2954</v>
      </c>
      <c r="L651" s="70" t="s">
        <v>396</v>
      </c>
      <c r="M651" s="70" t="s">
        <v>1123</v>
      </c>
      <c r="N651" s="70" t="s">
        <v>1397</v>
      </c>
      <c r="O651" s="70" t="s">
        <v>1417</v>
      </c>
    </row>
    <row r="652" customFormat="false" ht="15" hidden="false" customHeight="true" outlineLevel="0" collapsed="false">
      <c r="A652" s="73" t="str">
        <f aca="false">IFERROR(INDEX(対訳マスタ!$C$2:$C$136,MATCH($L652,対訳マスタ!$B$2:$B$136,0)),$L652)</f>
        <v>コミュニケーション言語方略</v>
      </c>
      <c r="B652" s="73" t="str">
        <f aca="false">IF($M652="—","—",IFERROR(INDEX(対訳マスタ!$C$2:$C$136,MATCH($M652,対訳マスタ!$B$2:$B$136,0)),$M652))</f>
        <v>仲介</v>
      </c>
      <c r="C652" s="73" t="str">
        <f aca="false">IF($N652="—","—",IFERROR(INDEX(対訳マスタ!$C$2:$C$136,MATCH($N652,対訳マスタ!$B$2:$B$136,0)),$N652))</f>
        <v>テキストを簡略化する方略</v>
      </c>
      <c r="D652" s="73" t="str">
        <f aca="false">IFERROR(INDEX(対訳マスタ!$C$2:$C$136,MATCH($O652,対訳マスタ!$B$2:$B$136,0)),$O652)</f>
        <v>密度の高いテキストの展開・補足</v>
      </c>
      <c r="E652" s="73" t="s">
        <v>1425</v>
      </c>
      <c r="F652" s="73" t="s">
        <v>86</v>
      </c>
      <c r="G652" s="73" t="n">
        <f aca="false">COUNTIFS(Data!$B$2:$B$1833,$L652,Data!$C$2:$C$1833,$M652,Data!$D$2:$D$1833,$N652,Data!$E$2:$E$1833,$O652,Data!$F$2:$F$1833,$F652,Data!$H$2:$H$1833,1)</f>
        <v>0</v>
      </c>
      <c r="H652" s="73" t="s">
        <v>624</v>
      </c>
      <c r="I652" s="74" t="s">
        <v>624</v>
      </c>
      <c r="J652" s="74" t="s">
        <v>624</v>
      </c>
      <c r="L652" s="70" t="s">
        <v>396</v>
      </c>
      <c r="M652" s="70" t="s">
        <v>1123</v>
      </c>
      <c r="N652" s="70" t="s">
        <v>1424</v>
      </c>
      <c r="O652" s="70" t="s">
        <v>1425</v>
      </c>
    </row>
    <row r="653" customFormat="false" ht="15" hidden="false" customHeight="true" outlineLevel="0" collapsed="false">
      <c r="A653" s="75"/>
      <c r="B653" s="75"/>
      <c r="C653" s="75"/>
      <c r="D653" s="75"/>
      <c r="E653" s="75"/>
      <c r="F653" s="75" t="s">
        <v>101</v>
      </c>
      <c r="G653" s="75" t="n">
        <f aca="false">COUNTIFS(Data!$B$2:$B$1833,$L653,Data!$C$2:$C$1833,$M653,Data!$D$2:$D$1833,$N653,Data!$E$2:$E$1833,$O653,Data!$F$2:$F$1833,$F653,Data!$H$2:$H$1833,1)</f>
        <v>0</v>
      </c>
      <c r="H653" s="75" t="s">
        <v>624</v>
      </c>
      <c r="I653" s="76" t="s">
        <v>624</v>
      </c>
      <c r="J653" s="76" t="s">
        <v>624</v>
      </c>
      <c r="L653" s="70" t="s">
        <v>396</v>
      </c>
      <c r="M653" s="70" t="s">
        <v>1123</v>
      </c>
      <c r="N653" s="70" t="s">
        <v>1424</v>
      </c>
      <c r="O653" s="70" t="s">
        <v>1425</v>
      </c>
    </row>
    <row r="654" customFormat="false" ht="15" hidden="false" customHeight="true" outlineLevel="0" collapsed="false">
      <c r="A654" s="75"/>
      <c r="B654" s="75"/>
      <c r="C654" s="75"/>
      <c r="D654" s="75"/>
      <c r="E654" s="75"/>
      <c r="F654" s="75" t="s">
        <v>13</v>
      </c>
      <c r="G654" s="75" t="n">
        <f aca="false">COUNTIFS(Data!$B$2:$B$1833,$L654,Data!$C$2:$C$1833,$M654,Data!$D$2:$D$1833,$N654,Data!$E$2:$E$1833,$O654,Data!$F$2:$F$1833,$F654,Data!$H$2:$H$1833,1)</f>
        <v>0</v>
      </c>
      <c r="H654" s="75" t="s">
        <v>624</v>
      </c>
      <c r="I654" s="76" t="s">
        <v>624</v>
      </c>
      <c r="J654" s="76" t="s">
        <v>624</v>
      </c>
      <c r="L654" s="70" t="s">
        <v>396</v>
      </c>
      <c r="M654" s="70" t="s">
        <v>1123</v>
      </c>
      <c r="N654" s="70" t="s">
        <v>1424</v>
      </c>
      <c r="O654" s="70" t="s">
        <v>1425</v>
      </c>
    </row>
    <row r="655" customFormat="false" ht="15" hidden="false" customHeight="true" outlineLevel="0" collapsed="false">
      <c r="A655" s="75"/>
      <c r="B655" s="75"/>
      <c r="C655" s="75"/>
      <c r="D655" s="75"/>
      <c r="E655" s="75"/>
      <c r="F655" s="75" t="s">
        <v>123</v>
      </c>
      <c r="G655" s="75" t="n">
        <f aca="false">COUNTIFS(Data!$B$2:$B$1833,$L655,Data!$C$2:$C$1833,$M655,Data!$D$2:$D$1833,$N655,Data!$E$2:$E$1833,$O655,Data!$F$2:$F$1833,$F655,Data!$H$2:$H$1833,1)</f>
        <v>0</v>
      </c>
      <c r="H655" s="75" t="s">
        <v>624</v>
      </c>
      <c r="I655" s="76" t="s">
        <v>624</v>
      </c>
      <c r="J655" s="76" t="s">
        <v>624</v>
      </c>
      <c r="L655" s="70" t="s">
        <v>396</v>
      </c>
      <c r="M655" s="70" t="s">
        <v>1123</v>
      </c>
      <c r="N655" s="70" t="s">
        <v>1424</v>
      </c>
      <c r="O655" s="70" t="s">
        <v>1425</v>
      </c>
    </row>
    <row r="656" customFormat="false" ht="21.75" hidden="false" customHeight="true" outlineLevel="0" collapsed="false">
      <c r="A656" s="75"/>
      <c r="B656" s="75"/>
      <c r="C656" s="75"/>
      <c r="D656" s="75"/>
      <c r="E656" s="75"/>
      <c r="F656" s="75" t="s">
        <v>21</v>
      </c>
      <c r="G656" s="75" t="n">
        <f aca="false">COUNTIFS(Data!$B$2:$B$1833,$L656,Data!$C$2:$C$1833,$M656,Data!$D$2:$D$1833,$N656,Data!$E$2:$E$1833,$O656,Data!$F$2:$F$1833,$F656,Data!$H$2:$H$1833,1)</f>
        <v>1</v>
      </c>
      <c r="H656" s="75" t="n">
        <v>1068</v>
      </c>
      <c r="I656" s="76" t="str">
        <f aca="false">INDEX(Data!$G$2:$G$1833,MATCH($H656,Data!$A$2:$A$1833,0))</f>
        <v>Can make an aspect of an everyday topic clearer by providing simple examples.</v>
      </c>
      <c r="J656" s="77" t="s">
        <v>2955</v>
      </c>
      <c r="L656" s="70" t="s">
        <v>396</v>
      </c>
      <c r="M656" s="70" t="s">
        <v>1123</v>
      </c>
      <c r="N656" s="70" t="s">
        <v>1424</v>
      </c>
      <c r="O656" s="70" t="s">
        <v>1425</v>
      </c>
    </row>
    <row r="657" customFormat="false" ht="26.25" hidden="false" customHeight="true" outlineLevel="0" collapsed="false">
      <c r="A657" s="75"/>
      <c r="B657" s="75"/>
      <c r="C657" s="75"/>
      <c r="D657" s="75"/>
      <c r="E657" s="75"/>
      <c r="F657" s="75" t="s">
        <v>52</v>
      </c>
      <c r="G657" s="75" t="n">
        <f aca="false">COUNTIFS(Data!$B$2:$B$1833,$L657,Data!$C$2:$C$1833,$M657,Data!$D$2:$D$1833,$N657,Data!$E$2:$E$1833,$O657,Data!$F$2:$F$1833,$F657,Data!$H$2:$H$1833,1)</f>
        <v>1</v>
      </c>
      <c r="H657" s="75" t="n">
        <v>1067</v>
      </c>
      <c r="I657" s="76" t="str">
        <f aca="false">INDEX(Data!$G$2:$G$1833,MATCH($H657,Data!$A$2:$A$1833,0))</f>
        <v>Can make an aspect of an everyday topic clearer and more explicit by conveying the main information in another way.</v>
      </c>
      <c r="J657" s="77" t="s">
        <v>2956</v>
      </c>
      <c r="L657" s="70" t="s">
        <v>396</v>
      </c>
      <c r="M657" s="70" t="s">
        <v>1123</v>
      </c>
      <c r="N657" s="70" t="s">
        <v>1424</v>
      </c>
      <c r="O657" s="70" t="s">
        <v>1425</v>
      </c>
    </row>
    <row r="658" customFormat="false" ht="21.75" hidden="false" customHeight="true" outlineLevel="0" collapsed="false">
      <c r="A658" s="75"/>
      <c r="B658" s="75"/>
      <c r="C658" s="75"/>
      <c r="D658" s="75"/>
      <c r="E658" s="75"/>
      <c r="F658" s="75" t="s">
        <v>259</v>
      </c>
      <c r="G658" s="75" t="n">
        <f aca="false">COUNTIFS(Data!$B$2:$B$1833,$L658,Data!$C$2:$C$1833,$M658,Data!$D$2:$D$1833,$N658,Data!$E$2:$E$1833,$O658,Data!$F$2:$F$1833,$F658,Data!$H$2:$H$1833,1)</f>
        <v>2</v>
      </c>
      <c r="H658" s="75" t="n">
        <v>1066</v>
      </c>
      <c r="I658" s="76" t="str">
        <f aca="false">INDEX(Data!$G$2:$G$1833,MATCH($H658,Data!$A$2:$A$1833,0))</f>
        <v>Can make new information more accessible by using repetition and adding illustrations.</v>
      </c>
      <c r="J658" s="77" t="s">
        <v>2957</v>
      </c>
      <c r="L658" s="70" t="s">
        <v>396</v>
      </c>
      <c r="M658" s="70" t="s">
        <v>1123</v>
      </c>
      <c r="N658" s="70" t="s">
        <v>1424</v>
      </c>
      <c r="O658" s="70" t="s">
        <v>1425</v>
      </c>
    </row>
    <row r="659" customFormat="false" ht="32.25" hidden="false" customHeight="true" outlineLevel="0" collapsed="false">
      <c r="A659" s="75"/>
      <c r="B659" s="75"/>
      <c r="C659" s="75"/>
      <c r="D659" s="75"/>
      <c r="E659" s="75"/>
      <c r="F659" s="75" t="s">
        <v>36</v>
      </c>
      <c r="G659" s="75" t="n">
        <f aca="false">COUNTIFS(Data!$B$2:$B$1833,$L659,Data!$C$2:$C$1833,$M659,Data!$D$2:$D$1833,$N659,Data!$E$2:$E$1833,$O659,Data!$F$2:$F$1833,$F659,Data!$H$2:$H$1833,1)</f>
        <v>1</v>
      </c>
      <c r="H659" s="75" t="n">
        <v>1064</v>
      </c>
      <c r="I659" s="76" t="str">
        <f aca="false">INDEX(Data!$G$2:$G$1833,MATCH($H659,Data!$A$2:$A$1833,0))</f>
        <v>Can make the content of a text on a subject in their fields of interest more accessible to a target audience by adding examples, reasoning and explanatory comments.</v>
      </c>
      <c r="J659" s="77" t="s">
        <v>2958</v>
      </c>
      <c r="L659" s="70" t="s">
        <v>396</v>
      </c>
      <c r="M659" s="70" t="s">
        <v>1123</v>
      </c>
      <c r="N659" s="70" t="s">
        <v>1424</v>
      </c>
      <c r="O659" s="70" t="s">
        <v>1425</v>
      </c>
    </row>
    <row r="660" customFormat="false" ht="26.25" hidden="false" customHeight="true" outlineLevel="0" collapsed="false">
      <c r="A660" s="75"/>
      <c r="B660" s="75"/>
      <c r="C660" s="75"/>
      <c r="D660" s="75"/>
      <c r="E660" s="75"/>
      <c r="F660" s="75" t="s">
        <v>74</v>
      </c>
      <c r="G660" s="75" t="n">
        <f aca="false">COUNTIFS(Data!$B$2:$B$1833,$L660,Data!$C$2:$C$1833,$M660,Data!$D$2:$D$1833,$N660,Data!$E$2:$E$1833,$O660,Data!$F$2:$F$1833,$F660,Data!$H$2:$H$1833,1)</f>
        <v>2</v>
      </c>
      <c r="H660" s="75" t="n">
        <v>1062</v>
      </c>
      <c r="I660" s="76" t="str">
        <f aca="false">INDEX(Data!$G$2:$G$1833,MATCH($H660,Data!$A$2:$A$1833,0))</f>
        <v>Can make complex, challenging content more accessible by explaining difficult aspects more explicitly and adding helpful detail.</v>
      </c>
      <c r="J660" s="77" t="s">
        <v>2959</v>
      </c>
      <c r="L660" s="70" t="s">
        <v>396</v>
      </c>
      <c r="M660" s="70" t="s">
        <v>1123</v>
      </c>
      <c r="N660" s="70" t="s">
        <v>1424</v>
      </c>
      <c r="O660" s="70" t="s">
        <v>1425</v>
      </c>
    </row>
    <row r="661" customFormat="false" ht="26.25" hidden="false" customHeight="true" outlineLevel="0" collapsed="false">
      <c r="A661" s="75"/>
      <c r="B661" s="75"/>
      <c r="C661" s="75"/>
      <c r="D661" s="75"/>
      <c r="E661" s="75"/>
      <c r="F661" s="75" t="s">
        <v>331</v>
      </c>
      <c r="G661" s="75" t="n">
        <f aca="false">COUNTIFS(Data!$B$2:$B$1833,$L661,Data!$C$2:$C$1833,$M661,Data!$D$2:$D$1833,$N661,Data!$E$2:$E$1833,$O661,Data!$F$2:$F$1833,$F661,Data!$H$2:$H$1833,1)</f>
        <v>1</v>
      </c>
      <c r="H661" s="75" t="n">
        <v>1061</v>
      </c>
      <c r="I661" s="76" t="str">
        <f aca="false">INDEX(Data!$G$2:$G$1833,MATCH($H661,Data!$A$2:$A$1833,0))</f>
        <v>Can elucidate the information given in texts on complex academic or professional topics by elaborating and providing examples.</v>
      </c>
      <c r="J661" s="77" t="s">
        <v>2960</v>
      </c>
      <c r="L661" s="70" t="s">
        <v>396</v>
      </c>
      <c r="M661" s="70" t="s">
        <v>1123</v>
      </c>
      <c r="N661" s="70" t="s">
        <v>1424</v>
      </c>
      <c r="O661" s="70" t="s">
        <v>1425</v>
      </c>
    </row>
    <row r="662" customFormat="false" ht="15" hidden="false" customHeight="true" outlineLevel="0" collapsed="false">
      <c r="A662" s="67" t="str">
        <f aca="false">IFERROR(INDEX(対訳マスタ!$C$2:$C$136,MATCH($L662,対訳マスタ!$B$2:$B$136,0)),$L662)</f>
        <v>コミュニケーション言語方略</v>
      </c>
      <c r="B662" s="67" t="str">
        <f aca="false">IF($M662="—","—",IFERROR(INDEX(対訳マスタ!$C$2:$C$136,MATCH($M662,対訳マスタ!$B$2:$B$136,0)),$M662))</f>
        <v>仲介</v>
      </c>
      <c r="C662" s="67" t="str">
        <f aca="false">IF($N662="—","—",IFERROR(INDEX(対訳マスタ!$C$2:$C$136,MATCH($N662,対訳マスタ!$B$2:$B$136,0)),$N662))</f>
        <v>テキストを簡略化する方略</v>
      </c>
      <c r="D662" s="67" t="str">
        <f aca="false">IFERROR(INDEX(対訳マスタ!$C$2:$C$136,MATCH($O662,対訳マスタ!$B$2:$B$136,0)),$O662)</f>
        <v>テキストの整理・簡素化</v>
      </c>
      <c r="E662" s="67" t="s">
        <v>1434</v>
      </c>
      <c r="F662" s="67" t="s">
        <v>86</v>
      </c>
      <c r="G662" s="67" t="n">
        <f aca="false">COUNTIFS(Data!$B$2:$B$1833,$L662,Data!$C$2:$C$1833,$M662,Data!$D$2:$D$1833,$N662,Data!$E$2:$E$1833,$O662,Data!$F$2:$F$1833,$F662,Data!$H$2:$H$1833,1)</f>
        <v>0</v>
      </c>
      <c r="H662" s="67" t="s">
        <v>624</v>
      </c>
      <c r="I662" s="68" t="s">
        <v>624</v>
      </c>
      <c r="J662" s="68" t="s">
        <v>624</v>
      </c>
      <c r="L662" s="70" t="s">
        <v>396</v>
      </c>
      <c r="M662" s="70" t="s">
        <v>1123</v>
      </c>
      <c r="N662" s="70" t="s">
        <v>1424</v>
      </c>
      <c r="O662" s="70" t="s">
        <v>1434</v>
      </c>
    </row>
    <row r="663" customFormat="false" ht="15" hidden="false" customHeight="true" outlineLevel="0" collapsed="false">
      <c r="A663" s="70"/>
      <c r="B663" s="70"/>
      <c r="C663" s="70"/>
      <c r="D663" s="70"/>
      <c r="E663" s="70"/>
      <c r="F663" s="70" t="s">
        <v>101</v>
      </c>
      <c r="G663" s="70" t="n">
        <f aca="false">COUNTIFS(Data!$B$2:$B$1833,$L663,Data!$C$2:$C$1833,$M663,Data!$D$2:$D$1833,$N663,Data!$E$2:$E$1833,$O663,Data!$F$2:$F$1833,$F663,Data!$H$2:$H$1833,1)</f>
        <v>0</v>
      </c>
      <c r="H663" s="70" t="s">
        <v>624</v>
      </c>
      <c r="I663" s="31" t="s">
        <v>624</v>
      </c>
      <c r="J663" s="31" t="s">
        <v>624</v>
      </c>
      <c r="L663" s="70" t="s">
        <v>396</v>
      </c>
      <c r="M663" s="70" t="s">
        <v>1123</v>
      </c>
      <c r="N663" s="70" t="s">
        <v>1424</v>
      </c>
      <c r="O663" s="70" t="s">
        <v>1434</v>
      </c>
    </row>
    <row r="664" customFormat="false" ht="26.25" hidden="false" customHeight="true" outlineLevel="0" collapsed="false">
      <c r="A664" s="70"/>
      <c r="B664" s="70"/>
      <c r="C664" s="70"/>
      <c r="D664" s="70"/>
      <c r="E664" s="70"/>
      <c r="F664" s="70" t="s">
        <v>13</v>
      </c>
      <c r="G664" s="70" t="n">
        <f aca="false">COUNTIFS(Data!$B$2:$B$1833,$L664,Data!$C$2:$C$1833,$M664,Data!$D$2:$D$1833,$N664,Data!$E$2:$E$1833,$O664,Data!$F$2:$F$1833,$F664,Data!$H$2:$H$1833,1)</f>
        <v>1</v>
      </c>
      <c r="H664" s="70" t="n">
        <v>1078</v>
      </c>
      <c r="I664" s="31" t="str">
        <f aca="false">INDEX(Data!$G$2:$G$1833,MATCH($H664,Data!$A$2:$A$1833,0))</f>
        <v>Can identify and mark (e.g. underline, highlight) the key sentences in a short everyday text.</v>
      </c>
      <c r="J664" s="71" t="s">
        <v>2961</v>
      </c>
      <c r="L664" s="70" t="s">
        <v>396</v>
      </c>
      <c r="M664" s="70" t="s">
        <v>1123</v>
      </c>
      <c r="N664" s="70" t="s">
        <v>1424</v>
      </c>
      <c r="O664" s="70" t="s">
        <v>1434</v>
      </c>
    </row>
    <row r="665" customFormat="false" ht="15" hidden="false" customHeight="true" outlineLevel="0" collapsed="false">
      <c r="A665" s="70"/>
      <c r="B665" s="70"/>
      <c r="C665" s="70"/>
      <c r="D665" s="70"/>
      <c r="E665" s="70"/>
      <c r="F665" s="70" t="s">
        <v>123</v>
      </c>
      <c r="G665" s="70" t="n">
        <f aca="false">COUNTIFS(Data!$B$2:$B$1833,$L665,Data!$C$2:$C$1833,$M665,Data!$D$2:$D$1833,$N665,Data!$E$2:$E$1833,$O665,Data!$F$2:$F$1833,$F665,Data!$H$2:$H$1833,1)</f>
        <v>0</v>
      </c>
      <c r="H665" s="70" t="s">
        <v>624</v>
      </c>
      <c r="I665" s="31" t="s">
        <v>624</v>
      </c>
      <c r="J665" s="31" t="s">
        <v>624</v>
      </c>
      <c r="L665" s="70" t="s">
        <v>396</v>
      </c>
      <c r="M665" s="70" t="s">
        <v>1123</v>
      </c>
      <c r="N665" s="70" t="s">
        <v>1424</v>
      </c>
      <c r="O665" s="70" t="s">
        <v>1434</v>
      </c>
    </row>
    <row r="666" customFormat="false" ht="32.25" hidden="false" customHeight="true" outlineLevel="0" collapsed="false">
      <c r="A666" s="70"/>
      <c r="B666" s="70"/>
      <c r="C666" s="70"/>
      <c r="D666" s="70"/>
      <c r="E666" s="70"/>
      <c r="F666" s="70" t="s">
        <v>21</v>
      </c>
      <c r="G666" s="70" t="n">
        <f aca="false">COUNTIFS(Data!$B$2:$B$1833,$L666,Data!$C$2:$C$1833,$M666,Data!$D$2:$D$1833,$N666,Data!$E$2:$E$1833,$O666,Data!$F$2:$F$1833,$F666,Data!$H$2:$H$1833,1)</f>
        <v>1</v>
      </c>
      <c r="H666" s="70" t="n">
        <v>1077</v>
      </c>
      <c r="I666" s="31" t="str">
        <f aca="false">INDEX(Data!$G$2:$G$1833,MATCH($H666,Data!$A$2:$A$1833,0))</f>
        <v>Can identify and mark (e.g. underline, highlight) the essential information in a straightforward, informational text, in order to pass this information on to someone else.</v>
      </c>
      <c r="J666" s="71" t="s">
        <v>2962</v>
      </c>
      <c r="L666" s="70" t="s">
        <v>396</v>
      </c>
      <c r="M666" s="70" t="s">
        <v>1123</v>
      </c>
      <c r="N666" s="70" t="s">
        <v>1424</v>
      </c>
      <c r="O666" s="70" t="s">
        <v>1434</v>
      </c>
    </row>
    <row r="667" customFormat="false" ht="15" hidden="false" customHeight="true" outlineLevel="0" collapsed="false">
      <c r="A667" s="70"/>
      <c r="B667" s="70"/>
      <c r="C667" s="70"/>
      <c r="D667" s="70"/>
      <c r="E667" s="70"/>
      <c r="F667" s="70" t="s">
        <v>52</v>
      </c>
      <c r="G667" s="70" t="n">
        <f aca="false">COUNTIFS(Data!$B$2:$B$1833,$L667,Data!$C$2:$C$1833,$M667,Data!$D$2:$D$1833,$N667,Data!$E$2:$E$1833,$O667,Data!$F$2:$F$1833,$F667,Data!$H$2:$H$1833,1)</f>
        <v>0</v>
      </c>
      <c r="H667" s="70" t="s">
        <v>624</v>
      </c>
      <c r="I667" s="31" t="s">
        <v>624</v>
      </c>
      <c r="J667" s="31" t="s">
        <v>624</v>
      </c>
      <c r="L667" s="70" t="s">
        <v>396</v>
      </c>
      <c r="M667" s="70" t="s">
        <v>1123</v>
      </c>
      <c r="N667" s="70" t="s">
        <v>1424</v>
      </c>
      <c r="O667" s="70" t="s">
        <v>1434</v>
      </c>
    </row>
    <row r="668" customFormat="false" ht="26.25" hidden="false" customHeight="true" outlineLevel="0" collapsed="false">
      <c r="A668" s="70"/>
      <c r="B668" s="70"/>
      <c r="C668" s="70"/>
      <c r="D668" s="70"/>
      <c r="E668" s="70"/>
      <c r="F668" s="70" t="s">
        <v>259</v>
      </c>
      <c r="G668" s="70" t="n">
        <f aca="false">COUNTIFS(Data!$B$2:$B$1833,$L668,Data!$C$2:$C$1833,$M668,Data!$D$2:$D$1833,$N668,Data!$E$2:$E$1833,$O668,Data!$F$2:$F$1833,$F668,Data!$H$2:$H$1833,1)</f>
        <v>2</v>
      </c>
      <c r="H668" s="70" t="n">
        <v>1076</v>
      </c>
      <c r="I668" s="31" t="str">
        <f aca="false">INDEX(Data!$G$2:$G$1833,MATCH($H668,Data!$A$2:$A$1833,0))</f>
        <v>Can identify related or repeated information in different parts of a text and merge it in order to make the essential message clearer.</v>
      </c>
      <c r="J668" s="71" t="s">
        <v>2963</v>
      </c>
      <c r="L668" s="70" t="s">
        <v>396</v>
      </c>
      <c r="M668" s="70" t="s">
        <v>1123</v>
      </c>
      <c r="N668" s="70" t="s">
        <v>1424</v>
      </c>
      <c r="O668" s="70" t="s">
        <v>1434</v>
      </c>
    </row>
    <row r="669" customFormat="false" ht="26.25" hidden="false" customHeight="true" outlineLevel="0" collapsed="false">
      <c r="A669" s="70"/>
      <c r="B669" s="70"/>
      <c r="C669" s="70"/>
      <c r="D669" s="70"/>
      <c r="E669" s="70"/>
      <c r="F669" s="70" t="s">
        <v>36</v>
      </c>
      <c r="G669" s="70" t="n">
        <f aca="false">COUNTIFS(Data!$B$2:$B$1833,$L669,Data!$C$2:$C$1833,$M669,Data!$D$2:$D$1833,$N669,Data!$E$2:$E$1833,$O669,Data!$F$2:$F$1833,$F669,Data!$H$2:$H$1833,1)</f>
        <v>1</v>
      </c>
      <c r="H669" s="70" t="n">
        <v>1074</v>
      </c>
      <c r="I669" s="31" t="str">
        <f aca="false">INDEX(Data!$G$2:$G$1833,MATCH($H669,Data!$A$2:$A$1833,0))</f>
        <v>Can simplify a source text by excluding non-relevant or repetitive information and taking into consideration the intended audience.</v>
      </c>
      <c r="J669" s="71" t="s">
        <v>2964</v>
      </c>
      <c r="L669" s="70" t="s">
        <v>396</v>
      </c>
      <c r="M669" s="70" t="s">
        <v>1123</v>
      </c>
      <c r="N669" s="70" t="s">
        <v>1424</v>
      </c>
      <c r="O669" s="70" t="s">
        <v>1434</v>
      </c>
    </row>
    <row r="670" customFormat="false" ht="26.25" hidden="false" customHeight="true" outlineLevel="0" collapsed="false">
      <c r="A670" s="70"/>
      <c r="B670" s="70"/>
      <c r="C670" s="70"/>
      <c r="D670" s="70"/>
      <c r="E670" s="70"/>
      <c r="F670" s="70" t="s">
        <v>74</v>
      </c>
      <c r="G670" s="70" t="n">
        <f aca="false">COUNTIFS(Data!$B$2:$B$1833,$L670,Data!$C$2:$C$1833,$M670,Data!$D$2:$D$1833,$N670,Data!$E$2:$E$1833,$O670,Data!$F$2:$F$1833,$F670,Data!$H$2:$H$1833,1)</f>
        <v>1</v>
      </c>
      <c r="H670" s="70" t="n">
        <v>1073</v>
      </c>
      <c r="I670" s="31" t="str">
        <f aca="false">INDEX(Data!$G$2:$G$1833,MATCH($H670,Data!$A$2:$A$1833,0))</f>
        <v>Can reorganise a complex source text in order to focus on the points of most relevance to the target audience.</v>
      </c>
      <c r="J670" s="71" t="s">
        <v>2965</v>
      </c>
      <c r="L670" s="70" t="s">
        <v>396</v>
      </c>
      <c r="M670" s="70" t="s">
        <v>1123</v>
      </c>
      <c r="N670" s="70" t="s">
        <v>1424</v>
      </c>
      <c r="O670" s="70" t="s">
        <v>1434</v>
      </c>
    </row>
    <row r="671" customFormat="false" ht="26.25" hidden="false" customHeight="true" outlineLevel="0" collapsed="false">
      <c r="A671" s="70"/>
      <c r="B671" s="70"/>
      <c r="C671" s="70"/>
      <c r="D671" s="70"/>
      <c r="E671" s="70"/>
      <c r="F671" s="70" t="s">
        <v>331</v>
      </c>
      <c r="G671" s="70" t="n">
        <f aca="false">COUNTIFS(Data!$B$2:$B$1833,$L671,Data!$C$2:$C$1833,$M671,Data!$D$2:$D$1833,$N671,Data!$E$2:$E$1833,$O671,Data!$F$2:$F$1833,$F671,Data!$H$2:$H$1833,1)</f>
        <v>1</v>
      </c>
      <c r="H671" s="70" t="n">
        <v>1072</v>
      </c>
      <c r="I671" s="31" t="str">
        <f aca="false">INDEX(Data!$G$2:$G$1833,MATCH($H671,Data!$A$2:$A$1833,0))</f>
        <v>Can redraft a complex source text, improving coherence, cohesion and the flow of an argument, while removing sections unnecessary for its purpose.</v>
      </c>
      <c r="J671" s="71" t="s">
        <v>2966</v>
      </c>
      <c r="L671" s="70" t="s">
        <v>396</v>
      </c>
      <c r="M671" s="70" t="s">
        <v>1123</v>
      </c>
      <c r="N671" s="70" t="s">
        <v>1424</v>
      </c>
      <c r="O671" s="70" t="s">
        <v>1434</v>
      </c>
    </row>
    <row r="672" customFormat="false" ht="15" hidden="false" customHeight="true" outlineLevel="0" collapsed="false">
      <c r="A672" s="73" t="str">
        <f aca="false">IFERROR(INDEX(対訳マスタ!$C$2:$C$136,MATCH($L672,対訳マスタ!$B$2:$B$136,0)),$L672)</f>
        <v>複言語・複文化能力</v>
      </c>
      <c r="B672" s="73" t="str">
        <f aca="false">IF($M672="—","—",IFERROR(INDEX(対訳マスタ!$C$2:$C$136,MATCH($M672,対訳マスタ!$B$2:$B$136,0)),$M672))</f>
        <v>—</v>
      </c>
      <c r="C672" s="73" t="str">
        <f aca="false">IF($N672="—","—",IFERROR(INDEX(対訳マスタ!$C$2:$C$136,MATCH($N672,対訳マスタ!$B$2:$B$136,0)),$N672))</f>
        <v>—</v>
      </c>
      <c r="D672" s="73" t="str">
        <f aca="false">IFERROR(INDEX(対訳マスタ!$C$2:$C$136,MATCH($O672,対訳マスタ!$B$2:$B$136,0)),$O672)</f>
        <v>複文化レパートリーの活用</v>
      </c>
      <c r="E672" s="73" t="s">
        <v>1442</v>
      </c>
      <c r="F672" s="73" t="s">
        <v>86</v>
      </c>
      <c r="G672" s="73" t="n">
        <f aca="false">COUNTIFS(Data!$B$2:$B$1833,$L672,Data!$C$2:$C$1833,$M672,Data!$D$2:$D$1833,$N672,Data!$E$2:$E$1833,$O672,Data!$F$2:$F$1833,$F672,Data!$H$2:$H$1833,1)</f>
        <v>0</v>
      </c>
      <c r="H672" s="73" t="s">
        <v>624</v>
      </c>
      <c r="I672" s="74" t="s">
        <v>624</v>
      </c>
      <c r="J672" s="74" t="s">
        <v>624</v>
      </c>
      <c r="L672" s="70" t="s">
        <v>398</v>
      </c>
      <c r="M672" s="70" t="s">
        <v>624</v>
      </c>
      <c r="N672" s="70" t="s">
        <v>624</v>
      </c>
      <c r="O672" s="70" t="s">
        <v>1442</v>
      </c>
    </row>
    <row r="673" customFormat="false" ht="32.25" hidden="false" customHeight="true" outlineLevel="0" collapsed="false">
      <c r="A673" s="75"/>
      <c r="B673" s="75"/>
      <c r="C673" s="75"/>
      <c r="D673" s="75"/>
      <c r="E673" s="75"/>
      <c r="F673" s="75" t="s">
        <v>101</v>
      </c>
      <c r="G673" s="75" t="n">
        <f aca="false">COUNTIFS(Data!$B$2:$B$1833,$L673,Data!$C$2:$C$1833,$M673,Data!$D$2:$D$1833,$N673,Data!$E$2:$E$1833,$O673,Data!$F$2:$F$1833,$F673,Data!$H$2:$H$1833,1)</f>
        <v>1</v>
      </c>
      <c r="H673" s="75" t="n">
        <v>1103</v>
      </c>
      <c r="I673" s="76" t="str">
        <f aca="false">INDEX(Data!$G$2:$G$1833,MATCH($H673,Data!$A$2:$A$1833,0))</f>
        <v>Can recognise differing ways of numbering, measuring distance, telling the time, etc. even though they may have difficulty applying this in even simple everyday transactions of a concrete type.</v>
      </c>
      <c r="J673" s="77" t="s">
        <v>2967</v>
      </c>
      <c r="L673" s="70" t="s">
        <v>398</v>
      </c>
      <c r="M673" s="70" t="s">
        <v>624</v>
      </c>
      <c r="N673" s="70" t="s">
        <v>624</v>
      </c>
      <c r="O673" s="70" t="s">
        <v>1442</v>
      </c>
    </row>
    <row r="674" customFormat="false" ht="26.25" hidden="false" customHeight="true" outlineLevel="0" collapsed="false">
      <c r="A674" s="75"/>
      <c r="B674" s="75"/>
      <c r="C674" s="75"/>
      <c r="D674" s="75"/>
      <c r="E674" s="75"/>
      <c r="F674" s="75" t="s">
        <v>13</v>
      </c>
      <c r="G674" s="75" t="n">
        <f aca="false">COUNTIFS(Data!$B$2:$B$1833,$L674,Data!$C$2:$C$1833,$M674,Data!$D$2:$D$1833,$N674,Data!$E$2:$E$1833,$O674,Data!$F$2:$F$1833,$F674,Data!$H$2:$H$1833,1)</f>
        <v>4</v>
      </c>
      <c r="H674" s="75" t="n">
        <v>1099</v>
      </c>
      <c r="I674" s="76" t="str">
        <f aca="false">INDEX(Data!$G$2:$G$1833,MATCH($H674,Data!$A$2:$A$1833,0))</f>
        <v>Can recognise and apply basic cultural conventions associated with everyday social exchanges (e.g. different greetings, rituals).</v>
      </c>
      <c r="J674" s="77" t="s">
        <v>2968</v>
      </c>
      <c r="L674" s="70" t="s">
        <v>398</v>
      </c>
      <c r="M674" s="70" t="s">
        <v>624</v>
      </c>
      <c r="N674" s="70" t="s">
        <v>624</v>
      </c>
      <c r="O674" s="70" t="s">
        <v>1442</v>
      </c>
    </row>
    <row r="675" customFormat="false" ht="15" hidden="false" customHeight="true" outlineLevel="0" collapsed="false">
      <c r="A675" s="75"/>
      <c r="B675" s="75"/>
      <c r="C675" s="75"/>
      <c r="D675" s="75"/>
      <c r="E675" s="75"/>
      <c r="F675" s="75" t="s">
        <v>123</v>
      </c>
      <c r="G675" s="75" t="n">
        <f aca="false">COUNTIFS(Data!$B$2:$B$1833,$L675,Data!$C$2:$C$1833,$M675,Data!$D$2:$D$1833,$N675,Data!$E$2:$E$1833,$O675,Data!$F$2:$F$1833,$F675,Data!$H$2:$H$1833,1)</f>
        <v>0</v>
      </c>
      <c r="H675" s="75" t="s">
        <v>624</v>
      </c>
      <c r="I675" s="76" t="s">
        <v>624</v>
      </c>
      <c r="J675" s="76" t="s">
        <v>624</v>
      </c>
      <c r="L675" s="70" t="s">
        <v>398</v>
      </c>
      <c r="M675" s="70" t="s">
        <v>624</v>
      </c>
      <c r="N675" s="70" t="s">
        <v>624</v>
      </c>
      <c r="O675" s="70" t="s">
        <v>1442</v>
      </c>
    </row>
    <row r="676" customFormat="false" ht="21.75" hidden="false" customHeight="true" outlineLevel="0" collapsed="false">
      <c r="A676" s="75"/>
      <c r="B676" s="75"/>
      <c r="C676" s="75"/>
      <c r="D676" s="75"/>
      <c r="E676" s="75"/>
      <c r="F676" s="75" t="s">
        <v>21</v>
      </c>
      <c r="G676" s="75" t="n">
        <f aca="false">COUNTIFS(Data!$B$2:$B$1833,$L676,Data!$C$2:$C$1833,$M676,Data!$D$2:$D$1833,$N676,Data!$E$2:$E$1833,$O676,Data!$F$2:$F$1833,$F676,Data!$H$2:$H$1833,1)</f>
        <v>6</v>
      </c>
      <c r="H676" s="75" t="n">
        <v>1094</v>
      </c>
      <c r="I676" s="76" t="str">
        <f aca="false">INDEX(Data!$G$2:$G$1833,MATCH($H676,Data!$A$2:$A$1833,0))</f>
        <v>Can generally respond appropriately to the most commonly used cultural cues.</v>
      </c>
      <c r="J676" s="77" t="s">
        <v>2969</v>
      </c>
      <c r="L676" s="70" t="s">
        <v>398</v>
      </c>
      <c r="M676" s="70" t="s">
        <v>624</v>
      </c>
      <c r="N676" s="70" t="s">
        <v>624</v>
      </c>
      <c r="O676" s="70" t="s">
        <v>1442</v>
      </c>
    </row>
    <row r="677" customFormat="false" ht="15" hidden="false" customHeight="true" outlineLevel="0" collapsed="false">
      <c r="A677" s="75"/>
      <c r="B677" s="75"/>
      <c r="C677" s="75"/>
      <c r="D677" s="75"/>
      <c r="E677" s="75"/>
      <c r="F677" s="75" t="s">
        <v>52</v>
      </c>
      <c r="G677" s="75" t="n">
        <f aca="false">COUNTIFS(Data!$B$2:$B$1833,$L677,Data!$C$2:$C$1833,$M677,Data!$D$2:$D$1833,$N677,Data!$E$2:$E$1833,$O677,Data!$F$2:$F$1833,$F677,Data!$H$2:$H$1833,1)</f>
        <v>0</v>
      </c>
      <c r="H677" s="75" t="s">
        <v>624</v>
      </c>
      <c r="I677" s="76" t="s">
        <v>624</v>
      </c>
      <c r="J677" s="76" t="s">
        <v>624</v>
      </c>
      <c r="L677" s="70" t="s">
        <v>398</v>
      </c>
      <c r="M677" s="70" t="s">
        <v>624</v>
      </c>
      <c r="N677" s="70" t="s">
        <v>624</v>
      </c>
      <c r="O677" s="70" t="s">
        <v>1442</v>
      </c>
    </row>
    <row r="678" customFormat="false" ht="15" hidden="false" customHeight="true" outlineLevel="0" collapsed="false">
      <c r="A678" s="75"/>
      <c r="B678" s="75"/>
      <c r="C678" s="75"/>
      <c r="D678" s="75"/>
      <c r="E678" s="75"/>
      <c r="F678" s="75" t="s">
        <v>259</v>
      </c>
      <c r="G678" s="75" t="n">
        <f aca="false">COUNTIFS(Data!$B$2:$B$1833,$L678,Data!$C$2:$C$1833,$M678,Data!$D$2:$D$1833,$N678,Data!$E$2:$E$1833,$O678,Data!$F$2:$F$1833,$F678,Data!$H$2:$H$1833,1)</f>
        <v>8</v>
      </c>
      <c r="H678" s="75" t="n">
        <v>1091</v>
      </c>
      <c r="I678" s="76" t="str">
        <f aca="false">INDEX(Data!$G$2:$G$1833,MATCH($H678,Data!$A$2:$A$1833,0))</f>
        <v>Can generally interpret cultural cues appropriately in the culture concerned.</v>
      </c>
      <c r="J678" s="77" t="s">
        <v>2970</v>
      </c>
      <c r="L678" s="70" t="s">
        <v>398</v>
      </c>
      <c r="M678" s="70" t="s">
        <v>624</v>
      </c>
      <c r="N678" s="70" t="s">
        <v>624</v>
      </c>
      <c r="O678" s="70" t="s">
        <v>1442</v>
      </c>
    </row>
    <row r="679" customFormat="false" ht="15" hidden="false" customHeight="true" outlineLevel="0" collapsed="false">
      <c r="A679" s="75"/>
      <c r="B679" s="75"/>
      <c r="C679" s="75"/>
      <c r="D679" s="75"/>
      <c r="E679" s="75"/>
      <c r="F679" s="75" t="s">
        <v>36</v>
      </c>
      <c r="G679" s="75" t="n">
        <f aca="false">COUNTIFS(Data!$B$2:$B$1833,$L679,Data!$C$2:$C$1833,$M679,Data!$D$2:$D$1833,$N679,Data!$E$2:$E$1833,$O679,Data!$F$2:$F$1833,$F679,Data!$H$2:$H$1833,1)</f>
        <v>0</v>
      </c>
      <c r="H679" s="75" t="s">
        <v>624</v>
      </c>
      <c r="I679" s="76" t="s">
        <v>624</v>
      </c>
      <c r="J679" s="76" t="s">
        <v>624</v>
      </c>
      <c r="L679" s="70" t="s">
        <v>398</v>
      </c>
      <c r="M679" s="70" t="s">
        <v>624</v>
      </c>
      <c r="N679" s="70" t="s">
        <v>624</v>
      </c>
      <c r="O679" s="70" t="s">
        <v>1442</v>
      </c>
    </row>
    <row r="680" customFormat="false" ht="26.25" hidden="false" customHeight="true" outlineLevel="0" collapsed="false">
      <c r="A680" s="75"/>
      <c r="B680" s="75"/>
      <c r="C680" s="75"/>
      <c r="D680" s="75"/>
      <c r="E680" s="75"/>
      <c r="F680" s="75" t="s">
        <v>74</v>
      </c>
      <c r="G680" s="75" t="n">
        <f aca="false">COUNTIFS(Data!$B$2:$B$1833,$L680,Data!$C$2:$C$1833,$M680,Data!$D$2:$D$1833,$N680,Data!$E$2:$E$1833,$O680,Data!$F$2:$F$1833,$F680,Data!$H$2:$H$1833,1)</f>
        <v>3</v>
      </c>
      <c r="H680" s="75" t="n">
        <v>1082</v>
      </c>
      <c r="I680" s="76" t="str">
        <f aca="false">INDEX(Data!$G$2:$G$1833,MATCH($H680,Data!$A$2:$A$1833,0))</f>
        <v>Can identify differences in sociolinguistic/-pragmatic conventions, critically reflect on them and adjust their communication accordingly.</v>
      </c>
      <c r="J680" s="77" t="s">
        <v>2971</v>
      </c>
      <c r="L680" s="70" t="s">
        <v>398</v>
      </c>
      <c r="M680" s="70" t="s">
        <v>624</v>
      </c>
      <c r="N680" s="70" t="s">
        <v>624</v>
      </c>
      <c r="O680" s="70" t="s">
        <v>1442</v>
      </c>
    </row>
    <row r="681" customFormat="false" ht="42.75" hidden="false" customHeight="true" outlineLevel="0" collapsed="false">
      <c r="A681" s="75"/>
      <c r="B681" s="75"/>
      <c r="C681" s="75"/>
      <c r="D681" s="75"/>
      <c r="E681" s="75"/>
      <c r="F681" s="75" t="s">
        <v>331</v>
      </c>
      <c r="G681" s="75" t="n">
        <f aca="false">COUNTIFS(Data!$B$2:$B$1833,$L681,Data!$C$2:$C$1833,$M681,Data!$D$2:$D$1833,$N681,Data!$E$2:$E$1833,$O681,Data!$F$2:$F$1833,$F681,Data!$H$2:$H$1833,1)</f>
        <v>1</v>
      </c>
      <c r="H681" s="75" t="n">
        <v>1081</v>
      </c>
      <c r="I681" s="76" t="str">
        <f aca="false">INDEX(Data!$G$2:$G$1833,MATCH($H681,Data!$A$2:$A$1833,0))</f>
        <v>Can initiate and control their actions and forms of expression according to context, showing awareness of cultural differences and making subtle adjustments in order to prevent and/or repair misunderstandings and cultural incidents.</v>
      </c>
      <c r="J681" s="77" t="s">
        <v>2972</v>
      </c>
      <c r="L681" s="70" t="s">
        <v>398</v>
      </c>
      <c r="M681" s="70" t="s">
        <v>624</v>
      </c>
      <c r="N681" s="70" t="s">
        <v>624</v>
      </c>
      <c r="O681" s="70" t="s">
        <v>1442</v>
      </c>
    </row>
    <row r="682" customFormat="false" ht="15" hidden="false" customHeight="true" outlineLevel="0" collapsed="false">
      <c r="A682" s="67" t="str">
        <f aca="false">IFERROR(INDEX(対訳マスタ!$C$2:$C$136,MATCH($L682,対訳マスタ!$B$2:$B$136,0)),$L682)</f>
        <v>複言語・複文化能力</v>
      </c>
      <c r="B682" s="67" t="str">
        <f aca="false">IF($M682="—","—",IFERROR(INDEX(対訳マスタ!$C$2:$C$136,MATCH($M682,対訳マスタ!$B$2:$B$136,0)),$M682))</f>
        <v>—</v>
      </c>
      <c r="C682" s="67" t="str">
        <f aca="false">IF($N682="—","—",IFERROR(INDEX(対訳マスタ!$C$2:$C$136,MATCH($N682,対訳マスタ!$B$2:$B$136,0)),$N682))</f>
        <v>—</v>
      </c>
      <c r="D682" s="67" t="str">
        <f aca="false">IFERROR(INDEX(対訳マスタ!$C$2:$C$136,MATCH($O682,対訳マスタ!$B$2:$B$136,0)),$O682)</f>
        <v>複言語理解</v>
      </c>
      <c r="E682" s="67" t="s">
        <v>1466</v>
      </c>
      <c r="F682" s="67" t="s">
        <v>86</v>
      </c>
      <c r="G682" s="67" t="n">
        <f aca="false">COUNTIFS(Data!$B$2:$B$1833,$L682,Data!$C$2:$C$1833,$M682,Data!$D$2:$D$1833,$N682,Data!$E$2:$E$1833,$O682,Data!$F$2:$F$1833,$F682,Data!$H$2:$H$1833,1)</f>
        <v>0</v>
      </c>
      <c r="H682" s="67" t="s">
        <v>624</v>
      </c>
      <c r="I682" s="68" t="s">
        <v>624</v>
      </c>
      <c r="J682" s="68" t="s">
        <v>624</v>
      </c>
      <c r="L682" s="70" t="s">
        <v>398</v>
      </c>
      <c r="M682" s="70" t="s">
        <v>624</v>
      </c>
      <c r="N682" s="70" t="s">
        <v>624</v>
      </c>
      <c r="O682" s="70" t="s">
        <v>1466</v>
      </c>
    </row>
    <row r="683" customFormat="false" ht="64.5" hidden="false" customHeight="true" outlineLevel="0" collapsed="false">
      <c r="A683" s="70"/>
      <c r="B683" s="70"/>
      <c r="C683" s="70"/>
      <c r="D683" s="70"/>
      <c r="E683" s="70"/>
      <c r="F683" s="70" t="s">
        <v>101</v>
      </c>
      <c r="G683" s="70" t="n">
        <f aca="false">COUNTIFS(Data!$B$2:$B$1833,$L683,Data!$C$2:$C$1833,$M683,Data!$D$2:$D$1833,$N683,Data!$E$2:$E$1833,$O683,Data!$F$2:$F$1833,$F683,Data!$H$2:$H$1833,1)</f>
        <v>1</v>
      </c>
      <c r="H683" s="70" t="n">
        <v>1117</v>
      </c>
      <c r="I683" s="31" t="str">
        <f aca="false">INDEX(Data!$G$2:$G$1833,MATCH($H683,Data!$A$2:$A$1833,0))</f>
        <v>Can recognise internationalisms and words/signs common to different languages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v>
      </c>
      <c r="J683" s="71" t="s">
        <v>2973</v>
      </c>
      <c r="L683" s="70" t="s">
        <v>398</v>
      </c>
      <c r="M683" s="70" t="s">
        <v>624</v>
      </c>
      <c r="N683" s="70" t="s">
        <v>624</v>
      </c>
      <c r="O683" s="70" t="s">
        <v>1466</v>
      </c>
    </row>
    <row r="684" customFormat="false" ht="26.25" hidden="false" customHeight="true" outlineLevel="0" collapsed="false">
      <c r="A684" s="70"/>
      <c r="B684" s="70"/>
      <c r="C684" s="70"/>
      <c r="D684" s="70"/>
      <c r="E684" s="70"/>
      <c r="F684" s="70" t="s">
        <v>13</v>
      </c>
      <c r="G684" s="70" t="n">
        <f aca="false">COUNTIFS(Data!$B$2:$B$1833,$L684,Data!$C$2:$C$1833,$M684,Data!$D$2:$D$1833,$N684,Data!$E$2:$E$1833,$O684,Data!$F$2:$F$1833,$F684,Data!$H$2:$H$1833,1)</f>
        <v>3</v>
      </c>
      <c r="H684" s="70" t="n">
        <v>1116</v>
      </c>
      <c r="I684" s="31" t="str">
        <f aca="false">INDEX(Data!$G$2:$G$1833,MATCH($H684,Data!$A$2:$A$1833,0))</f>
        <v>Can use simple warnings, instructions and product information given in parallel in different languages to find relevant information.</v>
      </c>
      <c r="J684" s="71" t="s">
        <v>2974</v>
      </c>
      <c r="L684" s="70" t="s">
        <v>398</v>
      </c>
      <c r="M684" s="70" t="s">
        <v>624</v>
      </c>
      <c r="N684" s="70" t="s">
        <v>624</v>
      </c>
      <c r="O684" s="70" t="s">
        <v>1466</v>
      </c>
    </row>
    <row r="685" customFormat="false" ht="15" hidden="false" customHeight="true" outlineLevel="0" collapsed="false">
      <c r="A685" s="70"/>
      <c r="B685" s="70"/>
      <c r="C685" s="70"/>
      <c r="D685" s="70"/>
      <c r="E685" s="70"/>
      <c r="F685" s="70" t="s">
        <v>123</v>
      </c>
      <c r="G685" s="70" t="n">
        <f aca="false">COUNTIFS(Data!$B$2:$B$1833,$L685,Data!$C$2:$C$1833,$M685,Data!$D$2:$D$1833,$N685,Data!$E$2:$E$1833,$O685,Data!$F$2:$F$1833,$F685,Data!$H$2:$H$1833,1)</f>
        <v>0</v>
      </c>
      <c r="H685" s="70" t="s">
        <v>624</v>
      </c>
      <c r="I685" s="31" t="s">
        <v>624</v>
      </c>
      <c r="J685" s="31" t="s">
        <v>624</v>
      </c>
      <c r="L685" s="70" t="s">
        <v>398</v>
      </c>
      <c r="M685" s="70" t="s">
        <v>624</v>
      </c>
      <c r="N685" s="70" t="s">
        <v>624</v>
      </c>
      <c r="O685" s="70" t="s">
        <v>1466</v>
      </c>
    </row>
    <row r="686" customFormat="false" ht="26.25" hidden="false" customHeight="true" outlineLevel="0" collapsed="false">
      <c r="A686" s="70"/>
      <c r="B686" s="70"/>
      <c r="C686" s="70"/>
      <c r="D686" s="70"/>
      <c r="E686" s="70"/>
      <c r="F686" s="70" t="s">
        <v>21</v>
      </c>
      <c r="G686" s="70" t="n">
        <f aca="false">COUNTIFS(Data!$B$2:$B$1833,$L686,Data!$C$2:$C$1833,$M686,Data!$D$2:$D$1833,$N686,Data!$E$2:$E$1833,$O686,Data!$F$2:$F$1833,$F686,Data!$H$2:$H$1833,1)</f>
        <v>6</v>
      </c>
      <c r="H686" s="70" t="n">
        <v>1111</v>
      </c>
      <c r="I686" s="31" t="str">
        <f aca="false">INDEX(Data!$G$2:$G$1833,MATCH($H686,Data!$A$2:$A$1833,0))</f>
        <v>Can extract information from documents in different languages in their field (e.g. to include in a presentation).</v>
      </c>
      <c r="J686" s="71" t="s">
        <v>2975</v>
      </c>
      <c r="L686" s="70" t="s">
        <v>398</v>
      </c>
      <c r="M686" s="70" t="s">
        <v>624</v>
      </c>
      <c r="N686" s="70" t="s">
        <v>624</v>
      </c>
      <c r="O686" s="70" t="s">
        <v>1466</v>
      </c>
    </row>
    <row r="687" customFormat="false" ht="15" hidden="false" customHeight="true" outlineLevel="0" collapsed="false">
      <c r="A687" s="70"/>
      <c r="B687" s="70"/>
      <c r="C687" s="70"/>
      <c r="D687" s="70"/>
      <c r="E687" s="70"/>
      <c r="F687" s="70" t="s">
        <v>52</v>
      </c>
      <c r="G687" s="70" t="n">
        <f aca="false">COUNTIFS(Data!$B$2:$B$1833,$L687,Data!$C$2:$C$1833,$M687,Data!$D$2:$D$1833,$N687,Data!$E$2:$E$1833,$O687,Data!$F$2:$F$1833,$F687,Data!$H$2:$H$1833,1)</f>
        <v>0</v>
      </c>
      <c r="H687" s="70" t="s">
        <v>624</v>
      </c>
      <c r="I687" s="31" t="s">
        <v>624</v>
      </c>
      <c r="J687" s="31" t="s">
        <v>624</v>
      </c>
      <c r="L687" s="70" t="s">
        <v>398</v>
      </c>
      <c r="M687" s="70" t="s">
        <v>624</v>
      </c>
      <c r="N687" s="70" t="s">
        <v>624</v>
      </c>
      <c r="O687" s="70" t="s">
        <v>1466</v>
      </c>
    </row>
    <row r="688" customFormat="false" ht="32.25" hidden="false" customHeight="true" outlineLevel="0" collapsed="false">
      <c r="A688" s="70"/>
      <c r="B688" s="70"/>
      <c r="C688" s="70"/>
      <c r="D688" s="70"/>
      <c r="E688" s="70"/>
      <c r="F688" s="70" t="s">
        <v>259</v>
      </c>
      <c r="G688" s="70" t="n">
        <f aca="false">COUNTIFS(Data!$B$2:$B$1833,$L688,Data!$C$2:$C$1833,$M688,Data!$D$2:$D$1833,$N688,Data!$E$2:$E$1833,$O688,Data!$F$2:$F$1833,$F688,Data!$H$2:$H$1833,1)</f>
        <v>1</v>
      </c>
      <c r="H688" s="70" t="n">
        <v>1107</v>
      </c>
      <c r="I688" s="31" t="str">
        <f aca="false">INDEX(Data!$G$2:$G$1833,MATCH($H688,Data!$A$2:$A$1833,0))</f>
        <v>Can use their knowledge of contrasting genre conventions and textual patterns in languages in their plurilingual repertoire in order to support comprehension.</v>
      </c>
      <c r="J688" s="71" t="s">
        <v>2976</v>
      </c>
      <c r="L688" s="70" t="s">
        <v>398</v>
      </c>
      <c r="M688" s="70" t="s">
        <v>624</v>
      </c>
      <c r="N688" s="70" t="s">
        <v>624</v>
      </c>
      <c r="O688" s="70" t="s">
        <v>1466</v>
      </c>
    </row>
    <row r="689" customFormat="false" ht="15" hidden="false" customHeight="true" outlineLevel="0" collapsed="false">
      <c r="A689" s="70"/>
      <c r="B689" s="70"/>
      <c r="C689" s="70"/>
      <c r="D689" s="70"/>
      <c r="E689" s="70"/>
      <c r="F689" s="70" t="s">
        <v>36</v>
      </c>
      <c r="G689" s="70" t="n">
        <f aca="false">COUNTIFS(Data!$B$2:$B$1833,$L689,Data!$C$2:$C$1833,$M689,Data!$D$2:$D$1833,$N689,Data!$E$2:$E$1833,$O689,Data!$F$2:$F$1833,$F689,Data!$H$2:$H$1833,1)</f>
        <v>0</v>
      </c>
      <c r="H689" s="70" t="s">
        <v>624</v>
      </c>
      <c r="I689" s="31" t="s">
        <v>624</v>
      </c>
      <c r="J689" s="31" t="s">
        <v>624</v>
      </c>
      <c r="L689" s="70" t="s">
        <v>398</v>
      </c>
      <c r="M689" s="70" t="s">
        <v>624</v>
      </c>
      <c r="N689" s="70" t="s">
        <v>624</v>
      </c>
      <c r="O689" s="70" t="s">
        <v>1466</v>
      </c>
    </row>
    <row r="690" customFormat="false" ht="15" hidden="false" customHeight="true" outlineLevel="0" collapsed="false">
      <c r="A690" s="70"/>
      <c r="B690" s="70"/>
      <c r="C690" s="70"/>
      <c r="D690" s="70"/>
      <c r="E690" s="70"/>
      <c r="F690" s="70" t="s">
        <v>74</v>
      </c>
      <c r="G690" s="70" t="n">
        <f aca="false">COUNTIFS(Data!$B$2:$B$1833,$L690,Data!$C$2:$C$1833,$M690,Data!$D$2:$D$1833,$N690,Data!$E$2:$E$1833,$O690,Data!$F$2:$F$1833,$F690,Data!$H$2:$H$1833,1)</f>
        <v>0</v>
      </c>
      <c r="H690" s="70" t="s">
        <v>624</v>
      </c>
      <c r="I690" s="31" t="s">
        <v>624</v>
      </c>
      <c r="J690" s="31" t="s">
        <v>624</v>
      </c>
      <c r="L690" s="70" t="s">
        <v>398</v>
      </c>
      <c r="M690" s="70" t="s">
        <v>624</v>
      </c>
      <c r="N690" s="70" t="s">
        <v>624</v>
      </c>
      <c r="O690" s="70" t="s">
        <v>1466</v>
      </c>
    </row>
    <row r="691" customFormat="false" ht="15" hidden="false" customHeight="true" outlineLevel="0" collapsed="false">
      <c r="A691" s="70"/>
      <c r="B691" s="70"/>
      <c r="C691" s="70"/>
      <c r="D691" s="70"/>
      <c r="E691" s="70"/>
      <c r="F691" s="70" t="s">
        <v>331</v>
      </c>
      <c r="G691" s="70" t="n">
        <f aca="false">COUNTIFS(Data!$B$2:$B$1833,$L691,Data!$C$2:$C$1833,$M691,Data!$D$2:$D$1833,$N691,Data!$E$2:$E$1833,$O691,Data!$F$2:$F$1833,$F691,Data!$H$2:$H$1833,1)</f>
        <v>0</v>
      </c>
      <c r="H691" s="70" t="s">
        <v>624</v>
      </c>
      <c r="I691" s="31" t="s">
        <v>624</v>
      </c>
      <c r="J691" s="31" t="s">
        <v>624</v>
      </c>
      <c r="L691" s="70" t="s">
        <v>398</v>
      </c>
      <c r="M691" s="70" t="s">
        <v>624</v>
      </c>
      <c r="N691" s="70" t="s">
        <v>624</v>
      </c>
      <c r="O691" s="70" t="s">
        <v>1466</v>
      </c>
    </row>
    <row r="692" customFormat="false" ht="15" hidden="false" customHeight="true" outlineLevel="0" collapsed="false">
      <c r="A692" s="73" t="str">
        <f aca="false">IFERROR(INDEX(対訳マスタ!$C$2:$C$136,MATCH($L692,対訳マスタ!$B$2:$B$136,0)),$L692)</f>
        <v>複言語・複文化能力</v>
      </c>
      <c r="B692" s="73" t="str">
        <f aca="false">IF($M692="—","—",IFERROR(INDEX(対訳マスタ!$C$2:$C$136,MATCH($M692,対訳マスタ!$B$2:$B$136,0)),$M692))</f>
        <v>—</v>
      </c>
      <c r="C692" s="73" t="str">
        <f aca="false">IF($N692="—","—",IFERROR(INDEX(対訳マスタ!$C$2:$C$136,MATCH($N692,対訳マスタ!$B$2:$B$136,0)),$N692))</f>
        <v>—</v>
      </c>
      <c r="D692" s="73" t="str">
        <f aca="false">IFERROR(INDEX(対訳マスタ!$C$2:$C$136,MATCH($O692,対訳マスタ!$B$2:$B$136,0)),$O692)</f>
        <v>複言語レパートリーの活用</v>
      </c>
      <c r="E692" s="73" t="s">
        <v>1478</v>
      </c>
      <c r="F692" s="73" t="s">
        <v>86</v>
      </c>
      <c r="G692" s="73" t="n">
        <f aca="false">COUNTIFS(Data!$B$2:$B$1833,$L692,Data!$C$2:$C$1833,$M692,Data!$D$2:$D$1833,$N692,Data!$E$2:$E$1833,$O692,Data!$F$2:$F$1833,$F692,Data!$H$2:$H$1833,1)</f>
        <v>0</v>
      </c>
      <c r="H692" s="73" t="s">
        <v>624</v>
      </c>
      <c r="I692" s="74" t="s">
        <v>624</v>
      </c>
      <c r="J692" s="74" t="s">
        <v>624</v>
      </c>
      <c r="L692" s="70" t="s">
        <v>398</v>
      </c>
      <c r="M692" s="70" t="s">
        <v>624</v>
      </c>
      <c r="N692" s="70" t="s">
        <v>624</v>
      </c>
      <c r="O692" s="70" t="s">
        <v>1478</v>
      </c>
    </row>
    <row r="693" customFormat="false" ht="26.25" hidden="false" customHeight="true" outlineLevel="0" collapsed="false">
      <c r="A693" s="75"/>
      <c r="B693" s="75"/>
      <c r="C693" s="75"/>
      <c r="D693" s="75"/>
      <c r="E693" s="75"/>
      <c r="F693" s="75" t="s">
        <v>101</v>
      </c>
      <c r="G693" s="75" t="n">
        <f aca="false">COUNTIFS(Data!$B$2:$B$1833,$L693,Data!$C$2:$C$1833,$M693,Data!$D$2:$D$1833,$N693,Data!$E$2:$E$1833,$O693,Data!$F$2:$F$1833,$F693,Data!$H$2:$H$1833,1)</f>
        <v>1</v>
      </c>
      <c r="H693" s="75" t="n">
        <v>1136</v>
      </c>
      <c r="I693" s="76" t="str">
        <f aca="false">INDEX(Data!$G$2:$G$1833,MATCH($H693,Data!$A$2:$A$1833,0))</f>
        <v>Can use a very limited repertoire in different languages to conduct a very basic, concrete, everyday transaction with a collaborative interlocutor.</v>
      </c>
      <c r="J693" s="77" t="s">
        <v>2977</v>
      </c>
      <c r="L693" s="70" t="s">
        <v>398</v>
      </c>
      <c r="M693" s="70" t="s">
        <v>624</v>
      </c>
      <c r="N693" s="70" t="s">
        <v>624</v>
      </c>
      <c r="O693" s="70" t="s">
        <v>1478</v>
      </c>
    </row>
    <row r="694" customFormat="false" ht="26.25" hidden="false" customHeight="true" outlineLevel="0" collapsed="false">
      <c r="A694" s="75"/>
      <c r="B694" s="75"/>
      <c r="C694" s="75"/>
      <c r="D694" s="75"/>
      <c r="E694" s="75"/>
      <c r="F694" s="75" t="s">
        <v>13</v>
      </c>
      <c r="G694" s="75" t="n">
        <f aca="false">COUNTIFS(Data!$B$2:$B$1833,$L694,Data!$C$2:$C$1833,$M694,Data!$D$2:$D$1833,$N694,Data!$E$2:$E$1833,$O694,Data!$F$2:$F$1833,$F694,Data!$H$2:$H$1833,1)</f>
        <v>3</v>
      </c>
      <c r="H694" s="75" t="n">
        <v>1133</v>
      </c>
      <c r="I694" s="76" t="str">
        <f aca="false">INDEX(Data!$G$2:$G$1833,MATCH($H694,Data!$A$2:$A$1833,0))</f>
        <v>Can mobilise their limited repertoire in different languages in order to explain a problem or to ask for help or clarification.</v>
      </c>
      <c r="J694" s="77" t="s">
        <v>2978</v>
      </c>
      <c r="L694" s="70" t="s">
        <v>398</v>
      </c>
      <c r="M694" s="70" t="s">
        <v>624</v>
      </c>
      <c r="N694" s="70" t="s">
        <v>624</v>
      </c>
      <c r="O694" s="70" t="s">
        <v>1478</v>
      </c>
    </row>
    <row r="695" customFormat="false" ht="15" hidden="false" customHeight="true" outlineLevel="0" collapsed="false">
      <c r="A695" s="75"/>
      <c r="B695" s="75"/>
      <c r="C695" s="75"/>
      <c r="D695" s="75"/>
      <c r="E695" s="75"/>
      <c r="F695" s="75" t="s">
        <v>123</v>
      </c>
      <c r="G695" s="75" t="n">
        <f aca="false">COUNTIFS(Data!$B$2:$B$1833,$L695,Data!$C$2:$C$1833,$M695,Data!$D$2:$D$1833,$N695,Data!$E$2:$E$1833,$O695,Data!$F$2:$F$1833,$F695,Data!$H$2:$H$1833,1)</f>
        <v>0</v>
      </c>
      <c r="H695" s="75" t="s">
        <v>624</v>
      </c>
      <c r="I695" s="76" t="s">
        <v>624</v>
      </c>
      <c r="J695" s="76" t="s">
        <v>624</v>
      </c>
      <c r="L695" s="70" t="s">
        <v>398</v>
      </c>
      <c r="M695" s="70" t="s">
        <v>624</v>
      </c>
      <c r="N695" s="70" t="s">
        <v>624</v>
      </c>
      <c r="O695" s="70" t="s">
        <v>1478</v>
      </c>
    </row>
    <row r="696" customFormat="false" ht="32.25" hidden="false" customHeight="true" outlineLevel="0" collapsed="false">
      <c r="A696" s="75"/>
      <c r="B696" s="75"/>
      <c r="C696" s="75"/>
      <c r="D696" s="75"/>
      <c r="E696" s="75"/>
      <c r="F696" s="75" t="s">
        <v>21</v>
      </c>
      <c r="G696" s="75" t="n">
        <f aca="false">COUNTIFS(Data!$B$2:$B$1833,$L696,Data!$C$2:$C$1833,$M696,Data!$D$2:$D$1833,$N696,Data!$E$2:$E$1833,$O696,Data!$F$2:$F$1833,$F696,Data!$H$2:$H$1833,1)</f>
        <v>1</v>
      </c>
      <c r="H696" s="75" t="n">
        <v>1132</v>
      </c>
      <c r="I696" s="76" t="str">
        <f aca="false">INDEX(Data!$G$2:$G$1833,MATCH($H696,Data!$A$2:$A$1833,0))</f>
        <v>Can exploit creatively their limited repertoire in different languages in their plurilingual repertoire for everyday contexts, in order to cope with an unexpected situation.</v>
      </c>
      <c r="J696" s="77" t="s">
        <v>2979</v>
      </c>
      <c r="L696" s="70" t="s">
        <v>398</v>
      </c>
      <c r="M696" s="70" t="s">
        <v>624</v>
      </c>
      <c r="N696" s="70" t="s">
        <v>624</v>
      </c>
      <c r="O696" s="70" t="s">
        <v>1478</v>
      </c>
    </row>
    <row r="697" customFormat="false" ht="15" hidden="false" customHeight="true" outlineLevel="0" collapsed="false">
      <c r="A697" s="75"/>
      <c r="B697" s="75"/>
      <c r="C697" s="75"/>
      <c r="D697" s="75"/>
      <c r="E697" s="75"/>
      <c r="F697" s="75" t="s">
        <v>52</v>
      </c>
      <c r="G697" s="75" t="n">
        <f aca="false">COUNTIFS(Data!$B$2:$B$1833,$L697,Data!$C$2:$C$1833,$M697,Data!$D$2:$D$1833,$N697,Data!$E$2:$E$1833,$O697,Data!$F$2:$F$1833,$F697,Data!$H$2:$H$1833,1)</f>
        <v>0</v>
      </c>
      <c r="H697" s="75" t="s">
        <v>624</v>
      </c>
      <c r="I697" s="76" t="s">
        <v>624</v>
      </c>
      <c r="J697" s="76" t="s">
        <v>624</v>
      </c>
      <c r="L697" s="70" t="s">
        <v>398</v>
      </c>
      <c r="M697" s="70" t="s">
        <v>624</v>
      </c>
      <c r="N697" s="70" t="s">
        <v>624</v>
      </c>
      <c r="O697" s="70" t="s">
        <v>1478</v>
      </c>
    </row>
    <row r="698" customFormat="false" ht="32.25" hidden="false" customHeight="true" outlineLevel="0" collapsed="false">
      <c r="A698" s="75"/>
      <c r="B698" s="75"/>
      <c r="C698" s="75"/>
      <c r="D698" s="75"/>
      <c r="E698" s="75"/>
      <c r="F698" s="75" t="s">
        <v>259</v>
      </c>
      <c r="G698" s="75" t="n">
        <f aca="false">COUNTIFS(Data!$B$2:$B$1833,$L698,Data!$C$2:$C$1833,$M698,Data!$D$2:$D$1833,$N698,Data!$E$2:$E$1833,$O698,Data!$F$2:$F$1833,$F698,Data!$H$2:$H$1833,1)</f>
        <v>6</v>
      </c>
      <c r="H698" s="75" t="n">
        <v>1131</v>
      </c>
      <c r="I698" s="76" t="str">
        <f aca="false">INDEX(Data!$G$2:$G$1833,MATCH($H698,Data!$A$2:$A$1833,0))</f>
        <v>Can make use of different languages in their plurilingual repertoire to encourage other people to use the language in which they feel more comfortable</v>
      </c>
      <c r="J698" s="77" t="s">
        <v>2980</v>
      </c>
      <c r="L698" s="70" t="s">
        <v>398</v>
      </c>
      <c r="M698" s="70" t="s">
        <v>624</v>
      </c>
      <c r="N698" s="70" t="s">
        <v>624</v>
      </c>
      <c r="O698" s="70" t="s">
        <v>1478</v>
      </c>
    </row>
    <row r="699" customFormat="false" ht="15" hidden="false" customHeight="true" outlineLevel="0" collapsed="false">
      <c r="A699" s="75"/>
      <c r="B699" s="75"/>
      <c r="C699" s="75"/>
      <c r="D699" s="75"/>
      <c r="E699" s="75"/>
      <c r="F699" s="75" t="s">
        <v>36</v>
      </c>
      <c r="G699" s="75" t="n">
        <f aca="false">COUNTIFS(Data!$B$2:$B$1833,$L699,Data!$C$2:$C$1833,$M699,Data!$D$2:$D$1833,$N699,Data!$E$2:$E$1833,$O699,Data!$F$2:$F$1833,$F699,Data!$H$2:$H$1833,1)</f>
        <v>0</v>
      </c>
      <c r="H699" s="75" t="s">
        <v>624</v>
      </c>
      <c r="I699" s="76" t="s">
        <v>624</v>
      </c>
      <c r="J699" s="76" t="s">
        <v>624</v>
      </c>
      <c r="L699" s="70" t="s">
        <v>398</v>
      </c>
      <c r="M699" s="70" t="s">
        <v>624</v>
      </c>
      <c r="N699" s="70" t="s">
        <v>624</v>
      </c>
      <c r="O699" s="70" t="s">
        <v>1478</v>
      </c>
    </row>
    <row r="700" customFormat="false" ht="26.25" hidden="false" customHeight="true" outlineLevel="0" collapsed="false">
      <c r="A700" s="75"/>
      <c r="B700" s="75"/>
      <c r="C700" s="75"/>
      <c r="D700" s="75"/>
      <c r="E700" s="75"/>
      <c r="F700" s="75" t="s">
        <v>74</v>
      </c>
      <c r="G700" s="75" t="n">
        <f aca="false">COUNTIFS(Data!$B$2:$B$1833,$L700,Data!$C$2:$C$1833,$M700,Data!$D$2:$D$1833,$N700,Data!$E$2:$E$1833,$O700,Data!$F$2:$F$1833,$F700,Data!$H$2:$H$1833,1)</f>
        <v>5</v>
      </c>
      <c r="H700" s="75" t="n">
        <v>1124</v>
      </c>
      <c r="I700" s="76" t="str">
        <f aca="false">INDEX(Data!$G$2:$G$1833,MATCH($H700,Data!$A$2:$A$1833,0))</f>
        <v>Can respond spontaneously and flexibly in the appropriate language when someone else changes to another language in their plurilingual repertoire.</v>
      </c>
      <c r="J700" s="77" t="s">
        <v>2981</v>
      </c>
      <c r="L700" s="70" t="s">
        <v>398</v>
      </c>
      <c r="M700" s="70" t="s">
        <v>624</v>
      </c>
      <c r="N700" s="70" t="s">
        <v>624</v>
      </c>
      <c r="O700" s="70" t="s">
        <v>1478</v>
      </c>
    </row>
    <row r="701" customFormat="false" ht="32.25" hidden="false" customHeight="true" outlineLevel="0" collapsed="false">
      <c r="A701" s="75"/>
      <c r="B701" s="75"/>
      <c r="C701" s="75"/>
      <c r="D701" s="75"/>
      <c r="E701" s="75"/>
      <c r="F701" s="75" t="s">
        <v>331</v>
      </c>
      <c r="G701" s="75" t="n">
        <f aca="false">COUNTIFS(Data!$B$2:$B$1833,$L701,Data!$C$2:$C$1833,$M701,Data!$D$2:$D$1833,$N701,Data!$E$2:$E$1833,$O701,Data!$F$2:$F$1833,$F701,Data!$H$2:$H$1833,1)</f>
        <v>2</v>
      </c>
      <c r="H701" s="75" t="n">
        <v>1120</v>
      </c>
      <c r="I701" s="76" t="str">
        <f aca="false">INDEX(Data!$G$2:$G$1833,MATCH($H701,Data!$A$2:$A$1833,0))</f>
        <v>Can explore similarities and differences between metaphors and other figures of speech in the languages in their plurilingual repertoire, either for rhetorical effect or for fun.</v>
      </c>
      <c r="J701" s="77" t="s">
        <v>2982</v>
      </c>
      <c r="L701" s="70" t="s">
        <v>398</v>
      </c>
      <c r="M701" s="70" t="s">
        <v>624</v>
      </c>
      <c r="N701" s="70" t="s">
        <v>624</v>
      </c>
      <c r="O701" s="70" t="s">
        <v>1478</v>
      </c>
    </row>
    <row r="702" customFormat="false" ht="26.25" hidden="false" customHeight="true" outlineLevel="0" collapsed="false">
      <c r="A702" s="67" t="str">
        <f aca="false">IFERROR(INDEX(対訳マスタ!$C$2:$C$136,MATCH($L702,対訳マスタ!$B$2:$B$136,0)),$L702)</f>
        <v>コミュニケーション言語能力</v>
      </c>
      <c r="B702" s="67" t="str">
        <f aca="false">IF($M702="—","—",IFERROR(INDEX(対訳マスタ!$C$2:$C$136,MATCH($M702,対訳マスタ!$B$2:$B$136,0)),$M702))</f>
        <v>—</v>
      </c>
      <c r="C702" s="67" t="str">
        <f aca="false">IF($N702="—","—",IFERROR(INDEX(対訳マスタ!$C$2:$C$136,MATCH($N702,対訳マスタ!$B$2:$B$136,0)),$N702))</f>
        <v>言語能力</v>
      </c>
      <c r="D702" s="67" t="str">
        <f aca="false">IFERROR(INDEX(対訳マスタ!$C$2:$C$136,MATCH($O702,対訳マスタ!$B$2:$B$136,0)),$O702)</f>
        <v>言語レパートリー全般の幅</v>
      </c>
      <c r="E702" s="67" t="s">
        <v>1498</v>
      </c>
      <c r="F702" s="67" t="s">
        <v>86</v>
      </c>
      <c r="G702" s="67" t="n">
        <f aca="false">COUNTIFS(Data!$B$2:$B$1833,$L702,Data!$C$2:$C$1833,$M702,Data!$D$2:$D$1833,$N702,Data!$E$2:$E$1833,$O702,Data!$F$2:$F$1833,$F702,Data!$H$2:$H$1833,1)</f>
        <v>1</v>
      </c>
      <c r="H702" s="67" t="n">
        <v>1151</v>
      </c>
      <c r="I702" s="68" t="str">
        <f aca="false">INDEX(Data!$G$2:$G$1833,MATCH($H702,Data!$A$2:$A$1833,0))</f>
        <v>Can use isolated words/signs and basic expressions in order to give simple information about themselves.</v>
      </c>
      <c r="J702" s="69" t="s">
        <v>2983</v>
      </c>
      <c r="L702" s="70" t="s">
        <v>397</v>
      </c>
      <c r="M702" s="70" t="s">
        <v>624</v>
      </c>
      <c r="N702" s="70" t="s">
        <v>1497</v>
      </c>
      <c r="O702" s="70" t="s">
        <v>1498</v>
      </c>
    </row>
    <row r="703" customFormat="false" ht="26.25" hidden="false" customHeight="true" outlineLevel="0" collapsed="false">
      <c r="A703" s="70"/>
      <c r="B703" s="70"/>
      <c r="C703" s="70"/>
      <c r="D703" s="70"/>
      <c r="E703" s="70"/>
      <c r="F703" s="70" t="s">
        <v>101</v>
      </c>
      <c r="G703" s="70" t="n">
        <f aca="false">COUNTIFS(Data!$B$2:$B$1833,$L703,Data!$C$2:$C$1833,$M703,Data!$D$2:$D$1833,$N703,Data!$E$2:$E$1833,$O703,Data!$F$2:$F$1833,$F703,Data!$H$2:$H$1833,1)</f>
        <v>2</v>
      </c>
      <c r="H703" s="70" t="n">
        <v>1149</v>
      </c>
      <c r="I703" s="31" t="str">
        <f aca="false">INDEX(Data!$G$2:$G$1833,MATCH($H703,Data!$A$2:$A$1833,0))</f>
        <v>Has a very basic range of simple expressions about personal details and needs of a concrete type.</v>
      </c>
      <c r="J703" s="71" t="s">
        <v>2984</v>
      </c>
      <c r="L703" s="70" t="s">
        <v>397</v>
      </c>
      <c r="M703" s="70" t="s">
        <v>624</v>
      </c>
      <c r="N703" s="70" t="s">
        <v>1497</v>
      </c>
      <c r="O703" s="70" t="s">
        <v>1498</v>
      </c>
    </row>
    <row r="704" customFormat="false" ht="39" hidden="false" customHeight="true" outlineLevel="0" collapsed="false">
      <c r="A704" s="70"/>
      <c r="B704" s="70"/>
      <c r="C704" s="70"/>
      <c r="D704" s="70"/>
      <c r="E704" s="70"/>
      <c r="F704" s="70" t="s">
        <v>13</v>
      </c>
      <c r="G704" s="70" t="n">
        <f aca="false">COUNTIFS(Data!$B$2:$B$1833,$L704,Data!$C$2:$C$1833,$M704,Data!$D$2:$D$1833,$N704,Data!$E$2:$E$1833,$O704,Data!$F$2:$F$1833,$F704,Data!$H$2:$H$1833,1)</f>
        <v>3</v>
      </c>
      <c r="H704" s="70" t="n">
        <v>1148</v>
      </c>
      <c r="I704" s="31" t="str">
        <f aca="false">INDEX(Data!$G$2:$G$1833,MATCH($H704,Data!$A$2:$A$1833,0))</f>
        <v>Has a limited repertoire of short, memorised phrases covering predictable survival situations; frequent breakdowns and misunderstandings occur in non-routine situations.</v>
      </c>
      <c r="J704" s="71" t="s">
        <v>2985</v>
      </c>
      <c r="L704" s="70" t="s">
        <v>397</v>
      </c>
      <c r="M704" s="70" t="s">
        <v>624</v>
      </c>
      <c r="N704" s="70" t="s">
        <v>1497</v>
      </c>
      <c r="O704" s="70" t="s">
        <v>1498</v>
      </c>
    </row>
    <row r="705" customFormat="false" ht="32.25" hidden="false" customHeight="true" outlineLevel="0" collapsed="false">
      <c r="A705" s="70"/>
      <c r="B705" s="70"/>
      <c r="C705" s="70"/>
      <c r="D705" s="70"/>
      <c r="E705" s="70"/>
      <c r="F705" s="70" t="s">
        <v>123</v>
      </c>
      <c r="G705" s="70" t="n">
        <f aca="false">COUNTIFS(Data!$B$2:$B$1833,$L705,Data!$C$2:$C$1833,$M705,Data!$D$2:$D$1833,$N705,Data!$E$2:$E$1833,$O705,Data!$F$2:$F$1833,$F705,Data!$H$2:$H$1833,1)</f>
        <v>1</v>
      </c>
      <c r="H705" s="70" t="n">
        <v>1145</v>
      </c>
      <c r="I705" s="31" t="str">
        <f aca="false">INDEX(Data!$G$2:$G$1833,MATCH($H705,Data!$A$2:$A$1833,0))</f>
        <v>Has a repertoire of basic language which enables them to deal with everyday situations with predictable content, though they will generally have to compromise the message and search for words/signs.</v>
      </c>
      <c r="J705" s="71" t="s">
        <v>2986</v>
      </c>
      <c r="L705" s="70" t="s">
        <v>397</v>
      </c>
      <c r="M705" s="70" t="s">
        <v>624</v>
      </c>
      <c r="N705" s="70" t="s">
        <v>1497</v>
      </c>
      <c r="O705" s="70" t="s">
        <v>1498</v>
      </c>
    </row>
    <row r="706" customFormat="false" ht="42.75" hidden="false" customHeight="true" outlineLevel="0" collapsed="false">
      <c r="A706" s="70"/>
      <c r="B706" s="70"/>
      <c r="C706" s="70"/>
      <c r="D706" s="70"/>
      <c r="E706" s="70"/>
      <c r="F706" s="70" t="s">
        <v>21</v>
      </c>
      <c r="G706" s="70" t="n">
        <f aca="false">COUNTIFS(Data!$B$2:$B$1833,$L706,Data!$C$2:$C$1833,$M706,Data!$D$2:$D$1833,$N706,Data!$E$2:$E$1833,$O706,Data!$F$2:$F$1833,$F706,Data!$H$2:$H$1833,1)</f>
        <v>1</v>
      </c>
      <c r="H706" s="70" t="n">
        <v>1144</v>
      </c>
      <c r="I706" s="31" t="str">
        <f aca="false">INDEX(Data!$G$2:$G$1833,MATCH($H706,Data!$A$2:$A$1833,0))</f>
        <v>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v>
      </c>
      <c r="J706" s="71" t="s">
        <v>2987</v>
      </c>
      <c r="L706" s="70" t="s">
        <v>397</v>
      </c>
      <c r="M706" s="70" t="s">
        <v>624</v>
      </c>
      <c r="N706" s="70" t="s">
        <v>1497</v>
      </c>
      <c r="O706" s="70" t="s">
        <v>1498</v>
      </c>
    </row>
    <row r="707" customFormat="false" ht="39" hidden="false" customHeight="true" outlineLevel="0" collapsed="false">
      <c r="A707" s="70"/>
      <c r="B707" s="70"/>
      <c r="C707" s="70"/>
      <c r="D707" s="70"/>
      <c r="E707" s="70"/>
      <c r="F707" s="70" t="s">
        <v>52</v>
      </c>
      <c r="G707" s="70" t="n">
        <f aca="false">COUNTIFS(Data!$B$2:$B$1833,$L707,Data!$C$2:$C$1833,$M707,Data!$D$2:$D$1833,$N707,Data!$E$2:$E$1833,$O707,Data!$F$2:$F$1833,$F707,Data!$H$2:$H$1833,1)</f>
        <v>1</v>
      </c>
      <c r="H707" s="70" t="n">
        <v>1143</v>
      </c>
      <c r="I707" s="31" t="str">
        <f aca="false">INDEX(Data!$G$2:$G$1833,MATCH($H707,Data!$A$2:$A$1833,0))</f>
        <v>Has a sufficient range of language to describe unpredictable situations, explain the main points in an idea or problem with reasonable precision and express thoughts on abstract or cultural topics such as music and film.</v>
      </c>
      <c r="J707" s="71" t="s">
        <v>2988</v>
      </c>
      <c r="L707" s="70" t="s">
        <v>397</v>
      </c>
      <c r="M707" s="70" t="s">
        <v>624</v>
      </c>
      <c r="N707" s="70" t="s">
        <v>1497</v>
      </c>
      <c r="O707" s="70" t="s">
        <v>1498</v>
      </c>
    </row>
    <row r="708" customFormat="false" ht="32.25" hidden="false" customHeight="true" outlineLevel="0" collapsed="false">
      <c r="A708" s="70"/>
      <c r="B708" s="70"/>
      <c r="C708" s="70"/>
      <c r="D708" s="70"/>
      <c r="E708" s="70"/>
      <c r="F708" s="70" t="s">
        <v>259</v>
      </c>
      <c r="G708" s="70" t="n">
        <f aca="false">COUNTIFS(Data!$B$2:$B$1833,$L708,Data!$C$2:$C$1833,$M708,Data!$D$2:$D$1833,$N708,Data!$E$2:$E$1833,$O708,Data!$F$2:$F$1833,$F708,Data!$H$2:$H$1833,1)</f>
        <v>1</v>
      </c>
      <c r="H708" s="70" t="n">
        <v>1142</v>
      </c>
      <c r="I708" s="31" t="str">
        <f aca="false">INDEX(Data!$G$2:$G$1833,MATCH($H708,Data!$A$2:$A$1833,0))</f>
        <v>Has a sufficient range of language to be able to give clear descriptions, express viewpoints and develop arguments without much conspicuous searching for words/signs, using some complex sentence forms to do so.</v>
      </c>
      <c r="J708" s="71" t="s">
        <v>2989</v>
      </c>
      <c r="L708" s="70" t="s">
        <v>397</v>
      </c>
      <c r="M708" s="70" t="s">
        <v>624</v>
      </c>
      <c r="N708" s="70" t="s">
        <v>1497</v>
      </c>
      <c r="O708" s="70" t="s">
        <v>1498</v>
      </c>
    </row>
    <row r="709" customFormat="false" ht="21.75" hidden="false" customHeight="true" outlineLevel="0" collapsed="false">
      <c r="A709" s="70"/>
      <c r="B709" s="70"/>
      <c r="C709" s="70"/>
      <c r="D709" s="70"/>
      <c r="E709" s="70"/>
      <c r="F709" s="70" t="s">
        <v>36</v>
      </c>
      <c r="G709" s="70" t="n">
        <f aca="false">COUNTIFS(Data!$B$2:$B$1833,$L709,Data!$C$2:$C$1833,$M709,Data!$D$2:$D$1833,$N709,Data!$E$2:$E$1833,$O709,Data!$F$2:$F$1833,$F709,Data!$H$2:$H$1833,1)</f>
        <v>1</v>
      </c>
      <c r="H709" s="70" t="n">
        <v>1141</v>
      </c>
      <c r="I709" s="31" t="str">
        <f aca="false">INDEX(Data!$G$2:$G$1833,MATCH($H709,Data!$A$2:$A$1833,0))</f>
        <v>Can express themselves clearly without much sign of having to restrict what they want to say.</v>
      </c>
      <c r="J709" s="71" t="s">
        <v>2990</v>
      </c>
      <c r="L709" s="70" t="s">
        <v>397</v>
      </c>
      <c r="M709" s="70" t="s">
        <v>624</v>
      </c>
      <c r="N709" s="70" t="s">
        <v>1497</v>
      </c>
      <c r="O709" s="70" t="s">
        <v>1498</v>
      </c>
    </row>
    <row r="710" customFormat="false" ht="21.75" hidden="false" customHeight="true" outlineLevel="0" collapsed="false">
      <c r="A710" s="70"/>
      <c r="B710" s="70"/>
      <c r="C710" s="70"/>
      <c r="D710" s="70"/>
      <c r="E710" s="70"/>
      <c r="F710" s="70" t="s">
        <v>74</v>
      </c>
      <c r="G710" s="70" t="n">
        <f aca="false">COUNTIFS(Data!$B$2:$B$1833,$L710,Data!$C$2:$C$1833,$M710,Data!$D$2:$D$1833,$N710,Data!$E$2:$E$1833,$O710,Data!$F$2:$F$1833,$F710,Data!$H$2:$H$1833,1)</f>
        <v>2</v>
      </c>
      <c r="H710" s="70" t="n">
        <v>1139</v>
      </c>
      <c r="I710" s="31" t="str">
        <f aca="false">INDEX(Data!$G$2:$G$1833,MATCH($H710,Data!$A$2:$A$1833,0))</f>
        <v>Can use a broad range of complex grammatical structures appropriately and with considerable flexibility.</v>
      </c>
      <c r="J710" s="71" t="s">
        <v>2991</v>
      </c>
      <c r="L710" s="70" t="s">
        <v>397</v>
      </c>
      <c r="M710" s="70" t="s">
        <v>624</v>
      </c>
      <c r="N710" s="70" t="s">
        <v>1497</v>
      </c>
      <c r="O710" s="70" t="s">
        <v>1498</v>
      </c>
    </row>
    <row r="711" customFormat="false" ht="39" hidden="false" customHeight="true" outlineLevel="0" collapsed="false">
      <c r="A711" s="70"/>
      <c r="B711" s="70"/>
      <c r="C711" s="70"/>
      <c r="D711" s="70"/>
      <c r="E711" s="70"/>
      <c r="F711" s="70" t="s">
        <v>331</v>
      </c>
      <c r="G711" s="70" t="n">
        <f aca="false">COUNTIFS(Data!$B$2:$B$1833,$L711,Data!$C$2:$C$1833,$M711,Data!$D$2:$D$1833,$N711,Data!$E$2:$E$1833,$O711,Data!$F$2:$F$1833,$F711,Data!$H$2:$H$1833,1)</f>
        <v>1</v>
      </c>
      <c r="H711" s="70" t="n">
        <v>1138</v>
      </c>
      <c r="I711" s="31" t="str">
        <f aca="false">INDEX(Data!$G$2:$G$1833,MATCH($H711,Data!$A$2:$A$1833,0))</f>
        <v>Can exploit a comprehensive and reliable mastery of a very wide range of language to formulate thoughts precisely, give emphasis, differentiate and eliminate ambiguity. No signs of having to restrict what they want to say.</v>
      </c>
      <c r="J711" s="71" t="s">
        <v>2992</v>
      </c>
      <c r="L711" s="70" t="s">
        <v>397</v>
      </c>
      <c r="M711" s="70" t="s">
        <v>624</v>
      </c>
      <c r="N711" s="70" t="s">
        <v>1497</v>
      </c>
      <c r="O711" s="70" t="s">
        <v>1498</v>
      </c>
    </row>
    <row r="712" customFormat="false" ht="15" hidden="false" customHeight="true" outlineLevel="0" collapsed="false">
      <c r="A712" s="73" t="str">
        <f aca="false">IFERROR(INDEX(対訳マスタ!$C$2:$C$136,MATCH($L712,対訳マスタ!$B$2:$B$136,0)),$L712)</f>
        <v>コミュニケーション言語能力</v>
      </c>
      <c r="B712" s="73" t="str">
        <f aca="false">IF($M712="—","—",IFERROR(INDEX(対訳マスタ!$C$2:$C$136,MATCH($M712,対訳マスタ!$B$2:$B$136,0)),$M712))</f>
        <v>—</v>
      </c>
      <c r="C712" s="73" t="str">
        <f aca="false">IF($N712="—","—",IFERROR(INDEX(対訳マスタ!$C$2:$C$136,MATCH($N712,対訳マスタ!$B$2:$B$136,0)),$N712))</f>
        <v>言語能力</v>
      </c>
      <c r="D712" s="73" t="str">
        <f aca="false">IFERROR(INDEX(対訳マスタ!$C$2:$C$136,MATCH($O712,対訳マスタ!$B$2:$B$136,0)),$O712)</f>
        <v>語彙の幅</v>
      </c>
      <c r="E712" s="73" t="s">
        <v>1513</v>
      </c>
      <c r="F712" s="73" t="s">
        <v>86</v>
      </c>
      <c r="G712" s="73" t="n">
        <f aca="false">COUNTIFS(Data!$B$2:$B$1833,$L712,Data!$C$2:$C$1833,$M712,Data!$D$2:$D$1833,$N712,Data!$E$2:$E$1833,$O712,Data!$F$2:$F$1833,$F712,Data!$H$2:$H$1833,1)</f>
        <v>0</v>
      </c>
      <c r="H712" s="73" t="s">
        <v>624</v>
      </c>
      <c r="I712" s="74" t="s">
        <v>624</v>
      </c>
      <c r="J712" s="74" t="s">
        <v>624</v>
      </c>
      <c r="L712" s="70" t="s">
        <v>397</v>
      </c>
      <c r="M712" s="70" t="s">
        <v>624</v>
      </c>
      <c r="N712" s="70" t="s">
        <v>1497</v>
      </c>
      <c r="O712" s="70" t="s">
        <v>1513</v>
      </c>
    </row>
    <row r="713" customFormat="false" ht="21.75" hidden="false" customHeight="true" outlineLevel="0" collapsed="false">
      <c r="A713" s="75"/>
      <c r="B713" s="75"/>
      <c r="C713" s="75"/>
      <c r="D713" s="75"/>
      <c r="E713" s="75"/>
      <c r="F713" s="75" t="s">
        <v>101</v>
      </c>
      <c r="G713" s="75" t="n">
        <f aca="false">COUNTIFS(Data!$B$2:$B$1833,$L713,Data!$C$2:$C$1833,$M713,Data!$D$2:$D$1833,$N713,Data!$E$2:$E$1833,$O713,Data!$F$2:$F$1833,$F713,Data!$H$2:$H$1833,1)</f>
        <v>1</v>
      </c>
      <c r="H713" s="75" t="n">
        <v>1167</v>
      </c>
      <c r="I713" s="76" t="str">
        <f aca="false">INDEX(Data!$G$2:$G$1833,MATCH($H713,Data!$A$2:$A$1833,0))</f>
        <v>Has a basic vocabulary repertoire of words/signs and phrases related to particular concrete situations.</v>
      </c>
      <c r="J713" s="77" t="s">
        <v>2993</v>
      </c>
      <c r="L713" s="70" t="s">
        <v>397</v>
      </c>
      <c r="M713" s="70" t="s">
        <v>624</v>
      </c>
      <c r="N713" s="70" t="s">
        <v>1497</v>
      </c>
      <c r="O713" s="70" t="s">
        <v>1513</v>
      </c>
    </row>
    <row r="714" customFormat="false" ht="15" hidden="false" customHeight="true" outlineLevel="0" collapsed="false">
      <c r="A714" s="75"/>
      <c r="B714" s="75"/>
      <c r="C714" s="75"/>
      <c r="D714" s="75"/>
      <c r="E714" s="75"/>
      <c r="F714" s="75" t="s">
        <v>13</v>
      </c>
      <c r="G714" s="75" t="n">
        <f aca="false">COUNTIFS(Data!$B$2:$B$1833,$L714,Data!$C$2:$C$1833,$M714,Data!$D$2:$D$1833,$N714,Data!$E$2:$E$1833,$O714,Data!$F$2:$F$1833,$F714,Data!$H$2:$H$1833,1)</f>
        <v>2</v>
      </c>
      <c r="H714" s="75" t="n">
        <v>1166</v>
      </c>
      <c r="I714" s="76" t="str">
        <f aca="false">INDEX(Data!$G$2:$G$1833,MATCH($H714,Data!$A$2:$A$1833,0))</f>
        <v>Has sufficient vocabulary for coping with simple survival needs.</v>
      </c>
      <c r="J714" s="77" t="s">
        <v>2994</v>
      </c>
      <c r="L714" s="70" t="s">
        <v>397</v>
      </c>
      <c r="M714" s="70" t="s">
        <v>624</v>
      </c>
      <c r="N714" s="70" t="s">
        <v>1497</v>
      </c>
      <c r="O714" s="70" t="s">
        <v>1513</v>
      </c>
    </row>
    <row r="715" customFormat="false" ht="26.25" hidden="false" customHeight="true" outlineLevel="0" collapsed="false">
      <c r="A715" s="75"/>
      <c r="B715" s="75"/>
      <c r="C715" s="75"/>
      <c r="D715" s="75"/>
      <c r="E715" s="75"/>
      <c r="F715" s="75" t="s">
        <v>123</v>
      </c>
      <c r="G715" s="75" t="n">
        <f aca="false">COUNTIFS(Data!$B$2:$B$1833,$L715,Data!$C$2:$C$1833,$M715,Data!$D$2:$D$1833,$N715,Data!$E$2:$E$1833,$O715,Data!$F$2:$F$1833,$F715,Data!$H$2:$H$1833,1)</f>
        <v>1</v>
      </c>
      <c r="H715" s="75" t="n">
        <v>1164</v>
      </c>
      <c r="I715" s="76" t="str">
        <f aca="false">INDEX(Data!$G$2:$G$1833,MATCH($H715,Data!$A$2:$A$1833,0))</f>
        <v>Has sufficient vocabulary to conduct routine everyday transactions involving familiar situations and topics.</v>
      </c>
      <c r="J715" s="77" t="s">
        <v>2995</v>
      </c>
      <c r="L715" s="70" t="s">
        <v>397</v>
      </c>
      <c r="M715" s="70" t="s">
        <v>624</v>
      </c>
      <c r="N715" s="70" t="s">
        <v>1497</v>
      </c>
      <c r="O715" s="70" t="s">
        <v>1513</v>
      </c>
    </row>
    <row r="716" customFormat="false" ht="21.75" hidden="false" customHeight="true" outlineLevel="0" collapsed="false">
      <c r="A716" s="75"/>
      <c r="B716" s="75"/>
      <c r="C716" s="75"/>
      <c r="D716" s="75"/>
      <c r="E716" s="75"/>
      <c r="F716" s="75" t="s">
        <v>21</v>
      </c>
      <c r="G716" s="75" t="n">
        <f aca="false">COUNTIFS(Data!$B$2:$B$1833,$L716,Data!$C$2:$C$1833,$M716,Data!$D$2:$D$1833,$N716,Data!$E$2:$E$1833,$O716,Data!$F$2:$F$1833,$F716,Data!$H$2:$H$1833,1)</f>
        <v>2</v>
      </c>
      <c r="H716" s="75" t="n">
        <v>1162</v>
      </c>
      <c r="I716" s="76" t="str">
        <f aca="false">INDEX(Data!$G$2:$G$1833,MATCH($H716,Data!$A$2:$A$1833,0))</f>
        <v>Has a good range of vocabulary related to familiar topics and everyday situations.</v>
      </c>
      <c r="J716" s="77" t="s">
        <v>2996</v>
      </c>
      <c r="L716" s="70" t="s">
        <v>397</v>
      </c>
      <c r="M716" s="70" t="s">
        <v>624</v>
      </c>
      <c r="N716" s="70" t="s">
        <v>1497</v>
      </c>
      <c r="O716" s="70" t="s">
        <v>1513</v>
      </c>
    </row>
    <row r="717" customFormat="false" ht="15" hidden="false" customHeight="true" outlineLevel="0" collapsed="false">
      <c r="A717" s="75"/>
      <c r="B717" s="75"/>
      <c r="C717" s="75"/>
      <c r="D717" s="75"/>
      <c r="E717" s="75"/>
      <c r="F717" s="75" t="s">
        <v>52</v>
      </c>
      <c r="G717" s="75" t="n">
        <f aca="false">COUNTIFS(Data!$B$2:$B$1833,$L717,Data!$C$2:$C$1833,$M717,Data!$D$2:$D$1833,$N717,Data!$E$2:$E$1833,$O717,Data!$F$2:$F$1833,$F717,Data!$H$2:$H$1833,1)</f>
        <v>0</v>
      </c>
      <c r="H717" s="75" t="s">
        <v>624</v>
      </c>
      <c r="I717" s="76" t="s">
        <v>624</v>
      </c>
      <c r="J717" s="76" t="s">
        <v>624</v>
      </c>
      <c r="L717" s="70" t="s">
        <v>397</v>
      </c>
      <c r="M717" s="70" t="s">
        <v>624</v>
      </c>
      <c r="N717" s="70" t="s">
        <v>1497</v>
      </c>
      <c r="O717" s="70" t="s">
        <v>1513</v>
      </c>
    </row>
    <row r="718" customFormat="false" ht="21.75" hidden="false" customHeight="true" outlineLevel="0" collapsed="false">
      <c r="A718" s="75"/>
      <c r="B718" s="75"/>
      <c r="C718" s="75"/>
      <c r="D718" s="75"/>
      <c r="E718" s="75"/>
      <c r="F718" s="75" t="s">
        <v>259</v>
      </c>
      <c r="G718" s="75" t="n">
        <f aca="false">COUNTIFS(Data!$B$2:$B$1833,$L718,Data!$C$2:$C$1833,$M718,Data!$D$2:$D$1833,$N718,Data!$E$2:$E$1833,$O718,Data!$F$2:$F$1833,$F718,Data!$H$2:$H$1833,1)</f>
        <v>4</v>
      </c>
      <c r="H718" s="75" t="n">
        <v>1158</v>
      </c>
      <c r="I718" s="76" t="str">
        <f aca="false">INDEX(Data!$G$2:$G$1833,MATCH($H718,Data!$A$2:$A$1833,0))</f>
        <v>Has a good range of vocabulary for matters connected to their field and most general topics.</v>
      </c>
      <c r="J718" s="77" t="s">
        <v>2997</v>
      </c>
      <c r="L718" s="70" t="s">
        <v>397</v>
      </c>
      <c r="M718" s="70" t="s">
        <v>624</v>
      </c>
      <c r="N718" s="70" t="s">
        <v>1497</v>
      </c>
      <c r="O718" s="70" t="s">
        <v>1513</v>
      </c>
    </row>
    <row r="719" customFormat="false" ht="26.25" hidden="false" customHeight="true" outlineLevel="0" collapsed="false">
      <c r="A719" s="75"/>
      <c r="B719" s="75"/>
      <c r="C719" s="75"/>
      <c r="D719" s="75"/>
      <c r="E719" s="75"/>
      <c r="F719" s="75" t="s">
        <v>36</v>
      </c>
      <c r="G719" s="75" t="n">
        <f aca="false">COUNTIFS(Data!$B$2:$B$1833,$L719,Data!$C$2:$C$1833,$M719,Data!$D$2:$D$1833,$N719,Data!$E$2:$E$1833,$O719,Data!$F$2:$F$1833,$F719,Data!$H$2:$H$1833,1)</f>
        <v>1</v>
      </c>
      <c r="H719" s="75" t="n">
        <v>1157</v>
      </c>
      <c r="I719" s="76" t="str">
        <f aca="false">INDEX(Data!$G$2:$G$1833,MATCH($H719,Data!$A$2:$A$1833,0))</f>
        <v>Can understand and use the main technical terminology of their field, when discussing their area of specialisation with other specialists.</v>
      </c>
      <c r="J719" s="77" t="s">
        <v>2998</v>
      </c>
      <c r="L719" s="70" t="s">
        <v>397</v>
      </c>
      <c r="M719" s="70" t="s">
        <v>624</v>
      </c>
      <c r="N719" s="70" t="s">
        <v>1497</v>
      </c>
      <c r="O719" s="70" t="s">
        <v>1513</v>
      </c>
    </row>
    <row r="720" customFormat="false" ht="21.75" hidden="false" customHeight="true" outlineLevel="0" collapsed="false">
      <c r="A720" s="75"/>
      <c r="B720" s="75"/>
      <c r="C720" s="75"/>
      <c r="D720" s="75"/>
      <c r="E720" s="75"/>
      <c r="F720" s="75" t="s">
        <v>74</v>
      </c>
      <c r="G720" s="75" t="n">
        <f aca="false">COUNTIFS(Data!$B$2:$B$1833,$L720,Data!$C$2:$C$1833,$M720,Data!$D$2:$D$1833,$N720,Data!$E$2:$E$1833,$O720,Data!$F$2:$F$1833,$F720,Data!$H$2:$H$1833,1)</f>
        <v>4</v>
      </c>
      <c r="H720" s="75" t="n">
        <v>1155</v>
      </c>
      <c r="I720" s="76" t="str">
        <f aca="false">INDEX(Data!$G$2:$G$1833,MATCH($H720,Data!$A$2:$A$1833,0))</f>
        <v>Has a good command of common idiomatic expressions and colloquialisms; can play with words/signs fairly well.</v>
      </c>
      <c r="J720" s="77" t="s">
        <v>2999</v>
      </c>
      <c r="L720" s="70" t="s">
        <v>397</v>
      </c>
      <c r="M720" s="70" t="s">
        <v>624</v>
      </c>
      <c r="N720" s="70" t="s">
        <v>1497</v>
      </c>
      <c r="O720" s="70" t="s">
        <v>1513</v>
      </c>
    </row>
    <row r="721" customFormat="false" ht="32.25" hidden="false" customHeight="true" outlineLevel="0" collapsed="false">
      <c r="A721" s="75"/>
      <c r="B721" s="75"/>
      <c r="C721" s="75"/>
      <c r="D721" s="75"/>
      <c r="E721" s="75"/>
      <c r="F721" s="75" t="s">
        <v>331</v>
      </c>
      <c r="G721" s="75" t="n">
        <f aca="false">COUNTIFS(Data!$B$2:$B$1833,$L721,Data!$C$2:$C$1833,$M721,Data!$D$2:$D$1833,$N721,Data!$E$2:$E$1833,$O721,Data!$F$2:$F$1833,$F721,Data!$H$2:$H$1833,1)</f>
        <v>1</v>
      </c>
      <c r="H721" s="75" t="n">
        <v>1152</v>
      </c>
      <c r="I721" s="76" t="str">
        <f aca="false">INDEX(Data!$G$2:$G$1833,MATCH($H721,Data!$A$2:$A$1833,0))</f>
        <v>Has a good command of a very broad lexical repertoire including idiomatic expressions and colloquialisms; shows awareness of connotative levels of meaning.</v>
      </c>
      <c r="J721" s="77" t="s">
        <v>3000</v>
      </c>
      <c r="L721" s="70" t="s">
        <v>397</v>
      </c>
      <c r="M721" s="70" t="s">
        <v>624</v>
      </c>
      <c r="N721" s="70" t="s">
        <v>1497</v>
      </c>
      <c r="O721" s="70" t="s">
        <v>1513</v>
      </c>
    </row>
    <row r="722" customFormat="false" ht="15" hidden="false" customHeight="true" outlineLevel="0" collapsed="false">
      <c r="A722" s="67" t="str">
        <f aca="false">IFERROR(INDEX(対訳マスタ!$C$2:$C$136,MATCH($L722,対訳マスタ!$B$2:$B$136,0)),$L722)</f>
        <v>コミュニケーション言語能力</v>
      </c>
      <c r="B722" s="67" t="str">
        <f aca="false">IF($M722="—","—",IFERROR(INDEX(対訳マスタ!$C$2:$C$136,MATCH($M722,対訳マスタ!$B$2:$B$136,0)),$M722))</f>
        <v>—</v>
      </c>
      <c r="C722" s="67" t="str">
        <f aca="false">IF($N722="—","—",IFERROR(INDEX(対訳マスタ!$C$2:$C$136,MATCH($N722,対訳マスタ!$B$2:$B$136,0)),$N722))</f>
        <v>言語能力</v>
      </c>
      <c r="D722" s="67" t="str">
        <f aca="false">IFERROR(INDEX(対訳マスタ!$C$2:$C$136,MATCH($O722,対訳マスタ!$B$2:$B$136,0)),$O722)</f>
        <v>文法的正確さ</v>
      </c>
      <c r="E722" s="67" t="s">
        <v>1530</v>
      </c>
      <c r="F722" s="67" t="s">
        <v>86</v>
      </c>
      <c r="G722" s="67" t="n">
        <f aca="false">COUNTIFS(Data!$B$2:$B$1833,$L722,Data!$C$2:$C$1833,$M722,Data!$D$2:$D$1833,$N722,Data!$E$2:$E$1833,$O722,Data!$F$2:$F$1833,$F722,Data!$H$2:$H$1833,1)</f>
        <v>1</v>
      </c>
      <c r="H722" s="67" t="n">
        <v>1178</v>
      </c>
      <c r="I722" s="68" t="str">
        <f aca="false">INDEX(Data!$G$2:$G$1833,MATCH($H722,Data!$A$2:$A$1833,0))</f>
        <v>Can employ very simple principles of word/sign order in short statements.</v>
      </c>
      <c r="J722" s="69" t="s">
        <v>3001</v>
      </c>
      <c r="L722" s="70" t="s">
        <v>397</v>
      </c>
      <c r="M722" s="70" t="s">
        <v>624</v>
      </c>
      <c r="N722" s="70" t="s">
        <v>1497</v>
      </c>
      <c r="O722" s="70" t="s">
        <v>1530</v>
      </c>
    </row>
    <row r="723" customFormat="false" ht="26.25" hidden="false" customHeight="true" outlineLevel="0" collapsed="false">
      <c r="A723" s="70"/>
      <c r="B723" s="70"/>
      <c r="C723" s="70"/>
      <c r="D723" s="70"/>
      <c r="E723" s="70"/>
      <c r="F723" s="70" t="s">
        <v>101</v>
      </c>
      <c r="G723" s="70" t="n">
        <f aca="false">COUNTIFS(Data!$B$2:$B$1833,$L723,Data!$C$2:$C$1833,$M723,Data!$D$2:$D$1833,$N723,Data!$E$2:$E$1833,$O723,Data!$F$2:$F$1833,$F723,Data!$H$2:$H$1833,1)</f>
        <v>1</v>
      </c>
      <c r="H723" s="70" t="n">
        <v>1177</v>
      </c>
      <c r="I723" s="31" t="str">
        <f aca="false">INDEX(Data!$G$2:$G$1833,MATCH($H723,Data!$A$2:$A$1833,0))</f>
        <v>Shows only limited control of a few simple grammatical structures and sentence patterns in a learnt repertoire.</v>
      </c>
      <c r="J723" s="71" t="s">
        <v>3002</v>
      </c>
      <c r="L723" s="70" t="s">
        <v>397</v>
      </c>
      <c r="M723" s="70" t="s">
        <v>624</v>
      </c>
      <c r="N723" s="70" t="s">
        <v>1497</v>
      </c>
      <c r="O723" s="70" t="s">
        <v>1530</v>
      </c>
    </row>
    <row r="724" customFormat="false" ht="26.25" hidden="false" customHeight="true" outlineLevel="0" collapsed="false">
      <c r="A724" s="70"/>
      <c r="B724" s="70"/>
      <c r="C724" s="70"/>
      <c r="D724" s="70"/>
      <c r="E724" s="70"/>
      <c r="F724" s="70" t="s">
        <v>13</v>
      </c>
      <c r="G724" s="70" t="n">
        <f aca="false">COUNTIFS(Data!$B$2:$B$1833,$L724,Data!$C$2:$C$1833,$M724,Data!$D$2:$D$1833,$N724,Data!$E$2:$E$1833,$O724,Data!$F$2:$F$1833,$F724,Data!$H$2:$H$1833,1)</f>
        <v>1</v>
      </c>
      <c r="H724" s="70" t="n">
        <v>1176</v>
      </c>
      <c r="I724" s="31" t="str">
        <f aca="false">INDEX(Data!$G$2:$G$1833,MATCH($H724,Data!$A$2:$A$1833,0))</f>
        <v>Uses some simple structures correctly, but still systematically makes basic mistakes; nevertheless, it is usually clear what they are trying to say.</v>
      </c>
      <c r="J724" s="71" t="s">
        <v>3003</v>
      </c>
      <c r="L724" s="70" t="s">
        <v>397</v>
      </c>
      <c r="M724" s="70" t="s">
        <v>624</v>
      </c>
      <c r="N724" s="70" t="s">
        <v>1497</v>
      </c>
      <c r="O724" s="70" t="s">
        <v>1530</v>
      </c>
    </row>
    <row r="725" customFormat="false" ht="15" hidden="false" customHeight="true" outlineLevel="0" collapsed="false">
      <c r="A725" s="70"/>
      <c r="B725" s="70"/>
      <c r="C725" s="70"/>
      <c r="D725" s="70"/>
      <c r="E725" s="70"/>
      <c r="F725" s="70" t="s">
        <v>123</v>
      </c>
      <c r="G725" s="70" t="n">
        <f aca="false">COUNTIFS(Data!$B$2:$B$1833,$L725,Data!$C$2:$C$1833,$M725,Data!$D$2:$D$1833,$N725,Data!$E$2:$E$1833,$O725,Data!$F$2:$F$1833,$F725,Data!$H$2:$H$1833,1)</f>
        <v>0</v>
      </c>
      <c r="H725" s="70" t="s">
        <v>624</v>
      </c>
      <c r="I725" s="31" t="s">
        <v>624</v>
      </c>
      <c r="J725" s="31" t="s">
        <v>624</v>
      </c>
      <c r="L725" s="70" t="s">
        <v>397</v>
      </c>
      <c r="M725" s="70" t="s">
        <v>624</v>
      </c>
      <c r="N725" s="70" t="s">
        <v>1497</v>
      </c>
      <c r="O725" s="70" t="s">
        <v>1530</v>
      </c>
    </row>
    <row r="726" customFormat="false" ht="26.25" hidden="false" customHeight="true" outlineLevel="0" collapsed="false">
      <c r="A726" s="70"/>
      <c r="B726" s="70"/>
      <c r="C726" s="70"/>
      <c r="D726" s="70"/>
      <c r="E726" s="70"/>
      <c r="F726" s="70" t="s">
        <v>21</v>
      </c>
      <c r="G726" s="70" t="n">
        <f aca="false">COUNTIFS(Data!$B$2:$B$1833,$L726,Data!$C$2:$C$1833,$M726,Data!$D$2:$D$1833,$N726,Data!$E$2:$E$1833,$O726,Data!$F$2:$F$1833,$F726,Data!$H$2:$H$1833,1)</f>
        <v>1</v>
      </c>
      <c r="H726" s="70" t="n">
        <v>1175</v>
      </c>
      <c r="I726" s="31" t="str">
        <f aca="false">INDEX(Data!$G$2:$G$1833,MATCH($H726,Data!$A$2:$A$1833,0))</f>
        <v>Uses reasonably accurately a repertoire of frequently used “routines” and patterns associated with more predictable situations.</v>
      </c>
      <c r="J726" s="71" t="s">
        <v>3004</v>
      </c>
      <c r="L726" s="70" t="s">
        <v>397</v>
      </c>
      <c r="M726" s="70" t="s">
        <v>624</v>
      </c>
      <c r="N726" s="70" t="s">
        <v>1497</v>
      </c>
      <c r="O726" s="70" t="s">
        <v>1530</v>
      </c>
    </row>
    <row r="727" customFormat="false" ht="39" hidden="false" customHeight="true" outlineLevel="0" collapsed="false">
      <c r="A727" s="70"/>
      <c r="B727" s="70"/>
      <c r="C727" s="70"/>
      <c r="D727" s="70"/>
      <c r="E727" s="70"/>
      <c r="F727" s="70" t="s">
        <v>52</v>
      </c>
      <c r="G727" s="70" t="n">
        <f aca="false">COUNTIFS(Data!$B$2:$B$1833,$L727,Data!$C$2:$C$1833,$M727,Data!$D$2:$D$1833,$N727,Data!$E$2:$E$1833,$O727,Data!$F$2:$F$1833,$F727,Data!$H$2:$H$1833,1)</f>
        <v>1</v>
      </c>
      <c r="H727" s="70" t="n">
        <v>1174</v>
      </c>
      <c r="I727" s="31" t="str">
        <f aca="false">INDEX(Data!$G$2:$G$1833,MATCH($H727,Data!$A$2:$A$1833,0))</f>
        <v>Communicates with reasonable accuracy in familiar contexts; generally good control, though with noticeable mother-tongue influence. Errors occur, but it is clear what they are trying to express.</v>
      </c>
      <c r="J727" s="71" t="s">
        <v>3005</v>
      </c>
      <c r="L727" s="70" t="s">
        <v>397</v>
      </c>
      <c r="M727" s="70" t="s">
        <v>624</v>
      </c>
      <c r="N727" s="70" t="s">
        <v>1497</v>
      </c>
      <c r="O727" s="70" t="s">
        <v>1530</v>
      </c>
    </row>
    <row r="728" customFormat="false" ht="21.75" hidden="false" customHeight="true" outlineLevel="0" collapsed="false">
      <c r="A728" s="70"/>
      <c r="B728" s="70"/>
      <c r="C728" s="70"/>
      <c r="D728" s="70"/>
      <c r="E728" s="70"/>
      <c r="F728" s="70" t="s">
        <v>259</v>
      </c>
      <c r="G728" s="70" t="n">
        <f aca="false">COUNTIFS(Data!$B$2:$B$1833,$L728,Data!$C$2:$C$1833,$M728,Data!$D$2:$D$1833,$N728,Data!$E$2:$E$1833,$O728,Data!$F$2:$F$1833,$F728,Data!$H$2:$H$1833,1)</f>
        <v>2</v>
      </c>
      <c r="H728" s="70" t="n">
        <v>1172</v>
      </c>
      <c r="I728" s="31" t="str">
        <f aca="false">INDEX(Data!$G$2:$G$1833,MATCH($H728,Data!$A$2:$A$1833,0))</f>
        <v>Shows a relatively high degree of grammatical control. Does not make mistakes which lead to misunderstanding.</v>
      </c>
      <c r="J728" s="71" t="s">
        <v>3006</v>
      </c>
      <c r="L728" s="70" t="s">
        <v>397</v>
      </c>
      <c r="M728" s="70" t="s">
        <v>624</v>
      </c>
      <c r="N728" s="70" t="s">
        <v>1497</v>
      </c>
      <c r="O728" s="70" t="s">
        <v>1530</v>
      </c>
    </row>
    <row r="729" customFormat="false" ht="39" hidden="false" customHeight="true" outlineLevel="0" collapsed="false">
      <c r="A729" s="70"/>
      <c r="B729" s="70"/>
      <c r="C729" s="70"/>
      <c r="D729" s="70"/>
      <c r="E729" s="70"/>
      <c r="F729" s="70" t="s">
        <v>36</v>
      </c>
      <c r="G729" s="70" t="n">
        <f aca="false">COUNTIFS(Data!$B$2:$B$1833,$L729,Data!$C$2:$C$1833,$M729,Data!$D$2:$D$1833,$N729,Data!$E$2:$E$1833,$O729,Data!$F$2:$F$1833,$F729,Data!$H$2:$H$1833,1)</f>
        <v>1</v>
      </c>
      <c r="H729" s="70" t="n">
        <v>1171</v>
      </c>
      <c r="I729" s="31" t="str">
        <f aca="false">INDEX(Data!$G$2:$G$1833,MATCH($H729,Data!$A$2:$A$1833,0))</f>
        <v>Good grammatical control; occasional “slips” or non-systematic errors and minor flaws in sentence structure may still occur, but they are rare and can often be corrected in retrospect.</v>
      </c>
      <c r="J729" s="71" t="s">
        <v>3007</v>
      </c>
      <c r="L729" s="70" t="s">
        <v>397</v>
      </c>
      <c r="M729" s="70" t="s">
        <v>624</v>
      </c>
      <c r="N729" s="70" t="s">
        <v>1497</v>
      </c>
      <c r="O729" s="70" t="s">
        <v>1530</v>
      </c>
    </row>
    <row r="730" customFormat="false" ht="21.75" hidden="false" customHeight="true" outlineLevel="0" collapsed="false">
      <c r="A730" s="70"/>
      <c r="B730" s="70"/>
      <c r="C730" s="70"/>
      <c r="D730" s="70"/>
      <c r="E730" s="70"/>
      <c r="F730" s="70" t="s">
        <v>74</v>
      </c>
      <c r="G730" s="70" t="n">
        <f aca="false">COUNTIFS(Data!$B$2:$B$1833,$L730,Data!$C$2:$C$1833,$M730,Data!$D$2:$D$1833,$N730,Data!$E$2:$E$1833,$O730,Data!$F$2:$F$1833,$F730,Data!$H$2:$H$1833,1)</f>
        <v>1</v>
      </c>
      <c r="H730" s="70" t="n">
        <v>1170</v>
      </c>
      <c r="I730" s="31" t="str">
        <f aca="false">INDEX(Data!$G$2:$G$1833,MATCH($H730,Data!$A$2:$A$1833,0))</f>
        <v>Consistently maintains a high degree of grammatical accuracy; errors are rare and difficult to spot.</v>
      </c>
      <c r="J730" s="71" t="s">
        <v>3008</v>
      </c>
      <c r="L730" s="70" t="s">
        <v>397</v>
      </c>
      <c r="M730" s="70" t="s">
        <v>624</v>
      </c>
      <c r="N730" s="70" t="s">
        <v>1497</v>
      </c>
      <c r="O730" s="70" t="s">
        <v>1530</v>
      </c>
    </row>
    <row r="731" customFormat="false" ht="32.25" hidden="false" customHeight="true" outlineLevel="0" collapsed="false">
      <c r="A731" s="70"/>
      <c r="B731" s="70"/>
      <c r="C731" s="70"/>
      <c r="D731" s="70"/>
      <c r="E731" s="70"/>
      <c r="F731" s="70" t="s">
        <v>331</v>
      </c>
      <c r="G731" s="70" t="n">
        <f aca="false">COUNTIFS(Data!$B$2:$B$1833,$L731,Data!$C$2:$C$1833,$M731,Data!$D$2:$D$1833,$N731,Data!$E$2:$E$1833,$O731,Data!$F$2:$F$1833,$F731,Data!$H$2:$H$1833,1)</f>
        <v>1</v>
      </c>
      <c r="H731" s="70" t="n">
        <v>1169</v>
      </c>
      <c r="I731" s="31" t="str">
        <f aca="false">INDEX(Data!$G$2:$G$1833,MATCH($H731,Data!$A$2:$A$1833,0))</f>
        <v>Maintains consistent grammatical control of complex language, even while attention is otherwise engaged (e.g. in forward planning, in monitoring others’ reactions).</v>
      </c>
      <c r="J731" s="71" t="s">
        <v>3009</v>
      </c>
      <c r="L731" s="70" t="s">
        <v>397</v>
      </c>
      <c r="M731" s="70" t="s">
        <v>624</v>
      </c>
      <c r="N731" s="70" t="s">
        <v>1497</v>
      </c>
      <c r="O731" s="70" t="s">
        <v>1530</v>
      </c>
    </row>
    <row r="732" customFormat="false" ht="15" hidden="false" customHeight="true" outlineLevel="0" collapsed="false">
      <c r="A732" s="73" t="str">
        <f aca="false">IFERROR(INDEX(対訳マスタ!$C$2:$C$136,MATCH($L732,対訳マスタ!$B$2:$B$136,0)),$L732)</f>
        <v>コミュニケーション言語能力</v>
      </c>
      <c r="B732" s="73" t="str">
        <f aca="false">IF($M732="—","—",IFERROR(INDEX(対訳マスタ!$C$2:$C$136,MATCH($M732,対訳マスタ!$B$2:$B$136,0)),$M732))</f>
        <v>—</v>
      </c>
      <c r="C732" s="73" t="str">
        <f aca="false">IF($N732="—","—",IFERROR(INDEX(対訳マスタ!$C$2:$C$136,MATCH($N732,対訳マスタ!$B$2:$B$136,0)),$N732))</f>
        <v>言語能力</v>
      </c>
      <c r="D732" s="73" t="str">
        <f aca="false">IFERROR(INDEX(対訳マスタ!$C$2:$C$136,MATCH($O732,対訳マスタ!$B$2:$B$136,0)),$O732)</f>
        <v>語彙の運用（使い分けの正確さ）</v>
      </c>
      <c r="E732" s="73" t="s">
        <v>1541</v>
      </c>
      <c r="F732" s="73" t="s">
        <v>86</v>
      </c>
      <c r="G732" s="73" t="n">
        <f aca="false">COUNTIFS(Data!$B$2:$B$1833,$L732,Data!$C$2:$C$1833,$M732,Data!$D$2:$D$1833,$N732,Data!$E$2:$E$1833,$O732,Data!$F$2:$F$1833,$F732,Data!$H$2:$H$1833,1)</f>
        <v>0</v>
      </c>
      <c r="H732" s="73" t="s">
        <v>624</v>
      </c>
      <c r="I732" s="74" t="s">
        <v>624</v>
      </c>
      <c r="J732" s="74" t="s">
        <v>624</v>
      </c>
      <c r="L732" s="70" t="s">
        <v>397</v>
      </c>
      <c r="M732" s="70" t="s">
        <v>624</v>
      </c>
      <c r="N732" s="70" t="s">
        <v>1497</v>
      </c>
      <c r="O732" s="70" t="s">
        <v>1541</v>
      </c>
    </row>
    <row r="733" customFormat="false" ht="15" hidden="false" customHeight="true" outlineLevel="0" collapsed="false">
      <c r="A733" s="75"/>
      <c r="B733" s="75"/>
      <c r="C733" s="75"/>
      <c r="D733" s="75"/>
      <c r="E733" s="75"/>
      <c r="F733" s="75" t="s">
        <v>101</v>
      </c>
      <c r="G733" s="75" t="n">
        <f aca="false">COUNTIFS(Data!$B$2:$B$1833,$L733,Data!$C$2:$C$1833,$M733,Data!$D$2:$D$1833,$N733,Data!$E$2:$E$1833,$O733,Data!$F$2:$F$1833,$F733,Data!$H$2:$H$1833,1)</f>
        <v>0</v>
      </c>
      <c r="H733" s="75" t="s">
        <v>624</v>
      </c>
      <c r="I733" s="76" t="s">
        <v>624</v>
      </c>
      <c r="J733" s="76" t="s">
        <v>624</v>
      </c>
      <c r="L733" s="70" t="s">
        <v>397</v>
      </c>
      <c r="M733" s="70" t="s">
        <v>624</v>
      </c>
      <c r="N733" s="70" t="s">
        <v>1497</v>
      </c>
      <c r="O733" s="70" t="s">
        <v>1541</v>
      </c>
    </row>
    <row r="734" customFormat="false" ht="15" hidden="false" customHeight="true" outlineLevel="0" collapsed="false">
      <c r="A734" s="75"/>
      <c r="B734" s="75"/>
      <c r="C734" s="75"/>
      <c r="D734" s="75"/>
      <c r="E734" s="75"/>
      <c r="F734" s="75" t="s">
        <v>13</v>
      </c>
      <c r="G734" s="75" t="n">
        <f aca="false">COUNTIFS(Data!$B$2:$B$1833,$L734,Data!$C$2:$C$1833,$M734,Data!$D$2:$D$1833,$N734,Data!$E$2:$E$1833,$O734,Data!$F$2:$F$1833,$F734,Data!$H$2:$H$1833,1)</f>
        <v>1</v>
      </c>
      <c r="H734" s="75" t="n">
        <v>1185</v>
      </c>
      <c r="I734" s="76" t="str">
        <f aca="false">INDEX(Data!$G$2:$G$1833,MATCH($H734,Data!$A$2:$A$1833,0))</f>
        <v>Can control a narrow repertoire dealing with concrete, everyday needs.</v>
      </c>
      <c r="J734" s="77" t="s">
        <v>3010</v>
      </c>
      <c r="L734" s="70" t="s">
        <v>397</v>
      </c>
      <c r="M734" s="70" t="s">
        <v>624</v>
      </c>
      <c r="N734" s="70" t="s">
        <v>1497</v>
      </c>
      <c r="O734" s="70" t="s">
        <v>1541</v>
      </c>
    </row>
    <row r="735" customFormat="false" ht="15" hidden="false" customHeight="true" outlineLevel="0" collapsed="false">
      <c r="A735" s="75"/>
      <c r="B735" s="75"/>
      <c r="C735" s="75"/>
      <c r="D735" s="75"/>
      <c r="E735" s="75"/>
      <c r="F735" s="75" t="s">
        <v>123</v>
      </c>
      <c r="G735" s="75" t="n">
        <f aca="false">COUNTIFS(Data!$B$2:$B$1833,$L735,Data!$C$2:$C$1833,$M735,Data!$D$2:$D$1833,$N735,Data!$E$2:$E$1833,$O735,Data!$F$2:$F$1833,$F735,Data!$H$2:$H$1833,1)</f>
        <v>0</v>
      </c>
      <c r="H735" s="75" t="s">
        <v>624</v>
      </c>
      <c r="I735" s="76" t="s">
        <v>624</v>
      </c>
      <c r="J735" s="76" t="s">
        <v>624</v>
      </c>
      <c r="L735" s="70" t="s">
        <v>397</v>
      </c>
      <c r="M735" s="70" t="s">
        <v>624</v>
      </c>
      <c r="N735" s="70" t="s">
        <v>1497</v>
      </c>
      <c r="O735" s="70" t="s">
        <v>1541</v>
      </c>
    </row>
    <row r="736" customFormat="false" ht="21.75" hidden="false" customHeight="true" outlineLevel="0" collapsed="false">
      <c r="A736" s="75"/>
      <c r="B736" s="75"/>
      <c r="C736" s="75"/>
      <c r="D736" s="75"/>
      <c r="E736" s="75"/>
      <c r="F736" s="75" t="s">
        <v>21</v>
      </c>
      <c r="G736" s="75" t="n">
        <f aca="false">COUNTIFS(Data!$B$2:$B$1833,$L736,Data!$C$2:$C$1833,$M736,Data!$D$2:$D$1833,$N736,Data!$E$2:$E$1833,$O736,Data!$F$2:$F$1833,$F736,Data!$H$2:$H$1833,1)</f>
        <v>2</v>
      </c>
      <c r="H736" s="75" t="n">
        <v>1184</v>
      </c>
      <c r="I736" s="76" t="str">
        <f aca="false">INDEX(Data!$G$2:$G$1833,MATCH($H736,Data!$A$2:$A$1833,0))</f>
        <v>Uses a wide range of simple vocabulary appropriately when discussing familiar topics.</v>
      </c>
      <c r="J736" s="77" t="s">
        <v>3011</v>
      </c>
      <c r="L736" s="70" t="s">
        <v>397</v>
      </c>
      <c r="M736" s="70" t="s">
        <v>624</v>
      </c>
      <c r="N736" s="70" t="s">
        <v>1497</v>
      </c>
      <c r="O736" s="70" t="s">
        <v>1541</v>
      </c>
    </row>
    <row r="737" customFormat="false" ht="15" hidden="false" customHeight="true" outlineLevel="0" collapsed="false">
      <c r="A737" s="75"/>
      <c r="B737" s="75"/>
      <c r="C737" s="75"/>
      <c r="D737" s="75"/>
      <c r="E737" s="75"/>
      <c r="F737" s="75" t="s">
        <v>52</v>
      </c>
      <c r="G737" s="75" t="n">
        <f aca="false">COUNTIFS(Data!$B$2:$B$1833,$L737,Data!$C$2:$C$1833,$M737,Data!$D$2:$D$1833,$N737,Data!$E$2:$E$1833,$O737,Data!$F$2:$F$1833,$F737,Data!$H$2:$H$1833,1)</f>
        <v>0</v>
      </c>
      <c r="H737" s="75" t="s">
        <v>624</v>
      </c>
      <c r="I737" s="76" t="s">
        <v>624</v>
      </c>
      <c r="J737" s="76" t="s">
        <v>624</v>
      </c>
      <c r="L737" s="70" t="s">
        <v>397</v>
      </c>
      <c r="M737" s="70" t="s">
        <v>624</v>
      </c>
      <c r="N737" s="70" t="s">
        <v>1497</v>
      </c>
      <c r="O737" s="70" t="s">
        <v>1541</v>
      </c>
    </row>
    <row r="738" customFormat="false" ht="26.25" hidden="false" customHeight="true" outlineLevel="0" collapsed="false">
      <c r="A738" s="75"/>
      <c r="B738" s="75"/>
      <c r="C738" s="75"/>
      <c r="D738" s="75"/>
      <c r="E738" s="75"/>
      <c r="F738" s="75" t="s">
        <v>259</v>
      </c>
      <c r="G738" s="75" t="n">
        <f aca="false">COUNTIFS(Data!$B$2:$B$1833,$L738,Data!$C$2:$C$1833,$M738,Data!$D$2:$D$1833,$N738,Data!$E$2:$E$1833,$O738,Data!$F$2:$F$1833,$F738,Data!$H$2:$H$1833,1)</f>
        <v>1</v>
      </c>
      <c r="H738" s="75" t="n">
        <v>1182</v>
      </c>
      <c r="I738" s="76" t="str">
        <f aca="false">INDEX(Data!$G$2:$G$1833,MATCH($H738,Data!$A$2:$A$1833,0))</f>
        <v>Lexical accuracy is generally high, though some confusion and incorrect word/sign choice does occur without hindering communication.</v>
      </c>
      <c r="J738" s="77" t="s">
        <v>3012</v>
      </c>
      <c r="L738" s="70" t="s">
        <v>397</v>
      </c>
      <c r="M738" s="70" t="s">
        <v>624</v>
      </c>
      <c r="N738" s="70" t="s">
        <v>1497</v>
      </c>
      <c r="O738" s="70" t="s">
        <v>1541</v>
      </c>
    </row>
    <row r="739" customFormat="false" ht="15" hidden="false" customHeight="true" outlineLevel="0" collapsed="false">
      <c r="A739" s="75"/>
      <c r="B739" s="75"/>
      <c r="C739" s="75"/>
      <c r="D739" s="75"/>
      <c r="E739" s="75"/>
      <c r="F739" s="75" t="s">
        <v>36</v>
      </c>
      <c r="G739" s="75" t="n">
        <f aca="false">COUNTIFS(Data!$B$2:$B$1833,$L739,Data!$C$2:$C$1833,$M739,Data!$D$2:$D$1833,$N739,Data!$E$2:$E$1833,$O739,Data!$F$2:$F$1833,$F739,Data!$H$2:$H$1833,1)</f>
        <v>0</v>
      </c>
      <c r="H739" s="75" t="s">
        <v>624</v>
      </c>
      <c r="I739" s="76" t="s">
        <v>624</v>
      </c>
      <c r="J739" s="76" t="s">
        <v>624</v>
      </c>
      <c r="L739" s="70" t="s">
        <v>397</v>
      </c>
      <c r="M739" s="70" t="s">
        <v>624</v>
      </c>
      <c r="N739" s="70" t="s">
        <v>1497</v>
      </c>
      <c r="O739" s="70" t="s">
        <v>1541</v>
      </c>
    </row>
    <row r="740" customFormat="false" ht="15" hidden="false" customHeight="true" outlineLevel="0" collapsed="false">
      <c r="A740" s="75"/>
      <c r="B740" s="75"/>
      <c r="C740" s="75"/>
      <c r="D740" s="75"/>
      <c r="E740" s="75"/>
      <c r="F740" s="75" t="s">
        <v>74</v>
      </c>
      <c r="G740" s="75" t="n">
        <f aca="false">COUNTIFS(Data!$B$2:$B$1833,$L740,Data!$C$2:$C$1833,$M740,Data!$D$2:$D$1833,$N740,Data!$E$2:$E$1833,$O740,Data!$F$2:$F$1833,$F740,Data!$H$2:$H$1833,1)</f>
        <v>2</v>
      </c>
      <c r="H740" s="75" t="n">
        <v>1180</v>
      </c>
      <c r="I740" s="76" t="str">
        <f aca="false">INDEX(Data!$G$2:$G$1833,MATCH($H740,Data!$A$2:$A$1833,0))</f>
        <v>Uses less common vocabulary idiomatically and appropriately.</v>
      </c>
      <c r="J740" s="77" t="s">
        <v>3013</v>
      </c>
      <c r="L740" s="70" t="s">
        <v>397</v>
      </c>
      <c r="M740" s="70" t="s">
        <v>624</v>
      </c>
      <c r="N740" s="70" t="s">
        <v>1497</v>
      </c>
      <c r="O740" s="70" t="s">
        <v>1541</v>
      </c>
    </row>
    <row r="741" customFormat="false" ht="15" hidden="false" customHeight="true" outlineLevel="0" collapsed="false">
      <c r="A741" s="75"/>
      <c r="B741" s="75"/>
      <c r="C741" s="75"/>
      <c r="D741" s="75"/>
      <c r="E741" s="75"/>
      <c r="F741" s="75" t="s">
        <v>331</v>
      </c>
      <c r="G741" s="75" t="n">
        <f aca="false">COUNTIFS(Data!$B$2:$B$1833,$L741,Data!$C$2:$C$1833,$M741,Data!$D$2:$D$1833,$N741,Data!$E$2:$E$1833,$O741,Data!$F$2:$F$1833,$F741,Data!$H$2:$H$1833,1)</f>
        <v>1</v>
      </c>
      <c r="H741" s="75" t="n">
        <v>1179</v>
      </c>
      <c r="I741" s="76" t="str">
        <f aca="false">INDEX(Data!$G$2:$G$1833,MATCH($H741,Data!$A$2:$A$1833,0))</f>
        <v>Consistently correct and appropriate use of vocabulary.</v>
      </c>
      <c r="J741" s="77" t="s">
        <v>3014</v>
      </c>
      <c r="L741" s="70" t="s">
        <v>397</v>
      </c>
      <c r="M741" s="70" t="s">
        <v>624</v>
      </c>
      <c r="N741" s="70" t="s">
        <v>1497</v>
      </c>
      <c r="O741" s="70" t="s">
        <v>1541</v>
      </c>
    </row>
    <row r="742" customFormat="false" ht="15" hidden="false" customHeight="true" outlineLevel="0" collapsed="false">
      <c r="A742" s="67" t="str">
        <f aca="false">IFERROR(INDEX(対訳マスタ!$C$2:$C$136,MATCH($L742,対訳マスタ!$B$2:$B$136,0)),$L742)</f>
        <v>コミュニケーション言語能力</v>
      </c>
      <c r="B742" s="67" t="str">
        <f aca="false">IF($M742="—","—",IFERROR(INDEX(対訳マスタ!$C$2:$C$136,MATCH($M742,対訳マスタ!$B$2:$B$136,0)),$M742))</f>
        <v>—</v>
      </c>
      <c r="C742" s="67" t="str">
        <f aca="false">IF($N742="—","—",IFERROR(INDEX(対訳マスタ!$C$2:$C$136,MATCH($N742,対訳マスタ!$B$2:$B$136,0)),$N742))</f>
        <v>言語能力</v>
      </c>
      <c r="D742" s="67" t="str">
        <f aca="false">IFERROR(INDEX(対訳マスタ!$C$2:$C$136,MATCH($O742,対訳マスタ!$B$2:$B$136,0)),$O742)</f>
        <v>音韻の運用（総合）</v>
      </c>
      <c r="E742" s="67" t="s">
        <v>1549</v>
      </c>
      <c r="F742" s="67" t="s">
        <v>86</v>
      </c>
      <c r="G742" s="67" t="n">
        <f aca="false">COUNTIFS(Data!$B$2:$B$1833,$L742,Data!$C$2:$C$1833,$M742,Data!$D$2:$D$1833,$N742,Data!$E$2:$E$1833,$O742,Data!$F$2:$F$1833,$F742,Data!$H$2:$H$1833,1)</f>
        <v>0</v>
      </c>
      <c r="H742" s="67" t="s">
        <v>624</v>
      </c>
      <c r="I742" s="68" t="s">
        <v>624</v>
      </c>
      <c r="J742" s="68" t="s">
        <v>624</v>
      </c>
      <c r="L742" s="70" t="s">
        <v>397</v>
      </c>
      <c r="M742" s="70" t="s">
        <v>624</v>
      </c>
      <c r="N742" s="70" t="s">
        <v>1497</v>
      </c>
      <c r="O742" s="70" t="s">
        <v>1549</v>
      </c>
    </row>
    <row r="743" customFormat="false" ht="42.75" hidden="false" customHeight="true" outlineLevel="0" collapsed="false">
      <c r="A743" s="70"/>
      <c r="B743" s="70"/>
      <c r="C743" s="70"/>
      <c r="D743" s="70"/>
      <c r="E743" s="70"/>
      <c r="F743" s="70" t="s">
        <v>101</v>
      </c>
      <c r="G743" s="70" t="n">
        <f aca="false">COUNTIFS(Data!$B$2:$B$1833,$L743,Data!$C$2:$C$1833,$M743,Data!$D$2:$D$1833,$N743,Data!$E$2:$E$1833,$O743,Data!$F$2:$F$1833,$F743,Data!$H$2:$H$1833,1)</f>
        <v>1</v>
      </c>
      <c r="H743" s="70" t="n">
        <v>1193</v>
      </c>
      <c r="I743" s="31" t="str">
        <f aca="false">INDEX(Data!$G$2:$G$1833,MATCH($H743,Data!$A$2:$A$1833,0))</f>
        <v>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v>
      </c>
      <c r="J743" s="71" t="s">
        <v>3015</v>
      </c>
      <c r="L743" s="70" t="s">
        <v>397</v>
      </c>
      <c r="M743" s="70" t="s">
        <v>624</v>
      </c>
      <c r="N743" s="70" t="s">
        <v>1497</v>
      </c>
      <c r="O743" s="70" t="s">
        <v>1549</v>
      </c>
    </row>
    <row r="744" customFormat="false" ht="53.25" hidden="false" customHeight="true" outlineLevel="0" collapsed="false">
      <c r="A744" s="70"/>
      <c r="B744" s="70"/>
      <c r="C744" s="70"/>
      <c r="D744" s="70"/>
      <c r="E744" s="70"/>
      <c r="F744" s="70" t="s">
        <v>13</v>
      </c>
      <c r="G744" s="70" t="n">
        <f aca="false">COUNTIFS(Data!$B$2:$B$1833,$L744,Data!$C$2:$C$1833,$M744,Data!$D$2:$D$1833,$N744,Data!$E$2:$E$1833,$O744,Data!$F$2:$F$1833,$F744,Data!$H$2:$H$1833,1)</f>
        <v>1</v>
      </c>
      <c r="H744" s="70" t="n">
        <v>1192</v>
      </c>
      <c r="I744" s="31" t="str">
        <f aca="false">INDEX(Data!$G$2:$G$1833,MATCH($H744,Data!$A$2:$A$1833,0))</f>
        <v>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v>
      </c>
      <c r="J744" s="71" t="s">
        <v>3016</v>
      </c>
      <c r="L744" s="70" t="s">
        <v>397</v>
      </c>
      <c r="M744" s="70" t="s">
        <v>624</v>
      </c>
      <c r="N744" s="70" t="s">
        <v>1497</v>
      </c>
      <c r="O744" s="70" t="s">
        <v>1549</v>
      </c>
    </row>
    <row r="745" customFormat="false" ht="15" hidden="false" customHeight="true" outlineLevel="0" collapsed="false">
      <c r="A745" s="70"/>
      <c r="B745" s="70"/>
      <c r="C745" s="70"/>
      <c r="D745" s="70"/>
      <c r="E745" s="70"/>
      <c r="F745" s="70" t="s">
        <v>123</v>
      </c>
      <c r="G745" s="70" t="n">
        <f aca="false">COUNTIFS(Data!$B$2:$B$1833,$L745,Data!$C$2:$C$1833,$M745,Data!$D$2:$D$1833,$N745,Data!$E$2:$E$1833,$O745,Data!$F$2:$F$1833,$F745,Data!$H$2:$H$1833,1)</f>
        <v>0</v>
      </c>
      <c r="H745" s="70" t="s">
        <v>624</v>
      </c>
      <c r="I745" s="31" t="s">
        <v>624</v>
      </c>
      <c r="J745" s="31" t="s">
        <v>624</v>
      </c>
      <c r="L745" s="70" t="s">
        <v>397</v>
      </c>
      <c r="M745" s="70" t="s">
        <v>624</v>
      </c>
      <c r="N745" s="70" t="s">
        <v>1497</v>
      </c>
      <c r="O745" s="70" t="s">
        <v>1549</v>
      </c>
    </row>
    <row r="746" customFormat="false" ht="39" hidden="false" customHeight="true" outlineLevel="0" collapsed="false">
      <c r="A746" s="70"/>
      <c r="B746" s="70"/>
      <c r="C746" s="70"/>
      <c r="D746" s="70"/>
      <c r="E746" s="70"/>
      <c r="F746" s="70" t="s">
        <v>21</v>
      </c>
      <c r="G746" s="70" t="n">
        <f aca="false">COUNTIFS(Data!$B$2:$B$1833,$L746,Data!$C$2:$C$1833,$M746,Data!$D$2:$D$1833,$N746,Data!$E$2:$E$1833,$O746,Data!$F$2:$F$1833,$F746,Data!$H$2:$H$1833,1)</f>
        <v>1</v>
      </c>
      <c r="H746" s="70" t="n">
        <v>1191</v>
      </c>
      <c r="I746" s="31" t="str">
        <f aca="false">INDEX(Data!$G$2:$G$1833,MATCH($H746,Data!$A$2:$A$1833,0))</f>
        <v>Pronunciation is generally intelligible; intonation and stress at both utterance and word levels do not prevent understanding of the message. Accent is usually influenced by the other language(s) they speak. </v>
      </c>
      <c r="J746" s="71" t="s">
        <v>3017</v>
      </c>
      <c r="L746" s="70" t="s">
        <v>397</v>
      </c>
      <c r="M746" s="70" t="s">
        <v>624</v>
      </c>
      <c r="N746" s="70" t="s">
        <v>1497</v>
      </c>
      <c r="O746" s="70" t="s">
        <v>1549</v>
      </c>
    </row>
    <row r="747" customFormat="false" ht="15" hidden="false" customHeight="true" outlineLevel="0" collapsed="false">
      <c r="A747" s="70"/>
      <c r="B747" s="70"/>
      <c r="C747" s="70"/>
      <c r="D747" s="70"/>
      <c r="E747" s="70"/>
      <c r="F747" s="70" t="s">
        <v>52</v>
      </c>
      <c r="G747" s="70" t="n">
        <f aca="false">COUNTIFS(Data!$B$2:$B$1833,$L747,Data!$C$2:$C$1833,$M747,Data!$D$2:$D$1833,$N747,Data!$E$2:$E$1833,$O747,Data!$F$2:$F$1833,$F747,Data!$H$2:$H$1833,1)</f>
        <v>0</v>
      </c>
      <c r="H747" s="70" t="s">
        <v>624</v>
      </c>
      <c r="I747" s="31" t="s">
        <v>624</v>
      </c>
      <c r="J747" s="31" t="s">
        <v>624</v>
      </c>
      <c r="L747" s="70" t="s">
        <v>397</v>
      </c>
      <c r="M747" s="70" t="s">
        <v>624</v>
      </c>
      <c r="N747" s="70" t="s">
        <v>1497</v>
      </c>
      <c r="O747" s="70" t="s">
        <v>1549</v>
      </c>
    </row>
    <row r="748" customFormat="false" ht="39" hidden="false" customHeight="true" outlineLevel="0" collapsed="false">
      <c r="A748" s="70"/>
      <c r="B748" s="70"/>
      <c r="C748" s="70"/>
      <c r="D748" s="70"/>
      <c r="E748" s="70"/>
      <c r="F748" s="70" t="s">
        <v>259</v>
      </c>
      <c r="G748" s="70" t="n">
        <f aca="false">COUNTIFS(Data!$B$2:$B$1833,$L748,Data!$C$2:$C$1833,$M748,Data!$D$2:$D$1833,$N748,Data!$E$2:$E$1833,$O748,Data!$F$2:$F$1833,$F748,Data!$H$2:$H$1833,1)</f>
        <v>1</v>
      </c>
      <c r="H748" s="70" t="n">
        <v>1190</v>
      </c>
      <c r="I748" s="31" t="str">
        <f aca="false">INDEX(Data!$G$2:$G$1833,MATCH($H748,Data!$A$2:$A$1833,0))</f>
        <v>Can generally use appropriate intonation, place stress correctly and articulate individual sounds clearly; accent tends to be influenced by the other language(s) they speak, but has little or no effect on intelligibility.</v>
      </c>
      <c r="J748" s="71" t="s">
        <v>3018</v>
      </c>
      <c r="L748" s="70" t="s">
        <v>397</v>
      </c>
      <c r="M748" s="70" t="s">
        <v>624</v>
      </c>
      <c r="N748" s="70" t="s">
        <v>1497</v>
      </c>
      <c r="O748" s="70" t="s">
        <v>1549</v>
      </c>
    </row>
    <row r="749" customFormat="false" ht="15" hidden="false" customHeight="true" outlineLevel="0" collapsed="false">
      <c r="A749" s="70"/>
      <c r="B749" s="70"/>
      <c r="C749" s="70"/>
      <c r="D749" s="70"/>
      <c r="E749" s="70"/>
      <c r="F749" s="70" t="s">
        <v>36</v>
      </c>
      <c r="G749" s="70" t="n">
        <f aca="false">COUNTIFS(Data!$B$2:$B$1833,$L749,Data!$C$2:$C$1833,$M749,Data!$D$2:$D$1833,$N749,Data!$E$2:$E$1833,$O749,Data!$F$2:$F$1833,$F749,Data!$H$2:$H$1833,1)</f>
        <v>0</v>
      </c>
      <c r="H749" s="70" t="s">
        <v>624</v>
      </c>
      <c r="I749" s="31" t="s">
        <v>624</v>
      </c>
      <c r="J749" s="31" t="s">
        <v>624</v>
      </c>
      <c r="L749" s="70" t="s">
        <v>397</v>
      </c>
      <c r="M749" s="70" t="s">
        <v>624</v>
      </c>
      <c r="N749" s="70" t="s">
        <v>1497</v>
      </c>
      <c r="O749" s="70" t="s">
        <v>1549</v>
      </c>
    </row>
    <row r="750" customFormat="false" ht="42.75" hidden="false" customHeight="true" outlineLevel="0" collapsed="false">
      <c r="A750" s="70"/>
      <c r="B750" s="70"/>
      <c r="C750" s="70"/>
      <c r="D750" s="70"/>
      <c r="E750" s="70"/>
      <c r="F750" s="70" t="s">
        <v>74</v>
      </c>
      <c r="G750" s="70" t="n">
        <f aca="false">COUNTIFS(Data!$B$2:$B$1833,$L750,Data!$C$2:$C$1833,$M750,Data!$D$2:$D$1833,$N750,Data!$E$2:$E$1833,$O750,Data!$F$2:$F$1833,$F750,Data!$H$2:$H$1833,1)</f>
        <v>1</v>
      </c>
      <c r="H750" s="70" t="n">
        <v>1189</v>
      </c>
      <c r="I750" s="31" t="str">
        <f aca="false">INDEX(Data!$G$2:$G$1833,MATCH($H750,Data!$A$2:$A$1833,0))</f>
        <v>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v>
      </c>
      <c r="J750" s="71" t="s">
        <v>3019</v>
      </c>
      <c r="L750" s="70" t="s">
        <v>397</v>
      </c>
      <c r="M750" s="70" t="s">
        <v>624</v>
      </c>
      <c r="N750" s="70" t="s">
        <v>1497</v>
      </c>
      <c r="O750" s="70" t="s">
        <v>1549</v>
      </c>
    </row>
    <row r="751" customFormat="false" ht="63.75" hidden="false" customHeight="true" outlineLevel="0" collapsed="false">
      <c r="A751" s="70"/>
      <c r="B751" s="70"/>
      <c r="C751" s="70"/>
      <c r="D751" s="70"/>
      <c r="E751" s="70"/>
      <c r="F751" s="70" t="s">
        <v>331</v>
      </c>
      <c r="G751" s="70" t="n">
        <f aca="false">COUNTIFS(Data!$B$2:$B$1833,$L751,Data!$C$2:$C$1833,$M751,Data!$D$2:$D$1833,$N751,Data!$E$2:$E$1833,$O751,Data!$F$2:$F$1833,$F751,Data!$H$2:$H$1833,1)</f>
        <v>1</v>
      </c>
      <c r="H751" s="70" t="n">
        <v>1188</v>
      </c>
      <c r="I751" s="31" t="str">
        <f aca="false">INDEX(Data!$G$2:$G$1833,MATCH($H751,Data!$A$2:$A$1833,0))</f>
        <v>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v>
      </c>
      <c r="J751" s="71" t="s">
        <v>3020</v>
      </c>
      <c r="L751" s="70" t="s">
        <v>397</v>
      </c>
      <c r="M751" s="70" t="s">
        <v>624</v>
      </c>
      <c r="N751" s="70" t="s">
        <v>1497</v>
      </c>
      <c r="O751" s="70" t="s">
        <v>1549</v>
      </c>
    </row>
    <row r="752" customFormat="false" ht="15" hidden="false" customHeight="true" outlineLevel="0" collapsed="false">
      <c r="A752" s="73" t="str">
        <f aca="false">IFERROR(INDEX(対訳マスタ!$C$2:$C$136,MATCH($L752,対訳マスタ!$B$2:$B$136,0)),$L752)</f>
        <v>コミュニケーション言語能力</v>
      </c>
      <c r="B752" s="73" t="str">
        <f aca="false">IF($M752="—","—",IFERROR(INDEX(対訳マスタ!$C$2:$C$136,MATCH($M752,対訳マスタ!$B$2:$B$136,0)),$M752))</f>
        <v>—</v>
      </c>
      <c r="C752" s="73" t="str">
        <f aca="false">IF($N752="—","—",IFERROR(INDEX(対訳マスタ!$C$2:$C$136,MATCH($N752,対訳マスタ!$B$2:$B$136,0)),$N752))</f>
        <v>言語能力</v>
      </c>
      <c r="D752" s="73" t="str">
        <f aca="false">IFERROR(INDEX(対訳マスタ!$C$2:$C$136,MATCH($O752,対訳マスタ!$B$2:$B$136,0)),$O752)</f>
        <v>個々の音の調音</v>
      </c>
      <c r="E752" s="73" t="s">
        <v>1556</v>
      </c>
      <c r="F752" s="73" t="s">
        <v>86</v>
      </c>
      <c r="G752" s="73" t="n">
        <f aca="false">COUNTIFS(Data!$B$2:$B$1833,$L752,Data!$C$2:$C$1833,$M752,Data!$D$2:$D$1833,$N752,Data!$E$2:$E$1833,$O752,Data!$F$2:$F$1833,$F752,Data!$H$2:$H$1833,1)</f>
        <v>0</v>
      </c>
      <c r="H752" s="73" t="s">
        <v>624</v>
      </c>
      <c r="I752" s="74" t="s">
        <v>624</v>
      </c>
      <c r="J752" s="74" t="s">
        <v>624</v>
      </c>
      <c r="L752" s="70" t="s">
        <v>397</v>
      </c>
      <c r="M752" s="70" t="s">
        <v>624</v>
      </c>
      <c r="N752" s="70" t="s">
        <v>1497</v>
      </c>
      <c r="O752" s="70" t="s">
        <v>1556</v>
      </c>
    </row>
    <row r="753" customFormat="false" ht="15" hidden="false" customHeight="true" outlineLevel="0" collapsed="false">
      <c r="A753" s="75"/>
      <c r="B753" s="75"/>
      <c r="C753" s="75"/>
      <c r="D753" s="75"/>
      <c r="E753" s="75"/>
      <c r="F753" s="75" t="s">
        <v>101</v>
      </c>
      <c r="G753" s="75" t="n">
        <f aca="false">COUNTIFS(Data!$B$2:$B$1833,$L753,Data!$C$2:$C$1833,$M753,Data!$D$2:$D$1833,$N753,Data!$E$2:$E$1833,$O753,Data!$F$2:$F$1833,$F753,Data!$H$2:$H$1833,1)</f>
        <v>2</v>
      </c>
      <c r="H753" s="75" t="n">
        <v>1201</v>
      </c>
      <c r="I753" s="76" t="str">
        <f aca="false">INDEX(Data!$G$2:$G$1833,MATCH($H753,Data!$A$2:$A$1833,0))</f>
        <v>Can reproduce sounds in the target language if carefully guided.</v>
      </c>
      <c r="J753" s="77" t="s">
        <v>3021</v>
      </c>
      <c r="L753" s="70" t="s">
        <v>397</v>
      </c>
      <c r="M753" s="70" t="s">
        <v>624</v>
      </c>
      <c r="N753" s="70" t="s">
        <v>1497</v>
      </c>
      <c r="O753" s="70" t="s">
        <v>1556</v>
      </c>
    </row>
    <row r="754" customFormat="false" ht="32.25" hidden="false" customHeight="true" outlineLevel="0" collapsed="false">
      <c r="A754" s="75"/>
      <c r="B754" s="75"/>
      <c r="C754" s="75"/>
      <c r="D754" s="75"/>
      <c r="E754" s="75"/>
      <c r="F754" s="75" t="s">
        <v>13</v>
      </c>
      <c r="G754" s="75" t="n">
        <f aca="false">COUNTIFS(Data!$B$2:$B$1833,$L754,Data!$C$2:$C$1833,$M754,Data!$D$2:$D$1833,$N754,Data!$E$2:$E$1833,$O754,Data!$F$2:$F$1833,$F754,Data!$H$2:$H$1833,1)</f>
        <v>2</v>
      </c>
      <c r="H754" s="75" t="n">
        <v>1199</v>
      </c>
      <c r="I754" s="76" t="str">
        <f aca="false">INDEX(Data!$G$2:$G$1833,MATCH($H754,Data!$A$2:$A$1833,0))</f>
        <v>Pronunciation is generally intelligible when communicating in simple everyday situations, provided the interlocutor makes an effort to understand specific sounds.</v>
      </c>
      <c r="J754" s="77" t="s">
        <v>3022</v>
      </c>
      <c r="L754" s="70" t="s">
        <v>397</v>
      </c>
      <c r="M754" s="70" t="s">
        <v>624</v>
      </c>
      <c r="N754" s="70" t="s">
        <v>1497</v>
      </c>
      <c r="O754" s="70" t="s">
        <v>1556</v>
      </c>
    </row>
    <row r="755" customFormat="false" ht="15" hidden="false" customHeight="true" outlineLevel="0" collapsed="false">
      <c r="A755" s="75"/>
      <c r="B755" s="75"/>
      <c r="C755" s="75"/>
      <c r="D755" s="75"/>
      <c r="E755" s="75"/>
      <c r="F755" s="75" t="s">
        <v>123</v>
      </c>
      <c r="G755" s="75" t="n">
        <f aca="false">COUNTIFS(Data!$B$2:$B$1833,$L755,Data!$C$2:$C$1833,$M755,Data!$D$2:$D$1833,$N755,Data!$E$2:$E$1833,$O755,Data!$F$2:$F$1833,$F755,Data!$H$2:$H$1833,1)</f>
        <v>0</v>
      </c>
      <c r="H755" s="75" t="s">
        <v>624</v>
      </c>
      <c r="I755" s="76" t="s">
        <v>624</v>
      </c>
      <c r="J755" s="76" t="s">
        <v>624</v>
      </c>
      <c r="L755" s="70" t="s">
        <v>397</v>
      </c>
      <c r="M755" s="70" t="s">
        <v>624</v>
      </c>
      <c r="N755" s="70" t="s">
        <v>1497</v>
      </c>
      <c r="O755" s="70" t="s">
        <v>1556</v>
      </c>
    </row>
    <row r="756" customFormat="false" ht="26.25" hidden="false" customHeight="true" outlineLevel="0" collapsed="false">
      <c r="A756" s="75"/>
      <c r="B756" s="75"/>
      <c r="C756" s="75"/>
      <c r="D756" s="75"/>
      <c r="E756" s="75"/>
      <c r="F756" s="75" t="s">
        <v>21</v>
      </c>
      <c r="G756" s="75" t="n">
        <f aca="false">COUNTIFS(Data!$B$2:$B$1833,$L756,Data!$C$2:$C$1833,$M756,Data!$D$2:$D$1833,$N756,Data!$E$2:$E$1833,$O756,Data!$F$2:$F$1833,$F756,Data!$H$2:$H$1833,1)</f>
        <v>1</v>
      </c>
      <c r="H756" s="75" t="n">
        <v>1198</v>
      </c>
      <c r="I756" s="76" t="str">
        <f aca="false">INDEX(Data!$G$2:$G$1833,MATCH($H756,Data!$A$2:$A$1833,0))</f>
        <v>Is generally intelligible throughout, despite regular mispronunciation of individual sounds and words they are less familiar with.</v>
      </c>
      <c r="J756" s="77" t="s">
        <v>3023</v>
      </c>
      <c r="L756" s="70" t="s">
        <v>397</v>
      </c>
      <c r="M756" s="70" t="s">
        <v>624</v>
      </c>
      <c r="N756" s="70" t="s">
        <v>1497</v>
      </c>
      <c r="O756" s="70" t="s">
        <v>1556</v>
      </c>
    </row>
    <row r="757" customFormat="false" ht="15" hidden="false" customHeight="true" outlineLevel="0" collapsed="false">
      <c r="A757" s="75"/>
      <c r="B757" s="75"/>
      <c r="C757" s="75"/>
      <c r="D757" s="75"/>
      <c r="E757" s="75"/>
      <c r="F757" s="75" t="s">
        <v>52</v>
      </c>
      <c r="G757" s="75" t="n">
        <f aca="false">COUNTIFS(Data!$B$2:$B$1833,$L757,Data!$C$2:$C$1833,$M757,Data!$D$2:$D$1833,$N757,Data!$E$2:$E$1833,$O757,Data!$F$2:$F$1833,$F757,Data!$H$2:$H$1833,1)</f>
        <v>0</v>
      </c>
      <c r="H757" s="75" t="s">
        <v>624</v>
      </c>
      <c r="I757" s="76" t="s">
        <v>624</v>
      </c>
      <c r="J757" s="76" t="s">
        <v>624</v>
      </c>
      <c r="L757" s="70" t="s">
        <v>397</v>
      </c>
      <c r="M757" s="70" t="s">
        <v>624</v>
      </c>
      <c r="N757" s="70" t="s">
        <v>1497</v>
      </c>
      <c r="O757" s="70" t="s">
        <v>1556</v>
      </c>
    </row>
    <row r="758" customFormat="false" ht="32.25" hidden="false" customHeight="true" outlineLevel="0" collapsed="false">
      <c r="A758" s="75"/>
      <c r="B758" s="75"/>
      <c r="C758" s="75"/>
      <c r="D758" s="75"/>
      <c r="E758" s="75"/>
      <c r="F758" s="75" t="s">
        <v>259</v>
      </c>
      <c r="G758" s="75" t="n">
        <f aca="false">COUNTIFS(Data!$B$2:$B$1833,$L758,Data!$C$2:$C$1833,$M758,Data!$D$2:$D$1833,$N758,Data!$E$2:$E$1833,$O758,Data!$F$2:$F$1833,$F758,Data!$H$2:$H$1833,1)</f>
        <v>2</v>
      </c>
      <c r="H758" s="75" t="n">
        <v>1197</v>
      </c>
      <c r="I758" s="76" t="str">
        <f aca="false">INDEX(Data!$G$2:$G$1833,MATCH($H758,Data!$A$2:$A$1833,0))</f>
        <v>Can generalise from their repertoire to predict the phonological features of most unfamiliar words (e.g. word stress) with reasonable accuracy (e.g. while reading).</v>
      </c>
      <c r="J758" s="77" t="s">
        <v>3024</v>
      </c>
      <c r="L758" s="70" t="s">
        <v>397</v>
      </c>
      <c r="M758" s="70" t="s">
        <v>624</v>
      </c>
      <c r="N758" s="70" t="s">
        <v>1497</v>
      </c>
      <c r="O758" s="70" t="s">
        <v>1556</v>
      </c>
    </row>
    <row r="759" customFormat="false" ht="15" hidden="false" customHeight="true" outlineLevel="0" collapsed="false">
      <c r="A759" s="75"/>
      <c r="B759" s="75"/>
      <c r="C759" s="75"/>
      <c r="D759" s="75"/>
      <c r="E759" s="75"/>
      <c r="F759" s="75" t="s">
        <v>36</v>
      </c>
      <c r="G759" s="75" t="n">
        <f aca="false">COUNTIFS(Data!$B$2:$B$1833,$L759,Data!$C$2:$C$1833,$M759,Data!$D$2:$D$1833,$N759,Data!$E$2:$E$1833,$O759,Data!$F$2:$F$1833,$F759,Data!$H$2:$H$1833,1)</f>
        <v>0</v>
      </c>
      <c r="H759" s="75" t="s">
        <v>624</v>
      </c>
      <c r="I759" s="76" t="s">
        <v>624</v>
      </c>
      <c r="J759" s="76" t="s">
        <v>624</v>
      </c>
      <c r="L759" s="70" t="s">
        <v>397</v>
      </c>
      <c r="M759" s="70" t="s">
        <v>624</v>
      </c>
      <c r="N759" s="70" t="s">
        <v>1497</v>
      </c>
      <c r="O759" s="70" t="s">
        <v>1556</v>
      </c>
    </row>
    <row r="760" customFormat="false" ht="32.25" hidden="false" customHeight="true" outlineLevel="0" collapsed="false">
      <c r="A760" s="75"/>
      <c r="B760" s="75"/>
      <c r="C760" s="75"/>
      <c r="D760" s="75"/>
      <c r="E760" s="75"/>
      <c r="F760" s="75" t="s">
        <v>74</v>
      </c>
      <c r="G760" s="75" t="n">
        <f aca="false">COUNTIFS(Data!$B$2:$B$1833,$L760,Data!$C$2:$C$1833,$M760,Data!$D$2:$D$1833,$N760,Data!$E$2:$E$1833,$O760,Data!$F$2:$F$1833,$F760,Data!$H$2:$H$1833,1)</f>
        <v>1</v>
      </c>
      <c r="H760" s="75" t="n">
        <v>1195</v>
      </c>
      <c r="I760" s="76" t="str">
        <f aca="false">INDEX(Data!$G$2:$G$1833,MATCH($H760,Data!$A$2:$A$1833,0))</f>
        <v>Can articulate virtually all the sounds of the target language with a high degree of control. They can usually self-correct if they noticeably mispronounce a sound.</v>
      </c>
      <c r="J760" s="77" t="s">
        <v>3025</v>
      </c>
      <c r="L760" s="70" t="s">
        <v>397</v>
      </c>
      <c r="M760" s="70" t="s">
        <v>624</v>
      </c>
      <c r="N760" s="70" t="s">
        <v>1497</v>
      </c>
      <c r="O760" s="70" t="s">
        <v>1556</v>
      </c>
    </row>
    <row r="761" customFormat="false" ht="21.75" hidden="false" customHeight="true" outlineLevel="0" collapsed="false">
      <c r="A761" s="75"/>
      <c r="B761" s="75"/>
      <c r="C761" s="75"/>
      <c r="D761" s="75"/>
      <c r="E761" s="75"/>
      <c r="F761" s="75" t="s">
        <v>331</v>
      </c>
      <c r="G761" s="75" t="n">
        <f aca="false">COUNTIFS(Data!$B$2:$B$1833,$L761,Data!$C$2:$C$1833,$M761,Data!$D$2:$D$1833,$N761,Data!$E$2:$E$1833,$O761,Data!$F$2:$F$1833,$F761,Data!$H$2:$H$1833,1)</f>
        <v>1</v>
      </c>
      <c r="H761" s="75" t="n">
        <v>1194</v>
      </c>
      <c r="I761" s="76" t="str">
        <f aca="false">INDEX(Data!$G$2:$G$1833,MATCH($H761,Data!$A$2:$A$1833,0))</f>
        <v>Can articulate virtually all the sounds of the target language with clarity and precision.</v>
      </c>
      <c r="J761" s="77" t="s">
        <v>3026</v>
      </c>
      <c r="L761" s="70" t="s">
        <v>397</v>
      </c>
      <c r="M761" s="70" t="s">
        <v>624</v>
      </c>
      <c r="N761" s="70" t="s">
        <v>1497</v>
      </c>
      <c r="O761" s="70" t="s">
        <v>1556</v>
      </c>
    </row>
    <row r="762" customFormat="false" ht="15" hidden="false" customHeight="true" outlineLevel="0" collapsed="false">
      <c r="A762" s="67" t="str">
        <f aca="false">IFERROR(INDEX(対訳マスタ!$C$2:$C$136,MATCH($L762,対訳マスタ!$B$2:$B$136,0)),$L762)</f>
        <v>コミュニケーション言語能力</v>
      </c>
      <c r="B762" s="67" t="str">
        <f aca="false">IF($M762="—","—",IFERROR(INDEX(対訳マスタ!$C$2:$C$136,MATCH($M762,対訳マスタ!$B$2:$B$136,0)),$M762))</f>
        <v>—</v>
      </c>
      <c r="C762" s="67" t="str">
        <f aca="false">IF($N762="—","—",IFERROR(INDEX(対訳マスタ!$C$2:$C$136,MATCH($N762,対訳マスタ!$B$2:$B$136,0)),$N762))</f>
        <v>言語能力</v>
      </c>
      <c r="D762" s="67" t="str">
        <f aca="false">IFERROR(INDEX(対訳マスタ!$C$2:$C$136,MATCH($O762,対訳マスタ!$B$2:$B$136,0)),$O762)</f>
        <v>韻律（プロソディ）</v>
      </c>
      <c r="E762" s="67" t="s">
        <v>1566</v>
      </c>
      <c r="F762" s="67" t="s">
        <v>86</v>
      </c>
      <c r="G762" s="67" t="n">
        <f aca="false">COUNTIFS(Data!$B$2:$B$1833,$L762,Data!$C$2:$C$1833,$M762,Data!$D$2:$D$1833,$N762,Data!$E$2:$E$1833,$O762,Data!$F$2:$F$1833,$F762,Data!$H$2:$H$1833,1)</f>
        <v>0</v>
      </c>
      <c r="H762" s="67" t="s">
        <v>624</v>
      </c>
      <c r="I762" s="68" t="s">
        <v>624</v>
      </c>
      <c r="J762" s="68" t="s">
        <v>624</v>
      </c>
      <c r="L762" s="70" t="s">
        <v>397</v>
      </c>
      <c r="M762" s="70" t="s">
        <v>624</v>
      </c>
      <c r="N762" s="70" t="s">
        <v>1497</v>
      </c>
      <c r="O762" s="70" t="s">
        <v>1566</v>
      </c>
    </row>
    <row r="763" customFormat="false" ht="42.75" hidden="false" customHeight="true" outlineLevel="0" collapsed="false">
      <c r="A763" s="70"/>
      <c r="B763" s="70"/>
      <c r="C763" s="70"/>
      <c r="D763" s="70"/>
      <c r="E763" s="70"/>
      <c r="F763" s="70" t="s">
        <v>101</v>
      </c>
      <c r="G763" s="70" t="n">
        <f aca="false">COUNTIFS(Data!$B$2:$B$1833,$L763,Data!$C$2:$C$1833,$M763,Data!$D$2:$D$1833,$N763,Data!$E$2:$E$1833,$O763,Data!$F$2:$F$1833,$F763,Data!$H$2:$H$1833,1)</f>
        <v>1</v>
      </c>
      <c r="H763" s="70" t="n">
        <v>1210</v>
      </c>
      <c r="I763" s="31" t="str">
        <f aca="false">INDEX(Data!$G$2:$G$1833,MATCH($H763,Data!$A$2:$A$1833,0))</f>
        <v>Can use the prosodic features of a limited repertoire of simple words and phrases intelligibly, in spite of a very strong influence on stress, rhythm and/or intonation from the other language(s) they speak; their interlocutor needs to be collaborative.</v>
      </c>
      <c r="J763" s="71" t="s">
        <v>3027</v>
      </c>
      <c r="L763" s="70" t="s">
        <v>397</v>
      </c>
      <c r="M763" s="70" t="s">
        <v>624</v>
      </c>
      <c r="N763" s="70" t="s">
        <v>1497</v>
      </c>
      <c r="O763" s="70" t="s">
        <v>1566</v>
      </c>
    </row>
    <row r="764" customFormat="false" ht="21.75" hidden="false" customHeight="true" outlineLevel="0" collapsed="false">
      <c r="A764" s="70"/>
      <c r="B764" s="70"/>
      <c r="C764" s="70"/>
      <c r="D764" s="70"/>
      <c r="E764" s="70"/>
      <c r="F764" s="70" t="s">
        <v>13</v>
      </c>
      <c r="G764" s="70" t="n">
        <f aca="false">COUNTIFS(Data!$B$2:$B$1833,$L764,Data!$C$2:$C$1833,$M764,Data!$D$2:$D$1833,$N764,Data!$E$2:$E$1833,$O764,Data!$F$2:$F$1833,$F764,Data!$H$2:$H$1833,1)</f>
        <v>2</v>
      </c>
      <c r="H764" s="70" t="n">
        <v>1209</v>
      </c>
      <c r="I764" s="31" t="str">
        <f aca="false">INDEX(Data!$G$2:$G$1833,MATCH($H764,Data!$A$2:$A$1833,0))</f>
        <v>Prosodic features (e.g. word stress) are adequate for familiar everyday words and simple utterances.</v>
      </c>
      <c r="J764" s="71" t="s">
        <v>3028</v>
      </c>
      <c r="L764" s="70" t="s">
        <v>397</v>
      </c>
      <c r="M764" s="70" t="s">
        <v>624</v>
      </c>
      <c r="N764" s="70" t="s">
        <v>1497</v>
      </c>
      <c r="O764" s="70" t="s">
        <v>1566</v>
      </c>
    </row>
    <row r="765" customFormat="false" ht="15" hidden="false" customHeight="true" outlineLevel="0" collapsed="false">
      <c r="A765" s="70"/>
      <c r="B765" s="70"/>
      <c r="C765" s="70"/>
      <c r="D765" s="70"/>
      <c r="E765" s="70"/>
      <c r="F765" s="70" t="s">
        <v>123</v>
      </c>
      <c r="G765" s="70" t="n">
        <f aca="false">COUNTIFS(Data!$B$2:$B$1833,$L765,Data!$C$2:$C$1833,$M765,Data!$D$2:$D$1833,$N765,Data!$E$2:$E$1833,$O765,Data!$F$2:$F$1833,$F765,Data!$H$2:$H$1833,1)</f>
        <v>0</v>
      </c>
      <c r="H765" s="70" t="s">
        <v>624</v>
      </c>
      <c r="I765" s="31" t="s">
        <v>624</v>
      </c>
      <c r="J765" s="31" t="s">
        <v>624</v>
      </c>
      <c r="L765" s="70" t="s">
        <v>397</v>
      </c>
      <c r="M765" s="70" t="s">
        <v>624</v>
      </c>
      <c r="N765" s="70" t="s">
        <v>1497</v>
      </c>
      <c r="O765" s="70" t="s">
        <v>1566</v>
      </c>
    </row>
    <row r="766" customFormat="false" ht="26.25" hidden="false" customHeight="true" outlineLevel="0" collapsed="false">
      <c r="A766" s="70"/>
      <c r="B766" s="70"/>
      <c r="C766" s="70"/>
      <c r="D766" s="70"/>
      <c r="E766" s="70"/>
      <c r="F766" s="70" t="s">
        <v>21</v>
      </c>
      <c r="G766" s="70" t="n">
        <f aca="false">COUNTIFS(Data!$B$2:$B$1833,$L766,Data!$C$2:$C$1833,$M766,Data!$D$2:$D$1833,$N766,Data!$E$2:$E$1833,$O766,Data!$F$2:$F$1833,$F766,Data!$H$2:$H$1833,1)</f>
        <v>1</v>
      </c>
      <c r="H766" s="70" t="n">
        <v>1207</v>
      </c>
      <c r="I766" s="31" t="str">
        <f aca="false">INDEX(Data!$G$2:$G$1833,MATCH($H766,Data!$A$2:$A$1833,0))</f>
        <v>Can convey their message in an intelligible way in spite of a strong influence on stress, intonation and/or rhythm from the other language(s) they speak.</v>
      </c>
      <c r="J766" s="71" t="s">
        <v>3029</v>
      </c>
      <c r="L766" s="70" t="s">
        <v>397</v>
      </c>
      <c r="M766" s="70" t="s">
        <v>624</v>
      </c>
      <c r="N766" s="70" t="s">
        <v>1497</v>
      </c>
      <c r="O766" s="70" t="s">
        <v>1566</v>
      </c>
    </row>
    <row r="767" customFormat="false" ht="15" hidden="false" customHeight="true" outlineLevel="0" collapsed="false">
      <c r="A767" s="70"/>
      <c r="B767" s="70"/>
      <c r="C767" s="70"/>
      <c r="D767" s="70"/>
      <c r="E767" s="70"/>
      <c r="F767" s="70" t="s">
        <v>52</v>
      </c>
      <c r="G767" s="70" t="n">
        <f aca="false">COUNTIFS(Data!$B$2:$B$1833,$L767,Data!$C$2:$C$1833,$M767,Data!$D$2:$D$1833,$N767,Data!$E$2:$E$1833,$O767,Data!$F$2:$F$1833,$F767,Data!$H$2:$H$1833,1)</f>
        <v>0</v>
      </c>
      <c r="H767" s="70" t="s">
        <v>624</v>
      </c>
      <c r="I767" s="31" t="s">
        <v>624</v>
      </c>
      <c r="J767" s="31" t="s">
        <v>624</v>
      </c>
      <c r="L767" s="70" t="s">
        <v>397</v>
      </c>
      <c r="M767" s="70" t="s">
        <v>624</v>
      </c>
      <c r="N767" s="70" t="s">
        <v>1497</v>
      </c>
      <c r="O767" s="70" t="s">
        <v>1566</v>
      </c>
    </row>
    <row r="768" customFormat="false" ht="32.25" hidden="false" customHeight="true" outlineLevel="0" collapsed="false">
      <c r="A768" s="70"/>
      <c r="B768" s="70"/>
      <c r="C768" s="70"/>
      <c r="D768" s="70"/>
      <c r="E768" s="70"/>
      <c r="F768" s="70" t="s">
        <v>259</v>
      </c>
      <c r="G768" s="70" t="n">
        <f aca="false">COUNTIFS(Data!$B$2:$B$1833,$L768,Data!$C$2:$C$1833,$M768,Data!$D$2:$D$1833,$N768,Data!$E$2:$E$1833,$O768,Data!$F$2:$F$1833,$F768,Data!$H$2:$H$1833,1)</f>
        <v>1</v>
      </c>
      <c r="H768" s="70" t="n">
        <v>1206</v>
      </c>
      <c r="I768" s="31" t="str">
        <f aca="false">INDEX(Data!$G$2:$G$1833,MATCH($H768,Data!$A$2:$A$1833,0))</f>
        <v>Can employ prosodic features (e.g. stress, intonation, rhythm) to support the message they intend to convey, though with some influence from the other languages they speak.</v>
      </c>
      <c r="J768" s="71" t="s">
        <v>3030</v>
      </c>
      <c r="L768" s="70" t="s">
        <v>397</v>
      </c>
      <c r="M768" s="70" t="s">
        <v>624</v>
      </c>
      <c r="N768" s="70" t="s">
        <v>1497</v>
      </c>
      <c r="O768" s="70" t="s">
        <v>1566</v>
      </c>
    </row>
    <row r="769" customFormat="false" ht="15" hidden="false" customHeight="true" outlineLevel="0" collapsed="false">
      <c r="A769" s="70"/>
      <c r="B769" s="70"/>
      <c r="C769" s="70"/>
      <c r="D769" s="70"/>
      <c r="E769" s="70"/>
      <c r="F769" s="70" t="s">
        <v>36</v>
      </c>
      <c r="G769" s="70" t="n">
        <f aca="false">COUNTIFS(Data!$B$2:$B$1833,$L769,Data!$C$2:$C$1833,$M769,Data!$D$2:$D$1833,$N769,Data!$E$2:$E$1833,$O769,Data!$F$2:$F$1833,$F769,Data!$H$2:$H$1833,1)</f>
        <v>0</v>
      </c>
      <c r="H769" s="70" t="s">
        <v>624</v>
      </c>
      <c r="I769" s="31" t="s">
        <v>624</v>
      </c>
      <c r="J769" s="31" t="s">
        <v>624</v>
      </c>
      <c r="L769" s="70" t="s">
        <v>397</v>
      </c>
      <c r="M769" s="70" t="s">
        <v>624</v>
      </c>
      <c r="N769" s="70" t="s">
        <v>1497</v>
      </c>
      <c r="O769" s="70" t="s">
        <v>1566</v>
      </c>
    </row>
    <row r="770" customFormat="false" ht="26.25" hidden="false" customHeight="true" outlineLevel="0" collapsed="false">
      <c r="A770" s="70"/>
      <c r="B770" s="70"/>
      <c r="C770" s="70"/>
      <c r="D770" s="70"/>
      <c r="E770" s="70"/>
      <c r="F770" s="70" t="s">
        <v>74</v>
      </c>
      <c r="G770" s="70" t="n">
        <f aca="false">COUNTIFS(Data!$B$2:$B$1833,$L770,Data!$C$2:$C$1833,$M770,Data!$D$2:$D$1833,$N770,Data!$E$2:$E$1833,$O770,Data!$F$2:$F$1833,$F770,Data!$H$2:$H$1833,1)</f>
        <v>2</v>
      </c>
      <c r="H770" s="70" t="n">
        <v>1205</v>
      </c>
      <c r="I770" s="31" t="str">
        <f aca="false">INDEX(Data!$G$2:$G$1833,MATCH($H770,Data!$A$2:$A$1833,0))</f>
        <v>Can vary intonation and place stress correctly in order to express precisely what they mean to say.</v>
      </c>
      <c r="J770" s="71" t="s">
        <v>3031</v>
      </c>
      <c r="L770" s="70" t="s">
        <v>397</v>
      </c>
      <c r="M770" s="70" t="s">
        <v>624</v>
      </c>
      <c r="N770" s="70" t="s">
        <v>1497</v>
      </c>
      <c r="O770" s="70" t="s">
        <v>1566</v>
      </c>
    </row>
    <row r="771" customFormat="false" ht="32.25" hidden="false" customHeight="true" outlineLevel="0" collapsed="false">
      <c r="A771" s="70"/>
      <c r="B771" s="70"/>
      <c r="C771" s="70"/>
      <c r="D771" s="70"/>
      <c r="E771" s="70"/>
      <c r="F771" s="70" t="s">
        <v>331</v>
      </c>
      <c r="G771" s="70" t="n">
        <f aca="false">COUNTIFS(Data!$B$2:$B$1833,$L771,Data!$C$2:$C$1833,$M771,Data!$D$2:$D$1833,$N771,Data!$E$2:$E$1833,$O771,Data!$F$2:$F$1833,$F771,Data!$H$2:$H$1833,1)</f>
        <v>1</v>
      </c>
      <c r="H771" s="70" t="n">
        <v>1203</v>
      </c>
      <c r="I771" s="31" t="str">
        <f aca="false">INDEX(Data!$G$2:$G$1833,MATCH($H771,Data!$A$2:$A$1833,0))</f>
        <v>Can exploit prosodic features (e.g. stress, rhythm and intonation) appropriately and effectively in order to convey finer shades of meaning (e.g. to differentiate and emphasise).</v>
      </c>
      <c r="J771" s="71" t="s">
        <v>3032</v>
      </c>
      <c r="L771" s="70" t="s">
        <v>397</v>
      </c>
      <c r="M771" s="70" t="s">
        <v>624</v>
      </c>
      <c r="N771" s="70" t="s">
        <v>1497</v>
      </c>
      <c r="O771" s="70" t="s">
        <v>1566</v>
      </c>
    </row>
    <row r="772" customFormat="false" ht="15" hidden="false" customHeight="true" outlineLevel="0" collapsed="false">
      <c r="A772" s="73" t="str">
        <f aca="false">IFERROR(INDEX(対訳マスタ!$C$2:$C$136,MATCH($L772,対訳マスタ!$B$2:$B$136,0)),$L772)</f>
        <v>コミュニケーション言語能力</v>
      </c>
      <c r="B772" s="73" t="str">
        <f aca="false">IF($M772="—","—",IFERROR(INDEX(対訳マスタ!$C$2:$C$136,MATCH($M772,対訳マスタ!$B$2:$B$136,0)),$M772))</f>
        <v>—</v>
      </c>
      <c r="C772" s="73" t="str">
        <f aca="false">IF($N772="—","—",IFERROR(INDEX(対訳マスタ!$C$2:$C$136,MATCH($N772,対訳マスタ!$B$2:$B$136,0)),$N772))</f>
        <v>言語能力</v>
      </c>
      <c r="D772" s="73" t="str">
        <f aca="false">IFERROR(INDEX(対訳マスタ!$C$2:$C$136,MATCH($O772,対訳マスタ!$B$2:$B$136,0)),$O772)</f>
        <v>正書法（綴り・表記）の運用</v>
      </c>
      <c r="E772" s="73" t="s">
        <v>1575</v>
      </c>
      <c r="F772" s="73" t="s">
        <v>86</v>
      </c>
      <c r="G772" s="73" t="n">
        <f aca="false">COUNTIFS(Data!$B$2:$B$1833,$L772,Data!$C$2:$C$1833,$M772,Data!$D$2:$D$1833,$N772,Data!$E$2:$E$1833,$O772,Data!$F$2:$F$1833,$F772,Data!$H$2:$H$1833,1)</f>
        <v>0</v>
      </c>
      <c r="H772" s="73" t="s">
        <v>624</v>
      </c>
      <c r="I772" s="74" t="s">
        <v>624</v>
      </c>
      <c r="J772" s="74" t="s">
        <v>624</v>
      </c>
      <c r="L772" s="70" t="s">
        <v>397</v>
      </c>
      <c r="M772" s="70" t="s">
        <v>624</v>
      </c>
      <c r="N772" s="70" t="s">
        <v>1497</v>
      </c>
      <c r="O772" s="70" t="s">
        <v>1575</v>
      </c>
    </row>
    <row r="773" customFormat="false" ht="15" hidden="false" customHeight="true" outlineLevel="0" collapsed="false">
      <c r="A773" s="75"/>
      <c r="B773" s="75"/>
      <c r="C773" s="75"/>
      <c r="D773" s="75"/>
      <c r="E773" s="75"/>
      <c r="F773" s="75" t="s">
        <v>101</v>
      </c>
      <c r="G773" s="75" t="n">
        <f aca="false">COUNTIFS(Data!$B$2:$B$1833,$L773,Data!$C$2:$C$1833,$M773,Data!$D$2:$D$1833,$N773,Data!$E$2:$E$1833,$O773,Data!$F$2:$F$1833,$F773,Data!$H$2:$H$1833,1)</f>
        <v>3</v>
      </c>
      <c r="H773" s="75" t="n">
        <v>1222</v>
      </c>
      <c r="I773" s="76" t="str">
        <f aca="false">INDEX(Data!$G$2:$G$1833,MATCH($H773,Data!$A$2:$A$1833,0))</f>
        <v>Can use basic punctuation (e.g. full stops, question marks).</v>
      </c>
      <c r="J773" s="77" t="s">
        <v>3033</v>
      </c>
      <c r="L773" s="70" t="s">
        <v>397</v>
      </c>
      <c r="M773" s="70" t="s">
        <v>624</v>
      </c>
      <c r="N773" s="70" t="s">
        <v>1497</v>
      </c>
      <c r="O773" s="70" t="s">
        <v>1575</v>
      </c>
    </row>
    <row r="774" customFormat="false" ht="21.75" hidden="false" customHeight="true" outlineLevel="0" collapsed="false">
      <c r="A774" s="75"/>
      <c r="B774" s="75"/>
      <c r="C774" s="75"/>
      <c r="D774" s="75"/>
      <c r="E774" s="75"/>
      <c r="F774" s="75" t="s">
        <v>13</v>
      </c>
      <c r="G774" s="75" t="n">
        <f aca="false">COUNTIFS(Data!$B$2:$B$1833,$L774,Data!$C$2:$C$1833,$M774,Data!$D$2:$D$1833,$N774,Data!$E$2:$E$1833,$O774,Data!$F$2:$F$1833,$F774,Data!$H$2:$H$1833,1)</f>
        <v>2</v>
      </c>
      <c r="H774" s="75" t="n">
        <v>1218</v>
      </c>
      <c r="I774" s="76" t="str">
        <f aca="false">INDEX(Data!$G$2:$G$1833,MATCH($H774,Data!$A$2:$A$1833,0))</f>
        <v>Can copy short sentences on everyday subjects, e.g. directions on how to get somewhere.</v>
      </c>
      <c r="J774" s="77" t="s">
        <v>3034</v>
      </c>
      <c r="L774" s="70" t="s">
        <v>397</v>
      </c>
      <c r="M774" s="70" t="s">
        <v>624</v>
      </c>
      <c r="N774" s="70" t="s">
        <v>1497</v>
      </c>
      <c r="O774" s="70" t="s">
        <v>1575</v>
      </c>
    </row>
    <row r="775" customFormat="false" ht="15" hidden="false" customHeight="true" outlineLevel="0" collapsed="false">
      <c r="A775" s="75"/>
      <c r="B775" s="75"/>
      <c r="C775" s="75"/>
      <c r="D775" s="75"/>
      <c r="E775" s="75"/>
      <c r="F775" s="75" t="s">
        <v>123</v>
      </c>
      <c r="G775" s="75" t="n">
        <f aca="false">COUNTIFS(Data!$B$2:$B$1833,$L775,Data!$C$2:$C$1833,$M775,Data!$D$2:$D$1833,$N775,Data!$E$2:$E$1833,$O775,Data!$F$2:$F$1833,$F775,Data!$H$2:$H$1833,1)</f>
        <v>0</v>
      </c>
      <c r="H775" s="75" t="s">
        <v>624</v>
      </c>
      <c r="I775" s="76" t="s">
        <v>624</v>
      </c>
      <c r="J775" s="76" t="s">
        <v>624</v>
      </c>
      <c r="L775" s="70" t="s">
        <v>397</v>
      </c>
      <c r="M775" s="70" t="s">
        <v>624</v>
      </c>
      <c r="N775" s="70" t="s">
        <v>1497</v>
      </c>
      <c r="O775" s="70" t="s">
        <v>1575</v>
      </c>
    </row>
    <row r="776" customFormat="false" ht="15" hidden="false" customHeight="true" outlineLevel="0" collapsed="false">
      <c r="A776" s="75"/>
      <c r="B776" s="75"/>
      <c r="C776" s="75"/>
      <c r="D776" s="75"/>
      <c r="E776" s="75"/>
      <c r="F776" s="75" t="s">
        <v>21</v>
      </c>
      <c r="G776" s="75" t="n">
        <f aca="false">COUNTIFS(Data!$B$2:$B$1833,$L776,Data!$C$2:$C$1833,$M776,Data!$D$2:$D$1833,$N776,Data!$E$2:$E$1833,$O776,Data!$F$2:$F$1833,$F776,Data!$H$2:$H$1833,1)</f>
        <v>2</v>
      </c>
      <c r="H776" s="75" t="n">
        <v>1216</v>
      </c>
      <c r="I776" s="76" t="str">
        <f aca="false">INDEX(Data!$G$2:$G$1833,MATCH($H776,Data!$A$2:$A$1833,0))</f>
        <v>Can produce continuous writing which is generally intelligible throughout.</v>
      </c>
      <c r="J776" s="77" t="s">
        <v>3035</v>
      </c>
      <c r="L776" s="70" t="s">
        <v>397</v>
      </c>
      <c r="M776" s="70" t="s">
        <v>624</v>
      </c>
      <c r="N776" s="70" t="s">
        <v>1497</v>
      </c>
      <c r="O776" s="70" t="s">
        <v>1575</v>
      </c>
    </row>
    <row r="777" customFormat="false" ht="15" hidden="false" customHeight="true" outlineLevel="0" collapsed="false">
      <c r="A777" s="75"/>
      <c r="B777" s="75"/>
      <c r="C777" s="75"/>
      <c r="D777" s="75"/>
      <c r="E777" s="75"/>
      <c r="F777" s="75" t="s">
        <v>52</v>
      </c>
      <c r="G777" s="75" t="n">
        <f aca="false">COUNTIFS(Data!$B$2:$B$1833,$L777,Data!$C$2:$C$1833,$M777,Data!$D$2:$D$1833,$N777,Data!$E$2:$E$1833,$O777,Data!$F$2:$F$1833,$F777,Data!$H$2:$H$1833,1)</f>
        <v>0</v>
      </c>
      <c r="H777" s="75" t="s">
        <v>624</v>
      </c>
      <c r="I777" s="76" t="s">
        <v>624</v>
      </c>
      <c r="J777" s="76" t="s">
        <v>624</v>
      </c>
      <c r="L777" s="70" t="s">
        <v>397</v>
      </c>
      <c r="M777" s="70" t="s">
        <v>624</v>
      </c>
      <c r="N777" s="70" t="s">
        <v>1497</v>
      </c>
      <c r="O777" s="70" t="s">
        <v>1575</v>
      </c>
    </row>
    <row r="778" customFormat="false" ht="21.75" hidden="false" customHeight="true" outlineLevel="0" collapsed="false">
      <c r="A778" s="75"/>
      <c r="B778" s="75"/>
      <c r="C778" s="75"/>
      <c r="D778" s="75"/>
      <c r="E778" s="75"/>
      <c r="F778" s="75" t="s">
        <v>259</v>
      </c>
      <c r="G778" s="75" t="n">
        <f aca="false">COUNTIFS(Data!$B$2:$B$1833,$L778,Data!$C$2:$C$1833,$M778,Data!$D$2:$D$1833,$N778,Data!$E$2:$E$1833,$O778,Data!$F$2:$F$1833,$F778,Data!$H$2:$H$1833,1)</f>
        <v>2</v>
      </c>
      <c r="H778" s="75" t="n">
        <v>1215</v>
      </c>
      <c r="I778" s="76" t="str">
        <f aca="false">INDEX(Data!$G$2:$G$1833,MATCH($H778,Data!$A$2:$A$1833,0))</f>
        <v>Spelling and punctuation are reasonably accurate but may show signs of mother-tongue influence.</v>
      </c>
      <c r="J778" s="77" t="s">
        <v>3036</v>
      </c>
      <c r="L778" s="70" t="s">
        <v>397</v>
      </c>
      <c r="M778" s="70" t="s">
        <v>624</v>
      </c>
      <c r="N778" s="70" t="s">
        <v>1497</v>
      </c>
      <c r="O778" s="70" t="s">
        <v>1575</v>
      </c>
    </row>
    <row r="779" customFormat="false" ht="15" hidden="false" customHeight="true" outlineLevel="0" collapsed="false">
      <c r="A779" s="75"/>
      <c r="B779" s="75"/>
      <c r="C779" s="75"/>
      <c r="D779" s="75"/>
      <c r="E779" s="75"/>
      <c r="F779" s="75" t="s">
        <v>36</v>
      </c>
      <c r="G779" s="75" t="n">
        <f aca="false">COUNTIFS(Data!$B$2:$B$1833,$L779,Data!$C$2:$C$1833,$M779,Data!$D$2:$D$1833,$N779,Data!$E$2:$E$1833,$O779,Data!$F$2:$F$1833,$F779,Data!$H$2:$H$1833,1)</f>
        <v>0</v>
      </c>
      <c r="H779" s="75" t="s">
        <v>624</v>
      </c>
      <c r="I779" s="76" t="s">
        <v>624</v>
      </c>
      <c r="J779" s="76" t="s">
        <v>624</v>
      </c>
      <c r="L779" s="70" t="s">
        <v>397</v>
      </c>
      <c r="M779" s="70" t="s">
        <v>624</v>
      </c>
      <c r="N779" s="70" t="s">
        <v>1497</v>
      </c>
      <c r="O779" s="70" t="s">
        <v>1575</v>
      </c>
    </row>
    <row r="780" customFormat="false" ht="15" hidden="false" customHeight="true" outlineLevel="0" collapsed="false">
      <c r="A780" s="75"/>
      <c r="B780" s="75"/>
      <c r="C780" s="75"/>
      <c r="D780" s="75"/>
      <c r="E780" s="75"/>
      <c r="F780" s="75" t="s">
        <v>74</v>
      </c>
      <c r="G780" s="75" t="n">
        <f aca="false">COUNTIFS(Data!$B$2:$B$1833,$L780,Data!$C$2:$C$1833,$M780,Data!$D$2:$D$1833,$N780,Data!$E$2:$E$1833,$O780,Data!$F$2:$F$1833,$F780,Data!$H$2:$H$1833,1)</f>
        <v>2</v>
      </c>
      <c r="H780" s="75" t="n">
        <v>1213</v>
      </c>
      <c r="I780" s="76" t="str">
        <f aca="false">INDEX(Data!$G$2:$G$1833,MATCH($H780,Data!$A$2:$A$1833,0))</f>
        <v>Spelling is accurate, apart from occasional slips of the pen.</v>
      </c>
      <c r="J780" s="77" t="s">
        <v>3037</v>
      </c>
      <c r="L780" s="70" t="s">
        <v>397</v>
      </c>
      <c r="M780" s="70" t="s">
        <v>624</v>
      </c>
      <c r="N780" s="70" t="s">
        <v>1497</v>
      </c>
      <c r="O780" s="70" t="s">
        <v>1575</v>
      </c>
    </row>
    <row r="781" customFormat="false" ht="15" hidden="false" customHeight="true" outlineLevel="0" collapsed="false">
      <c r="A781" s="75"/>
      <c r="B781" s="75"/>
      <c r="C781" s="75"/>
      <c r="D781" s="75"/>
      <c r="E781" s="75"/>
      <c r="F781" s="75" t="s">
        <v>331</v>
      </c>
      <c r="G781" s="75" t="n">
        <f aca="false">COUNTIFS(Data!$B$2:$B$1833,$L781,Data!$C$2:$C$1833,$M781,Data!$D$2:$D$1833,$N781,Data!$E$2:$E$1833,$O781,Data!$F$2:$F$1833,$F781,Data!$H$2:$H$1833,1)</f>
        <v>1</v>
      </c>
      <c r="H781" s="75" t="n">
        <v>1211</v>
      </c>
      <c r="I781" s="76" t="str">
        <f aca="false">INDEX(Data!$G$2:$G$1833,MATCH($H781,Data!$A$2:$A$1833,0))</f>
        <v>Writing is orthographically free of error.</v>
      </c>
      <c r="J781" s="77" t="s">
        <v>3038</v>
      </c>
      <c r="L781" s="70" t="s">
        <v>397</v>
      </c>
      <c r="M781" s="70" t="s">
        <v>624</v>
      </c>
      <c r="N781" s="70" t="s">
        <v>1497</v>
      </c>
      <c r="O781" s="70" t="s">
        <v>1575</v>
      </c>
    </row>
    <row r="782" customFormat="false" ht="15" hidden="false" customHeight="true" outlineLevel="0" collapsed="false">
      <c r="A782" s="67" t="str">
        <f aca="false">IFERROR(INDEX(対訳マスタ!$C$2:$C$136,MATCH($L782,対訳マスタ!$B$2:$B$136,0)),$L782)</f>
        <v>コミュニケーション言語能力</v>
      </c>
      <c r="B782" s="67" t="str">
        <f aca="false">IF($M782="—","—",IFERROR(INDEX(対訳マスタ!$C$2:$C$136,MATCH($M782,対訳マスタ!$B$2:$B$136,0)),$M782))</f>
        <v>—</v>
      </c>
      <c r="C782" s="67" t="str">
        <f aca="false">IF($N782="—","—",IFERROR(INDEX(対訳マスタ!$C$2:$C$136,MATCH($N782,対訳マスタ!$B$2:$B$136,0)),$N782))</f>
        <v>社会言語能力</v>
      </c>
      <c r="D782" s="67" t="str">
        <f aca="false">IFERROR(INDEX(対訳マスタ!$C$2:$C$136,MATCH($O782,対訳マスタ!$B$2:$B$136,0)),$O782)</f>
        <v>社会言語的適切さ（場にふさわしい言葉づかい）</v>
      </c>
      <c r="E782" s="67" t="s">
        <v>1589</v>
      </c>
      <c r="F782" s="67" t="s">
        <v>86</v>
      </c>
      <c r="G782" s="67" t="n">
        <f aca="false">COUNTIFS(Data!$B$2:$B$1833,$L782,Data!$C$2:$C$1833,$M782,Data!$D$2:$D$1833,$N782,Data!$E$2:$E$1833,$O782,Data!$F$2:$F$1833,$F782,Data!$H$2:$H$1833,1)</f>
        <v>0</v>
      </c>
      <c r="H782" s="67" t="s">
        <v>624</v>
      </c>
      <c r="I782" s="68" t="s">
        <v>624</v>
      </c>
      <c r="J782" s="68" t="s">
        <v>624</v>
      </c>
      <c r="L782" s="70" t="s">
        <v>397</v>
      </c>
      <c r="M782" s="70" t="s">
        <v>624</v>
      </c>
      <c r="N782" s="70" t="s">
        <v>1588</v>
      </c>
      <c r="O782" s="70" t="s">
        <v>1589</v>
      </c>
    </row>
    <row r="783" customFormat="false" ht="39" hidden="false" customHeight="true" outlineLevel="0" collapsed="false">
      <c r="A783" s="70"/>
      <c r="B783" s="70"/>
      <c r="C783" s="70"/>
      <c r="D783" s="70"/>
      <c r="E783" s="70"/>
      <c r="F783" s="70" t="s">
        <v>101</v>
      </c>
      <c r="G783" s="70" t="n">
        <f aca="false">COUNTIFS(Data!$B$2:$B$1833,$L783,Data!$C$2:$C$1833,$M783,Data!$D$2:$D$1833,$N783,Data!$E$2:$E$1833,$O783,Data!$F$2:$F$1833,$F783,Data!$H$2:$H$1833,1)</f>
        <v>1</v>
      </c>
      <c r="H783" s="70" t="n">
        <v>1247</v>
      </c>
      <c r="I783" s="31" t="str">
        <f aca="false">INDEX(Data!$G$2:$G$1833,MATCH($H783,Data!$A$2:$A$1833,0))</f>
        <v>Can establish basic social contact by using the simplest everyday polite forms of: greetings and farewells; introductions; saying please, thank you, sorry, etc.</v>
      </c>
      <c r="J783" s="71" t="s">
        <v>3039</v>
      </c>
      <c r="L783" s="70" t="s">
        <v>397</v>
      </c>
      <c r="M783" s="70" t="s">
        <v>624</v>
      </c>
      <c r="N783" s="70" t="s">
        <v>1588</v>
      </c>
      <c r="O783" s="70" t="s">
        <v>1589</v>
      </c>
    </row>
    <row r="784" customFormat="false" ht="15" hidden="false" customHeight="true" outlineLevel="0" collapsed="false">
      <c r="A784" s="70"/>
      <c r="B784" s="70"/>
      <c r="C784" s="70"/>
      <c r="D784" s="70"/>
      <c r="E784" s="70"/>
      <c r="F784" s="70" t="s">
        <v>13</v>
      </c>
      <c r="G784" s="70" t="n">
        <f aca="false">COUNTIFS(Data!$B$2:$B$1833,$L784,Data!$C$2:$C$1833,$M784,Data!$D$2:$D$1833,$N784,Data!$E$2:$E$1833,$O784,Data!$F$2:$F$1833,$F784,Data!$H$2:$H$1833,1)</f>
        <v>2</v>
      </c>
      <c r="H784" s="70" t="n">
        <v>1246</v>
      </c>
      <c r="I784" s="31" t="str">
        <f aca="false">INDEX(Data!$G$2:$G$1833,MATCH($H784,Data!$A$2:$A$1833,0))</f>
        <v>Can make and respond to invitations, suggestions, apologies, etc.</v>
      </c>
      <c r="J784" s="71" t="s">
        <v>3040</v>
      </c>
      <c r="L784" s="70" t="s">
        <v>397</v>
      </c>
      <c r="M784" s="70" t="s">
        <v>624</v>
      </c>
      <c r="N784" s="70" t="s">
        <v>1588</v>
      </c>
      <c r="O784" s="70" t="s">
        <v>1589</v>
      </c>
    </row>
    <row r="785" customFormat="false" ht="26.25" hidden="false" customHeight="true" outlineLevel="0" collapsed="false">
      <c r="A785" s="70"/>
      <c r="B785" s="70"/>
      <c r="C785" s="70"/>
      <c r="D785" s="70"/>
      <c r="E785" s="70"/>
      <c r="F785" s="70" t="s">
        <v>123</v>
      </c>
      <c r="G785" s="70" t="n">
        <f aca="false">COUNTIFS(Data!$B$2:$B$1833,$L785,Data!$C$2:$C$1833,$M785,Data!$D$2:$D$1833,$N785,Data!$E$2:$E$1833,$O785,Data!$F$2:$F$1833,$F785,Data!$H$2:$H$1833,1)</f>
        <v>2</v>
      </c>
      <c r="H785" s="70" t="n">
        <v>1244</v>
      </c>
      <c r="I785" s="31" t="str">
        <f aca="false">INDEX(Data!$G$2:$G$1833,MATCH($H785,Data!$A$2:$A$1833,0))</f>
        <v>Can socialise simply but effectively using the simplest common expressions and following basic routines.</v>
      </c>
      <c r="J785" s="71" t="s">
        <v>3041</v>
      </c>
      <c r="L785" s="70" t="s">
        <v>397</v>
      </c>
      <c r="M785" s="70" t="s">
        <v>624</v>
      </c>
      <c r="N785" s="70" t="s">
        <v>1588</v>
      </c>
      <c r="O785" s="70" t="s">
        <v>1589</v>
      </c>
    </row>
    <row r="786" customFormat="false" ht="15" hidden="false" customHeight="true" outlineLevel="0" collapsed="false">
      <c r="A786" s="70"/>
      <c r="B786" s="70"/>
      <c r="C786" s="70"/>
      <c r="D786" s="70"/>
      <c r="E786" s="70"/>
      <c r="F786" s="70" t="s">
        <v>21</v>
      </c>
      <c r="G786" s="70" t="n">
        <f aca="false">COUNTIFS(Data!$B$2:$B$1833,$L786,Data!$C$2:$C$1833,$M786,Data!$D$2:$D$1833,$N786,Data!$E$2:$E$1833,$O786,Data!$F$2:$F$1833,$F786,Data!$H$2:$H$1833,1)</f>
        <v>3</v>
      </c>
      <c r="H786" s="70" t="n">
        <v>1241</v>
      </c>
      <c r="I786" s="31" t="str">
        <f aca="false">INDEX(Data!$G$2:$G$1833,MATCH($H786,Data!$A$2:$A$1833,0))</f>
        <v>Is aware of the salient politeness conventions and acts appropriately.</v>
      </c>
      <c r="J786" s="71" t="s">
        <v>3042</v>
      </c>
      <c r="L786" s="70" t="s">
        <v>397</v>
      </c>
      <c r="M786" s="70" t="s">
        <v>624</v>
      </c>
      <c r="N786" s="70" t="s">
        <v>1588</v>
      </c>
      <c r="O786" s="70" t="s">
        <v>1589</v>
      </c>
    </row>
    <row r="787" customFormat="false" ht="15" hidden="false" customHeight="true" outlineLevel="0" collapsed="false">
      <c r="A787" s="70"/>
      <c r="B787" s="70"/>
      <c r="C787" s="70"/>
      <c r="D787" s="70"/>
      <c r="E787" s="70"/>
      <c r="F787" s="70" t="s">
        <v>52</v>
      </c>
      <c r="G787" s="70" t="n">
        <f aca="false">COUNTIFS(Data!$B$2:$B$1833,$L787,Data!$C$2:$C$1833,$M787,Data!$D$2:$D$1833,$N787,Data!$E$2:$E$1833,$O787,Data!$F$2:$F$1833,$F787,Data!$H$2:$H$1833,1)</f>
        <v>0</v>
      </c>
      <c r="H787" s="70" t="s">
        <v>624</v>
      </c>
      <c r="I787" s="31" t="s">
        <v>624</v>
      </c>
      <c r="J787" s="31" t="s">
        <v>624</v>
      </c>
      <c r="L787" s="70" t="s">
        <v>397</v>
      </c>
      <c r="M787" s="70" t="s">
        <v>624</v>
      </c>
      <c r="N787" s="70" t="s">
        <v>1588</v>
      </c>
      <c r="O787" s="70" t="s">
        <v>1589</v>
      </c>
    </row>
    <row r="788" customFormat="false" ht="21.75" hidden="false" customHeight="true" outlineLevel="0" collapsed="false">
      <c r="A788" s="70"/>
      <c r="B788" s="70"/>
      <c r="C788" s="70"/>
      <c r="D788" s="70"/>
      <c r="E788" s="70"/>
      <c r="F788" s="70" t="s">
        <v>259</v>
      </c>
      <c r="G788" s="70" t="n">
        <f aca="false">COUNTIFS(Data!$B$2:$B$1833,$L788,Data!$C$2:$C$1833,$M788,Data!$D$2:$D$1833,$N788,Data!$E$2:$E$1833,$O788,Data!$F$2:$F$1833,$F788,Data!$H$2:$H$1833,1)</f>
        <v>3</v>
      </c>
      <c r="H788" s="70" t="n">
        <v>1239</v>
      </c>
      <c r="I788" s="31" t="str">
        <f aca="false">INDEX(Data!$G$2:$G$1833,MATCH($H788,Data!$A$2:$A$1833,0))</f>
        <v>Can express themselves appropriately in situations and avoid crass errors of formulation.</v>
      </c>
      <c r="J788" s="71" t="s">
        <v>3043</v>
      </c>
      <c r="L788" s="70" t="s">
        <v>397</v>
      </c>
      <c r="M788" s="70" t="s">
        <v>624</v>
      </c>
      <c r="N788" s="70" t="s">
        <v>1588</v>
      </c>
      <c r="O788" s="70" t="s">
        <v>1589</v>
      </c>
    </row>
    <row r="789" customFormat="false" ht="26.25" hidden="false" customHeight="true" outlineLevel="0" collapsed="false">
      <c r="A789" s="70"/>
      <c r="B789" s="70"/>
      <c r="C789" s="70"/>
      <c r="D789" s="70"/>
      <c r="E789" s="70"/>
      <c r="F789" s="70" t="s">
        <v>36</v>
      </c>
      <c r="G789" s="70" t="n">
        <f aca="false">COUNTIFS(Data!$B$2:$B$1833,$L789,Data!$C$2:$C$1833,$M789,Data!$D$2:$D$1833,$N789,Data!$E$2:$E$1833,$O789,Data!$F$2:$F$1833,$F789,Data!$H$2:$H$1833,1)</f>
        <v>3</v>
      </c>
      <c r="H789" s="70" t="n">
        <v>1234</v>
      </c>
      <c r="I789" s="31" t="str">
        <f aca="false">INDEX(Data!$G$2:$G$1833,MATCH($H789,Data!$A$2:$A$1833,0))</f>
        <v>Can with some effort keep up with and contribute to group discussions even when talk is fast and colloquial.</v>
      </c>
      <c r="J789" s="71" t="s">
        <v>3044</v>
      </c>
      <c r="L789" s="70" t="s">
        <v>397</v>
      </c>
      <c r="M789" s="70" t="s">
        <v>624</v>
      </c>
      <c r="N789" s="70" t="s">
        <v>1588</v>
      </c>
      <c r="O789" s="70" t="s">
        <v>1589</v>
      </c>
    </row>
    <row r="790" customFormat="false" ht="15" hidden="false" customHeight="true" outlineLevel="0" collapsed="false">
      <c r="A790" s="70"/>
      <c r="B790" s="70"/>
      <c r="C790" s="70"/>
      <c r="D790" s="70"/>
      <c r="E790" s="70"/>
      <c r="F790" s="70" t="s">
        <v>74</v>
      </c>
      <c r="G790" s="70" t="n">
        <f aca="false">COUNTIFS(Data!$B$2:$B$1833,$L790,Data!$C$2:$C$1833,$M790,Data!$D$2:$D$1833,$N790,Data!$E$2:$E$1833,$O790,Data!$F$2:$F$1833,$F790,Data!$H$2:$H$1833,1)</f>
        <v>6</v>
      </c>
      <c r="H790" s="70" t="n">
        <v>1233</v>
      </c>
      <c r="I790" s="31" t="str">
        <f aca="false">INDEX(Data!$G$2:$G$1833,MATCH($H790,Data!$A$2:$A$1833,0))</f>
        <v>Can frame critical remarks or express strong disagreement diplomatically.</v>
      </c>
      <c r="J790" s="71" t="s">
        <v>3045</v>
      </c>
      <c r="L790" s="70" t="s">
        <v>397</v>
      </c>
      <c r="M790" s="70" t="s">
        <v>624</v>
      </c>
      <c r="N790" s="70" t="s">
        <v>1588</v>
      </c>
      <c r="O790" s="70" t="s">
        <v>1589</v>
      </c>
    </row>
    <row r="791" customFormat="false" ht="21.75" hidden="false" customHeight="true" outlineLevel="0" collapsed="false">
      <c r="A791" s="70"/>
      <c r="B791" s="70"/>
      <c r="C791" s="70"/>
      <c r="D791" s="70"/>
      <c r="E791" s="70"/>
      <c r="F791" s="70" t="s">
        <v>331</v>
      </c>
      <c r="G791" s="70" t="n">
        <f aca="false">COUNTIFS(Data!$B$2:$B$1833,$L791,Data!$C$2:$C$1833,$M791,Data!$D$2:$D$1833,$N791,Data!$E$2:$E$1833,$O791,Data!$F$2:$F$1833,$F791,Data!$H$2:$H$1833,1)</f>
        <v>4</v>
      </c>
      <c r="H791" s="70" t="n">
        <v>1225</v>
      </c>
      <c r="I791" s="31" t="str">
        <f aca="false">INDEX(Data!$G$2:$G$1833,MATCH($H791,Data!$A$2:$A$1833,0))</f>
        <v>Has a good command of idiomatic expressions and colloquialisms with awareness of connotative levels of meaning.</v>
      </c>
      <c r="J791" s="71" t="s">
        <v>3046</v>
      </c>
      <c r="L791" s="70" t="s">
        <v>397</v>
      </c>
      <c r="M791" s="70" t="s">
        <v>624</v>
      </c>
      <c r="N791" s="70" t="s">
        <v>1588</v>
      </c>
      <c r="O791" s="70" t="s">
        <v>1589</v>
      </c>
    </row>
    <row r="792" customFormat="false" ht="15" hidden="false" customHeight="true" outlineLevel="0" collapsed="false">
      <c r="A792" s="73" t="str">
        <f aca="false">IFERROR(INDEX(対訳マスタ!$C$2:$C$136,MATCH($L792,対訳マスタ!$B$2:$B$136,0)),$L792)</f>
        <v>コミュニケーション言語能力</v>
      </c>
      <c r="B792" s="73" t="str">
        <f aca="false">IF($M792="—","—",IFERROR(INDEX(対訳マスタ!$C$2:$C$136,MATCH($M792,対訳マスタ!$B$2:$B$136,0)),$M792))</f>
        <v>—</v>
      </c>
      <c r="C792" s="73" t="str">
        <f aca="false">IF($N792="—","—",IFERROR(INDEX(対訳マスタ!$C$2:$C$136,MATCH($N792,対訳マスタ!$B$2:$B$136,0)),$N792))</f>
        <v>語用能力</v>
      </c>
      <c r="D792" s="73" t="str">
        <f aca="false">IFERROR(INDEX(対訳マスタ!$C$2:$C$136,MATCH($O792,対訳マスタ!$B$2:$B$136,0)),$O792)</f>
        <v>柔軟さ（言い回しの融通）</v>
      </c>
      <c r="E792" s="73" t="s">
        <v>1613</v>
      </c>
      <c r="F792" s="73" t="s">
        <v>86</v>
      </c>
      <c r="G792" s="73" t="n">
        <f aca="false">COUNTIFS(Data!$B$2:$B$1833,$L792,Data!$C$2:$C$1833,$M792,Data!$D$2:$D$1833,$N792,Data!$E$2:$E$1833,$O792,Data!$F$2:$F$1833,$F792,Data!$H$2:$H$1833,1)</f>
        <v>0</v>
      </c>
      <c r="H792" s="73" t="s">
        <v>624</v>
      </c>
      <c r="I792" s="74" t="s">
        <v>624</v>
      </c>
      <c r="J792" s="74" t="s">
        <v>624</v>
      </c>
      <c r="L792" s="70" t="s">
        <v>397</v>
      </c>
      <c r="M792" s="70" t="s">
        <v>624</v>
      </c>
      <c r="N792" s="70" t="s">
        <v>1612</v>
      </c>
      <c r="O792" s="70" t="s">
        <v>1613</v>
      </c>
    </row>
    <row r="793" customFormat="false" ht="15" hidden="false" customHeight="true" outlineLevel="0" collapsed="false">
      <c r="A793" s="75"/>
      <c r="B793" s="75"/>
      <c r="C793" s="75"/>
      <c r="D793" s="75"/>
      <c r="E793" s="75"/>
      <c r="F793" s="75" t="s">
        <v>101</v>
      </c>
      <c r="G793" s="75" t="n">
        <f aca="false">COUNTIFS(Data!$B$2:$B$1833,$L793,Data!$C$2:$C$1833,$M793,Data!$D$2:$D$1833,$N793,Data!$E$2:$E$1833,$O793,Data!$F$2:$F$1833,$F793,Data!$H$2:$H$1833,1)</f>
        <v>0</v>
      </c>
      <c r="H793" s="75" t="s">
        <v>624</v>
      </c>
      <c r="I793" s="76" t="s">
        <v>624</v>
      </c>
      <c r="J793" s="76" t="s">
        <v>624</v>
      </c>
      <c r="L793" s="70" t="s">
        <v>397</v>
      </c>
      <c r="M793" s="70" t="s">
        <v>624</v>
      </c>
      <c r="N793" s="70" t="s">
        <v>1612</v>
      </c>
      <c r="O793" s="70" t="s">
        <v>1613</v>
      </c>
    </row>
    <row r="794" customFormat="false" ht="15" hidden="false" customHeight="true" outlineLevel="0" collapsed="false">
      <c r="A794" s="75"/>
      <c r="B794" s="75"/>
      <c r="C794" s="75"/>
      <c r="D794" s="75"/>
      <c r="E794" s="75"/>
      <c r="F794" s="75" t="s">
        <v>13</v>
      </c>
      <c r="G794" s="75" t="n">
        <f aca="false">COUNTIFS(Data!$B$2:$B$1833,$L794,Data!$C$2:$C$1833,$M794,Data!$D$2:$D$1833,$N794,Data!$E$2:$E$1833,$O794,Data!$F$2:$F$1833,$F794,Data!$H$2:$H$1833,1)</f>
        <v>2</v>
      </c>
      <c r="H794" s="75" t="n">
        <v>1259</v>
      </c>
      <c r="I794" s="76" t="str">
        <f aca="false">INDEX(Data!$G$2:$G$1833,MATCH($H794,Data!$A$2:$A$1833,0))</f>
        <v>Can expand learnt phrases through simple recombinations of their elements.</v>
      </c>
      <c r="J794" s="77" t="s">
        <v>3047</v>
      </c>
      <c r="L794" s="70" t="s">
        <v>397</v>
      </c>
      <c r="M794" s="70" t="s">
        <v>624</v>
      </c>
      <c r="N794" s="70" t="s">
        <v>1612</v>
      </c>
      <c r="O794" s="70" t="s">
        <v>1613</v>
      </c>
    </row>
    <row r="795" customFormat="false" ht="15" hidden="false" customHeight="true" outlineLevel="0" collapsed="false">
      <c r="A795" s="75"/>
      <c r="B795" s="75"/>
      <c r="C795" s="75"/>
      <c r="D795" s="75"/>
      <c r="E795" s="75"/>
      <c r="F795" s="75" t="s">
        <v>123</v>
      </c>
      <c r="G795" s="75" t="n">
        <f aca="false">COUNTIFS(Data!$B$2:$B$1833,$L795,Data!$C$2:$C$1833,$M795,Data!$D$2:$D$1833,$N795,Data!$E$2:$E$1833,$O795,Data!$F$2:$F$1833,$F795,Data!$H$2:$H$1833,1)</f>
        <v>0</v>
      </c>
      <c r="H795" s="75" t="s">
        <v>624</v>
      </c>
      <c r="I795" s="76" t="s">
        <v>624</v>
      </c>
      <c r="J795" s="76" t="s">
        <v>624</v>
      </c>
      <c r="L795" s="70" t="s">
        <v>397</v>
      </c>
      <c r="M795" s="70" t="s">
        <v>624</v>
      </c>
      <c r="N795" s="70" t="s">
        <v>1612</v>
      </c>
      <c r="O795" s="70" t="s">
        <v>1613</v>
      </c>
    </row>
    <row r="796" customFormat="false" ht="26.25" hidden="false" customHeight="true" outlineLevel="0" collapsed="false">
      <c r="A796" s="75"/>
      <c r="B796" s="75"/>
      <c r="C796" s="75"/>
      <c r="D796" s="75"/>
      <c r="E796" s="75"/>
      <c r="F796" s="75" t="s">
        <v>21</v>
      </c>
      <c r="G796" s="75" t="n">
        <f aca="false">COUNTIFS(Data!$B$2:$B$1833,$L796,Data!$C$2:$C$1833,$M796,Data!$D$2:$D$1833,$N796,Data!$E$2:$E$1833,$O796,Data!$F$2:$F$1833,$F796,Data!$H$2:$H$1833,1)</f>
        <v>2</v>
      </c>
      <c r="H796" s="75" t="n">
        <v>1256</v>
      </c>
      <c r="I796" s="76" t="str">
        <f aca="false">INDEX(Data!$G$2:$G$1833,MATCH($H796,Data!$A$2:$A$1833,0))</f>
        <v>Can adapt their expression to deal with less routine, even difficult, situations.</v>
      </c>
      <c r="J796" s="77" t="s">
        <v>3048</v>
      </c>
      <c r="L796" s="70" t="s">
        <v>397</v>
      </c>
      <c r="M796" s="70" t="s">
        <v>624</v>
      </c>
      <c r="N796" s="70" t="s">
        <v>1612</v>
      </c>
      <c r="O796" s="70" t="s">
        <v>1613</v>
      </c>
    </row>
    <row r="797" customFormat="false" ht="15" hidden="false" customHeight="true" outlineLevel="0" collapsed="false">
      <c r="A797" s="75"/>
      <c r="B797" s="75"/>
      <c r="C797" s="75"/>
      <c r="D797" s="75"/>
      <c r="E797" s="75"/>
      <c r="F797" s="75" t="s">
        <v>52</v>
      </c>
      <c r="G797" s="75" t="n">
        <f aca="false">COUNTIFS(Data!$B$2:$B$1833,$L797,Data!$C$2:$C$1833,$M797,Data!$D$2:$D$1833,$N797,Data!$E$2:$E$1833,$O797,Data!$F$2:$F$1833,$F797,Data!$H$2:$H$1833,1)</f>
        <v>0</v>
      </c>
      <c r="H797" s="75" t="s">
        <v>624</v>
      </c>
      <c r="I797" s="76" t="s">
        <v>624</v>
      </c>
      <c r="J797" s="76" t="s">
        <v>624</v>
      </c>
      <c r="L797" s="70" t="s">
        <v>397</v>
      </c>
      <c r="M797" s="70" t="s">
        <v>624</v>
      </c>
      <c r="N797" s="70" t="s">
        <v>1612</v>
      </c>
      <c r="O797" s="70" t="s">
        <v>1613</v>
      </c>
    </row>
    <row r="798" customFormat="false" ht="15" hidden="false" customHeight="true" outlineLevel="0" collapsed="false">
      <c r="A798" s="75"/>
      <c r="B798" s="75"/>
      <c r="C798" s="75"/>
      <c r="D798" s="75"/>
      <c r="E798" s="75"/>
      <c r="F798" s="75" t="s">
        <v>259</v>
      </c>
      <c r="G798" s="75" t="n">
        <f aca="false">COUNTIFS(Data!$B$2:$B$1833,$L798,Data!$C$2:$C$1833,$M798,Data!$D$2:$D$1833,$N798,Data!$E$2:$E$1833,$O798,Data!$F$2:$F$1833,$F798,Data!$H$2:$H$1833,1)</f>
        <v>3</v>
      </c>
      <c r="H798" s="75" t="n">
        <v>1254</v>
      </c>
      <c r="I798" s="76" t="str">
        <f aca="false">INDEX(Data!$G$2:$G$1833,MATCH($H798,Data!$A$2:$A$1833,0))</f>
        <v>Can vary formulation of what they want to say.</v>
      </c>
      <c r="J798" s="77" t="s">
        <v>3049</v>
      </c>
      <c r="L798" s="70" t="s">
        <v>397</v>
      </c>
      <c r="M798" s="70" t="s">
        <v>624</v>
      </c>
      <c r="N798" s="70" t="s">
        <v>1612</v>
      </c>
      <c r="O798" s="70" t="s">
        <v>1613</v>
      </c>
    </row>
    <row r="799" customFormat="false" ht="26.25" hidden="false" customHeight="true" outlineLevel="0" collapsed="false">
      <c r="A799" s="75"/>
      <c r="B799" s="75"/>
      <c r="C799" s="75"/>
      <c r="D799" s="75"/>
      <c r="E799" s="75"/>
      <c r="F799" s="75" t="s">
        <v>36</v>
      </c>
      <c r="G799" s="75" t="n">
        <f aca="false">COUNTIFS(Data!$B$2:$B$1833,$L799,Data!$C$2:$C$1833,$M799,Data!$D$2:$D$1833,$N799,Data!$E$2:$E$1833,$O799,Data!$F$2:$F$1833,$F799,Data!$H$2:$H$1833,1)</f>
        <v>1</v>
      </c>
      <c r="H799" s="75" t="n">
        <v>1252</v>
      </c>
      <c r="I799" s="76" t="str">
        <f aca="false">INDEX(Data!$G$2:$G$1833,MATCH($H799,Data!$A$2:$A$1833,0))</f>
        <v>Can adjust what they say and the means of expressing it to the situation and the recipient and adopt a level of formality appropriate to the circumstances.</v>
      </c>
      <c r="J799" s="77" t="s">
        <v>3050</v>
      </c>
      <c r="L799" s="70" t="s">
        <v>397</v>
      </c>
      <c r="M799" s="70" t="s">
        <v>624</v>
      </c>
      <c r="N799" s="70" t="s">
        <v>1612</v>
      </c>
      <c r="O799" s="70" t="s">
        <v>1613</v>
      </c>
    </row>
    <row r="800" customFormat="false" ht="21.75" hidden="false" customHeight="true" outlineLevel="0" collapsed="false">
      <c r="A800" s="75"/>
      <c r="B800" s="75"/>
      <c r="C800" s="75"/>
      <c r="D800" s="75"/>
      <c r="E800" s="75"/>
      <c r="F800" s="75" t="s">
        <v>74</v>
      </c>
      <c r="G800" s="75" t="n">
        <f aca="false">COUNTIFS(Data!$B$2:$B$1833,$L800,Data!$C$2:$C$1833,$M800,Data!$D$2:$D$1833,$N800,Data!$E$2:$E$1833,$O800,Data!$F$2:$F$1833,$F800,Data!$H$2:$H$1833,1)</f>
        <v>2</v>
      </c>
      <c r="H800" s="75" t="n">
        <v>1251</v>
      </c>
      <c r="I800" s="76" t="str">
        <f aca="false">INDEX(Data!$G$2:$G$1833,MATCH($H800,Data!$A$2:$A$1833,0))</f>
        <v>Can modify their expression to express degrees of commitment or hesitation, confidence or uncertainty.</v>
      </c>
      <c r="J800" s="77" t="s">
        <v>3051</v>
      </c>
      <c r="L800" s="70" t="s">
        <v>397</v>
      </c>
      <c r="M800" s="70" t="s">
        <v>624</v>
      </c>
      <c r="N800" s="70" t="s">
        <v>1612</v>
      </c>
      <c r="O800" s="70" t="s">
        <v>1613</v>
      </c>
    </row>
    <row r="801" customFormat="false" ht="32.25" hidden="false" customHeight="true" outlineLevel="0" collapsed="false">
      <c r="A801" s="75"/>
      <c r="B801" s="75"/>
      <c r="C801" s="75"/>
      <c r="D801" s="75"/>
      <c r="E801" s="75"/>
      <c r="F801" s="75" t="s">
        <v>331</v>
      </c>
      <c r="G801" s="75" t="n">
        <f aca="false">COUNTIFS(Data!$B$2:$B$1833,$L801,Data!$C$2:$C$1833,$M801,Data!$D$2:$D$1833,$N801,Data!$E$2:$E$1833,$O801,Data!$F$2:$F$1833,$F801,Data!$H$2:$H$1833,1)</f>
        <v>1</v>
      </c>
      <c r="H801" s="75" t="n">
        <v>1249</v>
      </c>
      <c r="I801" s="76" t="str">
        <f aca="false">INDEX(Data!$G$2:$G$1833,MATCH($H801,Data!$A$2:$A$1833,0))</f>
        <v>Shows great flexibility in reformulating ideas in differing linguistic forms to give emphasis, differentiate according to the situation, interlocutor, etc. and to eliminate ambiguity.</v>
      </c>
      <c r="J801" s="77" t="s">
        <v>3052</v>
      </c>
      <c r="L801" s="70" t="s">
        <v>397</v>
      </c>
      <c r="M801" s="70" t="s">
        <v>624</v>
      </c>
      <c r="N801" s="70" t="s">
        <v>1612</v>
      </c>
      <c r="O801" s="70" t="s">
        <v>1613</v>
      </c>
    </row>
    <row r="802" customFormat="false" ht="15" hidden="false" customHeight="true" outlineLevel="0" collapsed="false">
      <c r="A802" s="67" t="str">
        <f aca="false">IFERROR(INDEX(対訳マスタ!$C$2:$C$136,MATCH($L802,対訳マスタ!$B$2:$B$136,0)),$L802)</f>
        <v>コミュニケーション言語能力</v>
      </c>
      <c r="B802" s="67" t="str">
        <f aca="false">IF($M802="—","—",IFERROR(INDEX(対訳マスタ!$C$2:$C$136,MATCH($M802,対訳マスタ!$B$2:$B$136,0)),$M802))</f>
        <v>—</v>
      </c>
      <c r="C802" s="67" t="str">
        <f aca="false">IF($N802="—","—",IFERROR(INDEX(対訳マスタ!$C$2:$C$136,MATCH($N802,対訳マスタ!$B$2:$B$136,0)),$N802))</f>
        <v>語用能力</v>
      </c>
      <c r="D802" s="67" t="str">
        <f aca="false">IFERROR(INDEX(対訳マスタ!$C$2:$C$136,MATCH($O802,対訳マスタ!$B$2:$B$136,0)),$O802)</f>
        <v>発言権のやりとり（ターンテイキング）</v>
      </c>
      <c r="E802" s="67" t="s">
        <v>1087</v>
      </c>
      <c r="F802" s="67" t="s">
        <v>86</v>
      </c>
      <c r="G802" s="67" t="n">
        <f aca="false">COUNTIFS(Data!$B$2:$B$1833,$L802,Data!$C$2:$C$1833,$M802,Data!$D$2:$D$1833,$N802,Data!$E$2:$E$1833,$O802,Data!$F$2:$F$1833,$F802,Data!$H$2:$H$1833,1)</f>
        <v>0</v>
      </c>
      <c r="H802" s="67" t="s">
        <v>624</v>
      </c>
      <c r="I802" s="68" t="s">
        <v>624</v>
      </c>
      <c r="J802" s="68" t="s">
        <v>624</v>
      </c>
      <c r="L802" s="70" t="s">
        <v>397</v>
      </c>
      <c r="M802" s="70" t="s">
        <v>624</v>
      </c>
      <c r="N802" s="70" t="s">
        <v>1612</v>
      </c>
      <c r="O802" s="70" t="s">
        <v>1087</v>
      </c>
    </row>
    <row r="803" customFormat="false" ht="15" hidden="false" customHeight="true" outlineLevel="0" collapsed="false">
      <c r="A803" s="70"/>
      <c r="B803" s="70"/>
      <c r="C803" s="70"/>
      <c r="D803" s="70"/>
      <c r="E803" s="70"/>
      <c r="F803" s="70" t="s">
        <v>101</v>
      </c>
      <c r="G803" s="70" t="n">
        <f aca="false">COUNTIFS(Data!$B$2:$B$1833,$L803,Data!$C$2:$C$1833,$M803,Data!$D$2:$D$1833,$N803,Data!$E$2:$E$1833,$O803,Data!$F$2:$F$1833,$F803,Data!$H$2:$H$1833,1)</f>
        <v>0</v>
      </c>
      <c r="H803" s="70" t="s">
        <v>624</v>
      </c>
      <c r="I803" s="31" t="s">
        <v>624</v>
      </c>
      <c r="J803" s="31" t="s">
        <v>624</v>
      </c>
      <c r="L803" s="70" t="s">
        <v>397</v>
      </c>
      <c r="M803" s="70" t="s">
        <v>624</v>
      </c>
      <c r="N803" s="70" t="s">
        <v>1612</v>
      </c>
      <c r="O803" s="70" t="s">
        <v>1087</v>
      </c>
    </row>
    <row r="804" customFormat="false" ht="15" hidden="false" customHeight="true" outlineLevel="0" collapsed="false">
      <c r="A804" s="70"/>
      <c r="B804" s="70"/>
      <c r="C804" s="70"/>
      <c r="D804" s="70"/>
      <c r="E804" s="70"/>
      <c r="F804" s="70" t="s">
        <v>13</v>
      </c>
      <c r="G804" s="70" t="n">
        <f aca="false">COUNTIFS(Data!$B$2:$B$1833,$L804,Data!$C$2:$C$1833,$M804,Data!$D$2:$D$1833,$N804,Data!$E$2:$E$1833,$O804,Data!$F$2:$F$1833,$F804,Data!$H$2:$H$1833,1)</f>
        <v>1</v>
      </c>
      <c r="H804" s="70" t="n">
        <v>1272</v>
      </c>
      <c r="I804" s="31" t="str">
        <f aca="false">INDEX(Data!$G$2:$G$1833,MATCH($H804,Data!$A$2:$A$1833,0))</f>
        <v>Can ask for attention.</v>
      </c>
      <c r="J804" s="71" t="s">
        <v>2773</v>
      </c>
      <c r="L804" s="70" t="s">
        <v>397</v>
      </c>
      <c r="M804" s="70" t="s">
        <v>624</v>
      </c>
      <c r="N804" s="70" t="s">
        <v>1612</v>
      </c>
      <c r="O804" s="70" t="s">
        <v>1087</v>
      </c>
    </row>
    <row r="805" customFormat="false" ht="15" hidden="false" customHeight="true" outlineLevel="0" collapsed="false">
      <c r="A805" s="70"/>
      <c r="B805" s="70"/>
      <c r="C805" s="70"/>
      <c r="D805" s="70"/>
      <c r="E805" s="70"/>
      <c r="F805" s="70" t="s">
        <v>123</v>
      </c>
      <c r="G805" s="70" t="n">
        <f aca="false">COUNTIFS(Data!$B$2:$B$1833,$L805,Data!$C$2:$C$1833,$M805,Data!$D$2:$D$1833,$N805,Data!$E$2:$E$1833,$O805,Data!$F$2:$F$1833,$F805,Data!$H$2:$H$1833,1)</f>
        <v>2</v>
      </c>
      <c r="H805" s="70" t="n">
        <v>1271</v>
      </c>
      <c r="I805" s="31" t="str">
        <f aca="false">INDEX(Data!$G$2:$G$1833,MATCH($H805,Data!$A$2:$A$1833,0))</f>
        <v>Can initiate, maintain and close simple, face-to-face conversation.</v>
      </c>
      <c r="J805" s="71" t="s">
        <v>2774</v>
      </c>
      <c r="L805" s="70" t="s">
        <v>397</v>
      </c>
      <c r="M805" s="70" t="s">
        <v>624</v>
      </c>
      <c r="N805" s="70" t="s">
        <v>1612</v>
      </c>
      <c r="O805" s="70" t="s">
        <v>1087</v>
      </c>
    </row>
    <row r="806" customFormat="false" ht="26.25" hidden="false" customHeight="true" outlineLevel="0" collapsed="false">
      <c r="A806" s="70"/>
      <c r="B806" s="70"/>
      <c r="C806" s="70"/>
      <c r="D806" s="70"/>
      <c r="E806" s="70"/>
      <c r="F806" s="70" t="s">
        <v>21</v>
      </c>
      <c r="G806" s="70" t="n">
        <f aca="false">COUNTIFS(Data!$B$2:$B$1833,$L806,Data!$C$2:$C$1833,$M806,Data!$D$2:$D$1833,$N806,Data!$E$2:$E$1833,$O806,Data!$F$2:$F$1833,$F806,Data!$H$2:$H$1833,1)</f>
        <v>1</v>
      </c>
      <c r="H806" s="70" t="n">
        <v>1269</v>
      </c>
      <c r="I806" s="31" t="str">
        <f aca="false">INDEX(Data!$G$2:$G$1833,MATCH($H806,Data!$A$2:$A$1833,0))</f>
        <v>Can initiate, maintain and close simple face-to-face conversation on topics that are familiar or of personal interest.</v>
      </c>
      <c r="J806" s="71" t="s">
        <v>2775</v>
      </c>
      <c r="L806" s="70" t="s">
        <v>397</v>
      </c>
      <c r="M806" s="70" t="s">
        <v>624</v>
      </c>
      <c r="N806" s="70" t="s">
        <v>1612</v>
      </c>
      <c r="O806" s="70" t="s">
        <v>1087</v>
      </c>
    </row>
    <row r="807" customFormat="false" ht="21.75" hidden="false" customHeight="true" outlineLevel="0" collapsed="false">
      <c r="A807" s="70"/>
      <c r="B807" s="70"/>
      <c r="C807" s="70"/>
      <c r="D807" s="70"/>
      <c r="E807" s="70"/>
      <c r="F807" s="70" t="s">
        <v>52</v>
      </c>
      <c r="G807" s="70" t="n">
        <f aca="false">COUNTIFS(Data!$B$2:$B$1833,$L807,Data!$C$2:$C$1833,$M807,Data!$D$2:$D$1833,$N807,Data!$E$2:$E$1833,$O807,Data!$F$2:$F$1833,$F807,Data!$H$2:$H$1833,1)</f>
        <v>1</v>
      </c>
      <c r="H807" s="70" t="n">
        <v>1268</v>
      </c>
      <c r="I807" s="31" t="str">
        <f aca="false">INDEX(Data!$G$2:$G$1833,MATCH($H807,Data!$A$2:$A$1833,0))</f>
        <v>Can intervene in a discussion on a familiar topic, using a suitable phrase to get the floor.</v>
      </c>
      <c r="J807" s="71" t="s">
        <v>2776</v>
      </c>
      <c r="L807" s="70" t="s">
        <v>397</v>
      </c>
      <c r="M807" s="70" t="s">
        <v>624</v>
      </c>
      <c r="N807" s="70" t="s">
        <v>1612</v>
      </c>
      <c r="O807" s="70" t="s">
        <v>1087</v>
      </c>
    </row>
    <row r="808" customFormat="false" ht="21.75" hidden="false" customHeight="true" outlineLevel="0" collapsed="false">
      <c r="A808" s="70"/>
      <c r="B808" s="70"/>
      <c r="C808" s="70"/>
      <c r="D808" s="70"/>
      <c r="E808" s="70"/>
      <c r="F808" s="70" t="s">
        <v>259</v>
      </c>
      <c r="G808" s="70" t="n">
        <f aca="false">COUNTIFS(Data!$B$2:$B$1833,$L808,Data!$C$2:$C$1833,$M808,Data!$D$2:$D$1833,$N808,Data!$E$2:$E$1833,$O808,Data!$F$2:$F$1833,$F808,Data!$H$2:$H$1833,1)</f>
        <v>4</v>
      </c>
      <c r="H808" s="70" t="n">
        <v>1265</v>
      </c>
      <c r="I808" s="31" t="str">
        <f aca="false">INDEX(Data!$G$2:$G$1833,MATCH($H808,Data!$A$2:$A$1833,0))</f>
        <v>Can initiate, maintain and end discourse appropriately with effective turntaking.</v>
      </c>
      <c r="J808" s="71" t="s">
        <v>2777</v>
      </c>
      <c r="L808" s="70" t="s">
        <v>397</v>
      </c>
      <c r="M808" s="70" t="s">
        <v>624</v>
      </c>
      <c r="N808" s="70" t="s">
        <v>1612</v>
      </c>
      <c r="O808" s="70" t="s">
        <v>1087</v>
      </c>
    </row>
    <row r="809" customFormat="false" ht="15" hidden="false" customHeight="true" outlineLevel="0" collapsed="false">
      <c r="A809" s="70"/>
      <c r="B809" s="70"/>
      <c r="C809" s="70"/>
      <c r="D809" s="70"/>
      <c r="E809" s="70"/>
      <c r="F809" s="70" t="s">
        <v>36</v>
      </c>
      <c r="G809" s="70" t="n">
        <f aca="false">COUNTIFS(Data!$B$2:$B$1833,$L809,Data!$C$2:$C$1833,$M809,Data!$D$2:$D$1833,$N809,Data!$E$2:$E$1833,$O809,Data!$F$2:$F$1833,$F809,Data!$H$2:$H$1833,1)</f>
        <v>0</v>
      </c>
      <c r="H809" s="70" t="s">
        <v>624</v>
      </c>
      <c r="I809" s="31" t="s">
        <v>624</v>
      </c>
      <c r="J809" s="31" t="s">
        <v>624</v>
      </c>
      <c r="L809" s="70" t="s">
        <v>397</v>
      </c>
      <c r="M809" s="70" t="s">
        <v>624</v>
      </c>
      <c r="N809" s="70" t="s">
        <v>1612</v>
      </c>
      <c r="O809" s="70" t="s">
        <v>1087</v>
      </c>
    </row>
    <row r="810" customFormat="false" ht="32.25" hidden="false" customHeight="true" outlineLevel="0" collapsed="false">
      <c r="A810" s="70"/>
      <c r="B810" s="70"/>
      <c r="C810" s="70"/>
      <c r="D810" s="70"/>
      <c r="E810" s="70"/>
      <c r="F810" s="70" t="s">
        <v>74</v>
      </c>
      <c r="G810" s="70" t="n">
        <f aca="false">COUNTIFS(Data!$B$2:$B$1833,$L810,Data!$C$2:$C$1833,$M810,Data!$D$2:$D$1833,$N810,Data!$E$2:$E$1833,$O810,Data!$F$2:$F$1833,$F810,Data!$H$2:$H$1833,1)</f>
        <v>1</v>
      </c>
      <c r="H810" s="70" t="n">
        <v>1263</v>
      </c>
      <c r="I810" s="31" t="str">
        <f aca="false">INDEX(Data!$G$2:$G$1833,MATCH($H810,Data!$A$2:$A$1833,0))</f>
        <v>Can select a suitable phrase from a readily available range of discourse functions to preface their remarks appropriately in order to get the floor, or to gain time and keep the floor whilst thinking.</v>
      </c>
      <c r="J810" s="71" t="s">
        <v>2778</v>
      </c>
      <c r="L810" s="70" t="s">
        <v>397</v>
      </c>
      <c r="M810" s="70" t="s">
        <v>624</v>
      </c>
      <c r="N810" s="70" t="s">
        <v>1612</v>
      </c>
      <c r="O810" s="70" t="s">
        <v>1087</v>
      </c>
    </row>
    <row r="811" customFormat="false" ht="15" hidden="false" customHeight="true" outlineLevel="0" collapsed="false">
      <c r="A811" s="70"/>
      <c r="B811" s="70"/>
      <c r="C811" s="70"/>
      <c r="D811" s="70"/>
      <c r="E811" s="70"/>
      <c r="F811" s="70" t="s">
        <v>331</v>
      </c>
      <c r="G811" s="70" t="n">
        <f aca="false">COUNTIFS(Data!$B$2:$B$1833,$L811,Data!$C$2:$C$1833,$M811,Data!$D$2:$D$1833,$N811,Data!$E$2:$E$1833,$O811,Data!$F$2:$F$1833,$F811,Data!$H$2:$H$1833,1)</f>
        <v>0</v>
      </c>
      <c r="H811" s="70" t="s">
        <v>624</v>
      </c>
      <c r="I811" s="31" t="s">
        <v>624</v>
      </c>
      <c r="J811" s="31" t="s">
        <v>624</v>
      </c>
      <c r="L811" s="70" t="s">
        <v>397</v>
      </c>
      <c r="M811" s="70" t="s">
        <v>624</v>
      </c>
      <c r="N811" s="70" t="s">
        <v>1612</v>
      </c>
      <c r="O811" s="70" t="s">
        <v>1087</v>
      </c>
    </row>
    <row r="812" customFormat="false" ht="15" hidden="false" customHeight="true" outlineLevel="0" collapsed="false">
      <c r="A812" s="73" t="str">
        <f aca="false">IFERROR(INDEX(対訳マスタ!$C$2:$C$136,MATCH($L812,対訳マスタ!$B$2:$B$136,0)),$L812)</f>
        <v>コミュニケーション言語能力</v>
      </c>
      <c r="B812" s="73" t="str">
        <f aca="false">IF($M812="—","—",IFERROR(INDEX(対訳マスタ!$C$2:$C$136,MATCH($M812,対訳マスタ!$B$2:$B$136,0)),$M812))</f>
        <v>—</v>
      </c>
      <c r="C812" s="73" t="str">
        <f aca="false">IF($N812="—","—",IFERROR(INDEX(対訳マスタ!$C$2:$C$136,MATCH($N812,対訳マスタ!$B$2:$B$136,0)),$N812))</f>
        <v>語用能力</v>
      </c>
      <c r="D812" s="73" t="str">
        <f aca="false">IFERROR(INDEX(対訳マスタ!$C$2:$C$136,MATCH($O812,対訳マスタ!$B$2:$B$136,0)),$O812)</f>
        <v>主題の展開</v>
      </c>
      <c r="E812" s="73" t="s">
        <v>1627</v>
      </c>
      <c r="F812" s="73" t="s">
        <v>86</v>
      </c>
      <c r="G812" s="73" t="n">
        <f aca="false">COUNTIFS(Data!$B$2:$B$1833,$L812,Data!$C$2:$C$1833,$M812,Data!$D$2:$D$1833,$N812,Data!$E$2:$E$1833,$O812,Data!$F$2:$F$1833,$F812,Data!$H$2:$H$1833,1)</f>
        <v>0</v>
      </c>
      <c r="H812" s="73" t="s">
        <v>624</v>
      </c>
      <c r="I812" s="74" t="s">
        <v>624</v>
      </c>
      <c r="J812" s="74" t="s">
        <v>624</v>
      </c>
      <c r="L812" s="70" t="s">
        <v>397</v>
      </c>
      <c r="M812" s="70" t="s">
        <v>624</v>
      </c>
      <c r="N812" s="70" t="s">
        <v>1612</v>
      </c>
      <c r="O812" s="70" t="s">
        <v>1627</v>
      </c>
    </row>
    <row r="813" customFormat="false" ht="15" hidden="false" customHeight="true" outlineLevel="0" collapsed="false">
      <c r="A813" s="75"/>
      <c r="B813" s="75"/>
      <c r="C813" s="75"/>
      <c r="D813" s="75"/>
      <c r="E813" s="75"/>
      <c r="F813" s="75" t="s">
        <v>101</v>
      </c>
      <c r="G813" s="75" t="n">
        <f aca="false">COUNTIFS(Data!$B$2:$B$1833,$L813,Data!$C$2:$C$1833,$M813,Data!$D$2:$D$1833,$N813,Data!$E$2:$E$1833,$O813,Data!$F$2:$F$1833,$F813,Data!$H$2:$H$1833,1)</f>
        <v>0</v>
      </c>
      <c r="H813" s="75" t="s">
        <v>624</v>
      </c>
      <c r="I813" s="76" t="s">
        <v>624</v>
      </c>
      <c r="J813" s="76" t="s">
        <v>624</v>
      </c>
      <c r="L813" s="70" t="s">
        <v>397</v>
      </c>
      <c r="M813" s="70" t="s">
        <v>624</v>
      </c>
      <c r="N813" s="70" t="s">
        <v>1612</v>
      </c>
      <c r="O813" s="70" t="s">
        <v>1627</v>
      </c>
    </row>
    <row r="814" customFormat="false" ht="15" hidden="false" customHeight="true" outlineLevel="0" collapsed="false">
      <c r="A814" s="75"/>
      <c r="B814" s="75"/>
      <c r="C814" s="75"/>
      <c r="D814" s="75"/>
      <c r="E814" s="75"/>
      <c r="F814" s="75" t="s">
        <v>13</v>
      </c>
      <c r="G814" s="75" t="n">
        <f aca="false">COUNTIFS(Data!$B$2:$B$1833,$L814,Data!$C$2:$C$1833,$M814,Data!$D$2:$D$1833,$N814,Data!$E$2:$E$1833,$O814,Data!$F$2:$F$1833,$F814,Data!$H$2:$H$1833,1)</f>
        <v>0</v>
      </c>
      <c r="H814" s="75" t="s">
        <v>624</v>
      </c>
      <c r="I814" s="76" t="s">
        <v>624</v>
      </c>
      <c r="J814" s="76" t="s">
        <v>624</v>
      </c>
      <c r="L814" s="70" t="s">
        <v>397</v>
      </c>
      <c r="M814" s="70" t="s">
        <v>624</v>
      </c>
      <c r="N814" s="70" t="s">
        <v>1612</v>
      </c>
      <c r="O814" s="70" t="s">
        <v>1627</v>
      </c>
    </row>
    <row r="815" customFormat="false" ht="15" hidden="false" customHeight="true" outlineLevel="0" collapsed="false">
      <c r="A815" s="75"/>
      <c r="B815" s="75"/>
      <c r="C815" s="75"/>
      <c r="D815" s="75"/>
      <c r="E815" s="75"/>
      <c r="F815" s="75" t="s">
        <v>123</v>
      </c>
      <c r="G815" s="75" t="n">
        <f aca="false">COUNTIFS(Data!$B$2:$B$1833,$L815,Data!$C$2:$C$1833,$M815,Data!$D$2:$D$1833,$N815,Data!$E$2:$E$1833,$O815,Data!$F$2:$F$1833,$F815,Data!$H$2:$H$1833,1)</f>
        <v>2</v>
      </c>
      <c r="H815" s="75" t="n">
        <v>1291</v>
      </c>
      <c r="I815" s="76" t="str">
        <f aca="false">INDEX(Data!$G$2:$G$1833,MATCH($H815,Data!$A$2:$A$1833,0))</f>
        <v>Can tell a story or describe something in a simple list of points.</v>
      </c>
      <c r="J815" s="77" t="s">
        <v>3053</v>
      </c>
      <c r="L815" s="70" t="s">
        <v>397</v>
      </c>
      <c r="M815" s="70" t="s">
        <v>624</v>
      </c>
      <c r="N815" s="70" t="s">
        <v>1612</v>
      </c>
      <c r="O815" s="70" t="s">
        <v>1627</v>
      </c>
    </row>
    <row r="816" customFormat="false" ht="21.75" hidden="false" customHeight="true" outlineLevel="0" collapsed="false">
      <c r="A816" s="75"/>
      <c r="B816" s="75"/>
      <c r="C816" s="75"/>
      <c r="D816" s="75"/>
      <c r="E816" s="75"/>
      <c r="F816" s="75" t="s">
        <v>21</v>
      </c>
      <c r="G816" s="75" t="n">
        <f aca="false">COUNTIFS(Data!$B$2:$B$1833,$L816,Data!$C$2:$C$1833,$M816,Data!$D$2:$D$1833,$N816,Data!$E$2:$E$1833,$O816,Data!$F$2:$F$1833,$F816,Data!$H$2:$H$1833,1)</f>
        <v>2</v>
      </c>
      <c r="H816" s="75" t="n">
        <v>1290</v>
      </c>
      <c r="I816" s="76" t="str">
        <f aca="false">INDEX(Data!$G$2:$G$1833,MATCH($H816,Data!$A$2:$A$1833,0))</f>
        <v>Can reasonably fluently relate a straightforward narrative or description as a sequence of points.</v>
      </c>
      <c r="J816" s="77" t="s">
        <v>3054</v>
      </c>
      <c r="L816" s="70" t="s">
        <v>397</v>
      </c>
      <c r="M816" s="70" t="s">
        <v>624</v>
      </c>
      <c r="N816" s="70" t="s">
        <v>1612</v>
      </c>
      <c r="O816" s="70" t="s">
        <v>1627</v>
      </c>
    </row>
    <row r="817" customFormat="false" ht="15" hidden="false" customHeight="true" outlineLevel="0" collapsed="false">
      <c r="A817" s="75"/>
      <c r="B817" s="75"/>
      <c r="C817" s="75"/>
      <c r="D817" s="75"/>
      <c r="E817" s="75"/>
      <c r="F817" s="75" t="s">
        <v>52</v>
      </c>
      <c r="G817" s="75" t="n">
        <f aca="false">COUNTIFS(Data!$B$2:$B$1833,$L817,Data!$C$2:$C$1833,$M817,Data!$D$2:$D$1833,$N817,Data!$E$2:$E$1833,$O817,Data!$F$2:$F$1833,$F817,Data!$H$2:$H$1833,1)</f>
        <v>2</v>
      </c>
      <c r="H817" s="75" t="n">
        <v>1287</v>
      </c>
      <c r="I817" s="76" t="str">
        <f aca="false">INDEX(Data!$G$2:$G$1833,MATCH($H817,Data!$A$2:$A$1833,0))</f>
        <v>Can clearly signal chronological sequence in narrative text.</v>
      </c>
      <c r="J817" s="77" t="s">
        <v>2618</v>
      </c>
      <c r="L817" s="70" t="s">
        <v>397</v>
      </c>
      <c r="M817" s="70" t="s">
        <v>624</v>
      </c>
      <c r="N817" s="70" t="s">
        <v>1612</v>
      </c>
      <c r="O817" s="70" t="s">
        <v>1627</v>
      </c>
    </row>
    <row r="818" customFormat="false" ht="15" hidden="false" customHeight="true" outlineLevel="0" collapsed="false">
      <c r="A818" s="75"/>
      <c r="B818" s="75"/>
      <c r="C818" s="75"/>
      <c r="D818" s="75"/>
      <c r="E818" s="75"/>
      <c r="F818" s="75" t="s">
        <v>259</v>
      </c>
      <c r="G818" s="75" t="n">
        <f aca="false">COUNTIFS(Data!$B$2:$B$1833,$L818,Data!$C$2:$C$1833,$M818,Data!$D$2:$D$1833,$N818,Data!$E$2:$E$1833,$O818,Data!$F$2:$F$1833,$F818,Data!$H$2:$H$1833,1)</f>
        <v>5</v>
      </c>
      <c r="H818" s="75" t="n">
        <v>1286</v>
      </c>
      <c r="I818" s="76" t="str">
        <f aca="false">INDEX(Data!$G$2:$G$1833,MATCH($H818,Data!$A$2:$A$1833,0))</f>
        <v>Can clearly signal the difference between fact and opinion.</v>
      </c>
      <c r="J818" s="77" t="s">
        <v>3055</v>
      </c>
      <c r="L818" s="70" t="s">
        <v>397</v>
      </c>
      <c r="M818" s="70" t="s">
        <v>624</v>
      </c>
      <c r="N818" s="70" t="s">
        <v>1612</v>
      </c>
      <c r="O818" s="70" t="s">
        <v>1627</v>
      </c>
    </row>
    <row r="819" customFormat="false" ht="15" hidden="false" customHeight="true" outlineLevel="0" collapsed="false">
      <c r="A819" s="75"/>
      <c r="B819" s="75"/>
      <c r="C819" s="75"/>
      <c r="D819" s="75"/>
      <c r="E819" s="75"/>
      <c r="F819" s="75" t="s">
        <v>36</v>
      </c>
      <c r="G819" s="75" t="n">
        <f aca="false">COUNTIFS(Data!$B$2:$B$1833,$L819,Data!$C$2:$C$1833,$M819,Data!$D$2:$D$1833,$N819,Data!$E$2:$E$1833,$O819,Data!$F$2:$F$1833,$F819,Data!$H$2:$H$1833,1)</f>
        <v>2</v>
      </c>
      <c r="H819" s="75" t="n">
        <v>1281</v>
      </c>
      <c r="I819" s="76" t="str">
        <f aca="false">INDEX(Data!$G$2:$G$1833,MATCH($H819,Data!$A$2:$A$1833,0))</f>
        <v>Can present and respond to complex lines of argument convincingly.</v>
      </c>
      <c r="J819" s="77" t="s">
        <v>3056</v>
      </c>
      <c r="L819" s="70" t="s">
        <v>397</v>
      </c>
      <c r="M819" s="70" t="s">
        <v>624</v>
      </c>
      <c r="N819" s="70" t="s">
        <v>1612</v>
      </c>
      <c r="O819" s="70" t="s">
        <v>1627</v>
      </c>
    </row>
    <row r="820" customFormat="false" ht="15" hidden="false" customHeight="true" outlineLevel="0" collapsed="false">
      <c r="A820" s="75"/>
      <c r="B820" s="75"/>
      <c r="C820" s="75"/>
      <c r="D820" s="75"/>
      <c r="E820" s="75"/>
      <c r="F820" s="75" t="s">
        <v>74</v>
      </c>
      <c r="G820" s="75" t="n">
        <f aca="false">COUNTIFS(Data!$B$2:$B$1833,$L820,Data!$C$2:$C$1833,$M820,Data!$D$2:$D$1833,$N820,Data!$E$2:$E$1833,$O820,Data!$F$2:$F$1833,$F820,Data!$H$2:$H$1833,1)</f>
        <v>4</v>
      </c>
      <c r="H820" s="75" t="n">
        <v>1278</v>
      </c>
      <c r="I820" s="76" t="str">
        <f aca="false">INDEX(Data!$G$2:$G$1833,MATCH($H820,Data!$A$2:$A$1833,0))</f>
        <v>Can write a suitable introduction and conclusion to a long, complex text.</v>
      </c>
      <c r="J820" s="77" t="s">
        <v>3057</v>
      </c>
      <c r="L820" s="70" t="s">
        <v>397</v>
      </c>
      <c r="M820" s="70" t="s">
        <v>624</v>
      </c>
      <c r="N820" s="70" t="s">
        <v>1612</v>
      </c>
      <c r="O820" s="70" t="s">
        <v>1627</v>
      </c>
    </row>
    <row r="821" customFormat="false" ht="39" hidden="false" customHeight="true" outlineLevel="0" collapsed="false">
      <c r="A821" s="75"/>
      <c r="B821" s="75"/>
      <c r="C821" s="75"/>
      <c r="D821" s="75"/>
      <c r="E821" s="75"/>
      <c r="F821" s="75" t="s">
        <v>331</v>
      </c>
      <c r="G821" s="75" t="n">
        <f aca="false">COUNTIFS(Data!$B$2:$B$1833,$L821,Data!$C$2:$C$1833,$M821,Data!$D$2:$D$1833,$N821,Data!$E$2:$E$1833,$O821,Data!$F$2:$F$1833,$F821,Data!$H$2:$H$1833,1)</f>
        <v>1</v>
      </c>
      <c r="H821" s="75" t="n">
        <v>1275</v>
      </c>
      <c r="I821" s="76" t="str">
        <f aca="false">INDEX(Data!$G$2:$G$1833,MATCH($H821,Data!$A$2:$A$1833,0))</f>
        <v>Can use the conventions of the type of text concerned with sufficient flexibility to communicate complex ideas in an effective way, holding the target reader’s attention with ease and fulfilling all communicative purposes.</v>
      </c>
      <c r="J821" s="77" t="s">
        <v>3058</v>
      </c>
      <c r="L821" s="70" t="s">
        <v>397</v>
      </c>
      <c r="M821" s="70" t="s">
        <v>624</v>
      </c>
      <c r="N821" s="70" t="s">
        <v>1612</v>
      </c>
      <c r="O821" s="70" t="s">
        <v>1627</v>
      </c>
    </row>
    <row r="822" customFormat="false" ht="15" hidden="false" customHeight="true" outlineLevel="0" collapsed="false">
      <c r="A822" s="67" t="str">
        <f aca="false">IFERROR(INDEX(対訳マスタ!$C$2:$C$136,MATCH($L822,対訳マスタ!$B$2:$B$136,0)),$L822)</f>
        <v>コミュニケーション言語能力</v>
      </c>
      <c r="B822" s="67" t="str">
        <f aca="false">IF($M822="—","—",IFERROR(INDEX(対訳マスタ!$C$2:$C$136,MATCH($M822,対訳マスタ!$B$2:$B$136,0)),$M822))</f>
        <v>—</v>
      </c>
      <c r="C822" s="67" t="str">
        <f aca="false">IF($N822="—","—",IFERROR(INDEX(対訳マスタ!$C$2:$C$136,MATCH($N822,対訳マスタ!$B$2:$B$136,0)),$N822))</f>
        <v>語用能力</v>
      </c>
      <c r="D822" s="67" t="str">
        <f aca="false">IFERROR(INDEX(対訳マスタ!$C$2:$C$136,MATCH($O822,対訳マスタ!$B$2:$B$136,0)),$O822)</f>
        <v>一貫性と結束性</v>
      </c>
      <c r="E822" s="67" t="s">
        <v>1640</v>
      </c>
      <c r="F822" s="67" t="s">
        <v>86</v>
      </c>
      <c r="G822" s="67" t="n">
        <f aca="false">COUNTIFS(Data!$B$2:$B$1833,$L822,Data!$C$2:$C$1833,$M822,Data!$D$2:$D$1833,$N822,Data!$E$2:$E$1833,$O822,Data!$F$2:$F$1833,$F822,Data!$H$2:$H$1833,1)</f>
        <v>0</v>
      </c>
      <c r="H822" s="67" t="s">
        <v>624</v>
      </c>
      <c r="I822" s="68" t="s">
        <v>624</v>
      </c>
      <c r="J822" s="68" t="s">
        <v>624</v>
      </c>
      <c r="L822" s="70" t="s">
        <v>397</v>
      </c>
      <c r="M822" s="70" t="s">
        <v>624</v>
      </c>
      <c r="N822" s="70" t="s">
        <v>1612</v>
      </c>
      <c r="O822" s="70" t="s">
        <v>1640</v>
      </c>
    </row>
    <row r="823" customFormat="false" ht="21.75" hidden="false" customHeight="true" outlineLevel="0" collapsed="false">
      <c r="A823" s="70"/>
      <c r="B823" s="70"/>
      <c r="C823" s="70"/>
      <c r="D823" s="70"/>
      <c r="E823" s="70"/>
      <c r="F823" s="70" t="s">
        <v>101</v>
      </c>
      <c r="G823" s="70" t="n">
        <f aca="false">COUNTIFS(Data!$B$2:$B$1833,$L823,Data!$C$2:$C$1833,$M823,Data!$D$2:$D$1833,$N823,Data!$E$2:$E$1833,$O823,Data!$F$2:$F$1833,$F823,Data!$H$2:$H$1833,1)</f>
        <v>1</v>
      </c>
      <c r="H823" s="70" t="n">
        <v>1309</v>
      </c>
      <c r="I823" s="31" t="str">
        <f aca="false">INDEX(Data!$G$2:$G$1833,MATCH($H823,Data!$A$2:$A$1833,0))</f>
        <v>Can link words/signs or groups of words/signs with very basic linear connectors (e.g. “and” or “then”).</v>
      </c>
      <c r="J823" s="71" t="s">
        <v>3059</v>
      </c>
      <c r="L823" s="70" t="s">
        <v>397</v>
      </c>
      <c r="M823" s="70" t="s">
        <v>624</v>
      </c>
      <c r="N823" s="70" t="s">
        <v>1612</v>
      </c>
      <c r="O823" s="70" t="s">
        <v>1640</v>
      </c>
    </row>
    <row r="824" customFormat="false" ht="21.75" hidden="false" customHeight="true" outlineLevel="0" collapsed="false">
      <c r="A824" s="70"/>
      <c r="B824" s="70"/>
      <c r="C824" s="70"/>
      <c r="D824" s="70"/>
      <c r="E824" s="70"/>
      <c r="F824" s="70" t="s">
        <v>13</v>
      </c>
      <c r="G824" s="70" t="n">
        <f aca="false">COUNTIFS(Data!$B$2:$B$1833,$L824,Data!$C$2:$C$1833,$M824,Data!$D$2:$D$1833,$N824,Data!$E$2:$E$1833,$O824,Data!$F$2:$F$1833,$F824,Data!$H$2:$H$1833,1)</f>
        <v>1</v>
      </c>
      <c r="H824" s="70" t="n">
        <v>1308</v>
      </c>
      <c r="I824" s="31" t="str">
        <f aca="false">INDEX(Data!$G$2:$G$1833,MATCH($H824,Data!$A$2:$A$1833,0))</f>
        <v>Can link groups of words/signs with simple connectors (e.g. “and”, “but” and “because”).</v>
      </c>
      <c r="J824" s="71" t="s">
        <v>3060</v>
      </c>
      <c r="L824" s="70" t="s">
        <v>397</v>
      </c>
      <c r="M824" s="70" t="s">
        <v>624</v>
      </c>
      <c r="N824" s="70" t="s">
        <v>1612</v>
      </c>
      <c r="O824" s="70" t="s">
        <v>1640</v>
      </c>
    </row>
    <row r="825" customFormat="false" ht="26.25" hidden="false" customHeight="true" outlineLevel="0" collapsed="false">
      <c r="A825" s="70"/>
      <c r="B825" s="70"/>
      <c r="C825" s="70"/>
      <c r="D825" s="70"/>
      <c r="E825" s="70"/>
      <c r="F825" s="70" t="s">
        <v>123</v>
      </c>
      <c r="G825" s="70" t="n">
        <f aca="false">COUNTIFS(Data!$B$2:$B$1833,$L825,Data!$C$2:$C$1833,$M825,Data!$D$2:$D$1833,$N825,Data!$E$2:$E$1833,$O825,Data!$F$2:$F$1833,$F825,Data!$H$2:$H$1833,1)</f>
        <v>1</v>
      </c>
      <c r="H825" s="70" t="n">
        <v>1307</v>
      </c>
      <c r="I825" s="31" t="str">
        <f aca="false">INDEX(Data!$G$2:$G$1833,MATCH($H825,Data!$A$2:$A$1833,0))</f>
        <v>Can use the most frequently occurring connectors to link simple sentences in order to tell a story or describe something as a simple list of points.</v>
      </c>
      <c r="J825" s="71" t="s">
        <v>3061</v>
      </c>
      <c r="L825" s="70" t="s">
        <v>397</v>
      </c>
      <c r="M825" s="70" t="s">
        <v>624</v>
      </c>
      <c r="N825" s="70" t="s">
        <v>1612</v>
      </c>
      <c r="O825" s="70" t="s">
        <v>1640</v>
      </c>
    </row>
    <row r="826" customFormat="false" ht="15" hidden="false" customHeight="true" outlineLevel="0" collapsed="false">
      <c r="A826" s="70"/>
      <c r="B826" s="70"/>
      <c r="C826" s="70"/>
      <c r="D826" s="70"/>
      <c r="E826" s="70"/>
      <c r="F826" s="70" t="s">
        <v>21</v>
      </c>
      <c r="G826" s="70" t="n">
        <f aca="false">COUNTIFS(Data!$B$2:$B$1833,$L826,Data!$C$2:$C$1833,$M826,Data!$D$2:$D$1833,$N826,Data!$E$2:$E$1833,$O826,Data!$F$2:$F$1833,$F826,Data!$H$2:$H$1833,1)</f>
        <v>3</v>
      </c>
      <c r="H826" s="70" t="n">
        <v>1306</v>
      </c>
      <c r="I826" s="31" t="str">
        <f aca="false">INDEX(Data!$G$2:$G$1833,MATCH($H826,Data!$A$2:$A$1833,0))</f>
        <v>Can make simple, logical paragraph breaks in a longer text.</v>
      </c>
      <c r="J826" s="71" t="s">
        <v>3062</v>
      </c>
      <c r="L826" s="70" t="s">
        <v>397</v>
      </c>
      <c r="M826" s="70" t="s">
        <v>624</v>
      </c>
      <c r="N826" s="70" t="s">
        <v>1612</v>
      </c>
      <c r="O826" s="70" t="s">
        <v>1640</v>
      </c>
    </row>
    <row r="827" customFormat="false" ht="21.75" hidden="false" customHeight="true" outlineLevel="0" collapsed="false">
      <c r="A827" s="70"/>
      <c r="B827" s="70"/>
      <c r="C827" s="70"/>
      <c r="D827" s="70"/>
      <c r="E827" s="70"/>
      <c r="F827" s="70" t="s">
        <v>52</v>
      </c>
      <c r="G827" s="70" t="n">
        <f aca="false">COUNTIFS(Data!$B$2:$B$1833,$L827,Data!$C$2:$C$1833,$M827,Data!$D$2:$D$1833,$N827,Data!$E$2:$E$1833,$O827,Data!$F$2:$F$1833,$F827,Data!$H$2:$H$1833,1)</f>
        <v>1</v>
      </c>
      <c r="H827" s="70" t="n">
        <v>1303</v>
      </c>
      <c r="I827" s="31" t="str">
        <f aca="false">INDEX(Data!$G$2:$G$1833,MATCH($H827,Data!$A$2:$A$1833,0))</f>
        <v>Can introduce a counter-argument in a simple discursive text (e.g. with “however”).</v>
      </c>
      <c r="J827" s="71" t="s">
        <v>3063</v>
      </c>
      <c r="L827" s="70" t="s">
        <v>397</v>
      </c>
      <c r="M827" s="70" t="s">
        <v>624</v>
      </c>
      <c r="N827" s="70" t="s">
        <v>1612</v>
      </c>
      <c r="O827" s="70" t="s">
        <v>1640</v>
      </c>
    </row>
    <row r="828" customFormat="false" ht="15" hidden="false" customHeight="true" outlineLevel="0" collapsed="false">
      <c r="A828" s="70"/>
      <c r="B828" s="70"/>
      <c r="C828" s="70"/>
      <c r="D828" s="70"/>
      <c r="E828" s="70"/>
      <c r="F828" s="70" t="s">
        <v>259</v>
      </c>
      <c r="G828" s="70" t="n">
        <f aca="false">COUNTIFS(Data!$B$2:$B$1833,$L828,Data!$C$2:$C$1833,$M828,Data!$D$2:$D$1833,$N828,Data!$E$2:$E$1833,$O828,Data!$F$2:$F$1833,$F828,Data!$H$2:$H$1833,1)</f>
        <v>3</v>
      </c>
      <c r="H828" s="70" t="n">
        <v>1302</v>
      </c>
      <c r="I828" s="31" t="str">
        <f aca="false">INDEX(Data!$G$2:$G$1833,MATCH($H828,Data!$A$2:$A$1833,0))</f>
        <v>Can structure longer texts in clear, logical paragraphs.</v>
      </c>
      <c r="J828" s="71" t="s">
        <v>3064</v>
      </c>
      <c r="L828" s="70" t="s">
        <v>397</v>
      </c>
      <c r="M828" s="70" t="s">
        <v>624</v>
      </c>
      <c r="N828" s="70" t="s">
        <v>1612</v>
      </c>
      <c r="O828" s="70" t="s">
        <v>1640</v>
      </c>
    </row>
    <row r="829" customFormat="false" ht="21.75" hidden="false" customHeight="true" outlineLevel="0" collapsed="false">
      <c r="A829" s="70"/>
      <c r="B829" s="70"/>
      <c r="C829" s="70"/>
      <c r="D829" s="70"/>
      <c r="E829" s="70"/>
      <c r="F829" s="70" t="s">
        <v>36</v>
      </c>
      <c r="G829" s="70" t="n">
        <f aca="false">COUNTIFS(Data!$B$2:$B$1833,$L829,Data!$C$2:$C$1833,$M829,Data!$D$2:$D$1833,$N829,Data!$E$2:$E$1833,$O829,Data!$F$2:$F$1833,$F829,Data!$H$2:$H$1833,1)</f>
        <v>1</v>
      </c>
      <c r="H829" s="70" t="n">
        <v>1299</v>
      </c>
      <c r="I829" s="31" t="str">
        <f aca="false">INDEX(Data!$G$2:$G$1833,MATCH($H829,Data!$A$2:$A$1833,0))</f>
        <v>Can use a variety of linking expressions efficiently to mark clearly the relationships between ideas.</v>
      </c>
      <c r="J829" s="71" t="s">
        <v>3065</v>
      </c>
      <c r="L829" s="70" t="s">
        <v>397</v>
      </c>
      <c r="M829" s="70" t="s">
        <v>624</v>
      </c>
      <c r="N829" s="70" t="s">
        <v>1612</v>
      </c>
      <c r="O829" s="70" t="s">
        <v>1640</v>
      </c>
    </row>
    <row r="830" customFormat="false" ht="26.25" hidden="false" customHeight="true" outlineLevel="0" collapsed="false">
      <c r="A830" s="70"/>
      <c r="B830" s="70"/>
      <c r="C830" s="70"/>
      <c r="D830" s="70"/>
      <c r="E830" s="70"/>
      <c r="F830" s="70" t="s">
        <v>74</v>
      </c>
      <c r="G830" s="70" t="n">
        <f aca="false">COUNTIFS(Data!$B$2:$B$1833,$L830,Data!$C$2:$C$1833,$M830,Data!$D$2:$D$1833,$N830,Data!$E$2:$E$1833,$O830,Data!$F$2:$F$1833,$F830,Data!$H$2:$H$1833,1)</f>
        <v>2</v>
      </c>
      <c r="H830" s="70" t="n">
        <v>1298</v>
      </c>
      <c r="I830" s="31" t="str">
        <f aca="false">INDEX(Data!$G$2:$G$1833,MATCH($H830,Data!$A$2:$A$1833,0))</f>
        <v>Can produce well-organised, coherent text, using a variety of cohesive devices and organisational patterns.</v>
      </c>
      <c r="J830" s="71" t="s">
        <v>3066</v>
      </c>
      <c r="L830" s="70" t="s">
        <v>397</v>
      </c>
      <c r="M830" s="70" t="s">
        <v>624</v>
      </c>
      <c r="N830" s="70" t="s">
        <v>1612</v>
      </c>
      <c r="O830" s="70" t="s">
        <v>1640</v>
      </c>
    </row>
    <row r="831" customFormat="false" ht="26.25" hidden="false" customHeight="true" outlineLevel="0" collapsed="false">
      <c r="A831" s="70"/>
      <c r="B831" s="70"/>
      <c r="C831" s="70"/>
      <c r="D831" s="70"/>
      <c r="E831" s="70"/>
      <c r="F831" s="70" t="s">
        <v>331</v>
      </c>
      <c r="G831" s="70" t="n">
        <f aca="false">COUNTIFS(Data!$B$2:$B$1833,$L831,Data!$C$2:$C$1833,$M831,Data!$D$2:$D$1833,$N831,Data!$E$2:$E$1833,$O831,Data!$F$2:$F$1833,$F831,Data!$H$2:$H$1833,1)</f>
        <v>1</v>
      </c>
      <c r="H831" s="70" t="n">
        <v>1296</v>
      </c>
      <c r="I831" s="31" t="str">
        <f aca="false">INDEX(Data!$G$2:$G$1833,MATCH($H831,Data!$A$2:$A$1833,0))</f>
        <v>Can create coherent and cohesive text making full and appropriate use of a variety of organisational patterns and a wide range of cohesive devices.</v>
      </c>
      <c r="J831" s="71" t="s">
        <v>3067</v>
      </c>
      <c r="L831" s="70" t="s">
        <v>397</v>
      </c>
      <c r="M831" s="70" t="s">
        <v>624</v>
      </c>
      <c r="N831" s="70" t="s">
        <v>1612</v>
      </c>
      <c r="O831" s="70" t="s">
        <v>1640</v>
      </c>
    </row>
    <row r="832" customFormat="false" ht="21.75" hidden="false" customHeight="true" outlineLevel="0" collapsed="false">
      <c r="A832" s="73" t="str">
        <f aca="false">IFERROR(INDEX(対訳マスタ!$C$2:$C$136,MATCH($L832,対訳マスタ!$B$2:$B$136,0)),$L832)</f>
        <v>コミュニケーション言語能力</v>
      </c>
      <c r="B832" s="73" t="str">
        <f aca="false">IF($M832="—","—",IFERROR(INDEX(対訳マスタ!$C$2:$C$136,MATCH($M832,対訳マスタ!$B$2:$B$136,0)),$M832))</f>
        <v>—</v>
      </c>
      <c r="C832" s="73" t="str">
        <f aca="false">IF($N832="—","—",IFERROR(INDEX(対訳マスタ!$C$2:$C$136,MATCH($N832,対訳マスタ!$B$2:$B$136,0)),$N832))</f>
        <v>語用能力</v>
      </c>
      <c r="D832" s="73" t="str">
        <f aca="false">IFERROR(INDEX(対訳マスタ!$C$2:$C$136,MATCH($O832,対訳マスタ!$B$2:$B$136,0)),$O832)</f>
        <v>命題の精密さ（言いたいことの精度）</v>
      </c>
      <c r="E832" s="73" t="s">
        <v>1655</v>
      </c>
      <c r="F832" s="73" t="s">
        <v>86</v>
      </c>
      <c r="G832" s="73" t="n">
        <f aca="false">COUNTIFS(Data!$B$2:$B$1833,$L832,Data!$C$2:$C$1833,$M832,Data!$D$2:$D$1833,$N832,Data!$E$2:$E$1833,$O832,Data!$F$2:$F$1833,$F832,Data!$H$2:$H$1833,1)</f>
        <v>1</v>
      </c>
      <c r="H832" s="73" t="n">
        <v>1322</v>
      </c>
      <c r="I832" s="74" t="str">
        <f aca="false">INDEX(Data!$G$2:$G$1833,MATCH($H832,Data!$A$2:$A$1833,0))</f>
        <v>Can communicate very basic information about personal details in a simple way.</v>
      </c>
      <c r="J832" s="78" t="s">
        <v>3068</v>
      </c>
      <c r="L832" s="70" t="s">
        <v>397</v>
      </c>
      <c r="M832" s="70" t="s">
        <v>624</v>
      </c>
      <c r="N832" s="70" t="s">
        <v>1612</v>
      </c>
      <c r="O832" s="70" t="s">
        <v>1655</v>
      </c>
    </row>
    <row r="833" customFormat="false" ht="26.25" hidden="false" customHeight="true" outlineLevel="0" collapsed="false">
      <c r="A833" s="75"/>
      <c r="B833" s="75"/>
      <c r="C833" s="75"/>
      <c r="D833" s="75"/>
      <c r="E833" s="75"/>
      <c r="F833" s="75" t="s">
        <v>101</v>
      </c>
      <c r="G833" s="75" t="n">
        <f aca="false">COUNTIFS(Data!$B$2:$B$1833,$L833,Data!$C$2:$C$1833,$M833,Data!$D$2:$D$1833,$N833,Data!$E$2:$E$1833,$O833,Data!$F$2:$F$1833,$F833,Data!$H$2:$H$1833,1)</f>
        <v>1</v>
      </c>
      <c r="H833" s="75" t="n">
        <v>1321</v>
      </c>
      <c r="I833" s="76" t="str">
        <f aca="false">INDEX(Data!$G$2:$G$1833,MATCH($H833,Data!$A$2:$A$1833,0))</f>
        <v>Can communicate basic information about personal details and needs of a concrete type in a simple way.</v>
      </c>
      <c r="J833" s="77" t="s">
        <v>3069</v>
      </c>
      <c r="L833" s="70" t="s">
        <v>397</v>
      </c>
      <c r="M833" s="70" t="s">
        <v>624</v>
      </c>
      <c r="N833" s="70" t="s">
        <v>1612</v>
      </c>
      <c r="O833" s="70" t="s">
        <v>1655</v>
      </c>
    </row>
    <row r="834" customFormat="false" ht="39" hidden="false" customHeight="true" outlineLevel="0" collapsed="false">
      <c r="A834" s="75"/>
      <c r="B834" s="75"/>
      <c r="C834" s="75"/>
      <c r="D834" s="75"/>
      <c r="E834" s="75"/>
      <c r="F834" s="75" t="s">
        <v>13</v>
      </c>
      <c r="G834" s="75" t="n">
        <f aca="false">COUNTIFS(Data!$B$2:$B$1833,$L834,Data!$C$2:$C$1833,$M834,Data!$D$2:$D$1833,$N834,Data!$E$2:$E$1833,$O834,Data!$F$2:$F$1833,$F834,Data!$H$2:$H$1833,1)</f>
        <v>1</v>
      </c>
      <c r="H834" s="75" t="n">
        <v>1320</v>
      </c>
      <c r="I834" s="76" t="str">
        <f aca="false">INDEX(Data!$G$2:$G$1833,MATCH($H834,Data!$A$2:$A$1833,0))</f>
        <v>Can communicate what they want to say in a simple and direct exchange of limited information on familiar and routine matters, but in other situations they generally have to compromise the message.</v>
      </c>
      <c r="J834" s="77" t="s">
        <v>3070</v>
      </c>
      <c r="L834" s="70" t="s">
        <v>397</v>
      </c>
      <c r="M834" s="70" t="s">
        <v>624</v>
      </c>
      <c r="N834" s="70" t="s">
        <v>1612</v>
      </c>
      <c r="O834" s="70" t="s">
        <v>1655</v>
      </c>
    </row>
    <row r="835" customFormat="false" ht="15" hidden="false" customHeight="true" outlineLevel="0" collapsed="false">
      <c r="A835" s="75"/>
      <c r="B835" s="75"/>
      <c r="C835" s="75"/>
      <c r="D835" s="75"/>
      <c r="E835" s="75"/>
      <c r="F835" s="75" t="s">
        <v>123</v>
      </c>
      <c r="G835" s="75" t="n">
        <f aca="false">COUNTIFS(Data!$B$2:$B$1833,$L835,Data!$C$2:$C$1833,$M835,Data!$D$2:$D$1833,$N835,Data!$E$2:$E$1833,$O835,Data!$F$2:$F$1833,$F835,Data!$H$2:$H$1833,1)</f>
        <v>0</v>
      </c>
      <c r="H835" s="75" t="s">
        <v>624</v>
      </c>
      <c r="I835" s="76" t="s">
        <v>624</v>
      </c>
      <c r="J835" s="76" t="s">
        <v>624</v>
      </c>
      <c r="L835" s="70" t="s">
        <v>397</v>
      </c>
      <c r="M835" s="70" t="s">
        <v>624</v>
      </c>
      <c r="N835" s="70" t="s">
        <v>1612</v>
      </c>
      <c r="O835" s="70" t="s">
        <v>1655</v>
      </c>
    </row>
    <row r="836" customFormat="false" ht="15" hidden="false" customHeight="true" outlineLevel="0" collapsed="false">
      <c r="A836" s="75"/>
      <c r="B836" s="75"/>
      <c r="C836" s="75"/>
      <c r="D836" s="75"/>
      <c r="E836" s="75"/>
      <c r="F836" s="75" t="s">
        <v>21</v>
      </c>
      <c r="G836" s="75" t="n">
        <f aca="false">COUNTIFS(Data!$B$2:$B$1833,$L836,Data!$C$2:$C$1833,$M836,Data!$D$2:$D$1833,$N836,Data!$E$2:$E$1833,$O836,Data!$F$2:$F$1833,$F836,Data!$H$2:$H$1833,1)</f>
        <v>2</v>
      </c>
      <c r="H836" s="75" t="n">
        <v>1319</v>
      </c>
      <c r="I836" s="76" t="str">
        <f aca="false">INDEX(Data!$G$2:$G$1833,MATCH($H836,Data!$A$2:$A$1833,0))</f>
        <v>Can express the main point they want to make comprehensibly.</v>
      </c>
      <c r="J836" s="77" t="s">
        <v>3071</v>
      </c>
      <c r="L836" s="70" t="s">
        <v>397</v>
      </c>
      <c r="M836" s="70" t="s">
        <v>624</v>
      </c>
      <c r="N836" s="70" t="s">
        <v>1612</v>
      </c>
      <c r="O836" s="70" t="s">
        <v>1655</v>
      </c>
    </row>
    <row r="837" customFormat="false" ht="15" hidden="false" customHeight="true" outlineLevel="0" collapsed="false">
      <c r="A837" s="75"/>
      <c r="B837" s="75"/>
      <c r="C837" s="75"/>
      <c r="D837" s="75"/>
      <c r="E837" s="75"/>
      <c r="F837" s="75" t="s">
        <v>52</v>
      </c>
      <c r="G837" s="75" t="n">
        <f aca="false">COUNTIFS(Data!$B$2:$B$1833,$L837,Data!$C$2:$C$1833,$M837,Data!$D$2:$D$1833,$N837,Data!$E$2:$E$1833,$O837,Data!$F$2:$F$1833,$F837,Data!$H$2:$H$1833,1)</f>
        <v>1</v>
      </c>
      <c r="H837" s="75" t="n">
        <v>1317</v>
      </c>
      <c r="I837" s="76" t="str">
        <f aca="false">INDEX(Data!$G$2:$G$1833,MATCH($H837,Data!$A$2:$A$1833,0))</f>
        <v>Can explain the main points in an idea or problem with reasonable precision.</v>
      </c>
      <c r="J837" s="77" t="s">
        <v>3072</v>
      </c>
      <c r="L837" s="70" t="s">
        <v>397</v>
      </c>
      <c r="M837" s="70" t="s">
        <v>624</v>
      </c>
      <c r="N837" s="70" t="s">
        <v>1612</v>
      </c>
      <c r="O837" s="70" t="s">
        <v>1655</v>
      </c>
    </row>
    <row r="838" customFormat="false" ht="15" hidden="false" customHeight="true" outlineLevel="0" collapsed="false">
      <c r="A838" s="75"/>
      <c r="B838" s="75"/>
      <c r="C838" s="75"/>
      <c r="D838" s="75"/>
      <c r="E838" s="75"/>
      <c r="F838" s="75" t="s">
        <v>259</v>
      </c>
      <c r="G838" s="75" t="n">
        <f aca="false">COUNTIFS(Data!$B$2:$B$1833,$L838,Data!$C$2:$C$1833,$M838,Data!$D$2:$D$1833,$N838,Data!$E$2:$E$1833,$O838,Data!$F$2:$F$1833,$F838,Data!$H$2:$H$1833,1)</f>
        <v>2</v>
      </c>
      <c r="H838" s="75" t="n">
        <v>1315</v>
      </c>
      <c r="I838" s="76" t="str">
        <f aca="false">INDEX(Data!$G$2:$G$1833,MATCH($H838,Data!$A$2:$A$1833,0))</f>
        <v>Can pass on detailed information reliably.</v>
      </c>
      <c r="J838" s="77" t="s">
        <v>2713</v>
      </c>
      <c r="L838" s="70" t="s">
        <v>397</v>
      </c>
      <c r="M838" s="70" t="s">
        <v>624</v>
      </c>
      <c r="N838" s="70" t="s">
        <v>1612</v>
      </c>
      <c r="O838" s="70" t="s">
        <v>1655</v>
      </c>
    </row>
    <row r="839" customFormat="false" ht="15" hidden="false" customHeight="true" outlineLevel="0" collapsed="false">
      <c r="A839" s="75"/>
      <c r="B839" s="75"/>
      <c r="C839" s="75"/>
      <c r="D839" s="75"/>
      <c r="E839" s="75"/>
      <c r="F839" s="75" t="s">
        <v>36</v>
      </c>
      <c r="G839" s="75" t="n">
        <f aca="false">COUNTIFS(Data!$B$2:$B$1833,$L839,Data!$C$2:$C$1833,$M839,Data!$D$2:$D$1833,$N839,Data!$E$2:$E$1833,$O839,Data!$F$2:$F$1833,$F839,Data!$H$2:$H$1833,1)</f>
        <v>0</v>
      </c>
      <c r="H839" s="75" t="s">
        <v>624</v>
      </c>
      <c r="I839" s="76" t="s">
        <v>624</v>
      </c>
      <c r="J839" s="76" t="s">
        <v>624</v>
      </c>
      <c r="L839" s="70" t="s">
        <v>397</v>
      </c>
      <c r="M839" s="70" t="s">
        <v>624</v>
      </c>
      <c r="N839" s="70" t="s">
        <v>1612</v>
      </c>
      <c r="O839" s="70" t="s">
        <v>1655</v>
      </c>
    </row>
    <row r="840" customFormat="false" ht="26.25" hidden="false" customHeight="true" outlineLevel="0" collapsed="false">
      <c r="A840" s="75"/>
      <c r="B840" s="75"/>
      <c r="C840" s="75"/>
      <c r="D840" s="75"/>
      <c r="E840" s="75"/>
      <c r="F840" s="75" t="s">
        <v>74</v>
      </c>
      <c r="G840" s="75" t="n">
        <f aca="false">COUNTIFS(Data!$B$2:$B$1833,$L840,Data!$C$2:$C$1833,$M840,Data!$D$2:$D$1833,$N840,Data!$E$2:$E$1833,$O840,Data!$F$2:$F$1833,$F840,Data!$H$2:$H$1833,1)</f>
        <v>2</v>
      </c>
      <c r="H840" s="75" t="n">
        <v>1314</v>
      </c>
      <c r="I840" s="76" t="str">
        <f aca="false">INDEX(Data!$G$2:$G$1833,MATCH($H840,Data!$A$2:$A$1833,0))</f>
        <v>Can make effective use of linguistic modality to signal the strength of a claim, an argument or a position.</v>
      </c>
      <c r="J840" s="77" t="s">
        <v>3073</v>
      </c>
      <c r="L840" s="70" t="s">
        <v>397</v>
      </c>
      <c r="M840" s="70" t="s">
        <v>624</v>
      </c>
      <c r="N840" s="70" t="s">
        <v>1612</v>
      </c>
      <c r="O840" s="70" t="s">
        <v>1655</v>
      </c>
    </row>
    <row r="841" customFormat="false" ht="15" hidden="false" customHeight="true" outlineLevel="0" collapsed="false">
      <c r="A841" s="75"/>
      <c r="B841" s="75"/>
      <c r="C841" s="75"/>
      <c r="D841" s="75"/>
      <c r="E841" s="75"/>
      <c r="F841" s="75" t="s">
        <v>331</v>
      </c>
      <c r="G841" s="75" t="n">
        <f aca="false">COUNTIFS(Data!$B$2:$B$1833,$L841,Data!$C$2:$C$1833,$M841,Data!$D$2:$D$1833,$N841,Data!$E$2:$E$1833,$O841,Data!$F$2:$F$1833,$F841,Data!$H$2:$H$1833,1)</f>
        <v>2</v>
      </c>
      <c r="H841" s="75" t="n">
        <v>1312</v>
      </c>
      <c r="I841" s="76" t="str">
        <f aca="false">INDEX(Data!$G$2:$G$1833,MATCH($H841,Data!$A$2:$A$1833,0))</f>
        <v>Can give emphasis, differentiate and eliminate ambiguity.</v>
      </c>
      <c r="J841" s="77" t="s">
        <v>3074</v>
      </c>
      <c r="L841" s="70" t="s">
        <v>397</v>
      </c>
      <c r="M841" s="70" t="s">
        <v>624</v>
      </c>
      <c r="N841" s="70" t="s">
        <v>1612</v>
      </c>
      <c r="O841" s="70" t="s">
        <v>1655</v>
      </c>
    </row>
    <row r="842" customFormat="false" ht="26.25" hidden="false" customHeight="true" outlineLevel="0" collapsed="false">
      <c r="A842" s="67" t="str">
        <f aca="false">IFERROR(INDEX(対訳マスタ!$C$2:$C$136,MATCH($L842,対訳マスタ!$B$2:$B$136,0)),$L842)</f>
        <v>コミュニケーション言語能力</v>
      </c>
      <c r="B842" s="67" t="str">
        <f aca="false">IF($M842="—","—",IFERROR(INDEX(対訳マスタ!$C$2:$C$136,MATCH($M842,対訳マスタ!$B$2:$B$136,0)),$M842))</f>
        <v>—</v>
      </c>
      <c r="C842" s="67" t="str">
        <f aca="false">IF($N842="—","—",IFERROR(INDEX(対訳マスタ!$C$2:$C$136,MATCH($N842,対訳マスタ!$B$2:$B$136,0)),$N842))</f>
        <v>語用能力</v>
      </c>
      <c r="D842" s="67" t="str">
        <f aca="false">IFERROR(INDEX(対訳マスタ!$C$2:$C$136,MATCH($O842,対訳マスタ!$B$2:$B$136,0)),$O842)</f>
        <v>流暢さ</v>
      </c>
      <c r="E842" s="67" t="s">
        <v>1666</v>
      </c>
      <c r="F842" s="67" t="s">
        <v>86</v>
      </c>
      <c r="G842" s="67" t="n">
        <f aca="false">COUNTIFS(Data!$B$2:$B$1833,$L842,Data!$C$2:$C$1833,$M842,Data!$D$2:$D$1833,$N842,Data!$E$2:$E$1833,$O842,Data!$F$2:$F$1833,$F842,Data!$H$2:$H$1833,1)</f>
        <v>1</v>
      </c>
      <c r="H842" s="67" t="n">
        <v>1333</v>
      </c>
      <c r="I842" s="68" t="str">
        <f aca="false">INDEX(Data!$G$2:$G$1833,MATCH($H842,Data!$A$2:$A$1833,0))</f>
        <v>Can manage very short, isolated, rehearsed utterances using gesture and signalled requests for help when necessary.</v>
      </c>
      <c r="J842" s="69" t="s">
        <v>3075</v>
      </c>
      <c r="L842" s="70" t="s">
        <v>397</v>
      </c>
      <c r="M842" s="70" t="s">
        <v>624</v>
      </c>
      <c r="N842" s="70" t="s">
        <v>1612</v>
      </c>
      <c r="O842" s="70" t="s">
        <v>1666</v>
      </c>
    </row>
    <row r="843" customFormat="false" ht="32.25" hidden="false" customHeight="true" outlineLevel="0" collapsed="false">
      <c r="A843" s="70"/>
      <c r="B843" s="70"/>
      <c r="C843" s="70"/>
      <c r="D843" s="70"/>
      <c r="E843" s="70"/>
      <c r="F843" s="70" t="s">
        <v>101</v>
      </c>
      <c r="G843" s="70" t="n">
        <f aca="false">COUNTIFS(Data!$B$2:$B$1833,$L843,Data!$C$2:$C$1833,$M843,Data!$D$2:$D$1833,$N843,Data!$E$2:$E$1833,$O843,Data!$F$2:$F$1833,$F843,Data!$H$2:$H$1833,1)</f>
        <v>1</v>
      </c>
      <c r="H843" s="70" t="n">
        <v>1332</v>
      </c>
      <c r="I843" s="31" t="str">
        <f aca="false">INDEX(Data!$G$2:$G$1833,MATCH($H843,Data!$A$2:$A$1833,0))</f>
        <v>Can manage very short, isolated, mainly pre-packaged utterances, with much pausing to search for expressions, to articulate less familiar words/signs, and to repair communication.</v>
      </c>
      <c r="J843" s="71" t="s">
        <v>3076</v>
      </c>
      <c r="L843" s="70" t="s">
        <v>397</v>
      </c>
      <c r="M843" s="70" t="s">
        <v>624</v>
      </c>
      <c r="N843" s="70" t="s">
        <v>1612</v>
      </c>
      <c r="O843" s="70" t="s">
        <v>1666</v>
      </c>
    </row>
    <row r="844" customFormat="false" ht="26.25" hidden="false" customHeight="true" outlineLevel="0" collapsed="false">
      <c r="A844" s="70"/>
      <c r="B844" s="70"/>
      <c r="C844" s="70"/>
      <c r="D844" s="70"/>
      <c r="E844" s="70"/>
      <c r="F844" s="70" t="s">
        <v>13</v>
      </c>
      <c r="G844" s="70" t="n">
        <f aca="false">COUNTIFS(Data!$B$2:$B$1833,$L844,Data!$C$2:$C$1833,$M844,Data!$D$2:$D$1833,$N844,Data!$E$2:$E$1833,$O844,Data!$F$2:$F$1833,$F844,Data!$H$2:$H$1833,1)</f>
        <v>1</v>
      </c>
      <c r="H844" s="70" t="n">
        <v>1331</v>
      </c>
      <c r="I844" s="31" t="str">
        <f aca="false">INDEX(Data!$G$2:$G$1833,MATCH($H844,Data!$A$2:$A$1833,0))</f>
        <v>Can construct phrases on familiar topics with sufficient ease to handle short exchanges, despite very noticeable hesitation and false starts.</v>
      </c>
      <c r="J844" s="71" t="s">
        <v>3077</v>
      </c>
      <c r="L844" s="70" t="s">
        <v>397</v>
      </c>
      <c r="M844" s="70" t="s">
        <v>624</v>
      </c>
      <c r="N844" s="70" t="s">
        <v>1612</v>
      </c>
      <c r="O844" s="70" t="s">
        <v>1666</v>
      </c>
    </row>
    <row r="845" customFormat="false" ht="26.25" hidden="false" customHeight="true" outlineLevel="0" collapsed="false">
      <c r="A845" s="70"/>
      <c r="B845" s="70"/>
      <c r="C845" s="70"/>
      <c r="D845" s="70"/>
      <c r="E845" s="70"/>
      <c r="F845" s="70" t="s">
        <v>123</v>
      </c>
      <c r="G845" s="70" t="n">
        <f aca="false">COUNTIFS(Data!$B$2:$B$1833,$L845,Data!$C$2:$C$1833,$M845,Data!$D$2:$D$1833,$N845,Data!$E$2:$E$1833,$O845,Data!$F$2:$F$1833,$F845,Data!$H$2:$H$1833,1)</f>
        <v>1</v>
      </c>
      <c r="H845" s="70" t="n">
        <v>1330</v>
      </c>
      <c r="I845" s="31" t="str">
        <f aca="false">INDEX(Data!$G$2:$G$1833,MATCH($H845,Data!$A$2:$A$1833,0))</f>
        <v>Can make themselves understood in short contributions, even though pauses, false starts and reformulation are very evident.</v>
      </c>
      <c r="J845" s="71" t="s">
        <v>3078</v>
      </c>
      <c r="L845" s="70" t="s">
        <v>397</v>
      </c>
      <c r="M845" s="70" t="s">
        <v>624</v>
      </c>
      <c r="N845" s="70" t="s">
        <v>1612</v>
      </c>
      <c r="O845" s="70" t="s">
        <v>1666</v>
      </c>
    </row>
    <row r="846" customFormat="false" ht="32.25" hidden="false" customHeight="true" outlineLevel="0" collapsed="false">
      <c r="A846" s="70"/>
      <c r="B846" s="70"/>
      <c r="C846" s="70"/>
      <c r="D846" s="70"/>
      <c r="E846" s="70"/>
      <c r="F846" s="70" t="s">
        <v>21</v>
      </c>
      <c r="G846" s="70" t="n">
        <f aca="false">COUNTIFS(Data!$B$2:$B$1833,$L846,Data!$C$2:$C$1833,$M846,Data!$D$2:$D$1833,$N846,Data!$E$2:$E$1833,$O846,Data!$F$2:$F$1833,$F846,Data!$H$2:$H$1833,1)</f>
        <v>1</v>
      </c>
      <c r="H846" s="70" t="n">
        <v>1329</v>
      </c>
      <c r="I846" s="31" t="str">
        <f aca="false">INDEX(Data!$G$2:$G$1833,MATCH($H846,Data!$A$2:$A$1833,0))</f>
        <v>Can keep going comprehensibly, even though pausing for grammatical and lexical planning and repair is very evident, especially in longer stretches of free production.</v>
      </c>
      <c r="J846" s="71" t="s">
        <v>3079</v>
      </c>
      <c r="L846" s="70" t="s">
        <v>397</v>
      </c>
      <c r="M846" s="70" t="s">
        <v>624</v>
      </c>
      <c r="N846" s="70" t="s">
        <v>1612</v>
      </c>
      <c r="O846" s="70" t="s">
        <v>1666</v>
      </c>
    </row>
    <row r="847" customFormat="false" ht="32.25" hidden="false" customHeight="true" outlineLevel="0" collapsed="false">
      <c r="A847" s="70"/>
      <c r="B847" s="70"/>
      <c r="C847" s="70"/>
      <c r="D847" s="70"/>
      <c r="E847" s="70"/>
      <c r="F847" s="70" t="s">
        <v>52</v>
      </c>
      <c r="G847" s="70" t="n">
        <f aca="false">COUNTIFS(Data!$B$2:$B$1833,$L847,Data!$C$2:$C$1833,$M847,Data!$D$2:$D$1833,$N847,Data!$E$2:$E$1833,$O847,Data!$F$2:$F$1833,$F847,Data!$H$2:$H$1833,1)</f>
        <v>1</v>
      </c>
      <c r="H847" s="70" t="n">
        <v>1328</v>
      </c>
      <c r="I847" s="31" t="str">
        <f aca="false">INDEX(Data!$G$2:$G$1833,MATCH($H847,Data!$A$2:$A$1833,0))</f>
        <v>Can express themselves with relative ease. Despite some problems with formulation resulting in pauses and “cul-de-sacs”, they are able to keep going effectively without help.</v>
      </c>
      <c r="J847" s="71" t="s">
        <v>3080</v>
      </c>
      <c r="L847" s="70" t="s">
        <v>397</v>
      </c>
      <c r="M847" s="70" t="s">
        <v>624</v>
      </c>
      <c r="N847" s="70" t="s">
        <v>1612</v>
      </c>
      <c r="O847" s="70" t="s">
        <v>1666</v>
      </c>
    </row>
    <row r="848" customFormat="false" ht="32.25" hidden="false" customHeight="true" outlineLevel="0" collapsed="false">
      <c r="A848" s="70"/>
      <c r="B848" s="70"/>
      <c r="C848" s="70"/>
      <c r="D848" s="70"/>
      <c r="E848" s="70"/>
      <c r="F848" s="70" t="s">
        <v>259</v>
      </c>
      <c r="G848" s="70" t="n">
        <f aca="false">COUNTIFS(Data!$B$2:$B$1833,$L848,Data!$C$2:$C$1833,$M848,Data!$D$2:$D$1833,$N848,Data!$E$2:$E$1833,$O848,Data!$F$2:$F$1833,$F848,Data!$H$2:$H$1833,1)</f>
        <v>2</v>
      </c>
      <c r="H848" s="70" t="n">
        <v>1326</v>
      </c>
      <c r="I848" s="31" t="str">
        <f aca="false">INDEX(Data!$G$2:$G$1833,MATCH($H848,Data!$A$2:$A$1833,0))</f>
        <v>Can produce stretches of language with a fairly even tempo; although they can be hesitant as they search for patterns and expressions, there are few noticeably long pauses.</v>
      </c>
      <c r="J848" s="71" t="s">
        <v>3081</v>
      </c>
      <c r="L848" s="70" t="s">
        <v>397</v>
      </c>
      <c r="M848" s="70" t="s">
        <v>624</v>
      </c>
      <c r="N848" s="70" t="s">
        <v>1612</v>
      </c>
      <c r="O848" s="70" t="s">
        <v>1666</v>
      </c>
    </row>
    <row r="849" customFormat="false" ht="26.25" hidden="false" customHeight="true" outlineLevel="0" collapsed="false">
      <c r="A849" s="70"/>
      <c r="B849" s="70"/>
      <c r="C849" s="70"/>
      <c r="D849" s="70"/>
      <c r="E849" s="70"/>
      <c r="F849" s="70" t="s">
        <v>36</v>
      </c>
      <c r="G849" s="70" t="n">
        <f aca="false">COUNTIFS(Data!$B$2:$B$1833,$L849,Data!$C$2:$C$1833,$M849,Data!$D$2:$D$1833,$N849,Data!$E$2:$E$1833,$O849,Data!$F$2:$F$1833,$F849,Data!$H$2:$H$1833,1)</f>
        <v>1</v>
      </c>
      <c r="H849" s="70" t="n">
        <v>1325</v>
      </c>
      <c r="I849" s="31" t="str">
        <f aca="false">INDEX(Data!$G$2:$G$1833,MATCH($H849,Data!$A$2:$A$1833,0))</f>
        <v>Can communicate spontaneously, often showing remarkable fluency and ease of expression in even longer complex stretches of language.</v>
      </c>
      <c r="J849" s="71" t="s">
        <v>3082</v>
      </c>
      <c r="L849" s="70" t="s">
        <v>397</v>
      </c>
      <c r="M849" s="70" t="s">
        <v>624</v>
      </c>
      <c r="N849" s="70" t="s">
        <v>1612</v>
      </c>
      <c r="O849" s="70" t="s">
        <v>1666</v>
      </c>
    </row>
    <row r="850" customFormat="false" ht="26.25" hidden="false" customHeight="true" outlineLevel="0" collapsed="false">
      <c r="A850" s="70"/>
      <c r="B850" s="70"/>
      <c r="C850" s="70"/>
      <c r="D850" s="70"/>
      <c r="E850" s="70"/>
      <c r="F850" s="70" t="s">
        <v>74</v>
      </c>
      <c r="G850" s="70" t="n">
        <f aca="false">COUNTIFS(Data!$B$2:$B$1833,$L850,Data!$C$2:$C$1833,$M850,Data!$D$2:$D$1833,$N850,Data!$E$2:$E$1833,$O850,Data!$F$2:$F$1833,$F850,Data!$H$2:$H$1833,1)</f>
        <v>1</v>
      </c>
      <c r="H850" s="70" t="n">
        <v>1324</v>
      </c>
      <c r="I850" s="31" t="str">
        <f aca="false">INDEX(Data!$G$2:$G$1833,MATCH($H850,Data!$A$2:$A$1833,0))</f>
        <v>Can express themselves fluently and spontaneously, almost effortlessly. Only a conceptually difficult subject can hinder a natural, smooth flow of language.</v>
      </c>
      <c r="J850" s="71" t="s">
        <v>3083</v>
      </c>
      <c r="L850" s="70" t="s">
        <v>397</v>
      </c>
      <c r="M850" s="70" t="s">
        <v>624</v>
      </c>
      <c r="N850" s="70" t="s">
        <v>1612</v>
      </c>
      <c r="O850" s="70" t="s">
        <v>1666</v>
      </c>
    </row>
    <row r="851" customFormat="false" ht="32.25" hidden="false" customHeight="true" outlineLevel="0" collapsed="false">
      <c r="A851" s="70"/>
      <c r="B851" s="70"/>
      <c r="C851" s="70"/>
      <c r="D851" s="70"/>
      <c r="E851" s="70"/>
      <c r="F851" s="70" t="s">
        <v>331</v>
      </c>
      <c r="G851" s="70" t="n">
        <f aca="false">COUNTIFS(Data!$B$2:$B$1833,$L851,Data!$C$2:$C$1833,$M851,Data!$D$2:$D$1833,$N851,Data!$E$2:$E$1833,$O851,Data!$F$2:$F$1833,$F851,Data!$H$2:$H$1833,1)</f>
        <v>1</v>
      </c>
      <c r="H851" s="70" t="n">
        <v>1323</v>
      </c>
      <c r="I851" s="31" t="str">
        <f aca="false">INDEX(Data!$G$2:$G$1833,MATCH($H851,Data!$A$2:$A$1833,0))</f>
        <v>Can express themselves at length with a natural, effortless, unhesitating flow. Pauses only to reflect on precisely the right means to express their thoughts or to find an appropriate example or explanation.</v>
      </c>
      <c r="J851" s="71" t="s">
        <v>3084</v>
      </c>
      <c r="L851" s="70" t="s">
        <v>397</v>
      </c>
      <c r="M851" s="70" t="s">
        <v>624</v>
      </c>
      <c r="N851" s="70" t="s">
        <v>1612</v>
      </c>
      <c r="O851" s="70" t="s">
        <v>1666</v>
      </c>
    </row>
    <row r="853" customFormat="false" ht="15" hidden="false" customHeight="true" outlineLevel="0" collapsed="false">
      <c r="A853" s="43" t="s">
        <v>3085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0"/>
    <col collapsed="false" customWidth="true" hidden="false" outlineLevel="0" max="4" min="4" style="1" width="26"/>
    <col collapsed="false" customWidth="true" hidden="false" outlineLevel="0" max="5" min="5" style="1" width="32"/>
    <col collapsed="false" customWidth="true" hidden="false" outlineLevel="0" max="6" min="6" style="1" width="7"/>
    <col collapsed="false" customWidth="true" hidden="false" outlineLevel="0" max="8" min="7" style="1" width="66"/>
    <col collapsed="false" customWidth="true" hidden="false" outlineLevel="0" max="9" min="9" style="1" width="8"/>
  </cols>
  <sheetData>
    <row r="1" customFormat="false" ht="29.25" hidden="false" customHeight="true" outlineLevel="0" collapsed="false">
      <c r="A1" s="5" t="s">
        <v>400</v>
      </c>
      <c r="B1" s="4" t="s">
        <v>392</v>
      </c>
      <c r="C1" s="4" t="s">
        <v>2</v>
      </c>
      <c r="D1" s="4" t="s">
        <v>2192</v>
      </c>
      <c r="E1" s="4" t="s">
        <v>2442</v>
      </c>
      <c r="F1" s="4" t="s">
        <v>3</v>
      </c>
      <c r="G1" s="4" t="s">
        <v>3086</v>
      </c>
      <c r="H1" s="4" t="s">
        <v>3087</v>
      </c>
      <c r="I1" s="4" t="s">
        <v>3088</v>
      </c>
    </row>
    <row r="2" customFormat="false" ht="26.25" hidden="false" customHeight="true" outlineLevel="0" collapsed="false">
      <c r="A2" s="70" t="n">
        <f aca="false">Data!A2</f>
        <v>1</v>
      </c>
      <c r="B2" s="70" t="str">
        <f aca="false">IFERROR(INDEX(対訳マスタ!$C$2:$C$136,MATCH(Data!B2,対訳マスタ!$B$2:$B$136,0)),Data!B2)</f>
        <v>コミュニケーション言語活動</v>
      </c>
      <c r="C2" s="70" t="str">
        <f aca="false">IF(Data!C2="—","—",IFERROR(INDEX(対訳マスタ!$C$2:$C$136,MATCH(Data!C2,対訳マスタ!$B$2:$B$136,0)),Data!C2))</f>
        <v>受容</v>
      </c>
      <c r="D2" s="70" t="str">
        <f aca="false">IF(Data!D2="—","—",IFERROR(INDEX(対訳マスタ!$C$2:$C$136,MATCH(Data!D2,対訳マスタ!$B$2:$B$136,0)),Data!D2))</f>
        <v>口頭理解（聞くこと）</v>
      </c>
      <c r="E2" s="70" t="str">
        <f aca="false">IFERROR(INDEX(対訳マスタ!$C$2:$C$136,MATCH(Data!E2,対訳マスタ!$B$2:$B$136,0)),Data!E2)</f>
        <v>口頭理解（総合）</v>
      </c>
      <c r="F2" s="70" t="str">
        <f aca="false">Data!F2</f>
        <v>C2</v>
      </c>
      <c r="G2" s="31" t="str">
        <f aca="false">Data!G2</f>
        <v>Can understand with ease virtually any kind of language, whether live or broadcast, delivered at fast natural speed.</v>
      </c>
      <c r="H2" s="71" t="s">
        <v>2460</v>
      </c>
      <c r="I2" s="79" t="s">
        <v>3089</v>
      </c>
    </row>
    <row r="3" customFormat="false" ht="32.25" hidden="false" customHeight="true" outlineLevel="0" collapsed="false">
      <c r="A3" s="70" t="n">
        <f aca="false">Data!A3</f>
        <v>2</v>
      </c>
      <c r="B3" s="70" t="str">
        <f aca="false">IFERROR(INDEX(対訳マスタ!$C$2:$C$136,MATCH(Data!B3,対訳マスタ!$B$2:$B$136,0)),Data!B3)</f>
        <v>コミュニケーション言語活動</v>
      </c>
      <c r="C3" s="70" t="str">
        <f aca="false">IF(Data!C3="—","—",IFERROR(INDEX(対訳マスタ!$C$2:$C$136,MATCH(Data!C3,対訳マスタ!$B$2:$B$136,0)),Data!C3))</f>
        <v>受容</v>
      </c>
      <c r="D3" s="70" t="str">
        <f aca="false">IF(Data!D3="—","—",IFERROR(INDEX(対訳マスタ!$C$2:$C$136,MATCH(Data!D3,対訳マスタ!$B$2:$B$136,0)),Data!D3))</f>
        <v>口頭理解（聞くこと）</v>
      </c>
      <c r="E3" s="70" t="str">
        <f aca="false">IFERROR(INDEX(対訳マスタ!$C$2:$C$136,MATCH(Data!E3,対訳マスタ!$B$2:$B$136,0)),Data!E3)</f>
        <v>口頭理解（総合）</v>
      </c>
      <c r="F3" s="70" t="str">
        <f aca="false">Data!F3</f>
        <v>C1</v>
      </c>
      <c r="G3" s="31" t="str">
        <f aca="false">Data!G3</f>
        <v>Can understand enough to follow extended discourse on abstract and complex topics beyond their own field, though they may need to confirm occasional details, especially if the variety is unfamiliar.</v>
      </c>
      <c r="H3" s="71" t="s">
        <v>3090</v>
      </c>
      <c r="I3" s="79" t="s">
        <v>3089</v>
      </c>
    </row>
    <row r="4" customFormat="false" ht="21.75" hidden="false" customHeight="true" outlineLevel="0" collapsed="false">
      <c r="A4" s="70" t="n">
        <f aca="false">Data!A4</f>
        <v>3</v>
      </c>
      <c r="B4" s="70" t="str">
        <f aca="false">IFERROR(INDEX(対訳マスタ!$C$2:$C$136,MATCH(Data!B4,対訳マスタ!$B$2:$B$136,0)),Data!B4)</f>
        <v>コミュニケーション言語活動</v>
      </c>
      <c r="C4" s="70" t="str">
        <f aca="false">IF(Data!C4="—","—",IFERROR(INDEX(対訳マスタ!$C$2:$C$136,MATCH(Data!C4,対訳マスタ!$B$2:$B$136,0)),Data!C4))</f>
        <v>受容</v>
      </c>
      <c r="D4" s="70" t="str">
        <f aca="false">IF(Data!D4="—","—",IFERROR(INDEX(対訳マスタ!$C$2:$C$136,MATCH(Data!D4,対訳マスタ!$B$2:$B$136,0)),Data!D4))</f>
        <v>口頭理解（聞くこと）</v>
      </c>
      <c r="E4" s="70" t="str">
        <f aca="false">IFERROR(INDEX(対訳マスタ!$C$2:$C$136,MATCH(Data!E4,対訳マスタ!$B$2:$B$136,0)),Data!E4)</f>
        <v>口頭理解（総合）</v>
      </c>
      <c r="F4" s="70" t="str">
        <f aca="false">Data!F4</f>
        <v>C1</v>
      </c>
      <c r="G4" s="31" t="str">
        <f aca="false">Data!G4</f>
        <v>Can recognise a wide range of idiomatic expressions and colloquialisms, appreciating register shifts.</v>
      </c>
      <c r="H4" s="71" t="s">
        <v>2459</v>
      </c>
      <c r="I4" s="79" t="s">
        <v>3089</v>
      </c>
    </row>
    <row r="5" customFormat="false" ht="21.75" hidden="false" customHeight="true" outlineLevel="0" collapsed="false">
      <c r="A5" s="70" t="n">
        <f aca="false">Data!A5</f>
        <v>4</v>
      </c>
      <c r="B5" s="70" t="str">
        <f aca="false">IFERROR(INDEX(対訳マスタ!$C$2:$C$136,MATCH(Data!B5,対訳マスタ!$B$2:$B$136,0)),Data!B5)</f>
        <v>コミュニケーション言語活動</v>
      </c>
      <c r="C5" s="70" t="str">
        <f aca="false">IF(Data!C5="—","—",IFERROR(INDEX(対訳マスタ!$C$2:$C$136,MATCH(Data!C5,対訳マスタ!$B$2:$B$136,0)),Data!C5))</f>
        <v>受容</v>
      </c>
      <c r="D5" s="70" t="str">
        <f aca="false">IF(Data!D5="—","—",IFERROR(INDEX(対訳マスタ!$C$2:$C$136,MATCH(Data!D5,対訳マスタ!$B$2:$B$136,0)),Data!D5))</f>
        <v>口頭理解（聞くこと）</v>
      </c>
      <c r="E5" s="70" t="str">
        <f aca="false">IFERROR(INDEX(対訳マスタ!$C$2:$C$136,MATCH(Data!E5,対訳マスタ!$B$2:$B$136,0)),Data!E5)</f>
        <v>口頭理解（総合）</v>
      </c>
      <c r="F5" s="70" t="str">
        <f aca="false">Data!F5</f>
        <v>C1</v>
      </c>
      <c r="G5" s="31" t="str">
        <f aca="false">Data!G5</f>
        <v>Can follow extended discourse even when it is not clearly structured and when relationships are only implied and not signalled explicitly.</v>
      </c>
      <c r="H5" s="71" t="s">
        <v>3091</v>
      </c>
      <c r="I5" s="79" t="s">
        <v>3089</v>
      </c>
    </row>
    <row r="6" customFormat="false" ht="42.75" hidden="false" customHeight="true" outlineLevel="0" collapsed="false">
      <c r="A6" s="70" t="n">
        <f aca="false">Data!A6</f>
        <v>5</v>
      </c>
      <c r="B6" s="70" t="str">
        <f aca="false">IFERROR(INDEX(対訳マスタ!$C$2:$C$136,MATCH(Data!B6,対訳マスタ!$B$2:$B$136,0)),Data!B6)</f>
        <v>コミュニケーション言語活動</v>
      </c>
      <c r="C6" s="70" t="str">
        <f aca="false">IF(Data!C6="—","—",IFERROR(INDEX(対訳マスタ!$C$2:$C$136,MATCH(Data!C6,対訳マスタ!$B$2:$B$136,0)),Data!C6))</f>
        <v>受容</v>
      </c>
      <c r="D6" s="70" t="str">
        <f aca="false">IF(Data!D6="—","—",IFERROR(INDEX(対訳マスタ!$C$2:$C$136,MATCH(Data!D6,対訳マスタ!$B$2:$B$136,0)),Data!D6))</f>
        <v>口頭理解（聞くこと）</v>
      </c>
      <c r="E6" s="70" t="str">
        <f aca="false">IFERROR(INDEX(対訳マスタ!$C$2:$C$136,MATCH(Data!E6,対訳マスタ!$B$2:$B$136,0)),Data!E6)</f>
        <v>口頭理解（総合）</v>
      </c>
      <c r="F6" s="70" t="str">
        <f aca="false">Data!F6</f>
        <v>B2+</v>
      </c>
      <c r="G6" s="31" t="str">
        <f aca="false">Data!G6</f>
        <v>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v>
      </c>
      <c r="H6" s="71" t="s">
        <v>2458</v>
      </c>
      <c r="I6" s="79" t="s">
        <v>3089</v>
      </c>
    </row>
    <row r="7" customFormat="false" ht="32.25" hidden="false" customHeight="true" outlineLevel="0" collapsed="false">
      <c r="A7" s="70" t="n">
        <f aca="false">Data!A7</f>
        <v>6</v>
      </c>
      <c r="B7" s="70" t="str">
        <f aca="false">IFERROR(INDEX(対訳マスタ!$C$2:$C$136,MATCH(Data!B7,対訳マスタ!$B$2:$B$136,0)),Data!B7)</f>
        <v>コミュニケーション言語活動</v>
      </c>
      <c r="C7" s="70" t="str">
        <f aca="false">IF(Data!C7="—","—",IFERROR(INDEX(対訳マスタ!$C$2:$C$136,MATCH(Data!C7,対訳マスタ!$B$2:$B$136,0)),Data!C7))</f>
        <v>受容</v>
      </c>
      <c r="D7" s="70" t="str">
        <f aca="false">IF(Data!D7="—","—",IFERROR(INDEX(対訳マスタ!$C$2:$C$136,MATCH(Data!D7,対訳マスタ!$B$2:$B$136,0)),Data!D7))</f>
        <v>口頭理解（聞くこと）</v>
      </c>
      <c r="E7" s="70" t="str">
        <f aca="false">IFERROR(INDEX(対訳マスタ!$C$2:$C$136,MATCH(Data!E7,対訳マスタ!$B$2:$B$136,0)),Data!E7)</f>
        <v>口頭理解（総合）</v>
      </c>
      <c r="F7" s="70" t="str">
        <f aca="false">Data!F7</f>
        <v>B2</v>
      </c>
      <c r="G7" s="31" t="str">
        <f aca="false">Data!G7</f>
        <v>Can understand the main ideas of propositionally and linguistically complex discourse on both concrete and abstract topics delivered in standard language or a familiar variety, including technical discussions in their field of specialisation.</v>
      </c>
      <c r="H7" s="71" t="s">
        <v>3092</v>
      </c>
      <c r="I7" s="79" t="s">
        <v>3089</v>
      </c>
    </row>
    <row r="8" customFormat="false" ht="26.25" hidden="false" customHeight="true" outlineLevel="0" collapsed="false">
      <c r="A8" s="70" t="n">
        <f aca="false">Data!A8</f>
        <v>7</v>
      </c>
      <c r="B8" s="70" t="str">
        <f aca="false">IFERROR(INDEX(対訳マスタ!$C$2:$C$136,MATCH(Data!B8,対訳マスタ!$B$2:$B$136,0)),Data!B8)</f>
        <v>コミュニケーション言語活動</v>
      </c>
      <c r="C8" s="70" t="str">
        <f aca="false">IF(Data!C8="—","—",IFERROR(INDEX(対訳マスタ!$C$2:$C$136,MATCH(Data!C8,対訳マスタ!$B$2:$B$136,0)),Data!C8))</f>
        <v>受容</v>
      </c>
      <c r="D8" s="70" t="str">
        <f aca="false">IF(Data!D8="—","—",IFERROR(INDEX(対訳マスタ!$C$2:$C$136,MATCH(Data!D8,対訳マスタ!$B$2:$B$136,0)),Data!D8))</f>
        <v>口頭理解（聞くこと）</v>
      </c>
      <c r="E8" s="70" t="str">
        <f aca="false">IFERROR(INDEX(対訳マスタ!$C$2:$C$136,MATCH(Data!E8,対訳マスタ!$B$2:$B$136,0)),Data!E8)</f>
        <v>口頭理解（総合）</v>
      </c>
      <c r="F8" s="70" t="str">
        <f aca="false">Data!F8</f>
        <v>B2</v>
      </c>
      <c r="G8" s="31" t="str">
        <f aca="false">Data!G8</f>
        <v>Can follow extended discourse and complex lines of argument, provided the topic is reasonably familiar, and the direction of the argument is signposted by explicit markers.</v>
      </c>
      <c r="H8" s="71" t="s">
        <v>2457</v>
      </c>
      <c r="I8" s="79" t="s">
        <v>3089</v>
      </c>
    </row>
    <row r="9" customFormat="false" ht="32.25" hidden="false" customHeight="true" outlineLevel="0" collapsed="false">
      <c r="A9" s="70" t="n">
        <f aca="false">Data!A9</f>
        <v>8</v>
      </c>
      <c r="B9" s="70" t="str">
        <f aca="false">IFERROR(INDEX(対訳マスタ!$C$2:$C$136,MATCH(Data!B9,対訳マスタ!$B$2:$B$136,0)),Data!B9)</f>
        <v>コミュニケーション言語活動</v>
      </c>
      <c r="C9" s="70" t="str">
        <f aca="false">IF(Data!C9="—","—",IFERROR(INDEX(対訳マスタ!$C$2:$C$136,MATCH(Data!C9,対訳マスタ!$B$2:$B$136,0)),Data!C9))</f>
        <v>受容</v>
      </c>
      <c r="D9" s="70" t="str">
        <f aca="false">IF(Data!D9="—","—",IFERROR(INDEX(対訳マスタ!$C$2:$C$136,MATCH(Data!D9,対訳マスタ!$B$2:$B$136,0)),Data!D9))</f>
        <v>口頭理解（聞くこと）</v>
      </c>
      <c r="E9" s="70" t="str">
        <f aca="false">IFERROR(INDEX(対訳マスタ!$C$2:$C$136,MATCH(Data!E9,対訳マスタ!$B$2:$B$136,0)),Data!E9)</f>
        <v>口頭理解（総合）</v>
      </c>
      <c r="F9" s="70" t="str">
        <f aca="false">Data!F9</f>
        <v>B1+</v>
      </c>
      <c r="G9" s="31" t="str">
        <f aca="false">Data!G9</f>
        <v>Can understand straightforward factual information about common everyday or job-related topics, identifying both general messages and specific details, provided people articulate clearly in a generally familiar variety.</v>
      </c>
      <c r="H9" s="71" t="s">
        <v>2456</v>
      </c>
      <c r="I9" s="79" t="s">
        <v>3089</v>
      </c>
    </row>
    <row r="10" customFormat="false" ht="32.25" hidden="false" customHeight="true" outlineLevel="0" collapsed="false">
      <c r="A10" s="70" t="n">
        <f aca="false">Data!A10</f>
        <v>9</v>
      </c>
      <c r="B10" s="70" t="str">
        <f aca="false">IFERROR(INDEX(対訳マスタ!$C$2:$C$136,MATCH(Data!B10,対訳マスタ!$B$2:$B$136,0)),Data!B10)</f>
        <v>コミュニケーション言語活動</v>
      </c>
      <c r="C10" s="70" t="str">
        <f aca="false">IF(Data!C10="—","—",IFERROR(INDEX(対訳マスタ!$C$2:$C$136,MATCH(Data!C10,対訳マスタ!$B$2:$B$136,0)),Data!C10))</f>
        <v>受容</v>
      </c>
      <c r="D10" s="70" t="str">
        <f aca="false">IF(Data!D10="—","—",IFERROR(INDEX(対訳マスタ!$C$2:$C$136,MATCH(Data!D10,対訳マスタ!$B$2:$B$136,0)),Data!D10))</f>
        <v>口頭理解（聞くこと）</v>
      </c>
      <c r="E10" s="70" t="str">
        <f aca="false">IFERROR(INDEX(対訳マスタ!$C$2:$C$136,MATCH(Data!E10,対訳マスタ!$B$2:$B$136,0)),Data!E10)</f>
        <v>口頭理解（総合）</v>
      </c>
      <c r="F10" s="70" t="str">
        <f aca="false">Data!F10</f>
        <v>B1</v>
      </c>
      <c r="G10" s="31" t="str">
        <f aca="false">Data!G10</f>
        <v>Can understand the main points made in clear standard language or a familiar variety on familiar matters regularly encountered at work, school, leisure, etc., including short narratives. </v>
      </c>
      <c r="H10" s="71" t="s">
        <v>2455</v>
      </c>
      <c r="I10" s="79" t="s">
        <v>3089</v>
      </c>
    </row>
    <row r="11" customFormat="false" ht="21.75" hidden="false" customHeight="true" outlineLevel="0" collapsed="false">
      <c r="A11" s="70" t="n">
        <f aca="false">Data!A11</f>
        <v>10</v>
      </c>
      <c r="B11" s="70" t="str">
        <f aca="false">IFERROR(INDEX(対訳マスタ!$C$2:$C$136,MATCH(Data!B11,対訳マスタ!$B$2:$B$136,0)),Data!B11)</f>
        <v>コミュニケーション言語活動</v>
      </c>
      <c r="C11" s="70" t="str">
        <f aca="false">IF(Data!C11="—","—",IFERROR(INDEX(対訳マスタ!$C$2:$C$136,MATCH(Data!C11,対訳マスタ!$B$2:$B$136,0)),Data!C11))</f>
        <v>受容</v>
      </c>
      <c r="D11" s="70" t="str">
        <f aca="false">IF(Data!D11="—","—",IFERROR(INDEX(対訳マスタ!$C$2:$C$136,MATCH(Data!D11,対訳マスタ!$B$2:$B$136,0)),Data!D11))</f>
        <v>口頭理解（聞くこと）</v>
      </c>
      <c r="E11" s="70" t="str">
        <f aca="false">IFERROR(INDEX(対訳マスタ!$C$2:$C$136,MATCH(Data!E11,対訳マスタ!$B$2:$B$136,0)),Data!E11)</f>
        <v>口頭理解（総合）</v>
      </c>
      <c r="F11" s="70" t="str">
        <f aca="false">Data!F11</f>
        <v>A2+</v>
      </c>
      <c r="G11" s="31" t="str">
        <f aca="false">Data!G11</f>
        <v>Can understand enough to be able to meet needs of a concrete type, provided people articulate clearly and slowly.</v>
      </c>
      <c r="H11" s="71" t="s">
        <v>2454</v>
      </c>
      <c r="I11" s="79" t="s">
        <v>3089</v>
      </c>
    </row>
    <row r="12" customFormat="false" ht="32.25" hidden="false" customHeight="true" outlineLevel="0" collapsed="false">
      <c r="A12" s="70" t="n">
        <f aca="false">Data!A12</f>
        <v>11</v>
      </c>
      <c r="B12" s="70" t="str">
        <f aca="false">IFERROR(INDEX(対訳マスタ!$C$2:$C$136,MATCH(Data!B12,対訳マスタ!$B$2:$B$136,0)),Data!B12)</f>
        <v>コミュニケーション言語活動</v>
      </c>
      <c r="C12" s="70" t="str">
        <f aca="false">IF(Data!C12="—","—",IFERROR(INDEX(対訳マスタ!$C$2:$C$136,MATCH(Data!C12,対訳マスタ!$B$2:$B$136,0)),Data!C12))</f>
        <v>受容</v>
      </c>
      <c r="D12" s="70" t="str">
        <f aca="false">IF(Data!D12="—","—",IFERROR(INDEX(対訳マスタ!$C$2:$C$136,MATCH(Data!D12,対訳マスタ!$B$2:$B$136,0)),Data!D12))</f>
        <v>口頭理解（聞くこと）</v>
      </c>
      <c r="E12" s="70" t="str">
        <f aca="false">IFERROR(INDEX(対訳マスタ!$C$2:$C$136,MATCH(Data!E12,対訳マスタ!$B$2:$B$136,0)),Data!E12)</f>
        <v>口頭理解（総合）</v>
      </c>
      <c r="F12" s="70" t="str">
        <f aca="false">Data!F12</f>
        <v>A2</v>
      </c>
      <c r="G12" s="31" t="str">
        <f aca="false">Data!G12</f>
        <v>Can understand phrases and expressions related to areas of most immediate priority (e.g. very basic personal and family information, shopping, local geography, employment), provided people articulate clearly and slowly.</v>
      </c>
      <c r="H12" s="71" t="s">
        <v>2453</v>
      </c>
      <c r="I12" s="79" t="s">
        <v>3089</v>
      </c>
    </row>
    <row r="13" customFormat="false" ht="26.25" hidden="false" customHeight="true" outlineLevel="0" collapsed="false">
      <c r="A13" s="70" t="n">
        <f aca="false">Data!A13</f>
        <v>12</v>
      </c>
      <c r="B13" s="70" t="str">
        <f aca="false">IFERROR(INDEX(対訳マスタ!$C$2:$C$136,MATCH(Data!B13,対訳マスタ!$B$2:$B$136,0)),Data!B13)</f>
        <v>コミュニケーション言語活動</v>
      </c>
      <c r="C13" s="70" t="str">
        <f aca="false">IF(Data!C13="—","—",IFERROR(INDEX(対訳マスタ!$C$2:$C$136,MATCH(Data!C13,対訳マスタ!$B$2:$B$136,0)),Data!C13))</f>
        <v>受容</v>
      </c>
      <c r="D13" s="70" t="str">
        <f aca="false">IF(Data!D13="—","—",IFERROR(INDEX(対訳マスタ!$C$2:$C$136,MATCH(Data!D13,対訳マスタ!$B$2:$B$136,0)),Data!D13))</f>
        <v>口頭理解（聞くこと）</v>
      </c>
      <c r="E13" s="70" t="str">
        <f aca="false">IFERROR(INDEX(対訳マスタ!$C$2:$C$136,MATCH(Data!E13,対訳マスタ!$B$2:$B$136,0)),Data!E13)</f>
        <v>口頭理解（総合）</v>
      </c>
      <c r="F13" s="70" t="str">
        <f aca="false">Data!F13</f>
        <v>A1</v>
      </c>
      <c r="G13" s="31" t="str">
        <f aca="false">Data!G13</f>
        <v>Can follow language which is very slow and carefully articulated, with long pauses for them to assimilate meaning.</v>
      </c>
      <c r="H13" s="71" t="s">
        <v>2452</v>
      </c>
      <c r="I13" s="79" t="s">
        <v>3089</v>
      </c>
    </row>
    <row r="14" customFormat="false" ht="21.75" hidden="false" customHeight="true" outlineLevel="0" collapsed="false">
      <c r="A14" s="70" t="n">
        <f aca="false">Data!A14</f>
        <v>13</v>
      </c>
      <c r="B14" s="70" t="str">
        <f aca="false">IFERROR(INDEX(対訳マスタ!$C$2:$C$136,MATCH(Data!B14,対訳マスタ!$B$2:$B$136,0)),Data!B14)</f>
        <v>コミュニケーション言語活動</v>
      </c>
      <c r="C14" s="70" t="str">
        <f aca="false">IF(Data!C14="—","—",IFERROR(INDEX(対訳マスタ!$C$2:$C$136,MATCH(Data!C14,対訳マスタ!$B$2:$B$136,0)),Data!C14))</f>
        <v>受容</v>
      </c>
      <c r="D14" s="70" t="str">
        <f aca="false">IF(Data!D14="—","—",IFERROR(INDEX(対訳マスタ!$C$2:$C$136,MATCH(Data!D14,対訳マスタ!$B$2:$B$136,0)),Data!D14))</f>
        <v>口頭理解（聞くこと）</v>
      </c>
      <c r="E14" s="70" t="str">
        <f aca="false">IFERROR(INDEX(対訳マスタ!$C$2:$C$136,MATCH(Data!E14,対訳マスタ!$B$2:$B$136,0)),Data!E14)</f>
        <v>口頭理解（総合）</v>
      </c>
      <c r="F14" s="70" t="str">
        <f aca="false">Data!F14</f>
        <v>A1</v>
      </c>
      <c r="G14" s="31" t="str">
        <f aca="false">Data!G14</f>
        <v>Can recognise concrete information (e.g. places and times) on familiar topics encountered in everyday life, provided it is delivered slowly and clearly.</v>
      </c>
      <c r="H14" s="71" t="s">
        <v>3093</v>
      </c>
      <c r="I14" s="79" t="s">
        <v>3089</v>
      </c>
    </row>
    <row r="15" customFormat="false" ht="32.25" hidden="false" customHeight="true" outlineLevel="0" collapsed="false">
      <c r="A15" s="70" t="n">
        <f aca="false">Data!A15</f>
        <v>14</v>
      </c>
      <c r="B15" s="70" t="str">
        <f aca="false">IFERROR(INDEX(対訳マスタ!$C$2:$C$136,MATCH(Data!B15,対訳マスタ!$B$2:$B$136,0)),Data!B15)</f>
        <v>コミュニケーション言語活動</v>
      </c>
      <c r="C15" s="70" t="str">
        <f aca="false">IF(Data!C15="—","—",IFERROR(INDEX(対訳マスタ!$C$2:$C$136,MATCH(Data!C15,対訳マスタ!$B$2:$B$136,0)),Data!C15))</f>
        <v>受容</v>
      </c>
      <c r="D15" s="70" t="str">
        <f aca="false">IF(Data!D15="—","—",IFERROR(INDEX(対訳マスタ!$C$2:$C$136,MATCH(Data!D15,対訳マスタ!$B$2:$B$136,0)),Data!D15))</f>
        <v>口頭理解（聞くこと）</v>
      </c>
      <c r="E15" s="70" t="str">
        <f aca="false">IFERROR(INDEX(対訳マスタ!$C$2:$C$136,MATCH(Data!E15,対訳マスタ!$B$2:$B$136,0)),Data!E15)</f>
        <v>口頭理解（総合）</v>
      </c>
      <c r="F15" s="70" t="str">
        <f aca="false">Data!F15</f>
        <v>Pre-A1</v>
      </c>
      <c r="G15" s="31" t="str">
        <f aca="false">Data!G15</f>
        <v>Can understand short, very simple questions and statements, provided they are delivered slowly and clearly and accompanied by visuals or manual gestures to support understanding and repeated if necessary.</v>
      </c>
      <c r="H15" s="71" t="s">
        <v>3094</v>
      </c>
      <c r="I15" s="79" t="s">
        <v>3089</v>
      </c>
    </row>
    <row r="16" customFormat="false" ht="26.25" hidden="false" customHeight="true" outlineLevel="0" collapsed="false">
      <c r="A16" s="70" t="n">
        <f aca="false">Data!A16</f>
        <v>15</v>
      </c>
      <c r="B16" s="70" t="str">
        <f aca="false">IFERROR(INDEX(対訳マスタ!$C$2:$C$136,MATCH(Data!B16,対訳マスタ!$B$2:$B$136,0)),Data!B16)</f>
        <v>コミュニケーション言語活動</v>
      </c>
      <c r="C16" s="70" t="str">
        <f aca="false">IF(Data!C16="—","—",IFERROR(INDEX(対訳マスタ!$C$2:$C$136,MATCH(Data!C16,対訳マスタ!$B$2:$B$136,0)),Data!C16))</f>
        <v>受容</v>
      </c>
      <c r="D16" s="70" t="str">
        <f aca="false">IF(Data!D16="—","—",IFERROR(INDEX(対訳マスタ!$C$2:$C$136,MATCH(Data!D16,対訳マスタ!$B$2:$B$136,0)),Data!D16))</f>
        <v>口頭理解（聞くこと）</v>
      </c>
      <c r="E16" s="70" t="str">
        <f aca="false">IFERROR(INDEX(対訳マスタ!$C$2:$C$136,MATCH(Data!E16,対訳マスタ!$B$2:$B$136,0)),Data!E16)</f>
        <v>口頭理解（総合）</v>
      </c>
      <c r="F16" s="70" t="str">
        <f aca="false">Data!F16</f>
        <v>Pre-A1</v>
      </c>
      <c r="G16" s="31" t="str">
        <f aca="false">Data!G16</f>
        <v>Can recognise everyday, familiar words/signs, provided they are delivered clearly and slowly in a clearly defined, familiar everyday context.</v>
      </c>
      <c r="H16" s="71" t="s">
        <v>2451</v>
      </c>
      <c r="I16" s="79" t="s">
        <v>3089</v>
      </c>
    </row>
    <row r="17" customFormat="false" ht="21.75" hidden="false" customHeight="true" outlineLevel="0" collapsed="false">
      <c r="A17" s="70" t="n">
        <f aca="false">Data!A17</f>
        <v>16</v>
      </c>
      <c r="B17" s="70" t="str">
        <f aca="false">IFERROR(INDEX(対訳マスタ!$C$2:$C$136,MATCH(Data!B17,対訳マスタ!$B$2:$B$136,0)),Data!B17)</f>
        <v>コミュニケーション言語活動</v>
      </c>
      <c r="C17" s="70" t="str">
        <f aca="false">IF(Data!C17="—","—",IFERROR(INDEX(対訳マスタ!$C$2:$C$136,MATCH(Data!C17,対訳マスタ!$B$2:$B$136,0)),Data!C17))</f>
        <v>受容</v>
      </c>
      <c r="D17" s="70" t="str">
        <f aca="false">IF(Data!D17="—","—",IFERROR(INDEX(対訳マスタ!$C$2:$C$136,MATCH(Data!D17,対訳マスタ!$B$2:$B$136,0)),Data!D17))</f>
        <v>口頭理解（聞くこと）</v>
      </c>
      <c r="E17" s="70" t="str">
        <f aca="false">IFERROR(INDEX(対訳マスタ!$C$2:$C$136,MATCH(Data!E17,対訳マスタ!$B$2:$B$136,0)),Data!E17)</f>
        <v>口頭理解（総合）</v>
      </c>
      <c r="F17" s="70" t="str">
        <f aca="false">Data!F17</f>
        <v>Pre-A1</v>
      </c>
      <c r="G17" s="31" t="str">
        <f aca="false">Data!G17</f>
        <v>Can recognise numbers, prices, dates and days of the week, provided they are delivered slowly and clearly in a defined, familiar everyday context.</v>
      </c>
      <c r="H17" s="71" t="s">
        <v>3095</v>
      </c>
      <c r="I17" s="79" t="s">
        <v>3089</v>
      </c>
    </row>
    <row r="18" customFormat="false" ht="26.25" hidden="false" customHeight="true" outlineLevel="0" collapsed="false">
      <c r="A18" s="70" t="n">
        <f aca="false">Data!A18</f>
        <v>17</v>
      </c>
      <c r="B18" s="70" t="str">
        <f aca="false">IFERROR(INDEX(対訳マスタ!$C$2:$C$136,MATCH(Data!B18,対訳マスタ!$B$2:$B$136,0)),Data!B18)</f>
        <v>コミュニケーション言語活動</v>
      </c>
      <c r="C18" s="70" t="str">
        <f aca="false">IF(Data!C18="—","—",IFERROR(INDEX(対訳マスタ!$C$2:$C$136,MATCH(Data!C18,対訳マスタ!$B$2:$B$136,0)),Data!C18))</f>
        <v>受容</v>
      </c>
      <c r="D18" s="70" t="str">
        <f aca="false">IF(Data!D18="—","—",IFERROR(INDEX(対訳マスタ!$C$2:$C$136,MATCH(Data!D18,対訳マスタ!$B$2:$B$136,0)),Data!D18))</f>
        <v>口頭理解（聞くこと）</v>
      </c>
      <c r="E18" s="70" t="str">
        <f aca="false">IFERROR(INDEX(対訳マスタ!$C$2:$C$136,MATCH(Data!E18,対訳マスタ!$B$2:$B$136,0)),Data!E18)</f>
        <v>第三者どうしの会話の聞き取り</v>
      </c>
      <c r="F18" s="70" t="str">
        <f aca="false">Data!F18</f>
        <v>C2</v>
      </c>
      <c r="G18" s="31" t="str">
        <f aca="false">Data!G18</f>
        <v>Can identify the sociocultural implications of most of the language used in colloquial discussions that take place at a natural speed.</v>
      </c>
      <c r="H18" s="71" t="s">
        <v>2469</v>
      </c>
      <c r="I18" s="79" t="s">
        <v>3089</v>
      </c>
    </row>
    <row r="19" customFormat="false" ht="26.25" hidden="false" customHeight="true" outlineLevel="0" collapsed="false">
      <c r="A19" s="70" t="n">
        <f aca="false">Data!A19</f>
        <v>18</v>
      </c>
      <c r="B19" s="70" t="str">
        <f aca="false">IFERROR(INDEX(対訳マスタ!$C$2:$C$136,MATCH(Data!B19,対訳マスタ!$B$2:$B$136,0)),Data!B19)</f>
        <v>コミュニケーション言語活動</v>
      </c>
      <c r="C19" s="70" t="str">
        <f aca="false">IF(Data!C19="—","—",IFERROR(INDEX(対訳マスタ!$C$2:$C$136,MATCH(Data!C19,対訳マスタ!$B$2:$B$136,0)),Data!C19))</f>
        <v>受容</v>
      </c>
      <c r="D19" s="70" t="str">
        <f aca="false">IF(Data!D19="—","—",IFERROR(INDEX(対訳マスタ!$C$2:$C$136,MATCH(Data!D19,対訳マスタ!$B$2:$B$136,0)),Data!D19))</f>
        <v>口頭理解（聞くこと）</v>
      </c>
      <c r="E19" s="70" t="str">
        <f aca="false">IFERROR(INDEX(対訳マスタ!$C$2:$C$136,MATCH(Data!E19,対訳マスタ!$B$2:$B$136,0)),Data!E19)</f>
        <v>第三者どうしの会話の聞き取り</v>
      </c>
      <c r="F19" s="70" t="str">
        <f aca="false">Data!F19</f>
        <v>C1</v>
      </c>
      <c r="G19" s="31" t="str">
        <f aca="false">Data!G19</f>
        <v>Can easily follow complex interactions between third parties in group discussion and debate, even on abstract, complex, unfamiliar topics.</v>
      </c>
      <c r="H19" s="71" t="s">
        <v>2468</v>
      </c>
      <c r="I19" s="79" t="s">
        <v>3089</v>
      </c>
    </row>
    <row r="20" customFormat="false" ht="32.25" hidden="false" customHeight="true" outlineLevel="0" collapsed="false">
      <c r="A20" s="70" t="n">
        <f aca="false">Data!A20</f>
        <v>19</v>
      </c>
      <c r="B20" s="70" t="str">
        <f aca="false">IFERROR(INDEX(対訳マスタ!$C$2:$C$136,MATCH(Data!B20,対訳マスタ!$B$2:$B$136,0)),Data!B20)</f>
        <v>コミュニケーション言語活動</v>
      </c>
      <c r="C20" s="70" t="str">
        <f aca="false">IF(Data!C20="—","—",IFERROR(INDEX(対訳マスタ!$C$2:$C$136,MATCH(Data!C20,対訳マスタ!$B$2:$B$136,0)),Data!C20))</f>
        <v>受容</v>
      </c>
      <c r="D20" s="70" t="str">
        <f aca="false">IF(Data!D20="—","—",IFERROR(INDEX(対訳マスタ!$C$2:$C$136,MATCH(Data!D20,対訳マスタ!$B$2:$B$136,0)),Data!D20))</f>
        <v>口頭理解（聞くこと）</v>
      </c>
      <c r="E20" s="70" t="str">
        <f aca="false">IFERROR(INDEX(対訳マスタ!$C$2:$C$136,MATCH(Data!E20,対訳マスタ!$B$2:$B$136,0)),Data!E20)</f>
        <v>第三者どうしの会話の聞き取り</v>
      </c>
      <c r="F20" s="70" t="str">
        <f aca="false">Data!F20</f>
        <v>C1</v>
      </c>
      <c r="G20" s="31" t="str">
        <f aca="false">Data!G20</f>
        <v>Can identify the attitude of each participant in an animated discussion characterised by overlapping turns, digressions and colloquialisms that is delivered at a natural speed in varieties that are familiar.</v>
      </c>
      <c r="H20" s="71" t="s">
        <v>3096</v>
      </c>
      <c r="I20" s="79" t="s">
        <v>3089</v>
      </c>
    </row>
    <row r="21" customFormat="false" ht="21.75" hidden="false" customHeight="true" outlineLevel="0" collapsed="false">
      <c r="A21" s="70" t="n">
        <f aca="false">Data!A21</f>
        <v>20</v>
      </c>
      <c r="B21" s="70" t="str">
        <f aca="false">IFERROR(INDEX(対訳マスタ!$C$2:$C$136,MATCH(Data!B21,対訳マスタ!$B$2:$B$136,0)),Data!B21)</f>
        <v>コミュニケーション言語活動</v>
      </c>
      <c r="C21" s="70" t="str">
        <f aca="false">IF(Data!C21="—","—",IFERROR(INDEX(対訳マスタ!$C$2:$C$136,MATCH(Data!C21,対訳マスタ!$B$2:$B$136,0)),Data!C21))</f>
        <v>受容</v>
      </c>
      <c r="D21" s="70" t="str">
        <f aca="false">IF(Data!D21="—","—",IFERROR(INDEX(対訳マスタ!$C$2:$C$136,MATCH(Data!D21,対訳マスタ!$B$2:$B$136,0)),Data!D21))</f>
        <v>口頭理解（聞くこと）</v>
      </c>
      <c r="E21" s="70" t="str">
        <f aca="false">IFERROR(INDEX(対訳マスタ!$C$2:$C$136,MATCH(Data!E21,対訳マスタ!$B$2:$B$136,0)),Data!E21)</f>
        <v>第三者どうしの会話の聞き取り</v>
      </c>
      <c r="F21" s="70" t="str">
        <f aca="false">Data!F21</f>
        <v>B2+</v>
      </c>
      <c r="G21" s="31" t="str">
        <f aca="false">Data!G21</f>
        <v>Can keep up with an animated conversation between proficient users of the target language.</v>
      </c>
      <c r="H21" s="71" t="s">
        <v>2467</v>
      </c>
      <c r="I21" s="79" t="s">
        <v>3089</v>
      </c>
    </row>
    <row r="22" customFormat="false" ht="32.25" hidden="false" customHeight="true" outlineLevel="0" collapsed="false">
      <c r="A22" s="70" t="n">
        <f aca="false">Data!A22</f>
        <v>21</v>
      </c>
      <c r="B22" s="70" t="str">
        <f aca="false">IFERROR(INDEX(対訳マスタ!$C$2:$C$136,MATCH(Data!B22,対訳マスタ!$B$2:$B$136,0)),Data!B22)</f>
        <v>コミュニケーション言語活動</v>
      </c>
      <c r="C22" s="70" t="str">
        <f aca="false">IF(Data!C22="—","—",IFERROR(INDEX(対訳マスタ!$C$2:$C$136,MATCH(Data!C22,対訳マスタ!$B$2:$B$136,0)),Data!C22))</f>
        <v>受容</v>
      </c>
      <c r="D22" s="70" t="str">
        <f aca="false">IF(Data!D22="—","—",IFERROR(INDEX(対訳マスタ!$C$2:$C$136,MATCH(Data!D22,対訳マスタ!$B$2:$B$136,0)),Data!D22))</f>
        <v>口頭理解（聞くこと）</v>
      </c>
      <c r="E22" s="70" t="str">
        <f aca="false">IFERROR(INDEX(対訳マスタ!$C$2:$C$136,MATCH(Data!E22,対訳マスタ!$B$2:$B$136,0)),Data!E22)</f>
        <v>第三者どうしの会話の聞き取り</v>
      </c>
      <c r="F22" s="70" t="str">
        <f aca="false">Data!F22</f>
        <v>B2</v>
      </c>
      <c r="G22" s="31" t="str">
        <f aca="false">Data!G22</f>
        <v>Can with some effort catch much of what is said around them, but may find it difficult to participate effectively in discussion with several users of the target language who do not modify their language in any way.</v>
      </c>
      <c r="H22" s="71" t="s">
        <v>3097</v>
      </c>
      <c r="I22" s="79" t="s">
        <v>3089</v>
      </c>
    </row>
    <row r="23" customFormat="false" ht="21.75" hidden="false" customHeight="true" outlineLevel="0" collapsed="false">
      <c r="A23" s="70" t="n">
        <f aca="false">Data!A23</f>
        <v>22</v>
      </c>
      <c r="B23" s="70" t="str">
        <f aca="false">IFERROR(INDEX(対訳マスタ!$C$2:$C$136,MATCH(Data!B23,対訳マスタ!$B$2:$B$136,0)),Data!B23)</f>
        <v>コミュニケーション言語活動</v>
      </c>
      <c r="C23" s="70" t="str">
        <f aca="false">IF(Data!C23="—","—",IFERROR(INDEX(対訳マスタ!$C$2:$C$136,MATCH(Data!C23,対訳マスタ!$B$2:$B$136,0)),Data!C23))</f>
        <v>受容</v>
      </c>
      <c r="D23" s="70" t="str">
        <f aca="false">IF(Data!D23="—","—",IFERROR(INDEX(対訳マスタ!$C$2:$C$136,MATCH(Data!D23,対訳マスタ!$B$2:$B$136,0)),Data!D23))</f>
        <v>口頭理解（聞くこと）</v>
      </c>
      <c r="E23" s="70" t="str">
        <f aca="false">IFERROR(INDEX(対訳マスタ!$C$2:$C$136,MATCH(Data!E23,対訳マスタ!$B$2:$B$136,0)),Data!E23)</f>
        <v>第三者どうしの会話の聞き取り</v>
      </c>
      <c r="F23" s="70" t="str">
        <f aca="false">Data!F23</f>
        <v>B2</v>
      </c>
      <c r="G23" s="31" t="str">
        <f aca="false">Data!G23</f>
        <v>Can identify the main reasons for and against an argument or idea in a discussion conducted in clear standard language or a familiar variety.</v>
      </c>
      <c r="H23" s="71" t="s">
        <v>3098</v>
      </c>
      <c r="I23" s="79" t="s">
        <v>3089</v>
      </c>
    </row>
    <row r="24" customFormat="false" ht="21.75" hidden="false" customHeight="true" outlineLevel="0" collapsed="false">
      <c r="A24" s="70" t="n">
        <f aca="false">Data!A24</f>
        <v>23</v>
      </c>
      <c r="B24" s="70" t="str">
        <f aca="false">IFERROR(INDEX(対訳マスタ!$C$2:$C$136,MATCH(Data!B24,対訳マスタ!$B$2:$B$136,0)),Data!B24)</f>
        <v>コミュニケーション言語活動</v>
      </c>
      <c r="C24" s="70" t="str">
        <f aca="false">IF(Data!C24="—","—",IFERROR(INDEX(対訳マスタ!$C$2:$C$136,MATCH(Data!C24,対訳マスタ!$B$2:$B$136,0)),Data!C24))</f>
        <v>受容</v>
      </c>
      <c r="D24" s="70" t="str">
        <f aca="false">IF(Data!D24="—","—",IFERROR(INDEX(対訳マスタ!$C$2:$C$136,MATCH(Data!D24,対訳マスタ!$B$2:$B$136,0)),Data!D24))</f>
        <v>口頭理解（聞くこと）</v>
      </c>
      <c r="E24" s="70" t="str">
        <f aca="false">IFERROR(INDEX(対訳マスタ!$C$2:$C$136,MATCH(Data!E24,対訳マスタ!$B$2:$B$136,0)),Data!E24)</f>
        <v>第三者どうしの会話の聞き取り</v>
      </c>
      <c r="F24" s="70" t="str">
        <f aca="false">Data!F24</f>
        <v>B2</v>
      </c>
      <c r="G24" s="31" t="str">
        <f aca="false">Data!G24</f>
        <v>Can follow chronological sequence in extended informal discourse, e.g. in a story or anecdote.</v>
      </c>
      <c r="H24" s="71" t="s">
        <v>2466</v>
      </c>
      <c r="I24" s="79" t="s">
        <v>3089</v>
      </c>
    </row>
    <row r="25" customFormat="false" ht="26.25" hidden="false" customHeight="true" outlineLevel="0" collapsed="false">
      <c r="A25" s="70" t="n">
        <f aca="false">Data!A25</f>
        <v>24</v>
      </c>
      <c r="B25" s="70" t="str">
        <f aca="false">IFERROR(INDEX(対訳マスタ!$C$2:$C$136,MATCH(Data!B25,対訳マスタ!$B$2:$B$136,0)),Data!B25)</f>
        <v>コミュニケーション言語活動</v>
      </c>
      <c r="C25" s="70" t="str">
        <f aca="false">IF(Data!C25="—","—",IFERROR(INDEX(対訳マスタ!$C$2:$C$136,MATCH(Data!C25,対訳マスタ!$B$2:$B$136,0)),Data!C25))</f>
        <v>受容</v>
      </c>
      <c r="D25" s="70" t="str">
        <f aca="false">IF(Data!D25="—","—",IFERROR(INDEX(対訳マスタ!$C$2:$C$136,MATCH(Data!D25,対訳マスタ!$B$2:$B$136,0)),Data!D25))</f>
        <v>口頭理解（聞くこと）</v>
      </c>
      <c r="E25" s="70" t="str">
        <f aca="false">IFERROR(INDEX(対訳マスタ!$C$2:$C$136,MATCH(Data!E25,対訳マスタ!$B$2:$B$136,0)),Data!E25)</f>
        <v>第三者どうしの会話の聞き取り</v>
      </c>
      <c r="F25" s="70" t="str">
        <f aca="false">Data!F25</f>
        <v>B1+</v>
      </c>
      <c r="G25" s="31" t="str">
        <f aca="false">Data!G25</f>
        <v>Can follow much of everyday conversation and discussion, provided it is clearly articulated in standard language or in a familiar variety.</v>
      </c>
      <c r="H25" s="71" t="s">
        <v>2465</v>
      </c>
      <c r="I25" s="79" t="s">
        <v>3089</v>
      </c>
    </row>
    <row r="26" customFormat="false" ht="26.25" hidden="false" customHeight="true" outlineLevel="0" collapsed="false">
      <c r="A26" s="70" t="n">
        <f aca="false">Data!A26</f>
        <v>25</v>
      </c>
      <c r="B26" s="70" t="str">
        <f aca="false">IFERROR(INDEX(対訳マスタ!$C$2:$C$136,MATCH(Data!B26,対訳マスタ!$B$2:$B$136,0)),Data!B26)</f>
        <v>コミュニケーション言語活動</v>
      </c>
      <c r="C26" s="70" t="str">
        <f aca="false">IF(Data!C26="—","—",IFERROR(INDEX(対訳マスタ!$C$2:$C$136,MATCH(Data!C26,対訳マスタ!$B$2:$B$136,0)),Data!C26))</f>
        <v>受容</v>
      </c>
      <c r="D26" s="70" t="str">
        <f aca="false">IF(Data!D26="—","—",IFERROR(INDEX(対訳マスタ!$C$2:$C$136,MATCH(Data!D26,対訳マスタ!$B$2:$B$136,0)),Data!D26))</f>
        <v>口頭理解（聞くこと）</v>
      </c>
      <c r="E26" s="70" t="str">
        <f aca="false">IFERROR(INDEX(対訳マスタ!$C$2:$C$136,MATCH(Data!E26,対訳マスタ!$B$2:$B$136,0)),Data!E26)</f>
        <v>第三者どうしの会話の聞き取り</v>
      </c>
      <c r="F26" s="70" t="str">
        <f aca="false">Data!F26</f>
        <v>B1</v>
      </c>
      <c r="G26" s="31" t="str">
        <f aca="false">Data!G26</f>
        <v>Can generally follow the main points of extended discussion around them, provided it is clearly articulated in standard language or a familiar variety.</v>
      </c>
      <c r="H26" s="71" t="s">
        <v>2464</v>
      </c>
      <c r="I26" s="79" t="s">
        <v>3089</v>
      </c>
    </row>
    <row r="27" customFormat="false" ht="21.75" hidden="false" customHeight="true" outlineLevel="0" collapsed="false">
      <c r="A27" s="70" t="n">
        <f aca="false">Data!A27</f>
        <v>26</v>
      </c>
      <c r="B27" s="70" t="str">
        <f aca="false">IFERROR(INDEX(対訳マスタ!$C$2:$C$136,MATCH(Data!B27,対訳マスタ!$B$2:$B$136,0)),Data!B27)</f>
        <v>コミュニケーション言語活動</v>
      </c>
      <c r="C27" s="70" t="str">
        <f aca="false">IF(Data!C27="—","—",IFERROR(INDEX(対訳マスタ!$C$2:$C$136,MATCH(Data!C27,対訳マスタ!$B$2:$B$136,0)),Data!C27))</f>
        <v>受容</v>
      </c>
      <c r="D27" s="70" t="str">
        <f aca="false">IF(Data!D27="—","—",IFERROR(INDEX(対訳マスタ!$C$2:$C$136,MATCH(Data!D27,対訳マスタ!$B$2:$B$136,0)),Data!D27))</f>
        <v>口頭理解（聞くこと）</v>
      </c>
      <c r="E27" s="70" t="str">
        <f aca="false">IFERROR(INDEX(対訳マスタ!$C$2:$C$136,MATCH(Data!E27,対訳マスタ!$B$2:$B$136,0)),Data!E27)</f>
        <v>第三者どうしの会話の聞き取り</v>
      </c>
      <c r="F27" s="70" t="str">
        <f aca="false">Data!F27</f>
        <v>A2+</v>
      </c>
      <c r="G27" s="31" t="str">
        <f aca="false">Data!G27</f>
        <v>Can generally identify the topic of discussion around them when it is conducted slowly and clearly.</v>
      </c>
      <c r="H27" s="71" t="s">
        <v>3099</v>
      </c>
      <c r="I27" s="79" t="s">
        <v>3089</v>
      </c>
    </row>
    <row r="28" customFormat="false" ht="26.25" hidden="false" customHeight="true" outlineLevel="0" collapsed="false">
      <c r="A28" s="70" t="n">
        <f aca="false">Data!A28</f>
        <v>27</v>
      </c>
      <c r="B28" s="70" t="str">
        <f aca="false">IFERROR(INDEX(対訳マスタ!$C$2:$C$136,MATCH(Data!B28,対訳マスタ!$B$2:$B$136,0)),Data!B28)</f>
        <v>コミュニケーション言語活動</v>
      </c>
      <c r="C28" s="70" t="str">
        <f aca="false">IF(Data!C28="—","—",IFERROR(INDEX(対訳マスタ!$C$2:$C$136,MATCH(Data!C28,対訳マスタ!$B$2:$B$136,0)),Data!C28))</f>
        <v>受容</v>
      </c>
      <c r="D28" s="70" t="str">
        <f aca="false">IF(Data!D28="—","—",IFERROR(INDEX(対訳マスタ!$C$2:$C$136,MATCH(Data!D28,対訳マスタ!$B$2:$B$136,0)),Data!D28))</f>
        <v>口頭理解（聞くこと）</v>
      </c>
      <c r="E28" s="70" t="str">
        <f aca="false">IFERROR(INDEX(対訳マスタ!$C$2:$C$136,MATCH(Data!E28,対訳マスタ!$B$2:$B$136,0)),Data!E28)</f>
        <v>第三者どうしの会話の聞き取り</v>
      </c>
      <c r="F28" s="70" t="str">
        <f aca="false">Data!F28</f>
        <v>A2+</v>
      </c>
      <c r="G28" s="31" t="str">
        <f aca="false">Data!G28</f>
        <v>Can recognise when people agree and disagree in a conversation conducted slowly and clearly.</v>
      </c>
      <c r="H28" s="71" t="s">
        <v>2463</v>
      </c>
      <c r="I28" s="79" t="s">
        <v>3089</v>
      </c>
    </row>
    <row r="29" customFormat="false" ht="15" hidden="false" customHeight="true" outlineLevel="0" collapsed="false">
      <c r="A29" s="70" t="n">
        <f aca="false">Data!A29</f>
        <v>28</v>
      </c>
      <c r="B29" s="70" t="str">
        <f aca="false">IFERROR(INDEX(対訳マスタ!$C$2:$C$136,MATCH(Data!B29,対訳マスタ!$B$2:$B$136,0)),Data!B29)</f>
        <v>コミュニケーション言語活動</v>
      </c>
      <c r="C29" s="70" t="str">
        <f aca="false">IF(Data!C29="—","—",IFERROR(INDEX(対訳マスタ!$C$2:$C$136,MATCH(Data!C29,対訳マスタ!$B$2:$B$136,0)),Data!C29))</f>
        <v>受容</v>
      </c>
      <c r="D29" s="70" t="str">
        <f aca="false">IF(Data!D29="—","—",IFERROR(INDEX(対訳マスタ!$C$2:$C$136,MATCH(Data!D29,対訳マスタ!$B$2:$B$136,0)),Data!D29))</f>
        <v>口頭理解（聞くこと）</v>
      </c>
      <c r="E29" s="70" t="str">
        <f aca="false">IFERROR(INDEX(対訳マスタ!$C$2:$C$136,MATCH(Data!E29,対訳マスタ!$B$2:$B$136,0)),Data!E29)</f>
        <v>第三者どうしの会話の聞き取り</v>
      </c>
      <c r="F29" s="70" t="str">
        <f aca="false">Data!F29</f>
        <v>A2</v>
      </c>
      <c r="G29" s="31" t="str">
        <f aca="false">Data!G29</f>
        <v>Can follow in outline short, simple social exchanges, conducted very slowly and clearly.</v>
      </c>
      <c r="H29" s="71" t="s">
        <v>2462</v>
      </c>
      <c r="I29" s="79" t="s">
        <v>3089</v>
      </c>
    </row>
    <row r="30" customFormat="false" ht="26.25" hidden="false" customHeight="true" outlineLevel="0" collapsed="false">
      <c r="A30" s="70" t="n">
        <f aca="false">Data!A30</f>
        <v>29</v>
      </c>
      <c r="B30" s="70" t="str">
        <f aca="false">IFERROR(INDEX(対訳マスタ!$C$2:$C$136,MATCH(Data!B30,対訳マスタ!$B$2:$B$136,0)),Data!B30)</f>
        <v>コミュニケーション言語活動</v>
      </c>
      <c r="C30" s="70" t="str">
        <f aca="false">IF(Data!C30="—","—",IFERROR(INDEX(対訳マスタ!$C$2:$C$136,MATCH(Data!C30,対訳マスタ!$B$2:$B$136,0)),Data!C30))</f>
        <v>受容</v>
      </c>
      <c r="D30" s="70" t="str">
        <f aca="false">IF(Data!D30="—","—",IFERROR(INDEX(対訳マスタ!$C$2:$C$136,MATCH(Data!D30,対訳マスタ!$B$2:$B$136,0)),Data!D30))</f>
        <v>口頭理解（聞くこと）</v>
      </c>
      <c r="E30" s="70" t="str">
        <f aca="false">IFERROR(INDEX(対訳マスタ!$C$2:$C$136,MATCH(Data!E30,対訳マスタ!$B$2:$B$136,0)),Data!E30)</f>
        <v>第三者どうしの会話の聞き取り</v>
      </c>
      <c r="F30" s="70" t="str">
        <f aca="false">Data!F30</f>
        <v>A1</v>
      </c>
      <c r="G30" s="31" t="str">
        <f aca="false">Data!G30</f>
        <v>Can understand some expressions when people are discussing them, family, school, hobbies or surroundings, provided the delivery is slow and clear.</v>
      </c>
      <c r="H30" s="71" t="s">
        <v>2461</v>
      </c>
      <c r="I30" s="79" t="s">
        <v>3089</v>
      </c>
    </row>
    <row r="31" customFormat="false" ht="32.25" hidden="false" customHeight="true" outlineLevel="0" collapsed="false">
      <c r="A31" s="70" t="n">
        <f aca="false">Data!A31</f>
        <v>30</v>
      </c>
      <c r="B31" s="70" t="str">
        <f aca="false">IFERROR(INDEX(対訳マスタ!$C$2:$C$136,MATCH(Data!B31,対訳マスタ!$B$2:$B$136,0)),Data!B31)</f>
        <v>コミュニケーション言語活動</v>
      </c>
      <c r="C31" s="70" t="str">
        <f aca="false">IF(Data!C31="—","—",IFERROR(INDEX(対訳マスタ!$C$2:$C$136,MATCH(Data!C31,対訳マスタ!$B$2:$B$136,0)),Data!C31))</f>
        <v>受容</v>
      </c>
      <c r="D31" s="70" t="str">
        <f aca="false">IF(Data!D31="—","—",IFERROR(INDEX(対訳マスタ!$C$2:$C$136,MATCH(Data!D31,対訳マスタ!$B$2:$B$136,0)),Data!D31))</f>
        <v>口頭理解（聞くこと）</v>
      </c>
      <c r="E31" s="70" t="str">
        <f aca="false">IFERROR(INDEX(対訳マスタ!$C$2:$C$136,MATCH(Data!E31,対訳マスタ!$B$2:$B$136,0)),Data!E31)</f>
        <v>第三者どうしの会話の聞き取り</v>
      </c>
      <c r="F31" s="70" t="str">
        <f aca="false">Data!F31</f>
        <v>A1</v>
      </c>
      <c r="G31" s="31" t="str">
        <f aca="false">Data!G31</f>
        <v>Can understand words/signs and short sentences in a simple conversation (e.g. between a customer and a salesperson in a shop), provided people communicate very slowly and very clearly.</v>
      </c>
      <c r="H31" s="71" t="s">
        <v>3100</v>
      </c>
      <c r="I31" s="79" t="s">
        <v>3089</v>
      </c>
    </row>
    <row r="32" customFormat="false" ht="15" hidden="false" customHeight="true" outlineLevel="0" collapsed="false">
      <c r="A32" s="80" t="n">
        <f aca="false">Data!A32</f>
        <v>31</v>
      </c>
      <c r="B32" s="80" t="str">
        <f aca="false">IFERROR(INDEX(対訳マスタ!$C$2:$C$136,MATCH(Data!B32,対訳マスタ!$B$2:$B$136,0)),Data!B32)</f>
        <v>コミュニケーション言語活動</v>
      </c>
      <c r="C32" s="80" t="str">
        <f aca="false">IF(Data!C32="—","—",IFERROR(INDEX(対訳マスタ!$C$2:$C$136,MATCH(Data!C32,対訳マスタ!$B$2:$B$136,0)),Data!C32))</f>
        <v>受容</v>
      </c>
      <c r="D32" s="80" t="str">
        <f aca="false">IF(Data!D32="—","—",IFERROR(INDEX(対訳マスタ!$C$2:$C$136,MATCH(Data!D32,対訳マスタ!$B$2:$B$136,0)),Data!D32))</f>
        <v>口頭理解（聞くこと）</v>
      </c>
      <c r="E32" s="80" t="str">
        <f aca="false">IFERROR(INDEX(対訳マスタ!$C$2:$C$136,MATCH(Data!E32,対訳マスタ!$B$2:$B$136,0)),Data!E32)</f>
        <v>第三者どうしの会話の聞き取り</v>
      </c>
      <c r="F32" s="80" t="str">
        <f aca="false">Data!F32</f>
        <v>Pre-A1</v>
      </c>
      <c r="G32" s="81" t="str">
        <f aca="false">Data!G32</f>
        <v>No descriptors available</v>
      </c>
      <c r="H32" s="81" t="s">
        <v>624</v>
      </c>
      <c r="I32" s="80" t="s">
        <v>624</v>
      </c>
    </row>
    <row r="33" customFormat="false" ht="21.75" hidden="false" customHeight="true" outlineLevel="0" collapsed="false">
      <c r="A33" s="70" t="n">
        <f aca="false">Data!A33</f>
        <v>32</v>
      </c>
      <c r="B33" s="70" t="str">
        <f aca="false">IFERROR(INDEX(対訳マスタ!$C$2:$C$136,MATCH(Data!B33,対訳マスタ!$B$2:$B$136,0)),Data!B33)</f>
        <v>コミュニケーション言語活動</v>
      </c>
      <c r="C33" s="70" t="str">
        <f aca="false">IF(Data!C33="—","—",IFERROR(INDEX(対訳マスタ!$C$2:$C$136,MATCH(Data!C33,対訳マスタ!$B$2:$B$136,0)),Data!C33))</f>
        <v>受容</v>
      </c>
      <c r="D33" s="70" t="str">
        <f aca="false">IF(Data!D33="—","—",IFERROR(INDEX(対訳マスタ!$C$2:$C$136,MATCH(Data!D33,対訳マスタ!$B$2:$B$136,0)),Data!D33))</f>
        <v>口頭理解（聞くこと）</v>
      </c>
      <c r="E33" s="70" t="str">
        <f aca="false">IFERROR(INDEX(対訳マスタ!$C$2:$C$136,MATCH(Data!E33,対訳マスタ!$B$2:$B$136,0)),Data!E33)</f>
        <v>聴衆としての聞き取り（講演など）</v>
      </c>
      <c r="F33" s="70" t="str">
        <f aca="false">Data!F33</f>
        <v>C2</v>
      </c>
      <c r="G33" s="31" t="str">
        <f aca="false">Data!G33</f>
        <v>Can follow specialised lectures and presentations employing colloquialism, regional usage or unfamiliar terminology.</v>
      </c>
      <c r="H33" s="71" t="s">
        <v>3101</v>
      </c>
      <c r="I33" s="79" t="s">
        <v>3089</v>
      </c>
    </row>
    <row r="34" customFormat="false" ht="15" hidden="false" customHeight="true" outlineLevel="0" collapsed="false">
      <c r="A34" s="70" t="n">
        <f aca="false">Data!A34</f>
        <v>33</v>
      </c>
      <c r="B34" s="70" t="str">
        <f aca="false">IFERROR(INDEX(対訳マスタ!$C$2:$C$136,MATCH(Data!B34,対訳マスタ!$B$2:$B$136,0)),Data!B34)</f>
        <v>コミュニケーション言語活動</v>
      </c>
      <c r="C34" s="70" t="str">
        <f aca="false">IF(Data!C34="—","—",IFERROR(INDEX(対訳マスタ!$C$2:$C$136,MATCH(Data!C34,対訳マスタ!$B$2:$B$136,0)),Data!C34))</f>
        <v>受容</v>
      </c>
      <c r="D34" s="70" t="str">
        <f aca="false">IF(Data!D34="—","—",IFERROR(INDEX(対訳マスタ!$C$2:$C$136,MATCH(Data!D34,対訳マスタ!$B$2:$B$136,0)),Data!D34))</f>
        <v>口頭理解（聞くこと）</v>
      </c>
      <c r="E34" s="70" t="str">
        <f aca="false">IFERROR(INDEX(対訳マスタ!$C$2:$C$136,MATCH(Data!E34,対訳マスタ!$B$2:$B$136,0)),Data!E34)</f>
        <v>聴衆としての聞き取り（講演など）</v>
      </c>
      <c r="F34" s="70" t="str">
        <f aca="false">Data!F34</f>
        <v>C2</v>
      </c>
      <c r="G34" s="31" t="str">
        <f aca="false">Data!G34</f>
        <v>Can make appropriate inferences when links or implications are not made explicit.</v>
      </c>
      <c r="H34" s="71" t="s">
        <v>3102</v>
      </c>
      <c r="I34" s="79" t="s">
        <v>3089</v>
      </c>
    </row>
    <row r="35" customFormat="false" ht="15" hidden="false" customHeight="true" outlineLevel="0" collapsed="false">
      <c r="A35" s="70" t="n">
        <f aca="false">Data!A35</f>
        <v>34</v>
      </c>
      <c r="B35" s="70" t="str">
        <f aca="false">IFERROR(INDEX(対訳マスタ!$C$2:$C$136,MATCH(Data!B35,対訳マスタ!$B$2:$B$136,0)),Data!B35)</f>
        <v>コミュニケーション言語活動</v>
      </c>
      <c r="C35" s="70" t="str">
        <f aca="false">IF(Data!C35="—","—",IFERROR(INDEX(対訳マスタ!$C$2:$C$136,MATCH(Data!C35,対訳マスタ!$B$2:$B$136,0)),Data!C35))</f>
        <v>受容</v>
      </c>
      <c r="D35" s="70" t="str">
        <f aca="false">IF(Data!D35="—","—",IFERROR(INDEX(対訳マスタ!$C$2:$C$136,MATCH(Data!D35,対訳マスタ!$B$2:$B$136,0)),Data!D35))</f>
        <v>口頭理解（聞くこと）</v>
      </c>
      <c r="E35" s="70" t="str">
        <f aca="false">IFERROR(INDEX(対訳マスタ!$C$2:$C$136,MATCH(Data!E35,対訳マスタ!$B$2:$B$136,0)),Data!E35)</f>
        <v>聴衆としての聞き取り（講演など）</v>
      </c>
      <c r="F35" s="70" t="str">
        <f aca="false">Data!F35</f>
        <v>C2</v>
      </c>
      <c r="G35" s="31" t="str">
        <f aca="false">Data!G35</f>
        <v>Can get the point of jokes or allusions in a presentation.</v>
      </c>
      <c r="H35" s="71" t="s">
        <v>2478</v>
      </c>
      <c r="I35" s="79" t="s">
        <v>3089</v>
      </c>
    </row>
    <row r="36" customFormat="false" ht="15" hidden="false" customHeight="true" outlineLevel="0" collapsed="false">
      <c r="A36" s="70" t="n">
        <f aca="false">Data!A36</f>
        <v>35</v>
      </c>
      <c r="B36" s="70" t="str">
        <f aca="false">IFERROR(INDEX(対訳マスタ!$C$2:$C$136,MATCH(Data!B36,対訳マスタ!$B$2:$B$136,0)),Data!B36)</f>
        <v>コミュニケーション言語活動</v>
      </c>
      <c r="C36" s="70" t="str">
        <f aca="false">IF(Data!C36="—","—",IFERROR(INDEX(対訳マスタ!$C$2:$C$136,MATCH(Data!C36,対訳マスタ!$B$2:$B$136,0)),Data!C36))</f>
        <v>受容</v>
      </c>
      <c r="D36" s="70" t="str">
        <f aca="false">IF(Data!D36="—","—",IFERROR(INDEX(対訳マスタ!$C$2:$C$136,MATCH(Data!D36,対訳マスタ!$B$2:$B$136,0)),Data!D36))</f>
        <v>口頭理解（聞くこと）</v>
      </c>
      <c r="E36" s="70" t="str">
        <f aca="false">IFERROR(INDEX(対訳マスタ!$C$2:$C$136,MATCH(Data!E36,対訳マスタ!$B$2:$B$136,0)),Data!E36)</f>
        <v>聴衆としての聞き取り（講演など）</v>
      </c>
      <c r="F36" s="70" t="str">
        <f aca="false">Data!F36</f>
        <v>C1</v>
      </c>
      <c r="G36" s="31" t="str">
        <f aca="false">Data!G36</f>
        <v>Can follow most lectures, discussions and debates with relative ease.</v>
      </c>
      <c r="H36" s="71" t="s">
        <v>2477</v>
      </c>
      <c r="I36" s="79" t="s">
        <v>3089</v>
      </c>
    </row>
    <row r="37" customFormat="false" ht="26.25" hidden="false" customHeight="true" outlineLevel="0" collapsed="false">
      <c r="A37" s="70" t="n">
        <f aca="false">Data!A37</f>
        <v>36</v>
      </c>
      <c r="B37" s="70" t="str">
        <f aca="false">IFERROR(INDEX(対訳マスタ!$C$2:$C$136,MATCH(Data!B37,対訳マスタ!$B$2:$B$136,0)),Data!B37)</f>
        <v>コミュニケーション言語活動</v>
      </c>
      <c r="C37" s="70" t="str">
        <f aca="false">IF(Data!C37="—","—",IFERROR(INDEX(対訳マスタ!$C$2:$C$136,MATCH(Data!C37,対訳マスタ!$B$2:$B$136,0)),Data!C37))</f>
        <v>受容</v>
      </c>
      <c r="D37" s="70" t="str">
        <f aca="false">IF(Data!D37="—","—",IFERROR(INDEX(対訳マスタ!$C$2:$C$136,MATCH(Data!D37,対訳マスタ!$B$2:$B$136,0)),Data!D37))</f>
        <v>口頭理解（聞くこと）</v>
      </c>
      <c r="E37" s="70" t="str">
        <f aca="false">IFERROR(INDEX(対訳マスタ!$C$2:$C$136,MATCH(Data!E37,対訳マスタ!$B$2:$B$136,0)),Data!E37)</f>
        <v>聴衆としての聞き取り（講演など）</v>
      </c>
      <c r="F37" s="70" t="str">
        <f aca="false">Data!F37</f>
        <v>B2+</v>
      </c>
      <c r="G37" s="31" t="str">
        <f aca="false">Data!G37</f>
        <v>Can follow the essentials of lectures, talks and reports and other forms of academic/professional presentation which are propositionally and linguistically complex.</v>
      </c>
      <c r="H37" s="71" t="s">
        <v>2476</v>
      </c>
      <c r="I37" s="79" t="s">
        <v>3089</v>
      </c>
    </row>
    <row r="38" customFormat="false" ht="32.25" hidden="false" customHeight="true" outlineLevel="0" collapsed="false">
      <c r="A38" s="70" t="n">
        <f aca="false">Data!A38</f>
        <v>37</v>
      </c>
      <c r="B38" s="70" t="str">
        <f aca="false">IFERROR(INDEX(対訳マスタ!$C$2:$C$136,MATCH(Data!B38,対訳マスタ!$B$2:$B$136,0)),Data!B38)</f>
        <v>コミュニケーション言語活動</v>
      </c>
      <c r="C38" s="70" t="str">
        <f aca="false">IF(Data!C38="—","—",IFERROR(INDEX(対訳マスタ!$C$2:$C$136,MATCH(Data!C38,対訳マスタ!$B$2:$B$136,0)),Data!C38))</f>
        <v>受容</v>
      </c>
      <c r="D38" s="70" t="str">
        <f aca="false">IF(Data!D38="—","—",IFERROR(INDEX(対訳マスタ!$C$2:$C$136,MATCH(Data!D38,対訳マスタ!$B$2:$B$136,0)),Data!D38))</f>
        <v>口頭理解（聞くこと）</v>
      </c>
      <c r="E38" s="70" t="str">
        <f aca="false">IFERROR(INDEX(対訳マスタ!$C$2:$C$136,MATCH(Data!E38,対訳マスタ!$B$2:$B$136,0)),Data!E38)</f>
        <v>聴衆としての聞き取り（講演など）</v>
      </c>
      <c r="F38" s="70" t="str">
        <f aca="false">Data!F38</f>
        <v>B2+</v>
      </c>
      <c r="G38" s="31" t="str">
        <f aca="false">Data!G38</f>
        <v>Can understand the point of view expressed on topics that are of current interest or that relate to their specialised field, provided the talk is delivered in standard language or a familiar variety.</v>
      </c>
      <c r="H38" s="71" t="s">
        <v>3103</v>
      </c>
      <c r="I38" s="79" t="s">
        <v>3089</v>
      </c>
    </row>
    <row r="39" customFormat="false" ht="21.75" hidden="false" customHeight="true" outlineLevel="0" collapsed="false">
      <c r="A39" s="70" t="n">
        <f aca="false">Data!A39</f>
        <v>38</v>
      </c>
      <c r="B39" s="70" t="str">
        <f aca="false">IFERROR(INDEX(対訳マスタ!$C$2:$C$136,MATCH(Data!B39,対訳マスタ!$B$2:$B$136,0)),Data!B39)</f>
        <v>コミュニケーション言語活動</v>
      </c>
      <c r="C39" s="70" t="str">
        <f aca="false">IF(Data!C39="—","—",IFERROR(INDEX(対訳マスタ!$C$2:$C$136,MATCH(Data!C39,対訳マスタ!$B$2:$B$136,0)),Data!C39))</f>
        <v>受容</v>
      </c>
      <c r="D39" s="70" t="str">
        <f aca="false">IF(Data!D39="—","—",IFERROR(INDEX(対訳マスタ!$C$2:$C$136,MATCH(Data!D39,対訳マスタ!$B$2:$B$136,0)),Data!D39))</f>
        <v>口頭理解（聞くこと）</v>
      </c>
      <c r="E39" s="70" t="str">
        <f aca="false">IFERROR(INDEX(対訳マスタ!$C$2:$C$136,MATCH(Data!E39,対訳マスタ!$B$2:$B$136,0)),Data!E39)</f>
        <v>聴衆としての聞き取り（講演など）</v>
      </c>
      <c r="F39" s="70" t="str">
        <f aca="false">Data!F39</f>
        <v>B2</v>
      </c>
      <c r="G39" s="31" t="str">
        <f aca="false">Data!G39</f>
        <v>Can follow complex lines of argument in a clearly articulated lecture, provided the topic is reasonably familiar.</v>
      </c>
      <c r="H39" s="71" t="s">
        <v>3104</v>
      </c>
      <c r="I39" s="79" t="s">
        <v>3089</v>
      </c>
    </row>
    <row r="40" customFormat="false" ht="21.75" hidden="false" customHeight="true" outlineLevel="0" collapsed="false">
      <c r="A40" s="70" t="n">
        <f aca="false">Data!A40</f>
        <v>39</v>
      </c>
      <c r="B40" s="70" t="str">
        <f aca="false">IFERROR(INDEX(対訳マスタ!$C$2:$C$136,MATCH(Data!B40,対訳マスタ!$B$2:$B$136,0)),Data!B40)</f>
        <v>コミュニケーション言語活動</v>
      </c>
      <c r="C40" s="70" t="str">
        <f aca="false">IF(Data!C40="—","—",IFERROR(INDEX(対訳マスタ!$C$2:$C$136,MATCH(Data!C40,対訳マスタ!$B$2:$B$136,0)),Data!C40))</f>
        <v>受容</v>
      </c>
      <c r="D40" s="70" t="str">
        <f aca="false">IF(Data!D40="—","—",IFERROR(INDEX(対訳マスタ!$C$2:$C$136,MATCH(Data!D40,対訳マスタ!$B$2:$B$136,0)),Data!D40))</f>
        <v>口頭理解（聞くこと）</v>
      </c>
      <c r="E40" s="70" t="str">
        <f aca="false">IFERROR(INDEX(対訳マスタ!$C$2:$C$136,MATCH(Data!E40,対訳マスタ!$B$2:$B$136,0)),Data!E40)</f>
        <v>聴衆としての聞き取り（講演など）</v>
      </c>
      <c r="F40" s="70" t="str">
        <f aca="false">Data!F40</f>
        <v>B2</v>
      </c>
      <c r="G40" s="31" t="str">
        <f aca="false">Data!G40</f>
        <v>Can distinguish main themes from asides, provided the lecture or talk is delivered in standard language or a familiar variety.</v>
      </c>
      <c r="H40" s="71" t="s">
        <v>3105</v>
      </c>
      <c r="I40" s="79" t="s">
        <v>3089</v>
      </c>
    </row>
    <row r="41" customFormat="false" ht="21.75" hidden="false" customHeight="true" outlineLevel="0" collapsed="false">
      <c r="A41" s="70" t="n">
        <f aca="false">Data!A41</f>
        <v>40</v>
      </c>
      <c r="B41" s="70" t="str">
        <f aca="false">IFERROR(INDEX(対訳マスタ!$C$2:$C$136,MATCH(Data!B41,対訳マスタ!$B$2:$B$136,0)),Data!B41)</f>
        <v>コミュニケーション言語活動</v>
      </c>
      <c r="C41" s="70" t="str">
        <f aca="false">IF(Data!C41="—","—",IFERROR(INDEX(対訳マスタ!$C$2:$C$136,MATCH(Data!C41,対訳マスタ!$B$2:$B$136,0)),Data!C41))</f>
        <v>受容</v>
      </c>
      <c r="D41" s="70" t="str">
        <f aca="false">IF(Data!D41="—","—",IFERROR(INDEX(対訳マスタ!$C$2:$C$136,MATCH(Data!D41,対訳マスタ!$B$2:$B$136,0)),Data!D41))</f>
        <v>口頭理解（聞くこと）</v>
      </c>
      <c r="E41" s="70" t="str">
        <f aca="false">IFERROR(INDEX(対訳マスタ!$C$2:$C$136,MATCH(Data!E41,対訳マスタ!$B$2:$B$136,0)),Data!E41)</f>
        <v>聴衆としての聞き取り（講演など）</v>
      </c>
      <c r="F41" s="70" t="str">
        <f aca="false">Data!F41</f>
        <v>B2</v>
      </c>
      <c r="G41" s="31" t="str">
        <f aca="false">Data!G41</f>
        <v>Can recognise the point of view expressed and distinguish this from facts being reporting.</v>
      </c>
      <c r="H41" s="71" t="s">
        <v>2475</v>
      </c>
      <c r="I41" s="79" t="s">
        <v>3089</v>
      </c>
    </row>
    <row r="42" customFormat="false" ht="21.75" hidden="false" customHeight="true" outlineLevel="0" collapsed="false">
      <c r="A42" s="70" t="n">
        <f aca="false">Data!A42</f>
        <v>41</v>
      </c>
      <c r="B42" s="70" t="str">
        <f aca="false">IFERROR(INDEX(対訳マスタ!$C$2:$C$136,MATCH(Data!B42,対訳マスタ!$B$2:$B$136,0)),Data!B42)</f>
        <v>コミュニケーション言語活動</v>
      </c>
      <c r="C42" s="70" t="str">
        <f aca="false">IF(Data!C42="—","—",IFERROR(INDEX(対訳マスタ!$C$2:$C$136,MATCH(Data!C42,対訳マスタ!$B$2:$B$136,0)),Data!C42))</f>
        <v>受容</v>
      </c>
      <c r="D42" s="70" t="str">
        <f aca="false">IF(Data!D42="—","—",IFERROR(INDEX(対訳マスタ!$C$2:$C$136,MATCH(Data!D42,対訳マスタ!$B$2:$B$136,0)),Data!D42))</f>
        <v>口頭理解（聞くこと）</v>
      </c>
      <c r="E42" s="70" t="str">
        <f aca="false">IFERROR(INDEX(対訳マスタ!$C$2:$C$136,MATCH(Data!E42,対訳マスタ!$B$2:$B$136,0)),Data!E42)</f>
        <v>聴衆としての聞き取り（講演など）</v>
      </c>
      <c r="F42" s="70" t="str">
        <f aca="false">Data!F42</f>
        <v>B1+</v>
      </c>
      <c r="G42" s="31" t="str">
        <f aca="false">Data!G42</f>
        <v>Can follow a lecture or talk within their own field, provided the subject matter is familiar and the presentation straightforward and clearly structured.</v>
      </c>
      <c r="H42" s="71" t="s">
        <v>2474</v>
      </c>
      <c r="I42" s="79" t="s">
        <v>3089</v>
      </c>
    </row>
    <row r="43" customFormat="false" ht="32.25" hidden="false" customHeight="true" outlineLevel="0" collapsed="false">
      <c r="A43" s="70" t="n">
        <f aca="false">Data!A43</f>
        <v>42</v>
      </c>
      <c r="B43" s="70" t="str">
        <f aca="false">IFERROR(INDEX(対訳マスタ!$C$2:$C$136,MATCH(Data!B43,対訳マスタ!$B$2:$B$136,0)),Data!B43)</f>
        <v>コミュニケーション言語活動</v>
      </c>
      <c r="C43" s="70" t="str">
        <f aca="false">IF(Data!C43="—","—",IFERROR(INDEX(対訳マスタ!$C$2:$C$136,MATCH(Data!C43,対訳マスタ!$B$2:$B$136,0)),Data!C43))</f>
        <v>受容</v>
      </c>
      <c r="D43" s="70" t="str">
        <f aca="false">IF(Data!D43="—","—",IFERROR(INDEX(対訳マスタ!$C$2:$C$136,MATCH(Data!D43,対訳マスタ!$B$2:$B$136,0)),Data!D43))</f>
        <v>口頭理解（聞くこと）</v>
      </c>
      <c r="E43" s="70" t="str">
        <f aca="false">IFERROR(INDEX(対訳マスタ!$C$2:$C$136,MATCH(Data!E43,対訳マスタ!$B$2:$B$136,0)),Data!E43)</f>
        <v>聴衆としての聞き取り（講演など）</v>
      </c>
      <c r="F43" s="70" t="str">
        <f aca="false">Data!F43</f>
        <v>B1+</v>
      </c>
      <c r="G43" s="31" t="str">
        <f aca="false">Data!G43</f>
        <v>Can distinguish between main ideas and supporting details in standard lectures on familiar subjects, provided these are delivered in clearly articulated standard language or a familiar variety.</v>
      </c>
      <c r="H43" s="71" t="s">
        <v>3106</v>
      </c>
      <c r="I43" s="79" t="s">
        <v>3089</v>
      </c>
    </row>
    <row r="44" customFormat="false" ht="21.75" hidden="false" customHeight="true" outlineLevel="0" collapsed="false">
      <c r="A44" s="70" t="n">
        <f aca="false">Data!A44</f>
        <v>43</v>
      </c>
      <c r="B44" s="70" t="str">
        <f aca="false">IFERROR(INDEX(対訳マスタ!$C$2:$C$136,MATCH(Data!B44,対訳マスタ!$B$2:$B$136,0)),Data!B44)</f>
        <v>コミュニケーション言語活動</v>
      </c>
      <c r="C44" s="70" t="str">
        <f aca="false">IF(Data!C44="—","—",IFERROR(INDEX(対訳マスタ!$C$2:$C$136,MATCH(Data!C44,対訳マスタ!$B$2:$B$136,0)),Data!C44))</f>
        <v>受容</v>
      </c>
      <c r="D44" s="70" t="str">
        <f aca="false">IF(Data!D44="—","—",IFERROR(INDEX(対訳マスタ!$C$2:$C$136,MATCH(Data!D44,対訳マスタ!$B$2:$B$136,0)),Data!D44))</f>
        <v>口頭理解（聞くこと）</v>
      </c>
      <c r="E44" s="70" t="str">
        <f aca="false">IFERROR(INDEX(対訳マスタ!$C$2:$C$136,MATCH(Data!E44,対訳マスタ!$B$2:$B$136,0)),Data!E44)</f>
        <v>聴衆としての聞き取り（講演など）</v>
      </c>
      <c r="F44" s="70" t="str">
        <f aca="false">Data!F44</f>
        <v>B1</v>
      </c>
      <c r="G44" s="31" t="str">
        <f aca="false">Data!G44</f>
        <v>Can follow in outline straightforward short talks on familiar topics, provided these are delivered in clearly articulated standard language or a familiar variety.</v>
      </c>
      <c r="H44" s="71" t="s">
        <v>3107</v>
      </c>
      <c r="I44" s="79" t="s">
        <v>3089</v>
      </c>
    </row>
    <row r="45" customFormat="false" ht="32.25" hidden="false" customHeight="true" outlineLevel="0" collapsed="false">
      <c r="A45" s="70" t="n">
        <f aca="false">Data!A45</f>
        <v>44</v>
      </c>
      <c r="B45" s="70" t="str">
        <f aca="false">IFERROR(INDEX(対訳マスタ!$C$2:$C$136,MATCH(Data!B45,対訳マスタ!$B$2:$B$136,0)),Data!B45)</f>
        <v>コミュニケーション言語活動</v>
      </c>
      <c r="C45" s="70" t="str">
        <f aca="false">IF(Data!C45="—","—",IFERROR(INDEX(対訳マスタ!$C$2:$C$136,MATCH(Data!C45,対訳マスタ!$B$2:$B$136,0)),Data!C45))</f>
        <v>受容</v>
      </c>
      <c r="D45" s="70" t="str">
        <f aca="false">IF(Data!D45="—","—",IFERROR(INDEX(対訳マスタ!$C$2:$C$136,MATCH(Data!D45,対訳マスタ!$B$2:$B$136,0)),Data!D45))</f>
        <v>口頭理解（聞くこと）</v>
      </c>
      <c r="E45" s="70" t="str">
        <f aca="false">IFERROR(INDEX(対訳マスタ!$C$2:$C$136,MATCH(Data!E45,対訳マスタ!$B$2:$B$136,0)),Data!E45)</f>
        <v>聴衆としての聞き取り（講演など）</v>
      </c>
      <c r="F45" s="70" t="str">
        <f aca="false">Data!F45</f>
        <v>B1</v>
      </c>
      <c r="G45" s="31" t="str">
        <f aca="false">Data!G45</f>
        <v>Can follow a straightforward conference presentation or demonstration with visual support (e.g. slides, handouts) on a topic or product within their field, understanding explanations given.</v>
      </c>
      <c r="H45" s="71" t="s">
        <v>3108</v>
      </c>
      <c r="I45" s="79" t="s">
        <v>3089</v>
      </c>
    </row>
    <row r="46" customFormat="false" ht="26.25" hidden="false" customHeight="true" outlineLevel="0" collapsed="false">
      <c r="A46" s="70" t="n">
        <f aca="false">Data!A46</f>
        <v>45</v>
      </c>
      <c r="B46" s="70" t="str">
        <f aca="false">IFERROR(INDEX(対訳マスタ!$C$2:$C$136,MATCH(Data!B46,対訳マスタ!$B$2:$B$136,0)),Data!B46)</f>
        <v>コミュニケーション言語活動</v>
      </c>
      <c r="C46" s="70" t="str">
        <f aca="false">IF(Data!C46="—","—",IFERROR(INDEX(対訳マスタ!$C$2:$C$136,MATCH(Data!C46,対訳マスタ!$B$2:$B$136,0)),Data!C46))</f>
        <v>受容</v>
      </c>
      <c r="D46" s="70" t="str">
        <f aca="false">IF(Data!D46="—","—",IFERROR(INDEX(対訳マスタ!$C$2:$C$136,MATCH(Data!D46,対訳マスタ!$B$2:$B$136,0)),Data!D46))</f>
        <v>口頭理解（聞くこと）</v>
      </c>
      <c r="E46" s="70" t="str">
        <f aca="false">IFERROR(INDEX(対訳マスタ!$C$2:$C$136,MATCH(Data!E46,対訳マスタ!$B$2:$B$136,0)),Data!E46)</f>
        <v>聴衆としての聞き取り（講演など）</v>
      </c>
      <c r="F46" s="70" t="str">
        <f aca="false">Data!F46</f>
        <v>B1</v>
      </c>
      <c r="G46" s="31" t="str">
        <f aca="false">Data!G46</f>
        <v>Can understand the main points of what is said in a straightforward monologue (e.g. a guided tour), provided the delivery is clear and relatively slow.</v>
      </c>
      <c r="H46" s="71" t="s">
        <v>2473</v>
      </c>
      <c r="I46" s="79" t="s">
        <v>3089</v>
      </c>
    </row>
    <row r="47" customFormat="false" ht="32.25" hidden="false" customHeight="true" outlineLevel="0" collapsed="false">
      <c r="A47" s="70" t="n">
        <f aca="false">Data!A47</f>
        <v>46</v>
      </c>
      <c r="B47" s="70" t="str">
        <f aca="false">IFERROR(INDEX(対訳マスタ!$C$2:$C$136,MATCH(Data!B47,対訳マスタ!$B$2:$B$136,0)),Data!B47)</f>
        <v>コミュニケーション言語活動</v>
      </c>
      <c r="C47" s="70" t="str">
        <f aca="false">IF(Data!C47="—","—",IFERROR(INDEX(対訳マスタ!$C$2:$C$136,MATCH(Data!C47,対訳マスタ!$B$2:$B$136,0)),Data!C47))</f>
        <v>受容</v>
      </c>
      <c r="D47" s="70" t="str">
        <f aca="false">IF(Data!D47="—","—",IFERROR(INDEX(対訳マスタ!$C$2:$C$136,MATCH(Data!D47,対訳マスタ!$B$2:$B$136,0)),Data!D47))</f>
        <v>口頭理解（聞くこと）</v>
      </c>
      <c r="E47" s="70" t="str">
        <f aca="false">IFERROR(INDEX(対訳マスタ!$C$2:$C$136,MATCH(Data!E47,対訳マスタ!$B$2:$B$136,0)),Data!E47)</f>
        <v>聴衆としての聞き取り（講演など）</v>
      </c>
      <c r="F47" s="70" t="str">
        <f aca="false">Data!F47</f>
        <v>A2+</v>
      </c>
      <c r="G47" s="31" t="str">
        <f aca="false">Data!G47</f>
        <v>Can follow the general outline of a demonstration or presentation on a familiar or predictable topic, where the message is expressed slowly and clearly in simple language and there is visual support (e.g. slides, handouts).</v>
      </c>
      <c r="H47" s="71" t="s">
        <v>2472</v>
      </c>
      <c r="I47" s="79" t="s">
        <v>3089</v>
      </c>
    </row>
    <row r="48" customFormat="false" ht="32.25" hidden="false" customHeight="true" outlineLevel="0" collapsed="false">
      <c r="A48" s="70" t="n">
        <f aca="false">Data!A48</f>
        <v>47</v>
      </c>
      <c r="B48" s="70" t="str">
        <f aca="false">IFERROR(INDEX(対訳マスタ!$C$2:$C$136,MATCH(Data!B48,対訳マスタ!$B$2:$B$136,0)),Data!B48)</f>
        <v>コミュニケーション言語活動</v>
      </c>
      <c r="C48" s="70" t="str">
        <f aca="false">IF(Data!C48="—","—",IFERROR(INDEX(対訳マスタ!$C$2:$C$136,MATCH(Data!C48,対訳マスタ!$B$2:$B$136,0)),Data!C48))</f>
        <v>受容</v>
      </c>
      <c r="D48" s="70" t="str">
        <f aca="false">IF(Data!D48="—","—",IFERROR(INDEX(対訳マスタ!$C$2:$C$136,MATCH(Data!D48,対訳マスタ!$B$2:$B$136,0)),Data!D48))</f>
        <v>口頭理解（聞くこと）</v>
      </c>
      <c r="E48" s="70" t="str">
        <f aca="false">IFERROR(INDEX(対訳マスタ!$C$2:$C$136,MATCH(Data!E48,対訳マスタ!$B$2:$B$136,0)),Data!E48)</f>
        <v>聴衆としての聞き取り（講演など）</v>
      </c>
      <c r="F48" s="70" t="str">
        <f aca="false">Data!F48</f>
        <v>A2</v>
      </c>
      <c r="G48" s="31" t="str">
        <f aca="false">Data!G48</f>
        <v>Can follow a very simple, well-structured presentation or demonstration, provided it is illustrated with slides, concrete examples or diagrams, it is delivered slowly and clearly with repetition, and the topic is familiar.</v>
      </c>
      <c r="H48" s="71" t="s">
        <v>3109</v>
      </c>
      <c r="I48" s="79" t="s">
        <v>3089</v>
      </c>
    </row>
    <row r="49" customFormat="false" ht="26.25" hidden="false" customHeight="true" outlineLevel="0" collapsed="false">
      <c r="A49" s="70" t="n">
        <f aca="false">Data!A49</f>
        <v>48</v>
      </c>
      <c r="B49" s="70" t="str">
        <f aca="false">IFERROR(INDEX(対訳マスタ!$C$2:$C$136,MATCH(Data!B49,対訳マスタ!$B$2:$B$136,0)),Data!B49)</f>
        <v>コミュニケーション言語活動</v>
      </c>
      <c r="C49" s="70" t="str">
        <f aca="false">IF(Data!C49="—","—",IFERROR(INDEX(対訳マスタ!$C$2:$C$136,MATCH(Data!C49,対訳マスタ!$B$2:$B$136,0)),Data!C49))</f>
        <v>受容</v>
      </c>
      <c r="D49" s="70" t="str">
        <f aca="false">IF(Data!D49="—","—",IFERROR(INDEX(対訳マスタ!$C$2:$C$136,MATCH(Data!D49,対訳マスタ!$B$2:$B$136,0)),Data!D49))</f>
        <v>口頭理解（聞くこと）</v>
      </c>
      <c r="E49" s="70" t="str">
        <f aca="false">IFERROR(INDEX(対訳マスタ!$C$2:$C$136,MATCH(Data!E49,対訳マスタ!$B$2:$B$136,0)),Data!E49)</f>
        <v>聴衆としての聞き取り（講演など）</v>
      </c>
      <c r="F49" s="70" t="str">
        <f aca="false">Data!F49</f>
        <v>A2</v>
      </c>
      <c r="G49" s="31" t="str">
        <f aca="false">Data!G49</f>
        <v>Can understand the outline of simple information given in a predictable situation, such as on a guided tour (e.g. “This is where the President lives”).</v>
      </c>
      <c r="H49" s="71" t="s">
        <v>2471</v>
      </c>
      <c r="I49" s="79" t="s">
        <v>3089</v>
      </c>
    </row>
    <row r="50" customFormat="false" ht="32.25" hidden="false" customHeight="true" outlineLevel="0" collapsed="false">
      <c r="A50" s="70" t="n">
        <f aca="false">Data!A50</f>
        <v>49</v>
      </c>
      <c r="B50" s="70" t="str">
        <f aca="false">IFERROR(INDEX(対訳マスタ!$C$2:$C$136,MATCH(Data!B50,対訳マスタ!$B$2:$B$136,0)),Data!B50)</f>
        <v>コミュニケーション言語活動</v>
      </c>
      <c r="C50" s="70" t="str">
        <f aca="false">IF(Data!C50="—","—",IFERROR(INDEX(対訳マスタ!$C$2:$C$136,MATCH(Data!C50,対訳マスタ!$B$2:$B$136,0)),Data!C50))</f>
        <v>受容</v>
      </c>
      <c r="D50" s="70" t="str">
        <f aca="false">IF(Data!D50="—","—",IFERROR(INDEX(対訳マスタ!$C$2:$C$136,MATCH(Data!D50,対訳マスタ!$B$2:$B$136,0)),Data!D50))</f>
        <v>口頭理解（聞くこと）</v>
      </c>
      <c r="E50" s="70" t="str">
        <f aca="false">IFERROR(INDEX(対訳マスタ!$C$2:$C$136,MATCH(Data!E50,対訳マスタ!$B$2:$B$136,0)),Data!E50)</f>
        <v>聴衆としての聞き取り（講演など）</v>
      </c>
      <c r="F50" s="70" t="str">
        <f aca="false">Data!F50</f>
        <v>A1</v>
      </c>
      <c r="G50" s="31" t="str">
        <f aca="false">Data!G50</f>
        <v>Can understand in outline very simple information being explained in a predictable situation like a guided tour, provided the delivery is very slow and clear and that there are long pauses from time to time.</v>
      </c>
      <c r="H50" s="71" t="s">
        <v>2470</v>
      </c>
      <c r="I50" s="79" t="s">
        <v>3089</v>
      </c>
    </row>
    <row r="51" customFormat="false" ht="15" hidden="false" customHeight="true" outlineLevel="0" collapsed="false">
      <c r="A51" s="80" t="n">
        <f aca="false">Data!A51</f>
        <v>50</v>
      </c>
      <c r="B51" s="80" t="str">
        <f aca="false">IFERROR(INDEX(対訳マスタ!$C$2:$C$136,MATCH(Data!B51,対訳マスタ!$B$2:$B$136,0)),Data!B51)</f>
        <v>コミュニケーション言語活動</v>
      </c>
      <c r="C51" s="80" t="str">
        <f aca="false">IF(Data!C51="—","—",IFERROR(INDEX(対訳マスタ!$C$2:$C$136,MATCH(Data!C51,対訳マスタ!$B$2:$B$136,0)),Data!C51))</f>
        <v>受容</v>
      </c>
      <c r="D51" s="80" t="str">
        <f aca="false">IF(Data!D51="—","—",IFERROR(INDEX(対訳マスタ!$C$2:$C$136,MATCH(Data!D51,対訳マスタ!$B$2:$B$136,0)),Data!D51))</f>
        <v>口頭理解（聞くこと）</v>
      </c>
      <c r="E51" s="80" t="str">
        <f aca="false">IFERROR(INDEX(対訳マスタ!$C$2:$C$136,MATCH(Data!E51,対訳マスタ!$B$2:$B$136,0)),Data!E51)</f>
        <v>聴衆としての聞き取り（講演など）</v>
      </c>
      <c r="F51" s="80" t="str">
        <f aca="false">Data!F51</f>
        <v>Pre-A1</v>
      </c>
      <c r="G51" s="81" t="str">
        <f aca="false">Data!G51</f>
        <v>No descriptors available</v>
      </c>
      <c r="H51" s="81" t="s">
        <v>624</v>
      </c>
      <c r="I51" s="80" t="s">
        <v>624</v>
      </c>
    </row>
    <row r="52" customFormat="false" ht="15" hidden="false" customHeight="true" outlineLevel="0" collapsed="false">
      <c r="A52" s="80" t="n">
        <f aca="false">Data!A52</f>
        <v>51</v>
      </c>
      <c r="B52" s="80" t="str">
        <f aca="false">IFERROR(INDEX(対訳マスタ!$C$2:$C$136,MATCH(Data!B52,対訳マスタ!$B$2:$B$136,0)),Data!B52)</f>
        <v>コミュニケーション言語活動</v>
      </c>
      <c r="C52" s="80" t="str">
        <f aca="false">IF(Data!C52="—","—",IFERROR(INDEX(対訳マスタ!$C$2:$C$136,MATCH(Data!C52,対訳マスタ!$B$2:$B$136,0)),Data!C52))</f>
        <v>受容</v>
      </c>
      <c r="D52" s="80" t="str">
        <f aca="false">IF(Data!D52="—","—",IFERROR(INDEX(対訳マスタ!$C$2:$C$136,MATCH(Data!D52,対訳マスタ!$B$2:$B$136,0)),Data!D52))</f>
        <v>口頭理解（聞くこと）</v>
      </c>
      <c r="E52" s="80" t="str">
        <f aca="false">IFERROR(INDEX(対訳マスタ!$C$2:$C$136,MATCH(Data!E52,対訳マスタ!$B$2:$B$136,0)),Data!E52)</f>
        <v>アナウンス・指示の聞き取り</v>
      </c>
      <c r="F52" s="80" t="str">
        <f aca="false">Data!F52</f>
        <v>C2</v>
      </c>
      <c r="G52" s="81" t="str">
        <f aca="false">Data!G52</f>
        <v>No descriptors available; see C1</v>
      </c>
      <c r="H52" s="81" t="s">
        <v>624</v>
      </c>
      <c r="I52" s="80" t="s">
        <v>624</v>
      </c>
    </row>
    <row r="53" customFormat="false" ht="21.75" hidden="false" customHeight="true" outlineLevel="0" collapsed="false">
      <c r="A53" s="70" t="n">
        <f aca="false">Data!A53</f>
        <v>52</v>
      </c>
      <c r="B53" s="70" t="str">
        <f aca="false">IFERROR(INDEX(対訳マスタ!$C$2:$C$136,MATCH(Data!B53,対訳マスタ!$B$2:$B$136,0)),Data!B53)</f>
        <v>コミュニケーション言語活動</v>
      </c>
      <c r="C53" s="70" t="str">
        <f aca="false">IF(Data!C53="—","—",IFERROR(INDEX(対訳マスタ!$C$2:$C$136,MATCH(Data!C53,対訳マスタ!$B$2:$B$136,0)),Data!C53))</f>
        <v>受容</v>
      </c>
      <c r="D53" s="70" t="str">
        <f aca="false">IF(Data!D53="—","—",IFERROR(INDEX(対訳マスタ!$C$2:$C$136,MATCH(Data!D53,対訳マスタ!$B$2:$B$136,0)),Data!D53))</f>
        <v>口頭理解（聞くこと）</v>
      </c>
      <c r="E53" s="70" t="str">
        <f aca="false">IFERROR(INDEX(対訳マスタ!$C$2:$C$136,MATCH(Data!E53,対訳マスタ!$B$2:$B$136,0)),Data!E53)</f>
        <v>アナウンス・指示の聞き取り</v>
      </c>
      <c r="F53" s="70" t="str">
        <f aca="false">Data!F53</f>
        <v>C1</v>
      </c>
      <c r="G53" s="31" t="str">
        <f aca="false">Data!G53</f>
        <v>Can extract specific information from poor quality, [audibly and/or visually] distorted public announcements, e.g. in a station or sports stadium, or on an old recording.</v>
      </c>
      <c r="H53" s="71" t="s">
        <v>3110</v>
      </c>
      <c r="I53" s="79" t="s">
        <v>3089</v>
      </c>
    </row>
    <row r="54" customFormat="false" ht="26.25" hidden="false" customHeight="true" outlineLevel="0" collapsed="false">
      <c r="A54" s="70" t="n">
        <f aca="false">Data!A54</f>
        <v>53</v>
      </c>
      <c r="B54" s="70" t="str">
        <f aca="false">IFERROR(INDEX(対訳マスタ!$C$2:$C$136,MATCH(Data!B54,対訳マスタ!$B$2:$B$136,0)),Data!B54)</f>
        <v>コミュニケーション言語活動</v>
      </c>
      <c r="C54" s="70" t="str">
        <f aca="false">IF(Data!C54="—","—",IFERROR(INDEX(対訳マスタ!$C$2:$C$136,MATCH(Data!C54,対訳マスタ!$B$2:$B$136,0)),Data!C54))</f>
        <v>受容</v>
      </c>
      <c r="D54" s="70" t="str">
        <f aca="false">IF(Data!D54="—","—",IFERROR(INDEX(対訳マスタ!$C$2:$C$136,MATCH(Data!D54,対訳マスタ!$B$2:$B$136,0)),Data!D54))</f>
        <v>口頭理解（聞くこと）</v>
      </c>
      <c r="E54" s="70" t="str">
        <f aca="false">IFERROR(INDEX(対訳マスタ!$C$2:$C$136,MATCH(Data!E54,対訳マスタ!$B$2:$B$136,0)),Data!E54)</f>
        <v>アナウンス・指示の聞き取り</v>
      </c>
      <c r="F54" s="70" t="str">
        <f aca="false">Data!F54</f>
        <v>C1</v>
      </c>
      <c r="G54" s="31" t="str">
        <f aca="false">Data!G54</f>
        <v>Can understand complex technical information, such as operating instructions or specifications for familiar products and services.</v>
      </c>
      <c r="H54" s="71" t="s">
        <v>2485</v>
      </c>
      <c r="I54" s="79" t="s">
        <v>3089</v>
      </c>
    </row>
    <row r="55" customFormat="false" ht="21.75" hidden="false" customHeight="true" outlineLevel="0" collapsed="false">
      <c r="A55" s="70" t="n">
        <f aca="false">Data!A55</f>
        <v>54</v>
      </c>
      <c r="B55" s="70" t="str">
        <f aca="false">IFERROR(INDEX(対訳マスタ!$C$2:$C$136,MATCH(Data!B55,対訳マスタ!$B$2:$B$136,0)),Data!B55)</f>
        <v>コミュニケーション言語活動</v>
      </c>
      <c r="C55" s="70" t="str">
        <f aca="false">IF(Data!C55="—","—",IFERROR(INDEX(対訳マスタ!$C$2:$C$136,MATCH(Data!C55,対訳マスタ!$B$2:$B$136,0)),Data!C55))</f>
        <v>受容</v>
      </c>
      <c r="D55" s="70" t="str">
        <f aca="false">IF(Data!D55="—","—",IFERROR(INDEX(対訳マスタ!$C$2:$C$136,MATCH(Data!D55,対訳マスタ!$B$2:$B$136,0)),Data!D55))</f>
        <v>口頭理解（聞くこと）</v>
      </c>
      <c r="E55" s="70" t="str">
        <f aca="false">IFERROR(INDEX(対訳マスタ!$C$2:$C$136,MATCH(Data!E55,対訳マスタ!$B$2:$B$136,0)),Data!E55)</f>
        <v>アナウンス・指示の聞き取り</v>
      </c>
      <c r="F55" s="70" t="str">
        <f aca="false">Data!F55</f>
        <v>B2</v>
      </c>
      <c r="G55" s="31" t="str">
        <f aca="false">Data!G55</f>
        <v>Can understand announcements and messages on concrete and abstract topics delivered in standard language or a familiar variety at normal speed.</v>
      </c>
      <c r="H55" s="71" t="s">
        <v>3111</v>
      </c>
      <c r="I55" s="79" t="s">
        <v>3089</v>
      </c>
    </row>
    <row r="56" customFormat="false" ht="15" hidden="false" customHeight="true" outlineLevel="0" collapsed="false">
      <c r="A56" s="70" t="n">
        <f aca="false">Data!A56</f>
        <v>55</v>
      </c>
      <c r="B56" s="70" t="str">
        <f aca="false">IFERROR(INDEX(対訳マスタ!$C$2:$C$136,MATCH(Data!B56,対訳マスタ!$B$2:$B$136,0)),Data!B56)</f>
        <v>コミュニケーション言語活動</v>
      </c>
      <c r="C56" s="70" t="str">
        <f aca="false">IF(Data!C56="—","—",IFERROR(INDEX(対訳マスタ!$C$2:$C$136,MATCH(Data!C56,対訳マスタ!$B$2:$B$136,0)),Data!C56))</f>
        <v>受容</v>
      </c>
      <c r="D56" s="70" t="str">
        <f aca="false">IF(Data!D56="—","—",IFERROR(INDEX(対訳マスタ!$C$2:$C$136,MATCH(Data!D56,対訳マスタ!$B$2:$B$136,0)),Data!D56))</f>
        <v>口頭理解（聞くこと）</v>
      </c>
      <c r="E56" s="70" t="str">
        <f aca="false">IFERROR(INDEX(対訳マスタ!$C$2:$C$136,MATCH(Data!E56,対訳マスタ!$B$2:$B$136,0)),Data!E56)</f>
        <v>アナウンス・指示の聞き取り</v>
      </c>
      <c r="F56" s="70" t="str">
        <f aca="false">Data!F56</f>
        <v>B2</v>
      </c>
      <c r="G56" s="31" t="str">
        <f aca="false">Data!G56</f>
        <v>Can understand detailed instructions well enough to be able to follow them successfully.</v>
      </c>
      <c r="H56" s="71" t="s">
        <v>2484</v>
      </c>
      <c r="I56" s="79" t="s">
        <v>3089</v>
      </c>
    </row>
    <row r="57" customFormat="false" ht="21.75" hidden="false" customHeight="true" outlineLevel="0" collapsed="false">
      <c r="A57" s="70" t="n">
        <f aca="false">Data!A57</f>
        <v>56</v>
      </c>
      <c r="B57" s="70" t="str">
        <f aca="false">IFERROR(INDEX(対訳マスタ!$C$2:$C$136,MATCH(Data!B57,対訳マスタ!$B$2:$B$136,0)),Data!B57)</f>
        <v>コミュニケーション言語活動</v>
      </c>
      <c r="C57" s="70" t="str">
        <f aca="false">IF(Data!C57="—","—",IFERROR(INDEX(対訳マスタ!$C$2:$C$136,MATCH(Data!C57,対訳マスタ!$B$2:$B$136,0)),Data!C57))</f>
        <v>受容</v>
      </c>
      <c r="D57" s="70" t="str">
        <f aca="false">IF(Data!D57="—","—",IFERROR(INDEX(対訳マスタ!$C$2:$C$136,MATCH(Data!D57,対訳マスタ!$B$2:$B$136,0)),Data!D57))</f>
        <v>口頭理解（聞くこと）</v>
      </c>
      <c r="E57" s="70" t="str">
        <f aca="false">IFERROR(INDEX(対訳マスタ!$C$2:$C$136,MATCH(Data!E57,対訳マスタ!$B$2:$B$136,0)),Data!E57)</f>
        <v>アナウンス・指示の聞き取り</v>
      </c>
      <c r="F57" s="70" t="str">
        <f aca="false">Data!F57</f>
        <v>B1</v>
      </c>
      <c r="G57" s="31" t="str">
        <f aca="false">Data!G57</f>
        <v>Can understand simple technical information, such as operating instructions for everyday equipment.</v>
      </c>
      <c r="H57" s="71" t="s">
        <v>3112</v>
      </c>
      <c r="I57" s="79" t="s">
        <v>3089</v>
      </c>
    </row>
    <row r="58" customFormat="false" ht="15" hidden="false" customHeight="true" outlineLevel="0" collapsed="false">
      <c r="A58" s="70" t="n">
        <f aca="false">Data!A58</f>
        <v>57</v>
      </c>
      <c r="B58" s="70" t="str">
        <f aca="false">IFERROR(INDEX(対訳マスタ!$C$2:$C$136,MATCH(Data!B58,対訳マスタ!$B$2:$B$136,0)),Data!B58)</f>
        <v>コミュニケーション言語活動</v>
      </c>
      <c r="C58" s="70" t="str">
        <f aca="false">IF(Data!C58="—","—",IFERROR(INDEX(対訳マスタ!$C$2:$C$136,MATCH(Data!C58,対訳マスタ!$B$2:$B$136,0)),Data!C58))</f>
        <v>受容</v>
      </c>
      <c r="D58" s="70" t="str">
        <f aca="false">IF(Data!D58="—","—",IFERROR(INDEX(対訳マスタ!$C$2:$C$136,MATCH(Data!D58,対訳マスタ!$B$2:$B$136,0)),Data!D58))</f>
        <v>口頭理解（聞くこと）</v>
      </c>
      <c r="E58" s="70" t="str">
        <f aca="false">IFERROR(INDEX(対訳マスタ!$C$2:$C$136,MATCH(Data!E58,対訳マスタ!$B$2:$B$136,0)),Data!E58)</f>
        <v>アナウンス・指示の聞き取り</v>
      </c>
      <c r="F58" s="70" t="str">
        <f aca="false">Data!F58</f>
        <v>B1</v>
      </c>
      <c r="G58" s="31" t="str">
        <f aca="false">Data!G58</f>
        <v>Can follow detailed directions.</v>
      </c>
      <c r="H58" s="71" t="s">
        <v>2483</v>
      </c>
      <c r="I58" s="79" t="s">
        <v>3089</v>
      </c>
    </row>
    <row r="59" customFormat="false" ht="32.25" hidden="false" customHeight="true" outlineLevel="0" collapsed="false">
      <c r="A59" s="70" t="n">
        <f aca="false">Data!A59</f>
        <v>58</v>
      </c>
      <c r="B59" s="70" t="str">
        <f aca="false">IFERROR(INDEX(対訳マスタ!$C$2:$C$136,MATCH(Data!B59,対訳マスタ!$B$2:$B$136,0)),Data!B59)</f>
        <v>コミュニケーション言語活動</v>
      </c>
      <c r="C59" s="70" t="str">
        <f aca="false">IF(Data!C59="—","—",IFERROR(INDEX(対訳マスタ!$C$2:$C$136,MATCH(Data!C59,対訳マスタ!$B$2:$B$136,0)),Data!C59))</f>
        <v>受容</v>
      </c>
      <c r="D59" s="70" t="str">
        <f aca="false">IF(Data!D59="—","—",IFERROR(INDEX(対訳マスタ!$C$2:$C$136,MATCH(Data!D59,対訳マスタ!$B$2:$B$136,0)),Data!D59))</f>
        <v>口頭理解（聞くこと）</v>
      </c>
      <c r="E59" s="70" t="str">
        <f aca="false">IFERROR(INDEX(対訳マスタ!$C$2:$C$136,MATCH(Data!E59,対訳マスタ!$B$2:$B$136,0)),Data!E59)</f>
        <v>アナウンス・指示の聞き取り</v>
      </c>
      <c r="F59" s="70" t="str">
        <f aca="false">Data!F59</f>
        <v>B1</v>
      </c>
      <c r="G59" s="31" t="str">
        <f aca="false">Data!G59</f>
        <v>Can understand public announcements at airports, stations and on planes, buses and trains, provided these are clearly articulated with minimum interference from [auditory/visual] background noise.</v>
      </c>
      <c r="H59" s="71" t="s">
        <v>3113</v>
      </c>
      <c r="I59" s="79" t="s">
        <v>3089</v>
      </c>
    </row>
    <row r="60" customFormat="false" ht="21.75" hidden="false" customHeight="true" outlineLevel="0" collapsed="false">
      <c r="A60" s="70" t="n">
        <f aca="false">Data!A60</f>
        <v>59</v>
      </c>
      <c r="B60" s="70" t="str">
        <f aca="false">IFERROR(INDEX(対訳マスタ!$C$2:$C$136,MATCH(Data!B60,対訳マスタ!$B$2:$B$136,0)),Data!B60)</f>
        <v>コミュニケーション言語活動</v>
      </c>
      <c r="C60" s="70" t="str">
        <f aca="false">IF(Data!C60="—","—",IFERROR(INDEX(対訳マスタ!$C$2:$C$136,MATCH(Data!C60,対訳マスタ!$B$2:$B$136,0)),Data!C60))</f>
        <v>受容</v>
      </c>
      <c r="D60" s="70" t="str">
        <f aca="false">IF(Data!D60="—","—",IFERROR(INDEX(対訳マスタ!$C$2:$C$136,MATCH(Data!D60,対訳マスタ!$B$2:$B$136,0)),Data!D60))</f>
        <v>口頭理解（聞くこと）</v>
      </c>
      <c r="E60" s="70" t="str">
        <f aca="false">IFERROR(INDEX(対訳マスタ!$C$2:$C$136,MATCH(Data!E60,対訳マスタ!$B$2:$B$136,0)),Data!E60)</f>
        <v>アナウンス・指示の聞き取り</v>
      </c>
      <c r="F60" s="70" t="str">
        <f aca="false">Data!F60</f>
        <v>A2+</v>
      </c>
      <c r="G60" s="31" t="str">
        <f aca="false">Data!G60</f>
        <v>Can understand and follow a series of instructions for familiar everyday activities such as sports, cooking, etc., provided they are delivered slowly and clearly.</v>
      </c>
      <c r="H60" s="71" t="s">
        <v>3114</v>
      </c>
      <c r="I60" s="79" t="s">
        <v>3089</v>
      </c>
    </row>
    <row r="61" customFormat="false" ht="26.25" hidden="false" customHeight="true" outlineLevel="0" collapsed="false">
      <c r="A61" s="70" t="n">
        <f aca="false">Data!A61</f>
        <v>60</v>
      </c>
      <c r="B61" s="70" t="str">
        <f aca="false">IFERROR(INDEX(対訳マスタ!$C$2:$C$136,MATCH(Data!B61,対訳マスタ!$B$2:$B$136,0)),Data!B61)</f>
        <v>コミュニケーション言語活動</v>
      </c>
      <c r="C61" s="70" t="str">
        <f aca="false">IF(Data!C61="—","—",IFERROR(INDEX(対訳マスタ!$C$2:$C$136,MATCH(Data!C61,対訳マスタ!$B$2:$B$136,0)),Data!C61))</f>
        <v>受容</v>
      </c>
      <c r="D61" s="70" t="str">
        <f aca="false">IF(Data!D61="—","—",IFERROR(INDEX(対訳マスタ!$C$2:$C$136,MATCH(Data!D61,対訳マスタ!$B$2:$B$136,0)),Data!D61))</f>
        <v>口頭理解（聞くこと）</v>
      </c>
      <c r="E61" s="70" t="str">
        <f aca="false">IFERROR(INDEX(対訳マスタ!$C$2:$C$136,MATCH(Data!E61,対訳マスタ!$B$2:$B$136,0)),Data!E61)</f>
        <v>アナウンス・指示の聞き取り</v>
      </c>
      <c r="F61" s="70" t="str">
        <f aca="false">Data!F61</f>
        <v>A2+</v>
      </c>
      <c r="G61" s="31" t="str">
        <f aca="false">Data!G61</f>
        <v>Can understand straightforward announcements (e.g. of a cinema programme or sports event, that a train has been delayed), provided the delivery is slow and clear.</v>
      </c>
      <c r="H61" s="71" t="s">
        <v>2482</v>
      </c>
      <c r="I61" s="79" t="s">
        <v>3089</v>
      </c>
    </row>
    <row r="62" customFormat="false" ht="15" hidden="false" customHeight="true" outlineLevel="0" collapsed="false">
      <c r="A62" s="70" t="n">
        <f aca="false">Data!A62</f>
        <v>61</v>
      </c>
      <c r="B62" s="70" t="str">
        <f aca="false">IFERROR(INDEX(対訳マスタ!$C$2:$C$136,MATCH(Data!B62,対訳マスタ!$B$2:$B$136,0)),Data!B62)</f>
        <v>コミュニケーション言語活動</v>
      </c>
      <c r="C62" s="70" t="str">
        <f aca="false">IF(Data!C62="—","—",IFERROR(INDEX(対訳マスタ!$C$2:$C$136,MATCH(Data!C62,対訳マスタ!$B$2:$B$136,0)),Data!C62))</f>
        <v>受容</v>
      </c>
      <c r="D62" s="70" t="str">
        <f aca="false">IF(Data!D62="—","—",IFERROR(INDEX(対訳マスタ!$C$2:$C$136,MATCH(Data!D62,対訳マスタ!$B$2:$B$136,0)),Data!D62))</f>
        <v>口頭理解（聞くこと）</v>
      </c>
      <c r="E62" s="70" t="str">
        <f aca="false">IFERROR(INDEX(対訳マスタ!$C$2:$C$136,MATCH(Data!E62,対訳マスタ!$B$2:$B$136,0)),Data!E62)</f>
        <v>アナウンス・指示の聞き取り</v>
      </c>
      <c r="F62" s="70" t="str">
        <f aca="false">Data!F62</f>
        <v>A2</v>
      </c>
      <c r="G62" s="31" t="str">
        <f aca="false">Data!G62</f>
        <v>Can catch the main point in short, clear, simple messages and announcements.</v>
      </c>
      <c r="H62" s="71" t="s">
        <v>2481</v>
      </c>
      <c r="I62" s="79" t="s">
        <v>3089</v>
      </c>
    </row>
    <row r="63" customFormat="false" ht="15" hidden="false" customHeight="true" outlineLevel="0" collapsed="false">
      <c r="A63" s="70" t="n">
        <f aca="false">Data!A63</f>
        <v>62</v>
      </c>
      <c r="B63" s="70" t="str">
        <f aca="false">IFERROR(INDEX(対訳マスタ!$C$2:$C$136,MATCH(Data!B63,対訳マスタ!$B$2:$B$136,0)),Data!B63)</f>
        <v>コミュニケーション言語活動</v>
      </c>
      <c r="C63" s="70" t="str">
        <f aca="false">IF(Data!C63="—","—",IFERROR(INDEX(対訳マスタ!$C$2:$C$136,MATCH(Data!C63,対訳マスタ!$B$2:$B$136,0)),Data!C63))</f>
        <v>受容</v>
      </c>
      <c r="D63" s="70" t="str">
        <f aca="false">IF(Data!D63="—","—",IFERROR(INDEX(対訳マスタ!$C$2:$C$136,MATCH(Data!D63,対訳マスタ!$B$2:$B$136,0)),Data!D63))</f>
        <v>口頭理解（聞くこと）</v>
      </c>
      <c r="E63" s="70" t="str">
        <f aca="false">IFERROR(INDEX(対訳マスタ!$C$2:$C$136,MATCH(Data!E63,対訳マスタ!$B$2:$B$136,0)),Data!E63)</f>
        <v>アナウンス・指示の聞き取り</v>
      </c>
      <c r="F63" s="70" t="str">
        <f aca="false">Data!F63</f>
        <v>A2</v>
      </c>
      <c r="G63" s="31" t="str">
        <f aca="false">Data!G63</f>
        <v>Can understand simple directions on how to get from X to Y, by foot or public transport.</v>
      </c>
      <c r="H63" s="71" t="s">
        <v>3115</v>
      </c>
      <c r="I63" s="79" t="s">
        <v>3089</v>
      </c>
    </row>
    <row r="64" customFormat="false" ht="21.75" hidden="false" customHeight="true" outlineLevel="0" collapsed="false">
      <c r="A64" s="70" t="n">
        <f aca="false">Data!A64</f>
        <v>63</v>
      </c>
      <c r="B64" s="70" t="str">
        <f aca="false">IFERROR(INDEX(対訳マスタ!$C$2:$C$136,MATCH(Data!B64,対訳マスタ!$B$2:$B$136,0)),Data!B64)</f>
        <v>コミュニケーション言語活動</v>
      </c>
      <c r="C64" s="70" t="str">
        <f aca="false">IF(Data!C64="—","—",IFERROR(INDEX(対訳マスタ!$C$2:$C$136,MATCH(Data!C64,対訳マスタ!$B$2:$B$136,0)),Data!C64))</f>
        <v>受容</v>
      </c>
      <c r="D64" s="70" t="str">
        <f aca="false">IF(Data!D64="—","—",IFERROR(INDEX(対訳マスタ!$C$2:$C$136,MATCH(Data!D64,対訳マスタ!$B$2:$B$136,0)),Data!D64))</f>
        <v>口頭理解（聞くこと）</v>
      </c>
      <c r="E64" s="70" t="str">
        <f aca="false">IFERROR(INDEX(対訳マスタ!$C$2:$C$136,MATCH(Data!E64,対訳マスタ!$B$2:$B$136,0)),Data!E64)</f>
        <v>アナウンス・指示の聞き取り</v>
      </c>
      <c r="F64" s="70" t="str">
        <f aca="false">Data!F64</f>
        <v>A2</v>
      </c>
      <c r="G64" s="31" t="str">
        <f aca="false">Data!G64</f>
        <v>Can understand basic instructions on times, dates and numbers, etc., and on routine tasks and assignments to be carried out.</v>
      </c>
      <c r="H64" s="71" t="s">
        <v>3116</v>
      </c>
      <c r="I64" s="79" t="s">
        <v>3089</v>
      </c>
    </row>
    <row r="65" customFormat="false" ht="21.75" hidden="false" customHeight="true" outlineLevel="0" collapsed="false">
      <c r="A65" s="70" t="n">
        <f aca="false">Data!A65</f>
        <v>64</v>
      </c>
      <c r="B65" s="70" t="str">
        <f aca="false">IFERROR(INDEX(対訳マスタ!$C$2:$C$136,MATCH(Data!B65,対訳マスタ!$B$2:$B$136,0)),Data!B65)</f>
        <v>コミュニケーション言語活動</v>
      </c>
      <c r="C65" s="70" t="str">
        <f aca="false">IF(Data!C65="—","—",IFERROR(INDEX(対訳マスタ!$C$2:$C$136,MATCH(Data!C65,対訳マスタ!$B$2:$B$136,0)),Data!C65))</f>
        <v>受容</v>
      </c>
      <c r="D65" s="70" t="str">
        <f aca="false">IF(Data!D65="—","—",IFERROR(INDEX(対訳マスタ!$C$2:$C$136,MATCH(Data!D65,対訳マスタ!$B$2:$B$136,0)),Data!D65))</f>
        <v>口頭理解（聞くこと）</v>
      </c>
      <c r="E65" s="70" t="str">
        <f aca="false">IFERROR(INDEX(対訳マスタ!$C$2:$C$136,MATCH(Data!E65,対訳マスタ!$B$2:$B$136,0)),Data!E65)</f>
        <v>アナウンス・指示の聞き取り</v>
      </c>
      <c r="F65" s="70" t="str">
        <f aca="false">Data!F65</f>
        <v>A1</v>
      </c>
      <c r="G65" s="31" t="str">
        <f aca="false">Data!G65</f>
        <v>Can understand instructions addressed carefully and slowly to them and follow short, simple directions.</v>
      </c>
      <c r="H65" s="71" t="s">
        <v>2480</v>
      </c>
      <c r="I65" s="79" t="s">
        <v>3089</v>
      </c>
    </row>
    <row r="66" customFormat="false" ht="21.75" hidden="false" customHeight="true" outlineLevel="0" collapsed="false">
      <c r="A66" s="70" t="n">
        <f aca="false">Data!A66</f>
        <v>65</v>
      </c>
      <c r="B66" s="70" t="str">
        <f aca="false">IFERROR(INDEX(対訳マスタ!$C$2:$C$136,MATCH(Data!B66,対訳マスタ!$B$2:$B$136,0)),Data!B66)</f>
        <v>コミュニケーション言語活動</v>
      </c>
      <c r="C66" s="70" t="str">
        <f aca="false">IF(Data!C66="—","—",IFERROR(INDEX(対訳マスタ!$C$2:$C$136,MATCH(Data!C66,対訳マスタ!$B$2:$B$136,0)),Data!C66))</f>
        <v>受容</v>
      </c>
      <c r="D66" s="70" t="str">
        <f aca="false">IF(Data!D66="—","—",IFERROR(INDEX(対訳マスタ!$C$2:$C$136,MATCH(Data!D66,対訳マスタ!$B$2:$B$136,0)),Data!D66))</f>
        <v>口頭理解（聞くこと）</v>
      </c>
      <c r="E66" s="70" t="str">
        <f aca="false">IFERROR(INDEX(対訳マスタ!$C$2:$C$136,MATCH(Data!E66,対訳マスタ!$B$2:$B$136,0)),Data!E66)</f>
        <v>アナウンス・指示の聞き取り</v>
      </c>
      <c r="F66" s="70" t="str">
        <f aca="false">Data!F66</f>
        <v>A1</v>
      </c>
      <c r="G66" s="31" t="str">
        <f aca="false">Data!G66</f>
        <v>Can understand when someone tells them slowly and clearly where something is, provided the object is in the immediate environment.</v>
      </c>
      <c r="H66" s="71" t="s">
        <v>3117</v>
      </c>
      <c r="I66" s="79" t="s">
        <v>3089</v>
      </c>
    </row>
    <row r="67" customFormat="false" ht="21.75" hidden="false" customHeight="true" outlineLevel="0" collapsed="false">
      <c r="A67" s="70" t="n">
        <f aca="false">Data!A67</f>
        <v>66</v>
      </c>
      <c r="B67" s="70" t="str">
        <f aca="false">IFERROR(INDEX(対訳マスタ!$C$2:$C$136,MATCH(Data!B67,対訳マスタ!$B$2:$B$136,0)),Data!B67)</f>
        <v>コミュニケーション言語活動</v>
      </c>
      <c r="C67" s="70" t="str">
        <f aca="false">IF(Data!C67="—","—",IFERROR(INDEX(対訳マスタ!$C$2:$C$136,MATCH(Data!C67,対訳マスタ!$B$2:$B$136,0)),Data!C67))</f>
        <v>受容</v>
      </c>
      <c r="D67" s="70" t="str">
        <f aca="false">IF(Data!D67="—","—",IFERROR(INDEX(対訳マスタ!$C$2:$C$136,MATCH(Data!D67,対訳マスタ!$B$2:$B$136,0)),Data!D67))</f>
        <v>口頭理解（聞くこと）</v>
      </c>
      <c r="E67" s="70" t="str">
        <f aca="false">IFERROR(INDEX(対訳マスタ!$C$2:$C$136,MATCH(Data!E67,対訳マスタ!$B$2:$B$136,0)),Data!E67)</f>
        <v>アナウンス・指示の聞き取り</v>
      </c>
      <c r="F67" s="70" t="str">
        <f aca="false">Data!F67</f>
        <v>A1</v>
      </c>
      <c r="G67" s="31" t="str">
        <f aca="false">Data!G67</f>
        <v>Can understand figures, prices and times given slowly and clearly in an announcement by loudspeaker, e.g. at a railway station or in a shop.</v>
      </c>
      <c r="H67" s="71" t="s">
        <v>3118</v>
      </c>
      <c r="I67" s="79" t="s">
        <v>3089</v>
      </c>
    </row>
    <row r="68" customFormat="false" ht="32.25" hidden="false" customHeight="true" outlineLevel="0" collapsed="false">
      <c r="A68" s="70" t="n">
        <f aca="false">Data!A68</f>
        <v>67</v>
      </c>
      <c r="B68" s="70" t="str">
        <f aca="false">IFERROR(INDEX(対訳マスタ!$C$2:$C$136,MATCH(Data!B68,対訳マスタ!$B$2:$B$136,0)),Data!B68)</f>
        <v>コミュニケーション言語活動</v>
      </c>
      <c r="C68" s="70" t="str">
        <f aca="false">IF(Data!C68="—","—",IFERROR(INDEX(対訳マスタ!$C$2:$C$136,MATCH(Data!C68,対訳マスタ!$B$2:$B$136,0)),Data!C68))</f>
        <v>受容</v>
      </c>
      <c r="D68" s="70" t="str">
        <f aca="false">IF(Data!D68="—","—",IFERROR(INDEX(対訳マスタ!$C$2:$C$136,MATCH(Data!D68,対訳マスタ!$B$2:$B$136,0)),Data!D68))</f>
        <v>口頭理解（聞くこと）</v>
      </c>
      <c r="E68" s="70" t="str">
        <f aca="false">IFERROR(INDEX(対訳マスタ!$C$2:$C$136,MATCH(Data!E68,対訳マスタ!$B$2:$B$136,0)),Data!E68)</f>
        <v>アナウンス・指示の聞き取り</v>
      </c>
      <c r="F68" s="70" t="str">
        <f aca="false">Data!F68</f>
        <v>Pre-A1</v>
      </c>
      <c r="G68" s="31" t="str">
        <f aca="false">Data!G68</f>
        <v>Can understand short, simple instructions for actions such as “Stop”, “Close the door”, etc., provided they are delivered slowly face-to-face, accompanied by pictures or manual gestures and repeated if necessary.</v>
      </c>
      <c r="H68" s="71" t="s">
        <v>2479</v>
      </c>
      <c r="I68" s="79" t="s">
        <v>3089</v>
      </c>
    </row>
    <row r="69" customFormat="false" ht="15" hidden="false" customHeight="true" outlineLevel="0" collapsed="false">
      <c r="A69" s="80" t="n">
        <f aca="false">Data!A69</f>
        <v>68</v>
      </c>
      <c r="B69" s="80" t="str">
        <f aca="false">IFERROR(INDEX(対訳マスタ!$C$2:$C$136,MATCH(Data!B69,対訳マスタ!$B$2:$B$136,0)),Data!B69)</f>
        <v>コミュニケーション言語活動</v>
      </c>
      <c r="C69" s="80" t="str">
        <f aca="false">IF(Data!C69="—","—",IFERROR(INDEX(対訳マスタ!$C$2:$C$136,MATCH(Data!C69,対訳マスタ!$B$2:$B$136,0)),Data!C69))</f>
        <v>受容</v>
      </c>
      <c r="D69" s="80" t="str">
        <f aca="false">IF(Data!D69="—","—",IFERROR(INDEX(対訳マスタ!$C$2:$C$136,MATCH(Data!D69,対訳マスタ!$B$2:$B$136,0)),Data!D69))</f>
        <v>口頭理解（聞くこと）</v>
      </c>
      <c r="E69" s="80" t="str">
        <f aca="false">IFERROR(INDEX(対訳マスタ!$C$2:$C$136,MATCH(Data!E69,対訳マスタ!$B$2:$B$136,0)),Data!E69)</f>
        <v>音声メディア・録音の聞き取り</v>
      </c>
      <c r="F69" s="80" t="str">
        <f aca="false">Data!F69</f>
        <v>C2</v>
      </c>
      <c r="G69" s="81" t="str">
        <f aca="false">Data!G69</f>
        <v>No descriptors available; see C1</v>
      </c>
      <c r="H69" s="81" t="s">
        <v>624</v>
      </c>
      <c r="I69" s="80" t="s">
        <v>624</v>
      </c>
    </row>
    <row r="70" customFormat="false" ht="32.25" hidden="false" customHeight="true" outlineLevel="0" collapsed="false">
      <c r="A70" s="70" t="n">
        <f aca="false">Data!A70</f>
        <v>69</v>
      </c>
      <c r="B70" s="70" t="str">
        <f aca="false">IFERROR(INDEX(対訳マスタ!$C$2:$C$136,MATCH(Data!B70,対訳マスタ!$B$2:$B$136,0)),Data!B70)</f>
        <v>コミュニケーション言語活動</v>
      </c>
      <c r="C70" s="70" t="str">
        <f aca="false">IF(Data!C70="—","—",IFERROR(INDEX(対訳マスタ!$C$2:$C$136,MATCH(Data!C70,対訳マスタ!$B$2:$B$136,0)),Data!C70))</f>
        <v>受容</v>
      </c>
      <c r="D70" s="70" t="str">
        <f aca="false">IF(Data!D70="—","—",IFERROR(INDEX(対訳マスタ!$C$2:$C$136,MATCH(Data!D70,対訳マスタ!$B$2:$B$136,0)),Data!D70))</f>
        <v>口頭理解（聞くこと）</v>
      </c>
      <c r="E70" s="70" t="str">
        <f aca="false">IFERROR(INDEX(対訳マスタ!$C$2:$C$136,MATCH(Data!E70,対訳マスタ!$B$2:$B$136,0)),Data!E70)</f>
        <v>音声メディア・録音の聞き取り</v>
      </c>
      <c r="F70" s="70" t="str">
        <f aca="false">Data!F70</f>
        <v>C1</v>
      </c>
      <c r="G70" s="31" t="str">
        <f aca="false">Data!G70</f>
        <v>Can understand a wide range of recorded and broadcast material, including some non-standard usage, and identify finer points of detail including implicit attitudes and relationships between people.</v>
      </c>
      <c r="H70" s="71" t="s">
        <v>2494</v>
      </c>
      <c r="I70" s="79" t="s">
        <v>3089</v>
      </c>
    </row>
    <row r="71" customFormat="false" ht="32.25" hidden="false" customHeight="true" outlineLevel="0" collapsed="false">
      <c r="A71" s="70" t="n">
        <f aca="false">Data!A71</f>
        <v>70</v>
      </c>
      <c r="B71" s="70" t="str">
        <f aca="false">IFERROR(INDEX(対訳マスタ!$C$2:$C$136,MATCH(Data!B71,対訳マスタ!$B$2:$B$136,0)),Data!B71)</f>
        <v>コミュニケーション言語活動</v>
      </c>
      <c r="C71" s="70" t="str">
        <f aca="false">IF(Data!C71="—","—",IFERROR(INDEX(対訳マスタ!$C$2:$C$136,MATCH(Data!C71,対訳マスタ!$B$2:$B$136,0)),Data!C71))</f>
        <v>受容</v>
      </c>
      <c r="D71" s="70" t="str">
        <f aca="false">IF(Data!D71="—","—",IFERROR(INDEX(対訳マスタ!$C$2:$C$136,MATCH(Data!D71,対訳マスタ!$B$2:$B$136,0)),Data!D71))</f>
        <v>口頭理解（聞くこと）</v>
      </c>
      <c r="E71" s="70" t="str">
        <f aca="false">IFERROR(INDEX(対訳マスタ!$C$2:$C$136,MATCH(Data!E71,対訳マスタ!$B$2:$B$136,0)),Data!E71)</f>
        <v>音声メディア・録音の聞き取り</v>
      </c>
      <c r="F71" s="70" t="str">
        <f aca="false">Data!F71</f>
        <v>B2+</v>
      </c>
      <c r="G71" s="31" t="str">
        <f aca="false">Data!G71</f>
        <v>Can understand recordings in the standard form of the language likely to be encountered in social, professional or academic life and identify viewpoints and attitudes as well as the information content.</v>
      </c>
      <c r="H71" s="71" t="s">
        <v>2493</v>
      </c>
      <c r="I71" s="79" t="s">
        <v>3089</v>
      </c>
    </row>
    <row r="72" customFormat="false" ht="26.25" hidden="false" customHeight="true" outlineLevel="0" collapsed="false">
      <c r="A72" s="70" t="n">
        <f aca="false">Data!A72</f>
        <v>71</v>
      </c>
      <c r="B72" s="70" t="str">
        <f aca="false">IFERROR(INDEX(対訳マスタ!$C$2:$C$136,MATCH(Data!B72,対訳マスタ!$B$2:$B$136,0)),Data!B72)</f>
        <v>コミュニケーション言語活動</v>
      </c>
      <c r="C72" s="70" t="str">
        <f aca="false">IF(Data!C72="—","—",IFERROR(INDEX(対訳マスタ!$C$2:$C$136,MATCH(Data!C72,対訳マスタ!$B$2:$B$136,0)),Data!C72))</f>
        <v>受容</v>
      </c>
      <c r="D72" s="70" t="str">
        <f aca="false">IF(Data!D72="—","—",IFERROR(INDEX(対訳マスタ!$C$2:$C$136,MATCH(Data!D72,対訳マスタ!$B$2:$B$136,0)),Data!D72))</f>
        <v>口頭理解（聞くこと）</v>
      </c>
      <c r="E72" s="70" t="str">
        <f aca="false">IFERROR(INDEX(対訳マスタ!$C$2:$C$136,MATCH(Data!E72,対訳マスタ!$B$2:$B$136,0)),Data!E72)</f>
        <v>音声メディア・録音の聞き取り</v>
      </c>
      <c r="F72" s="70" t="str">
        <f aca="false">Data!F72</f>
        <v>B2</v>
      </c>
      <c r="G72" s="31" t="str">
        <f aca="false">Data!G72</f>
        <v>Can understand most documentaries and most other recorded or broadcast material delivered in the standard form of the language and can identify mood, attitude, etc.</v>
      </c>
      <c r="H72" s="71" t="s">
        <v>2492</v>
      </c>
      <c r="I72" s="79" t="s">
        <v>3089</v>
      </c>
    </row>
    <row r="73" customFormat="false" ht="26.25" hidden="false" customHeight="true" outlineLevel="0" collapsed="false">
      <c r="A73" s="70" t="n">
        <f aca="false">Data!A73</f>
        <v>72</v>
      </c>
      <c r="B73" s="70" t="str">
        <f aca="false">IFERROR(INDEX(対訳マスタ!$C$2:$C$136,MATCH(Data!B73,対訳マスタ!$B$2:$B$136,0)),Data!B73)</f>
        <v>コミュニケーション言語活動</v>
      </c>
      <c r="C73" s="70" t="str">
        <f aca="false">IF(Data!C73="—","—",IFERROR(INDEX(対訳マスタ!$C$2:$C$136,MATCH(Data!C73,対訳マスタ!$B$2:$B$136,0)),Data!C73))</f>
        <v>受容</v>
      </c>
      <c r="D73" s="70" t="str">
        <f aca="false">IF(Data!D73="—","—",IFERROR(INDEX(対訳マスタ!$C$2:$C$136,MATCH(Data!D73,対訳マスタ!$B$2:$B$136,0)),Data!D73))</f>
        <v>口頭理解（聞くこと）</v>
      </c>
      <c r="E73" s="70" t="str">
        <f aca="false">IFERROR(INDEX(対訳マスタ!$C$2:$C$136,MATCH(Data!E73,対訳マスタ!$B$2:$B$136,0)),Data!E73)</f>
        <v>音声メディア・録音の聞き取り</v>
      </c>
      <c r="F73" s="70" t="str">
        <f aca="false">Data!F73</f>
        <v>B1+</v>
      </c>
      <c r="G73" s="31" t="str">
        <f aca="false">Data!G73</f>
        <v>Can understand the information content of the majority of recorded or broadcast material on topics of personal interest delivered in clear standard language.</v>
      </c>
      <c r="H73" s="71" t="s">
        <v>2491</v>
      </c>
      <c r="I73" s="79" t="s">
        <v>3089</v>
      </c>
    </row>
    <row r="74" customFormat="false" ht="26.25" hidden="false" customHeight="true" outlineLevel="0" collapsed="false">
      <c r="A74" s="70" t="n">
        <f aca="false">Data!A74</f>
        <v>73</v>
      </c>
      <c r="B74" s="70" t="str">
        <f aca="false">IFERROR(INDEX(対訳マスタ!$C$2:$C$136,MATCH(Data!B74,対訳マスタ!$B$2:$B$136,0)),Data!B74)</f>
        <v>コミュニケーション言語活動</v>
      </c>
      <c r="C74" s="70" t="str">
        <f aca="false">IF(Data!C74="—","—",IFERROR(INDEX(対訳マスタ!$C$2:$C$136,MATCH(Data!C74,対訳マスタ!$B$2:$B$136,0)),Data!C74))</f>
        <v>受容</v>
      </c>
      <c r="D74" s="70" t="str">
        <f aca="false">IF(Data!D74="—","—",IFERROR(INDEX(対訳マスタ!$C$2:$C$136,MATCH(Data!D74,対訳マスタ!$B$2:$B$136,0)),Data!D74))</f>
        <v>口頭理解（聞くこと）</v>
      </c>
      <c r="E74" s="70" t="str">
        <f aca="false">IFERROR(INDEX(対訳マスタ!$C$2:$C$136,MATCH(Data!E74,対訳マスタ!$B$2:$B$136,0)),Data!E74)</f>
        <v>音声メディア・録音の聞き取り</v>
      </c>
      <c r="F74" s="70" t="str">
        <f aca="false">Data!F74</f>
        <v>B1</v>
      </c>
      <c r="G74" s="31" t="str">
        <f aca="false">Data!G74</f>
        <v>Can understand the main points of news bulletins and simpler recorded material about familiar subjects delivered relatively slowly and clearly.</v>
      </c>
      <c r="H74" s="71" t="s">
        <v>2490</v>
      </c>
      <c r="I74" s="79" t="s">
        <v>3089</v>
      </c>
    </row>
    <row r="75" customFormat="false" ht="21.75" hidden="false" customHeight="true" outlineLevel="0" collapsed="false">
      <c r="A75" s="70" t="n">
        <f aca="false">Data!A75</f>
        <v>74</v>
      </c>
      <c r="B75" s="70" t="str">
        <f aca="false">IFERROR(INDEX(対訳マスタ!$C$2:$C$136,MATCH(Data!B75,対訳マスタ!$B$2:$B$136,0)),Data!B75)</f>
        <v>コミュニケーション言語活動</v>
      </c>
      <c r="C75" s="70" t="str">
        <f aca="false">IF(Data!C75="—","—",IFERROR(INDEX(対訳マスタ!$C$2:$C$136,MATCH(Data!C75,対訳マスタ!$B$2:$B$136,0)),Data!C75))</f>
        <v>受容</v>
      </c>
      <c r="D75" s="70" t="str">
        <f aca="false">IF(Data!D75="—","—",IFERROR(INDEX(対訳マスタ!$C$2:$C$136,MATCH(Data!D75,対訳マスタ!$B$2:$B$136,0)),Data!D75))</f>
        <v>口頭理解（聞くこと）</v>
      </c>
      <c r="E75" s="70" t="str">
        <f aca="false">IFERROR(INDEX(対訳マスタ!$C$2:$C$136,MATCH(Data!E75,対訳マスタ!$B$2:$B$136,0)),Data!E75)</f>
        <v>音声メディア・録音の聞き取り</v>
      </c>
      <c r="F75" s="70" t="str">
        <f aca="false">Data!F75</f>
        <v>B1</v>
      </c>
      <c r="G75" s="31" t="str">
        <f aca="false">Data!G75</f>
        <v>Can understand the main points and important details in stories and other narratives (e.g. a description of a holiday), provided the delivery is slow and clear.</v>
      </c>
      <c r="H75" s="71" t="s">
        <v>3119</v>
      </c>
      <c r="I75" s="79" t="s">
        <v>3089</v>
      </c>
    </row>
    <row r="76" customFormat="false" ht="26.25" hidden="false" customHeight="true" outlineLevel="0" collapsed="false">
      <c r="A76" s="70" t="n">
        <f aca="false">Data!A76</f>
        <v>75</v>
      </c>
      <c r="B76" s="70" t="str">
        <f aca="false">IFERROR(INDEX(対訳マスタ!$C$2:$C$136,MATCH(Data!B76,対訳マスタ!$B$2:$B$136,0)),Data!B76)</f>
        <v>コミュニケーション言語活動</v>
      </c>
      <c r="C76" s="70" t="str">
        <f aca="false">IF(Data!C76="—","—",IFERROR(INDEX(対訳マスタ!$C$2:$C$136,MATCH(Data!C76,対訳マスタ!$B$2:$B$136,0)),Data!C76))</f>
        <v>受容</v>
      </c>
      <c r="D76" s="70" t="str">
        <f aca="false">IF(Data!D76="—","—",IFERROR(INDEX(対訳マスタ!$C$2:$C$136,MATCH(Data!D76,対訳マスタ!$B$2:$B$136,0)),Data!D76))</f>
        <v>口頭理解（聞くこと）</v>
      </c>
      <c r="E76" s="70" t="str">
        <f aca="false">IFERROR(INDEX(対訳マスタ!$C$2:$C$136,MATCH(Data!E76,対訳マスタ!$B$2:$B$136,0)),Data!E76)</f>
        <v>音声メディア・録音の聞き取り</v>
      </c>
      <c r="F76" s="70" t="str">
        <f aca="false">Data!F76</f>
        <v>A2+</v>
      </c>
      <c r="G76" s="31" t="str">
        <f aca="false">Data!G76</f>
        <v>Can understand the most important information contained in short commercials concerning goods and services of interest (e.g. CDs, video games, travel).</v>
      </c>
      <c r="H76" s="71" t="s">
        <v>2489</v>
      </c>
      <c r="I76" s="79" t="s">
        <v>3089</v>
      </c>
    </row>
    <row r="77" customFormat="false" ht="32.25" hidden="false" customHeight="true" outlineLevel="0" collapsed="false">
      <c r="A77" s="70" t="n">
        <f aca="false">Data!A77</f>
        <v>76</v>
      </c>
      <c r="B77" s="70" t="str">
        <f aca="false">IFERROR(INDEX(対訳マスタ!$C$2:$C$136,MATCH(Data!B77,対訳マスタ!$B$2:$B$136,0)),Data!B77)</f>
        <v>コミュニケーション言語活動</v>
      </c>
      <c r="C77" s="70" t="str">
        <f aca="false">IF(Data!C77="—","—",IFERROR(INDEX(対訳マスタ!$C$2:$C$136,MATCH(Data!C77,対訳マスタ!$B$2:$B$136,0)),Data!C77))</f>
        <v>受容</v>
      </c>
      <c r="D77" s="70" t="str">
        <f aca="false">IF(Data!D77="—","—",IFERROR(INDEX(対訳マスタ!$C$2:$C$136,MATCH(Data!D77,対訳マスタ!$B$2:$B$136,0)),Data!D77))</f>
        <v>口頭理解（聞くこと）</v>
      </c>
      <c r="E77" s="70" t="str">
        <f aca="false">IFERROR(INDEX(対訳マスタ!$C$2:$C$136,MATCH(Data!E77,対訳マスタ!$B$2:$B$136,0)),Data!E77)</f>
        <v>音声メディア・録音の聞き取り</v>
      </c>
      <c r="F77" s="70" t="str">
        <f aca="false">Data!F77</f>
        <v>A2+</v>
      </c>
      <c r="G77" s="31" t="str">
        <f aca="false">Data!G77</f>
        <v>Can understand in an interview what people say they do in their free time, what they particularly like doing and what they do not like doing, provided they speak slowly and clearly.</v>
      </c>
      <c r="H77" s="71" t="s">
        <v>3120</v>
      </c>
      <c r="I77" s="79" t="s">
        <v>3089</v>
      </c>
    </row>
    <row r="78" customFormat="false" ht="21.75" hidden="false" customHeight="true" outlineLevel="0" collapsed="false">
      <c r="A78" s="70" t="n">
        <f aca="false">Data!A78</f>
        <v>77</v>
      </c>
      <c r="B78" s="70" t="str">
        <f aca="false">IFERROR(INDEX(対訳マスタ!$C$2:$C$136,MATCH(Data!B78,対訳マスタ!$B$2:$B$136,0)),Data!B78)</f>
        <v>コミュニケーション言語活動</v>
      </c>
      <c r="C78" s="70" t="str">
        <f aca="false">IF(Data!C78="—","—",IFERROR(INDEX(対訳マスタ!$C$2:$C$136,MATCH(Data!C78,対訳マスタ!$B$2:$B$136,0)),Data!C78))</f>
        <v>受容</v>
      </c>
      <c r="D78" s="70" t="str">
        <f aca="false">IF(Data!D78="—","—",IFERROR(INDEX(対訳マスタ!$C$2:$C$136,MATCH(Data!D78,対訳マスタ!$B$2:$B$136,0)),Data!D78))</f>
        <v>口頭理解（聞くこと）</v>
      </c>
      <c r="E78" s="70" t="str">
        <f aca="false">IFERROR(INDEX(対訳マスタ!$C$2:$C$136,MATCH(Data!E78,対訳マスタ!$B$2:$B$136,0)),Data!E78)</f>
        <v>音声メディア・録音の聞き取り</v>
      </c>
      <c r="F78" s="70" t="str">
        <f aca="false">Data!F78</f>
        <v>A2</v>
      </c>
      <c r="G78" s="31" t="str">
        <f aca="false">Data!G78</f>
        <v>Can understand and extract the essential information from short, recorded passages dealing with predictable everyday matters which are delivered slowly and clearly.</v>
      </c>
      <c r="H78" s="71" t="s">
        <v>3121</v>
      </c>
      <c r="I78" s="79" t="s">
        <v>3089</v>
      </c>
    </row>
    <row r="79" customFormat="false" ht="21.75" hidden="false" customHeight="true" outlineLevel="0" collapsed="false">
      <c r="A79" s="70" t="n">
        <f aca="false">Data!A79</f>
        <v>78</v>
      </c>
      <c r="B79" s="70" t="str">
        <f aca="false">IFERROR(INDEX(対訳マスタ!$C$2:$C$136,MATCH(Data!B79,対訳マスタ!$B$2:$B$136,0)),Data!B79)</f>
        <v>コミュニケーション言語活動</v>
      </c>
      <c r="C79" s="70" t="str">
        <f aca="false">IF(Data!C79="—","—",IFERROR(INDEX(対訳マスタ!$C$2:$C$136,MATCH(Data!C79,対訳マスタ!$B$2:$B$136,0)),Data!C79))</f>
        <v>受容</v>
      </c>
      <c r="D79" s="70" t="str">
        <f aca="false">IF(Data!D79="—","—",IFERROR(INDEX(対訳マスタ!$C$2:$C$136,MATCH(Data!D79,対訳マスタ!$B$2:$B$136,0)),Data!D79))</f>
        <v>口頭理解（聞くこと）</v>
      </c>
      <c r="E79" s="70" t="str">
        <f aca="false">IFERROR(INDEX(対訳マスタ!$C$2:$C$136,MATCH(Data!E79,対訳マスタ!$B$2:$B$136,0)),Data!E79)</f>
        <v>音声メディア・録音の聞き取り</v>
      </c>
      <c r="F79" s="70" t="str">
        <f aca="false">Data!F79</f>
        <v>A2</v>
      </c>
      <c r="G79" s="31" t="str">
        <f aca="false">Data!G79</f>
        <v>Can extract important information from short broadcasts (e.g. the weather forecast, concert announcements, sports results), provided people talk clearly.</v>
      </c>
      <c r="H79" s="71" t="s">
        <v>3122</v>
      </c>
      <c r="I79" s="79" t="s">
        <v>3089</v>
      </c>
    </row>
    <row r="80" customFormat="false" ht="21.75" hidden="false" customHeight="true" outlineLevel="0" collapsed="false">
      <c r="A80" s="70" t="n">
        <f aca="false">Data!A80</f>
        <v>79</v>
      </c>
      <c r="B80" s="70" t="str">
        <f aca="false">IFERROR(INDEX(対訳マスタ!$C$2:$C$136,MATCH(Data!B80,対訳マスタ!$B$2:$B$136,0)),Data!B80)</f>
        <v>コミュニケーション言語活動</v>
      </c>
      <c r="C80" s="70" t="str">
        <f aca="false">IF(Data!C80="—","—",IFERROR(INDEX(対訳マスタ!$C$2:$C$136,MATCH(Data!C80,対訳マスタ!$B$2:$B$136,0)),Data!C80))</f>
        <v>受容</v>
      </c>
      <c r="D80" s="70" t="str">
        <f aca="false">IF(Data!D80="—","—",IFERROR(INDEX(対訳マスタ!$C$2:$C$136,MATCH(Data!D80,対訳マスタ!$B$2:$B$136,0)),Data!D80))</f>
        <v>口頭理解（聞くこと）</v>
      </c>
      <c r="E80" s="70" t="str">
        <f aca="false">IFERROR(INDEX(対訳マスタ!$C$2:$C$136,MATCH(Data!E80,対訳マスタ!$B$2:$B$136,0)),Data!E80)</f>
        <v>音声メディア・録音の聞き取り</v>
      </c>
      <c r="F80" s="70" t="str">
        <f aca="false">Data!F80</f>
        <v>A2</v>
      </c>
      <c r="G80" s="31" t="str">
        <f aca="false">Data!G80</f>
        <v>Can understand the important points of a story and manage to follow the plot, provided the story is told slowly and clearly.</v>
      </c>
      <c r="H80" s="71" t="s">
        <v>2488</v>
      </c>
      <c r="I80" s="79" t="s">
        <v>3089</v>
      </c>
    </row>
    <row r="81" customFormat="false" ht="26.25" hidden="false" customHeight="true" outlineLevel="0" collapsed="false">
      <c r="A81" s="70" t="n">
        <f aca="false">Data!A81</f>
        <v>80</v>
      </c>
      <c r="B81" s="70" t="str">
        <f aca="false">IFERROR(INDEX(対訳マスタ!$C$2:$C$136,MATCH(Data!B81,対訳マスタ!$B$2:$B$136,0)),Data!B81)</f>
        <v>コミュニケーション言語活動</v>
      </c>
      <c r="C81" s="70" t="str">
        <f aca="false">IF(Data!C81="—","—",IFERROR(INDEX(対訳マスタ!$C$2:$C$136,MATCH(Data!C81,対訳マスタ!$B$2:$B$136,0)),Data!C81))</f>
        <v>受容</v>
      </c>
      <c r="D81" s="70" t="str">
        <f aca="false">IF(Data!D81="—","—",IFERROR(INDEX(対訳マスタ!$C$2:$C$136,MATCH(Data!D81,対訳マスタ!$B$2:$B$136,0)),Data!D81))</f>
        <v>口頭理解（聞くこと）</v>
      </c>
      <c r="E81" s="70" t="str">
        <f aca="false">IFERROR(INDEX(対訳マスタ!$C$2:$C$136,MATCH(Data!E81,対訳マスタ!$B$2:$B$136,0)),Data!E81)</f>
        <v>音声メディア・録音の聞き取り</v>
      </c>
      <c r="F81" s="70" t="str">
        <f aca="false">Data!F81</f>
        <v>A1</v>
      </c>
      <c r="G81" s="31" t="str">
        <f aca="false">Data!G81</f>
        <v>Can pick out concrete information (e.g. places and times) from short recordings on familiar everyday topics, provided they are delivered very slowly and clearly.</v>
      </c>
      <c r="H81" s="71" t="s">
        <v>2487</v>
      </c>
      <c r="I81" s="79" t="s">
        <v>3089</v>
      </c>
    </row>
    <row r="82" customFormat="false" ht="26.25" hidden="false" customHeight="true" outlineLevel="0" collapsed="false">
      <c r="A82" s="70" t="n">
        <f aca="false">Data!A82</f>
        <v>81</v>
      </c>
      <c r="B82" s="70" t="str">
        <f aca="false">IFERROR(INDEX(対訳マスタ!$C$2:$C$136,MATCH(Data!B82,対訳マスタ!$B$2:$B$136,0)),Data!B82)</f>
        <v>コミュニケーション言語活動</v>
      </c>
      <c r="C82" s="70" t="str">
        <f aca="false">IF(Data!C82="—","—",IFERROR(INDEX(対訳マスタ!$C$2:$C$136,MATCH(Data!C82,対訳マスタ!$B$2:$B$136,0)),Data!C82))</f>
        <v>受容</v>
      </c>
      <c r="D82" s="70" t="str">
        <f aca="false">IF(Data!D82="—","—",IFERROR(INDEX(対訳マスタ!$C$2:$C$136,MATCH(Data!D82,対訳マスタ!$B$2:$B$136,0)),Data!D82))</f>
        <v>口頭理解（聞くこと）</v>
      </c>
      <c r="E82" s="70" t="str">
        <f aca="false">IFERROR(INDEX(対訳マスタ!$C$2:$C$136,MATCH(Data!E82,対訳マスタ!$B$2:$B$136,0)),Data!E82)</f>
        <v>音声メディア・録音の聞き取り</v>
      </c>
      <c r="F82" s="70" t="str">
        <f aca="false">Data!F82</f>
        <v>Pre-A1</v>
      </c>
      <c r="G82" s="31" t="str">
        <f aca="false">Data!G82</f>
        <v>Can recognise words/signs, names and numbers that they already know in simple, short recordings, provided these are delivered very slowly and clearly.</v>
      </c>
      <c r="H82" s="71" t="s">
        <v>2486</v>
      </c>
      <c r="I82" s="79" t="s">
        <v>3089</v>
      </c>
    </row>
    <row r="83" customFormat="false" ht="15" hidden="false" customHeight="true" outlineLevel="0" collapsed="false">
      <c r="A83" s="80" t="n">
        <f aca="false">Data!A83</f>
        <v>82</v>
      </c>
      <c r="B83" s="80" t="str">
        <f aca="false">IFERROR(INDEX(対訳マスタ!$C$2:$C$136,MATCH(Data!B83,対訳マスタ!$B$2:$B$136,0)),Data!B83)</f>
        <v>コミュニケーション言語活動</v>
      </c>
      <c r="C83" s="80" t="str">
        <f aca="false">IF(Data!C83="—","—",IFERROR(INDEX(対訳マスタ!$C$2:$C$136,MATCH(Data!C83,対訳マスタ!$B$2:$B$136,0)),Data!C83))</f>
        <v>受容</v>
      </c>
      <c r="D83" s="80" t="str">
        <f aca="false">IF(Data!D83="—","—",IFERROR(INDEX(対訳マスタ!$C$2:$C$136,MATCH(Data!D83,対訳マスタ!$B$2:$B$136,0)),Data!D83))</f>
        <v>視聴覚理解</v>
      </c>
      <c r="E83" s="80" t="str">
        <f aca="false">IFERROR(INDEX(対訳マスタ!$C$2:$C$136,MATCH(Data!E83,対訳マスタ!$B$2:$B$136,0)),Data!E83)</f>
        <v>テレビ・映画・動画の視聴</v>
      </c>
      <c r="F83" s="80" t="str">
        <f aca="false">Data!F83</f>
        <v>C2</v>
      </c>
      <c r="G83" s="81" t="str">
        <f aca="false">Data!G83</f>
        <v>No descriptors available; see C1</v>
      </c>
      <c r="H83" s="81" t="s">
        <v>624</v>
      </c>
      <c r="I83" s="80" t="s">
        <v>624</v>
      </c>
    </row>
    <row r="84" customFormat="false" ht="15" hidden="false" customHeight="true" outlineLevel="0" collapsed="false">
      <c r="A84" s="70" t="n">
        <f aca="false">Data!A84</f>
        <v>83</v>
      </c>
      <c r="B84" s="70" t="str">
        <f aca="false">IFERROR(INDEX(対訳マスタ!$C$2:$C$136,MATCH(Data!B84,対訳マスタ!$B$2:$B$136,0)),Data!B84)</f>
        <v>コミュニケーション言語活動</v>
      </c>
      <c r="C84" s="70" t="str">
        <f aca="false">IF(Data!C84="—","—",IFERROR(INDEX(対訳マスタ!$C$2:$C$136,MATCH(Data!C84,対訳マスタ!$B$2:$B$136,0)),Data!C84))</f>
        <v>受容</v>
      </c>
      <c r="D84" s="70" t="str">
        <f aca="false">IF(Data!D84="—","—",IFERROR(INDEX(対訳マスタ!$C$2:$C$136,MATCH(Data!D84,対訳マスタ!$B$2:$B$136,0)),Data!D84))</f>
        <v>視聴覚理解</v>
      </c>
      <c r="E84" s="70" t="str">
        <f aca="false">IFERROR(INDEX(対訳マスタ!$C$2:$C$136,MATCH(Data!E84,対訳マスタ!$B$2:$B$136,0)),Data!E84)</f>
        <v>テレビ・映画・動画の視聴</v>
      </c>
      <c r="F84" s="70" t="str">
        <f aca="false">Data!F84</f>
        <v>C1</v>
      </c>
      <c r="G84" s="31" t="str">
        <f aca="false">Data!G84</f>
        <v>Can follow films employing a considerable degree of slang and idiomatic usage.</v>
      </c>
      <c r="H84" s="71" t="s">
        <v>2503</v>
      </c>
      <c r="I84" s="79" t="s">
        <v>3089</v>
      </c>
    </row>
    <row r="85" customFormat="false" ht="32.25" hidden="false" customHeight="true" outlineLevel="0" collapsed="false">
      <c r="A85" s="70" t="n">
        <f aca="false">Data!A85</f>
        <v>84</v>
      </c>
      <c r="B85" s="70" t="str">
        <f aca="false">IFERROR(INDEX(対訳マスタ!$C$2:$C$136,MATCH(Data!B85,対訳マスタ!$B$2:$B$136,0)),Data!B85)</f>
        <v>コミュニケーション言語活動</v>
      </c>
      <c r="C85" s="70" t="str">
        <f aca="false">IF(Data!C85="—","—",IFERROR(INDEX(対訳マスタ!$C$2:$C$136,MATCH(Data!C85,対訳マスタ!$B$2:$B$136,0)),Data!C85))</f>
        <v>受容</v>
      </c>
      <c r="D85" s="70" t="str">
        <f aca="false">IF(Data!D85="—","—",IFERROR(INDEX(対訳マスタ!$C$2:$C$136,MATCH(Data!D85,対訳マスタ!$B$2:$B$136,0)),Data!D85))</f>
        <v>視聴覚理解</v>
      </c>
      <c r="E85" s="70" t="str">
        <f aca="false">IFERROR(INDEX(対訳マスタ!$C$2:$C$136,MATCH(Data!E85,対訳マスタ!$B$2:$B$136,0)),Data!E85)</f>
        <v>テレビ・映画・動画の視聴</v>
      </c>
      <c r="F85" s="70" t="str">
        <f aca="false">Data!F85</f>
        <v>C1</v>
      </c>
      <c r="G85" s="31" t="str">
        <f aca="false">Data!G85</f>
        <v>Can understand in detail the arguments presented in demanding television broadcasts such as current affairs programmes, interviews, discussion programmes and chat shows.</v>
      </c>
      <c r="H85" s="71" t="s">
        <v>3123</v>
      </c>
      <c r="I85" s="79" t="s">
        <v>3089</v>
      </c>
    </row>
    <row r="86" customFormat="false" ht="21.75" hidden="false" customHeight="true" outlineLevel="0" collapsed="false">
      <c r="A86" s="70" t="n">
        <f aca="false">Data!A86</f>
        <v>85</v>
      </c>
      <c r="B86" s="70" t="str">
        <f aca="false">IFERROR(INDEX(対訳マスタ!$C$2:$C$136,MATCH(Data!B86,対訳マスタ!$B$2:$B$136,0)),Data!B86)</f>
        <v>コミュニケーション言語活動</v>
      </c>
      <c r="C86" s="70" t="str">
        <f aca="false">IF(Data!C86="—","—",IFERROR(INDEX(対訳マスタ!$C$2:$C$136,MATCH(Data!C86,対訳マスタ!$B$2:$B$136,0)),Data!C86))</f>
        <v>受容</v>
      </c>
      <c r="D86" s="70" t="str">
        <f aca="false">IF(Data!D86="—","—",IFERROR(INDEX(対訳マスタ!$C$2:$C$136,MATCH(Data!D86,対訳マスタ!$B$2:$B$136,0)),Data!D86))</f>
        <v>視聴覚理解</v>
      </c>
      <c r="E86" s="70" t="str">
        <f aca="false">IFERROR(INDEX(対訳マスタ!$C$2:$C$136,MATCH(Data!E86,対訳マスタ!$B$2:$B$136,0)),Data!E86)</f>
        <v>テレビ・映画・動画の視聴</v>
      </c>
      <c r="F86" s="70" t="str">
        <f aca="false">Data!F86</f>
        <v>C1</v>
      </c>
      <c r="G86" s="31" t="str">
        <f aca="false">Data!G86</f>
        <v>Can understand nuances and implied meaning in most films, plays and TV programmes, provided these are delivered in standard language or a familiar variety.</v>
      </c>
      <c r="H86" s="71" t="s">
        <v>3124</v>
      </c>
      <c r="I86" s="79" t="s">
        <v>3089</v>
      </c>
    </row>
    <row r="87" customFormat="false" ht="21.75" hidden="false" customHeight="true" outlineLevel="0" collapsed="false">
      <c r="A87" s="70" t="n">
        <f aca="false">Data!A87</f>
        <v>86</v>
      </c>
      <c r="B87" s="70" t="str">
        <f aca="false">IFERROR(INDEX(対訳マスタ!$C$2:$C$136,MATCH(Data!B87,対訳マスタ!$B$2:$B$136,0)),Data!B87)</f>
        <v>コミュニケーション言語活動</v>
      </c>
      <c r="C87" s="70" t="str">
        <f aca="false">IF(Data!C87="—","—",IFERROR(INDEX(対訳マスタ!$C$2:$C$136,MATCH(Data!C87,対訳マスタ!$B$2:$B$136,0)),Data!C87))</f>
        <v>受容</v>
      </c>
      <c r="D87" s="70" t="str">
        <f aca="false">IF(Data!D87="—","—",IFERROR(INDEX(対訳マスタ!$C$2:$C$136,MATCH(Data!D87,対訳マスタ!$B$2:$B$136,0)),Data!D87))</f>
        <v>視聴覚理解</v>
      </c>
      <c r="E87" s="70" t="str">
        <f aca="false">IFERROR(INDEX(対訳マスタ!$C$2:$C$136,MATCH(Data!E87,対訳マスタ!$B$2:$B$136,0)),Data!E87)</f>
        <v>テレビ・映画・動画の視聴</v>
      </c>
      <c r="F87" s="70" t="str">
        <f aca="false">Data!F87</f>
        <v>B2+</v>
      </c>
      <c r="G87" s="31" t="str">
        <f aca="false">Data!G87</f>
        <v>Can extract the main points from the arguments and discussions in news and current affairs programmes.</v>
      </c>
      <c r="H87" s="71" t="s">
        <v>2502</v>
      </c>
      <c r="I87" s="79" t="s">
        <v>3089</v>
      </c>
    </row>
    <row r="88" customFormat="false" ht="15" hidden="false" customHeight="true" outlineLevel="0" collapsed="false">
      <c r="A88" s="70" t="n">
        <f aca="false">Data!A88</f>
        <v>87</v>
      </c>
      <c r="B88" s="70" t="str">
        <f aca="false">IFERROR(INDEX(対訳マスタ!$C$2:$C$136,MATCH(Data!B88,対訳マスタ!$B$2:$B$136,0)),Data!B88)</f>
        <v>コミュニケーション言語活動</v>
      </c>
      <c r="C88" s="70" t="str">
        <f aca="false">IF(Data!C88="—","—",IFERROR(INDEX(対訳マスタ!$C$2:$C$136,MATCH(Data!C88,対訳マスタ!$B$2:$B$136,0)),Data!C88))</f>
        <v>受容</v>
      </c>
      <c r="D88" s="70" t="str">
        <f aca="false">IF(Data!D88="—","—",IFERROR(INDEX(対訳マスタ!$C$2:$C$136,MATCH(Data!D88,対訳マスタ!$B$2:$B$136,0)),Data!D88))</f>
        <v>視聴覚理解</v>
      </c>
      <c r="E88" s="70" t="str">
        <f aca="false">IFERROR(INDEX(対訳マスタ!$C$2:$C$136,MATCH(Data!E88,対訳マスタ!$B$2:$B$136,0)),Data!E88)</f>
        <v>テレビ・映画・動画の視聴</v>
      </c>
      <c r="F88" s="70" t="str">
        <f aca="false">Data!F88</f>
        <v>B2</v>
      </c>
      <c r="G88" s="31" t="str">
        <f aca="false">Data!G88</f>
        <v>Can understand most TV news and current affairs programmes.</v>
      </c>
      <c r="H88" s="71" t="s">
        <v>2501</v>
      </c>
      <c r="I88" s="79" t="s">
        <v>3089</v>
      </c>
    </row>
    <row r="89" customFormat="false" ht="21.75" hidden="false" customHeight="true" outlineLevel="0" collapsed="false">
      <c r="A89" s="70" t="n">
        <f aca="false">Data!A89</f>
        <v>88</v>
      </c>
      <c r="B89" s="70" t="str">
        <f aca="false">IFERROR(INDEX(対訳マスタ!$C$2:$C$136,MATCH(Data!B89,対訳マスタ!$B$2:$B$136,0)),Data!B89)</f>
        <v>コミュニケーション言語活動</v>
      </c>
      <c r="C89" s="70" t="str">
        <f aca="false">IF(Data!C89="—","—",IFERROR(INDEX(対訳マスタ!$C$2:$C$136,MATCH(Data!C89,対訳マスタ!$B$2:$B$136,0)),Data!C89))</f>
        <v>受容</v>
      </c>
      <c r="D89" s="70" t="str">
        <f aca="false">IF(Data!D89="—","—",IFERROR(INDEX(対訳マスタ!$C$2:$C$136,MATCH(Data!D89,対訳マスタ!$B$2:$B$136,0)),Data!D89))</f>
        <v>視聴覚理解</v>
      </c>
      <c r="E89" s="70" t="str">
        <f aca="false">IFERROR(INDEX(対訳マスタ!$C$2:$C$136,MATCH(Data!E89,対訳マスタ!$B$2:$B$136,0)),Data!E89)</f>
        <v>テレビ・映画・動画の視聴</v>
      </c>
      <c r="F89" s="70" t="str">
        <f aca="false">Data!F89</f>
        <v>B2</v>
      </c>
      <c r="G89" s="31" t="str">
        <f aca="false">Data!G89</f>
        <v>Can understand documentaries, live interviews, talk shows, plays and the majority of films in the standard form of the language or a familiar variety.</v>
      </c>
      <c r="H89" s="71" t="s">
        <v>3125</v>
      </c>
      <c r="I89" s="79" t="s">
        <v>3089</v>
      </c>
    </row>
    <row r="90" customFormat="false" ht="32.25" hidden="false" customHeight="true" outlineLevel="0" collapsed="false">
      <c r="A90" s="70" t="n">
        <f aca="false">Data!A90</f>
        <v>89</v>
      </c>
      <c r="B90" s="70" t="str">
        <f aca="false">IFERROR(INDEX(対訳マスタ!$C$2:$C$136,MATCH(Data!B90,対訳マスタ!$B$2:$B$136,0)),Data!B90)</f>
        <v>コミュニケーション言語活動</v>
      </c>
      <c r="C90" s="70" t="str">
        <f aca="false">IF(Data!C90="—","—",IFERROR(INDEX(対訳マスタ!$C$2:$C$136,MATCH(Data!C90,対訳マスタ!$B$2:$B$136,0)),Data!C90))</f>
        <v>受容</v>
      </c>
      <c r="D90" s="70" t="str">
        <f aca="false">IF(Data!D90="—","—",IFERROR(INDEX(対訳マスタ!$C$2:$C$136,MATCH(Data!D90,対訳マスタ!$B$2:$B$136,0)),Data!D90))</f>
        <v>視聴覚理解</v>
      </c>
      <c r="E90" s="70" t="str">
        <f aca="false">IFERROR(INDEX(対訳マスタ!$C$2:$C$136,MATCH(Data!E90,対訳マスタ!$B$2:$B$136,0)),Data!E90)</f>
        <v>テレビ・映画・動画の視聴</v>
      </c>
      <c r="F90" s="70" t="str">
        <f aca="false">Data!F90</f>
        <v>B1+</v>
      </c>
      <c r="G90" s="31" t="str">
        <f aca="false">Data!G90</f>
        <v>Can understand a large part of many TV programmes on topics of personal interest such as interviews, short lectures and news reports when the delivery is relatively slow and clear.</v>
      </c>
      <c r="H90" s="71" t="s">
        <v>2500</v>
      </c>
      <c r="I90" s="79" t="s">
        <v>3089</v>
      </c>
    </row>
    <row r="91" customFormat="false" ht="21.75" hidden="false" customHeight="true" outlineLevel="0" collapsed="false">
      <c r="A91" s="70" t="n">
        <f aca="false">Data!A91</f>
        <v>90</v>
      </c>
      <c r="B91" s="70" t="str">
        <f aca="false">IFERROR(INDEX(対訳マスタ!$C$2:$C$136,MATCH(Data!B91,対訳マスタ!$B$2:$B$136,0)),Data!B91)</f>
        <v>コミュニケーション言語活動</v>
      </c>
      <c r="C91" s="70" t="str">
        <f aca="false">IF(Data!C91="—","—",IFERROR(INDEX(対訳マスタ!$C$2:$C$136,MATCH(Data!C91,対訳マスタ!$B$2:$B$136,0)),Data!C91))</f>
        <v>受容</v>
      </c>
      <c r="D91" s="70" t="str">
        <f aca="false">IF(Data!D91="—","—",IFERROR(INDEX(対訳マスタ!$C$2:$C$136,MATCH(Data!D91,対訳マスタ!$B$2:$B$136,0)),Data!D91))</f>
        <v>視聴覚理解</v>
      </c>
      <c r="E91" s="70" t="str">
        <f aca="false">IFERROR(INDEX(対訳マスタ!$C$2:$C$136,MATCH(Data!E91,対訳マスタ!$B$2:$B$136,0)),Data!E91)</f>
        <v>テレビ・映画・動画の視聴</v>
      </c>
      <c r="F91" s="70" t="str">
        <f aca="false">Data!F91</f>
        <v>B1</v>
      </c>
      <c r="G91" s="31" t="str">
        <f aca="false">Data!G91</f>
        <v>Can follow many films in which visuals and action carry much of the storyline, and which are delivered clearly in straightforward language.</v>
      </c>
      <c r="H91" s="71" t="s">
        <v>3126</v>
      </c>
      <c r="I91" s="79" t="s">
        <v>3089</v>
      </c>
    </row>
    <row r="92" customFormat="false" ht="21.75" hidden="false" customHeight="true" outlineLevel="0" collapsed="false">
      <c r="A92" s="70" t="n">
        <f aca="false">Data!A92</f>
        <v>91</v>
      </c>
      <c r="B92" s="70" t="str">
        <f aca="false">IFERROR(INDEX(対訳マスタ!$C$2:$C$136,MATCH(Data!B92,対訳マスタ!$B$2:$B$136,0)),Data!B92)</f>
        <v>コミュニケーション言語活動</v>
      </c>
      <c r="C92" s="70" t="str">
        <f aca="false">IF(Data!C92="—","—",IFERROR(INDEX(対訳マスタ!$C$2:$C$136,MATCH(Data!C92,対訳マスタ!$B$2:$B$136,0)),Data!C92))</f>
        <v>受容</v>
      </c>
      <c r="D92" s="70" t="str">
        <f aca="false">IF(Data!D92="—","—",IFERROR(INDEX(対訳マスタ!$C$2:$C$136,MATCH(Data!D92,対訳マスタ!$B$2:$B$136,0)),Data!D92))</f>
        <v>視聴覚理解</v>
      </c>
      <c r="E92" s="70" t="str">
        <f aca="false">IFERROR(INDEX(対訳マスタ!$C$2:$C$136,MATCH(Data!E92,対訳マスタ!$B$2:$B$136,0)),Data!E92)</f>
        <v>テレビ・映画・動画の視聴</v>
      </c>
      <c r="F92" s="70" t="str">
        <f aca="false">Data!F92</f>
        <v>B1</v>
      </c>
      <c r="G92" s="31" t="str">
        <f aca="false">Data!G92</f>
        <v>Can catch the main points in TV programmes on familiar topics when the delivery is relatively slow and clear.</v>
      </c>
      <c r="H92" s="71" t="s">
        <v>2499</v>
      </c>
      <c r="I92" s="79" t="s">
        <v>3089</v>
      </c>
    </row>
    <row r="93" customFormat="false" ht="26.25" hidden="false" customHeight="true" outlineLevel="0" collapsed="false">
      <c r="A93" s="70" t="n">
        <f aca="false">Data!A93</f>
        <v>92</v>
      </c>
      <c r="B93" s="70" t="str">
        <f aca="false">IFERROR(INDEX(対訳マスタ!$C$2:$C$136,MATCH(Data!B93,対訳マスタ!$B$2:$B$136,0)),Data!B93)</f>
        <v>コミュニケーション言語活動</v>
      </c>
      <c r="C93" s="70" t="str">
        <f aca="false">IF(Data!C93="—","—",IFERROR(INDEX(対訳マスタ!$C$2:$C$136,MATCH(Data!C93,対訳マスタ!$B$2:$B$136,0)),Data!C93))</f>
        <v>受容</v>
      </c>
      <c r="D93" s="70" t="str">
        <f aca="false">IF(Data!D93="—","—",IFERROR(INDEX(対訳マスタ!$C$2:$C$136,MATCH(Data!D93,対訳マスタ!$B$2:$B$136,0)),Data!D93))</f>
        <v>視聴覚理解</v>
      </c>
      <c r="E93" s="70" t="str">
        <f aca="false">IFERROR(INDEX(対訳マスタ!$C$2:$C$136,MATCH(Data!E93,対訳マスタ!$B$2:$B$136,0)),Data!E93)</f>
        <v>テレビ・映画・動画の視聴</v>
      </c>
      <c r="F93" s="70" t="str">
        <f aca="false">Data!F93</f>
        <v>A2+</v>
      </c>
      <c r="G93" s="31" t="str">
        <f aca="false">Data!G93</f>
        <v>Can identify the main point of TV news items reporting events, accidents, etc. where the visuals support the commentary.</v>
      </c>
      <c r="H93" s="71" t="s">
        <v>2498</v>
      </c>
      <c r="I93" s="79" t="s">
        <v>3089</v>
      </c>
    </row>
    <row r="94" customFormat="false" ht="32.25" hidden="false" customHeight="true" outlineLevel="0" collapsed="false">
      <c r="A94" s="70" t="n">
        <f aca="false">Data!A94</f>
        <v>93</v>
      </c>
      <c r="B94" s="70" t="str">
        <f aca="false">IFERROR(INDEX(対訳マスタ!$C$2:$C$136,MATCH(Data!B94,対訳マスタ!$B$2:$B$136,0)),Data!B94)</f>
        <v>コミュニケーション言語活動</v>
      </c>
      <c r="C94" s="70" t="str">
        <f aca="false">IF(Data!C94="—","—",IFERROR(INDEX(対訳マスタ!$C$2:$C$136,MATCH(Data!C94,対訳マスタ!$B$2:$B$136,0)),Data!C94))</f>
        <v>受容</v>
      </c>
      <c r="D94" s="70" t="str">
        <f aca="false">IF(Data!D94="—","—",IFERROR(INDEX(対訳マスタ!$C$2:$C$136,MATCH(Data!D94,対訳マスタ!$B$2:$B$136,0)),Data!D94))</f>
        <v>視聴覚理解</v>
      </c>
      <c r="E94" s="70" t="str">
        <f aca="false">IFERROR(INDEX(対訳マスタ!$C$2:$C$136,MATCH(Data!E94,対訳マスタ!$B$2:$B$136,0)),Data!E94)</f>
        <v>テレビ・映画・動画の視聴</v>
      </c>
      <c r="F94" s="70" t="str">
        <f aca="false">Data!F94</f>
        <v>A2+</v>
      </c>
      <c r="G94" s="31" t="str">
        <f aca="false">Data!G94</f>
        <v>Can follow a TV commercial or a trailer for or scene from a film, understanding what topic(s) are concerned, provided the images are a great help in understanding and the delivery is clear and relatively slow.</v>
      </c>
      <c r="H94" s="71" t="s">
        <v>3127</v>
      </c>
      <c r="I94" s="79" t="s">
        <v>3089</v>
      </c>
    </row>
    <row r="95" customFormat="false" ht="26.25" hidden="false" customHeight="true" outlineLevel="0" collapsed="false">
      <c r="A95" s="70" t="n">
        <f aca="false">Data!A95</f>
        <v>94</v>
      </c>
      <c r="B95" s="70" t="str">
        <f aca="false">IFERROR(INDEX(対訳マスタ!$C$2:$C$136,MATCH(Data!B95,対訳マスタ!$B$2:$B$136,0)),Data!B95)</f>
        <v>コミュニケーション言語活動</v>
      </c>
      <c r="C95" s="70" t="str">
        <f aca="false">IF(Data!C95="—","—",IFERROR(INDEX(対訳マスタ!$C$2:$C$136,MATCH(Data!C95,対訳マスタ!$B$2:$B$136,0)),Data!C95))</f>
        <v>受容</v>
      </c>
      <c r="D95" s="70" t="str">
        <f aca="false">IF(Data!D95="—","—",IFERROR(INDEX(対訳マスタ!$C$2:$C$136,MATCH(Data!D95,対訳マスタ!$B$2:$B$136,0)),Data!D95))</f>
        <v>視聴覚理解</v>
      </c>
      <c r="E95" s="70" t="str">
        <f aca="false">IFERROR(INDEX(対訳マスタ!$C$2:$C$136,MATCH(Data!E95,対訳マスタ!$B$2:$B$136,0)),Data!E95)</f>
        <v>テレビ・映画・動画の視聴</v>
      </c>
      <c r="F95" s="70" t="str">
        <f aca="false">Data!F95</f>
        <v>A2</v>
      </c>
      <c r="G95" s="31" t="str">
        <f aca="false">Data!G95</f>
        <v>Can follow changes of topic of factual TV news items, and form an idea of the main content.</v>
      </c>
      <c r="H95" s="71" t="s">
        <v>2497</v>
      </c>
      <c r="I95" s="79" t="s">
        <v>3089</v>
      </c>
    </row>
    <row r="96" customFormat="false" ht="32.25" hidden="false" customHeight="true" outlineLevel="0" collapsed="false">
      <c r="A96" s="70" t="n">
        <f aca="false">Data!A96</f>
        <v>95</v>
      </c>
      <c r="B96" s="70" t="str">
        <f aca="false">IFERROR(INDEX(対訳マスタ!$C$2:$C$136,MATCH(Data!B96,対訳マスタ!$B$2:$B$136,0)),Data!B96)</f>
        <v>コミュニケーション言語活動</v>
      </c>
      <c r="C96" s="70" t="str">
        <f aca="false">IF(Data!C96="—","—",IFERROR(INDEX(対訳マスタ!$C$2:$C$136,MATCH(Data!C96,対訳マスタ!$B$2:$B$136,0)),Data!C96))</f>
        <v>受容</v>
      </c>
      <c r="D96" s="70" t="str">
        <f aca="false">IF(Data!D96="—","—",IFERROR(INDEX(対訳マスタ!$C$2:$C$136,MATCH(Data!D96,対訳マスタ!$B$2:$B$136,0)),Data!D96))</f>
        <v>視聴覚理解</v>
      </c>
      <c r="E96" s="70" t="str">
        <f aca="false">IFERROR(INDEX(対訳マスタ!$C$2:$C$136,MATCH(Data!E96,対訳マスタ!$B$2:$B$136,0)),Data!E96)</f>
        <v>テレビ・映画・動画の視聴</v>
      </c>
      <c r="F96" s="70" t="str">
        <f aca="false">Data!F96</f>
        <v>A1</v>
      </c>
      <c r="G96" s="31" t="str">
        <f aca="false">Data!G96</f>
        <v>Can recognise familiar words/signs and phrases and identify the topics in headline news summaries and many of the products in advertisements, by exploiting visual information and general knowledge.</v>
      </c>
      <c r="H96" s="71" t="s">
        <v>2496</v>
      </c>
      <c r="I96" s="79" t="s">
        <v>3089</v>
      </c>
    </row>
    <row r="97" customFormat="false" ht="21.75" hidden="false" customHeight="true" outlineLevel="0" collapsed="false">
      <c r="A97" s="70" t="n">
        <f aca="false">Data!A97</f>
        <v>96</v>
      </c>
      <c r="B97" s="70" t="str">
        <f aca="false">IFERROR(INDEX(対訳マスタ!$C$2:$C$136,MATCH(Data!B97,対訳マスタ!$B$2:$B$136,0)),Data!B97)</f>
        <v>コミュニケーション言語活動</v>
      </c>
      <c r="C97" s="70" t="str">
        <f aca="false">IF(Data!C97="—","—",IFERROR(INDEX(対訳マスタ!$C$2:$C$136,MATCH(Data!C97,対訳マスタ!$B$2:$B$136,0)),Data!C97))</f>
        <v>受容</v>
      </c>
      <c r="D97" s="70" t="str">
        <f aca="false">IF(Data!D97="—","—",IFERROR(INDEX(対訳マスタ!$C$2:$C$136,MATCH(Data!D97,対訳マスタ!$B$2:$B$136,0)),Data!D97))</f>
        <v>視聴覚理解</v>
      </c>
      <c r="E97" s="70" t="str">
        <f aca="false">IFERROR(INDEX(対訳マスタ!$C$2:$C$136,MATCH(Data!E97,対訳マスタ!$B$2:$B$136,0)),Data!E97)</f>
        <v>テレビ・映画・動画の視聴</v>
      </c>
      <c r="F97" s="70" t="str">
        <f aca="false">Data!F97</f>
        <v>Pre-A1</v>
      </c>
      <c r="G97" s="31" t="str">
        <f aca="false">Data!G97</f>
        <v>Can identify the subject of a video document on the basis of visual information and previous knowledge.</v>
      </c>
      <c r="H97" s="71" t="s">
        <v>2495</v>
      </c>
      <c r="I97" s="79" t="s">
        <v>3089</v>
      </c>
    </row>
    <row r="98" customFormat="false" ht="21.75" hidden="false" customHeight="true" outlineLevel="0" collapsed="false">
      <c r="A98" s="70" t="n">
        <f aca="false">Data!A98</f>
        <v>97</v>
      </c>
      <c r="B98" s="70" t="str">
        <f aca="false">IFERROR(INDEX(対訳マスタ!$C$2:$C$136,MATCH(Data!B98,対訳マスタ!$B$2:$B$136,0)),Data!B98)</f>
        <v>コミュニケーション言語活動</v>
      </c>
      <c r="C98" s="70" t="str">
        <f aca="false">IF(Data!C98="—","—",IFERROR(INDEX(対訳マスタ!$C$2:$C$136,MATCH(Data!C98,対訳マスタ!$B$2:$B$136,0)),Data!C98))</f>
        <v>受容</v>
      </c>
      <c r="D98" s="70" t="str">
        <f aca="false">IF(Data!D98="—","—",IFERROR(INDEX(対訳マスタ!$C$2:$C$136,MATCH(Data!D98,対訳マスタ!$B$2:$B$136,0)),Data!D98))</f>
        <v>読解（読むこと）</v>
      </c>
      <c r="E98" s="70" t="str">
        <f aca="false">IFERROR(INDEX(対訳マスタ!$C$2:$C$136,MATCH(Data!E98,対訳マスタ!$B$2:$B$136,0)),Data!E98)</f>
        <v>読解（総合）</v>
      </c>
      <c r="F98" s="70" t="str">
        <f aca="false">Data!F98</f>
        <v>C2</v>
      </c>
      <c r="G98" s="31" t="str">
        <f aca="false">Data!G98</f>
        <v>Can understand virtually all types of texts including abstract, structurally complex, or highly colloquial literary and non-literary writings.</v>
      </c>
      <c r="H98" s="71" t="s">
        <v>3128</v>
      </c>
      <c r="I98" s="79" t="s">
        <v>3089</v>
      </c>
    </row>
    <row r="99" customFormat="false" ht="26.25" hidden="false" customHeight="true" outlineLevel="0" collapsed="false">
      <c r="A99" s="70" t="n">
        <f aca="false">Data!A99</f>
        <v>98</v>
      </c>
      <c r="B99" s="70" t="str">
        <f aca="false">IFERROR(INDEX(対訳マスタ!$C$2:$C$136,MATCH(Data!B99,対訳マスタ!$B$2:$B$136,0)),Data!B99)</f>
        <v>コミュニケーション言語活動</v>
      </c>
      <c r="C99" s="70" t="str">
        <f aca="false">IF(Data!C99="—","—",IFERROR(INDEX(対訳マスタ!$C$2:$C$136,MATCH(Data!C99,対訳マスタ!$B$2:$B$136,0)),Data!C99))</f>
        <v>受容</v>
      </c>
      <c r="D99" s="70" t="str">
        <f aca="false">IF(Data!D99="—","—",IFERROR(INDEX(対訳マスタ!$C$2:$C$136,MATCH(Data!D99,対訳マスタ!$B$2:$B$136,0)),Data!D99))</f>
        <v>読解（読むこと）</v>
      </c>
      <c r="E99" s="70" t="str">
        <f aca="false">IFERROR(INDEX(対訳マスタ!$C$2:$C$136,MATCH(Data!E99,対訳マスタ!$B$2:$B$136,0)),Data!E99)</f>
        <v>読解（総合）</v>
      </c>
      <c r="F99" s="70" t="str">
        <f aca="false">Data!F99</f>
        <v>C2</v>
      </c>
      <c r="G99" s="31" t="str">
        <f aca="false">Data!G99</f>
        <v>Can understand a wide range of long and complex texts, appreciating subtle distinctions of style and implicit as well as explicit meaning.</v>
      </c>
      <c r="H99" s="71" t="s">
        <v>2511</v>
      </c>
      <c r="I99" s="79" t="s">
        <v>3089</v>
      </c>
    </row>
    <row r="100" customFormat="false" ht="26.25" hidden="false" customHeight="true" outlineLevel="0" collapsed="false">
      <c r="A100" s="70" t="n">
        <f aca="false">Data!A100</f>
        <v>99</v>
      </c>
      <c r="B100" s="70" t="str">
        <f aca="false">IFERROR(INDEX(対訳マスタ!$C$2:$C$136,MATCH(Data!B100,対訳マスタ!$B$2:$B$136,0)),Data!B100)</f>
        <v>コミュニケーション言語活動</v>
      </c>
      <c r="C100" s="70" t="str">
        <f aca="false">IF(Data!C100="—","—",IFERROR(INDEX(対訳マスタ!$C$2:$C$136,MATCH(Data!C100,対訳マスタ!$B$2:$B$136,0)),Data!C100))</f>
        <v>受容</v>
      </c>
      <c r="D100" s="70" t="str">
        <f aca="false">IF(Data!D100="—","—",IFERROR(INDEX(対訳マスタ!$C$2:$C$136,MATCH(Data!D100,対訳マスタ!$B$2:$B$136,0)),Data!D100))</f>
        <v>読解（読むこと）</v>
      </c>
      <c r="E100" s="70" t="str">
        <f aca="false">IFERROR(INDEX(対訳マスタ!$C$2:$C$136,MATCH(Data!E100,対訳マスタ!$B$2:$B$136,0)),Data!E100)</f>
        <v>読解（総合）</v>
      </c>
      <c r="F100" s="70" t="str">
        <f aca="false">Data!F100</f>
        <v>C1</v>
      </c>
      <c r="G100" s="31" t="str">
        <f aca="false">Data!G100</f>
        <v>Can understand in detail lengthy, complex texts, whether or not these relate to their own area of speciality, provided they can reread difficult sections.</v>
      </c>
      <c r="H100" s="71" t="s">
        <v>2510</v>
      </c>
      <c r="I100" s="79" t="s">
        <v>3089</v>
      </c>
    </row>
    <row r="101" customFormat="false" ht="32.25" hidden="false" customHeight="true" outlineLevel="0" collapsed="false">
      <c r="A101" s="70" t="n">
        <f aca="false">Data!A101</f>
        <v>100</v>
      </c>
      <c r="B101" s="70" t="str">
        <f aca="false">IFERROR(INDEX(対訳マスタ!$C$2:$C$136,MATCH(Data!B101,対訳マスタ!$B$2:$B$136,0)),Data!B101)</f>
        <v>コミュニケーション言語活動</v>
      </c>
      <c r="C101" s="70" t="str">
        <f aca="false">IF(Data!C101="—","—",IFERROR(INDEX(対訳マスタ!$C$2:$C$136,MATCH(Data!C101,対訳マスタ!$B$2:$B$136,0)),Data!C101))</f>
        <v>受容</v>
      </c>
      <c r="D101" s="70" t="str">
        <f aca="false">IF(Data!D101="—","—",IFERROR(INDEX(対訳マスタ!$C$2:$C$136,MATCH(Data!D101,対訳マスタ!$B$2:$B$136,0)),Data!D101))</f>
        <v>読解（読むこと）</v>
      </c>
      <c r="E101" s="70" t="str">
        <f aca="false">IFERROR(INDEX(対訳マスタ!$C$2:$C$136,MATCH(Data!E101,対訳マスタ!$B$2:$B$136,0)),Data!E101)</f>
        <v>読解（総合）</v>
      </c>
      <c r="F101" s="70" t="str">
        <f aca="false">Data!F101</f>
        <v>C1</v>
      </c>
      <c r="G101" s="31" t="str">
        <f aca="false">Data!G101</f>
        <v>Can understand a wide variety of texts including literary writings, newspaper or magazine articles, and specialised academic or professional publications, provided there are opportunities for rereading and they have access to reference tools.</v>
      </c>
      <c r="H101" s="71" t="s">
        <v>3129</v>
      </c>
      <c r="I101" s="79" t="s">
        <v>3089</v>
      </c>
    </row>
    <row r="102" customFormat="false" ht="42.75" hidden="false" customHeight="true" outlineLevel="0" collapsed="false">
      <c r="A102" s="70" t="n">
        <f aca="false">Data!A102</f>
        <v>101</v>
      </c>
      <c r="B102" s="70" t="str">
        <f aca="false">IFERROR(INDEX(対訳マスタ!$C$2:$C$136,MATCH(Data!B102,対訳マスタ!$B$2:$B$136,0)),Data!B102)</f>
        <v>コミュニケーション言語活動</v>
      </c>
      <c r="C102" s="70" t="str">
        <f aca="false">IF(Data!C102="—","—",IFERROR(INDEX(対訳マスタ!$C$2:$C$136,MATCH(Data!C102,対訳マスタ!$B$2:$B$136,0)),Data!C102))</f>
        <v>受容</v>
      </c>
      <c r="D102" s="70" t="str">
        <f aca="false">IF(Data!D102="—","—",IFERROR(INDEX(対訳マスタ!$C$2:$C$136,MATCH(Data!D102,対訳マスタ!$B$2:$B$136,0)),Data!D102))</f>
        <v>読解（読むこと）</v>
      </c>
      <c r="E102" s="70" t="str">
        <f aca="false">IFERROR(INDEX(対訳マスタ!$C$2:$C$136,MATCH(Data!E102,対訳マスタ!$B$2:$B$136,0)),Data!E102)</f>
        <v>読解（総合）</v>
      </c>
      <c r="F102" s="70" t="str">
        <f aca="false">Data!F102</f>
        <v>B2</v>
      </c>
      <c r="G102" s="31" t="str">
        <f aca="false">Data!G102</f>
        <v>Can read with a large degree of independence, adapting style and speed of reading to different texts and purposes, and using appropriate reference sources selectively. Has a broad active reading vocabulary, but may experience some difficulty with low-frequency idioms.</v>
      </c>
      <c r="H102" s="71" t="s">
        <v>2509</v>
      </c>
      <c r="I102" s="79" t="s">
        <v>3089</v>
      </c>
    </row>
    <row r="103" customFormat="false" ht="21.75" hidden="false" customHeight="true" outlineLevel="0" collapsed="false">
      <c r="A103" s="70" t="n">
        <f aca="false">Data!A103</f>
        <v>102</v>
      </c>
      <c r="B103" s="70" t="str">
        <f aca="false">IFERROR(INDEX(対訳マスタ!$C$2:$C$136,MATCH(Data!B103,対訳マスタ!$B$2:$B$136,0)),Data!B103)</f>
        <v>コミュニケーション言語活動</v>
      </c>
      <c r="C103" s="70" t="str">
        <f aca="false">IF(Data!C103="—","—",IFERROR(INDEX(対訳マスタ!$C$2:$C$136,MATCH(Data!C103,対訳マスタ!$B$2:$B$136,0)),Data!C103))</f>
        <v>受容</v>
      </c>
      <c r="D103" s="70" t="str">
        <f aca="false">IF(Data!D103="—","—",IFERROR(INDEX(対訳マスタ!$C$2:$C$136,MATCH(Data!D103,対訳マスタ!$B$2:$B$136,0)),Data!D103))</f>
        <v>読解（読むこと）</v>
      </c>
      <c r="E103" s="70" t="str">
        <f aca="false">IFERROR(INDEX(対訳マスタ!$C$2:$C$136,MATCH(Data!E103,対訳マスタ!$B$2:$B$136,0)),Data!E103)</f>
        <v>読解（総合）</v>
      </c>
      <c r="F103" s="70" t="str">
        <f aca="false">Data!F103</f>
        <v>B1</v>
      </c>
      <c r="G103" s="31" t="str">
        <f aca="false">Data!G103</f>
        <v>Can read straightforward factual texts on subjects related to their field of interest with a satisfactory level of comprehension.</v>
      </c>
      <c r="H103" s="71" t="s">
        <v>2508</v>
      </c>
      <c r="I103" s="79" t="s">
        <v>3089</v>
      </c>
    </row>
    <row r="104" customFormat="false" ht="26.25" hidden="false" customHeight="true" outlineLevel="0" collapsed="false">
      <c r="A104" s="70" t="n">
        <f aca="false">Data!A104</f>
        <v>103</v>
      </c>
      <c r="B104" s="70" t="str">
        <f aca="false">IFERROR(INDEX(対訳マスタ!$C$2:$C$136,MATCH(Data!B104,対訳マスタ!$B$2:$B$136,0)),Data!B104)</f>
        <v>コミュニケーション言語活動</v>
      </c>
      <c r="C104" s="70" t="str">
        <f aca="false">IF(Data!C104="—","—",IFERROR(INDEX(対訳マスタ!$C$2:$C$136,MATCH(Data!C104,対訳マスタ!$B$2:$B$136,0)),Data!C104))</f>
        <v>受容</v>
      </c>
      <c r="D104" s="70" t="str">
        <f aca="false">IF(Data!D104="—","—",IFERROR(INDEX(対訳マスタ!$C$2:$C$136,MATCH(Data!D104,対訳マスタ!$B$2:$B$136,0)),Data!D104))</f>
        <v>読解（読むこと）</v>
      </c>
      <c r="E104" s="70" t="str">
        <f aca="false">IFERROR(INDEX(対訳マスタ!$C$2:$C$136,MATCH(Data!E104,対訳マスタ!$B$2:$B$136,0)),Data!E104)</f>
        <v>読解（総合）</v>
      </c>
      <c r="F104" s="70" t="str">
        <f aca="false">Data!F104</f>
        <v>A2+</v>
      </c>
      <c r="G104" s="31" t="str">
        <f aca="false">Data!G104</f>
        <v>Can understand short, simple texts on familiar matters of a concrete type which consist of high frequency everyday or job-related language.</v>
      </c>
      <c r="H104" s="71" t="s">
        <v>2507</v>
      </c>
      <c r="I104" s="79" t="s">
        <v>3089</v>
      </c>
    </row>
    <row r="105" customFormat="false" ht="21.75" hidden="false" customHeight="true" outlineLevel="0" collapsed="false">
      <c r="A105" s="70" t="n">
        <f aca="false">Data!A105</f>
        <v>104</v>
      </c>
      <c r="B105" s="70" t="str">
        <f aca="false">IFERROR(INDEX(対訳マスタ!$C$2:$C$136,MATCH(Data!B105,対訳マスタ!$B$2:$B$136,0)),Data!B105)</f>
        <v>コミュニケーション言語活動</v>
      </c>
      <c r="C105" s="70" t="str">
        <f aca="false">IF(Data!C105="—","—",IFERROR(INDEX(対訳マスタ!$C$2:$C$136,MATCH(Data!C105,対訳マスタ!$B$2:$B$136,0)),Data!C105))</f>
        <v>受容</v>
      </c>
      <c r="D105" s="70" t="str">
        <f aca="false">IF(Data!D105="—","—",IFERROR(INDEX(対訳マスタ!$C$2:$C$136,MATCH(Data!D105,対訳マスタ!$B$2:$B$136,0)),Data!D105))</f>
        <v>読解（読むこと）</v>
      </c>
      <c r="E105" s="70" t="str">
        <f aca="false">IFERROR(INDEX(対訳マスタ!$C$2:$C$136,MATCH(Data!E105,対訳マスタ!$B$2:$B$136,0)),Data!E105)</f>
        <v>読解（総合）</v>
      </c>
      <c r="F105" s="70" t="str">
        <f aca="false">Data!F105</f>
        <v>A2</v>
      </c>
      <c r="G105" s="31" t="str">
        <f aca="false">Data!G105</f>
        <v>Can understand short, simple texts containing the highest frequency vocabulary, including a proportion of shared international vocabulary items.</v>
      </c>
      <c r="H105" s="71" t="s">
        <v>2506</v>
      </c>
      <c r="I105" s="79" t="s">
        <v>3089</v>
      </c>
    </row>
    <row r="106" customFormat="false" ht="26.25" hidden="false" customHeight="true" outlineLevel="0" collapsed="false">
      <c r="A106" s="70" t="n">
        <f aca="false">Data!A106</f>
        <v>105</v>
      </c>
      <c r="B106" s="70" t="str">
        <f aca="false">IFERROR(INDEX(対訳マスタ!$C$2:$C$136,MATCH(Data!B106,対訳マスタ!$B$2:$B$136,0)),Data!B106)</f>
        <v>コミュニケーション言語活動</v>
      </c>
      <c r="C106" s="70" t="str">
        <f aca="false">IF(Data!C106="—","—",IFERROR(INDEX(対訳マスタ!$C$2:$C$136,MATCH(Data!C106,対訳マスタ!$B$2:$B$136,0)),Data!C106))</f>
        <v>受容</v>
      </c>
      <c r="D106" s="70" t="str">
        <f aca="false">IF(Data!D106="—","—",IFERROR(INDEX(対訳マスタ!$C$2:$C$136,MATCH(Data!D106,対訳マスタ!$B$2:$B$136,0)),Data!D106))</f>
        <v>読解（読むこと）</v>
      </c>
      <c r="E106" s="70" t="str">
        <f aca="false">IFERROR(INDEX(対訳マスタ!$C$2:$C$136,MATCH(Data!E106,対訳マスタ!$B$2:$B$136,0)),Data!E106)</f>
        <v>読解（総合）</v>
      </c>
      <c r="F106" s="70" t="str">
        <f aca="false">Data!F106</f>
        <v>A1</v>
      </c>
      <c r="G106" s="31" t="str">
        <f aca="false">Data!G106</f>
        <v>Can understand very short, simple texts a single phrase at a time, picking up familiar names, words and basic phrases and rereading as required.</v>
      </c>
      <c r="H106" s="71" t="s">
        <v>2505</v>
      </c>
      <c r="I106" s="79" t="s">
        <v>3089</v>
      </c>
    </row>
    <row r="107" customFormat="false" ht="26.25" hidden="false" customHeight="true" outlineLevel="0" collapsed="false">
      <c r="A107" s="70" t="n">
        <f aca="false">Data!A107</f>
        <v>106</v>
      </c>
      <c r="B107" s="70" t="str">
        <f aca="false">IFERROR(INDEX(対訳マスタ!$C$2:$C$136,MATCH(Data!B107,対訳マスタ!$B$2:$B$136,0)),Data!B107)</f>
        <v>コミュニケーション言語活動</v>
      </c>
      <c r="C107" s="70" t="str">
        <f aca="false">IF(Data!C107="—","—",IFERROR(INDEX(対訳マスタ!$C$2:$C$136,MATCH(Data!C107,対訳マスタ!$B$2:$B$136,0)),Data!C107))</f>
        <v>受容</v>
      </c>
      <c r="D107" s="70" t="str">
        <f aca="false">IF(Data!D107="—","—",IFERROR(INDEX(対訳マスタ!$C$2:$C$136,MATCH(Data!D107,対訳マスタ!$B$2:$B$136,0)),Data!D107))</f>
        <v>読解（読むこと）</v>
      </c>
      <c r="E107" s="70" t="str">
        <f aca="false">IFERROR(INDEX(対訳マスタ!$C$2:$C$136,MATCH(Data!E107,対訳マスタ!$B$2:$B$136,0)),Data!E107)</f>
        <v>読解（総合）</v>
      </c>
      <c r="F107" s="70" t="str">
        <f aca="false">Data!F107</f>
        <v>Pre-A1</v>
      </c>
      <c r="G107" s="31" t="str">
        <f aca="false">Data!G107</f>
        <v>Can recognise familiar words/signs accompanied by pictures, such as a fast-food restaurant menu illustrated with photos or a picture book using familiar vocabulary.</v>
      </c>
      <c r="H107" s="71" t="s">
        <v>2504</v>
      </c>
      <c r="I107" s="79" t="s">
        <v>3089</v>
      </c>
    </row>
    <row r="108" customFormat="false" ht="15" hidden="false" customHeight="true" outlineLevel="0" collapsed="false">
      <c r="A108" s="70" t="n">
        <f aca="false">Data!A108</f>
        <v>107</v>
      </c>
      <c r="B108" s="70" t="str">
        <f aca="false">IFERROR(INDEX(対訳マスタ!$C$2:$C$136,MATCH(Data!B108,対訳マスタ!$B$2:$B$136,0)),Data!B108)</f>
        <v>コミュニケーション言語活動</v>
      </c>
      <c r="C108" s="70" t="str">
        <f aca="false">IF(Data!C108="—","—",IFERROR(INDEX(対訳マスタ!$C$2:$C$136,MATCH(Data!C108,対訳マスタ!$B$2:$B$136,0)),Data!C108))</f>
        <v>受容</v>
      </c>
      <c r="D108" s="70" t="str">
        <f aca="false">IF(Data!D108="—","—",IFERROR(INDEX(対訳マスタ!$C$2:$C$136,MATCH(Data!D108,対訳マスタ!$B$2:$B$136,0)),Data!D108))</f>
        <v>読解（読むこと）</v>
      </c>
      <c r="E108" s="70" t="str">
        <f aca="false">IFERROR(INDEX(対訳マスタ!$C$2:$C$136,MATCH(Data!E108,対訳マスタ!$B$2:$B$136,0)),Data!E108)</f>
        <v>手紙・メールを読む</v>
      </c>
      <c r="F108" s="70" t="str">
        <f aca="false">Data!F108</f>
        <v>C2</v>
      </c>
      <c r="G108" s="31" t="str">
        <f aca="false">Data!G108</f>
        <v>Can understand specialised, formal correspondence on a complex topic.</v>
      </c>
      <c r="H108" s="71" t="s">
        <v>2520</v>
      </c>
      <c r="I108" s="79" t="s">
        <v>3089</v>
      </c>
    </row>
    <row r="109" customFormat="false" ht="15" hidden="false" customHeight="true" outlineLevel="0" collapsed="false">
      <c r="A109" s="70" t="n">
        <f aca="false">Data!A109</f>
        <v>108</v>
      </c>
      <c r="B109" s="70" t="str">
        <f aca="false">IFERROR(INDEX(対訳マスタ!$C$2:$C$136,MATCH(Data!B109,対訳マスタ!$B$2:$B$136,0)),Data!B109)</f>
        <v>コミュニケーション言語活動</v>
      </c>
      <c r="C109" s="70" t="str">
        <f aca="false">IF(Data!C109="—","—",IFERROR(INDEX(対訳マスタ!$C$2:$C$136,MATCH(Data!C109,対訳マスタ!$B$2:$B$136,0)),Data!C109))</f>
        <v>受容</v>
      </c>
      <c r="D109" s="70" t="str">
        <f aca="false">IF(Data!D109="—","—",IFERROR(INDEX(対訳マスタ!$C$2:$C$136,MATCH(Data!D109,対訳マスタ!$B$2:$B$136,0)),Data!D109))</f>
        <v>読解（読むこと）</v>
      </c>
      <c r="E109" s="70" t="str">
        <f aca="false">IFERROR(INDEX(対訳マスタ!$C$2:$C$136,MATCH(Data!E109,対訳マスタ!$B$2:$B$136,0)),Data!E109)</f>
        <v>手紙・メールを読む</v>
      </c>
      <c r="F109" s="70" t="str">
        <f aca="false">Data!F109</f>
        <v>C1</v>
      </c>
      <c r="G109" s="31" t="str">
        <f aca="false">Data!G109</f>
        <v>Can understand any correspondence given the occasional use of a dictionary.</v>
      </c>
      <c r="H109" s="71" t="s">
        <v>2519</v>
      </c>
      <c r="I109" s="79" t="s">
        <v>3089</v>
      </c>
    </row>
    <row r="110" customFormat="false" ht="32.25" hidden="false" customHeight="true" outlineLevel="0" collapsed="false">
      <c r="A110" s="70" t="n">
        <f aca="false">Data!A110</f>
        <v>109</v>
      </c>
      <c r="B110" s="70" t="str">
        <f aca="false">IFERROR(INDEX(対訳マスタ!$C$2:$C$136,MATCH(Data!B110,対訳マスタ!$B$2:$B$136,0)),Data!B110)</f>
        <v>コミュニケーション言語活動</v>
      </c>
      <c r="C110" s="70" t="str">
        <f aca="false">IF(Data!C110="—","—",IFERROR(INDEX(対訳マスタ!$C$2:$C$136,MATCH(Data!C110,対訳マスタ!$B$2:$B$136,0)),Data!C110))</f>
        <v>受容</v>
      </c>
      <c r="D110" s="70" t="str">
        <f aca="false">IF(Data!D110="—","—",IFERROR(INDEX(対訳マスタ!$C$2:$C$136,MATCH(Data!D110,対訳マスタ!$B$2:$B$136,0)),Data!D110))</f>
        <v>読解（読むこと）</v>
      </c>
      <c r="E110" s="70" t="str">
        <f aca="false">IFERROR(INDEX(対訳マスタ!$C$2:$C$136,MATCH(Data!E110,対訳マスタ!$B$2:$B$136,0)),Data!E110)</f>
        <v>手紙・メールを読む</v>
      </c>
      <c r="F110" s="70" t="str">
        <f aca="false">Data!F110</f>
        <v>C1</v>
      </c>
      <c r="G110" s="31" t="str">
        <f aca="false">Data!G110</f>
        <v>Can understand implicit as well as explicit attitudes, emotions and opinions expressed in e-mails, discussion forums, vlogs/blogs, etc., provided there are opportunities for rereading and they have access to reference tools.</v>
      </c>
      <c r="H110" s="71" t="s">
        <v>3130</v>
      </c>
      <c r="I110" s="79" t="s">
        <v>3089</v>
      </c>
    </row>
    <row r="111" customFormat="false" ht="15" hidden="false" customHeight="true" outlineLevel="0" collapsed="false">
      <c r="A111" s="70" t="n">
        <f aca="false">Data!A111</f>
        <v>110</v>
      </c>
      <c r="B111" s="70" t="str">
        <f aca="false">IFERROR(INDEX(対訳マスタ!$C$2:$C$136,MATCH(Data!B111,対訳マスタ!$B$2:$B$136,0)),Data!B111)</f>
        <v>コミュニケーション言語活動</v>
      </c>
      <c r="C111" s="70" t="str">
        <f aca="false">IF(Data!C111="—","—",IFERROR(INDEX(対訳マスタ!$C$2:$C$136,MATCH(Data!C111,対訳マスタ!$B$2:$B$136,0)),Data!C111))</f>
        <v>受容</v>
      </c>
      <c r="D111" s="70" t="str">
        <f aca="false">IF(Data!D111="—","—",IFERROR(INDEX(対訳マスタ!$C$2:$C$136,MATCH(Data!D111,対訳マスタ!$B$2:$B$136,0)),Data!D111))</f>
        <v>読解（読むこと）</v>
      </c>
      <c r="E111" s="70" t="str">
        <f aca="false">IFERROR(INDEX(対訳マスタ!$C$2:$C$136,MATCH(Data!E111,対訳マスタ!$B$2:$B$136,0)),Data!E111)</f>
        <v>手紙・メールを読む</v>
      </c>
      <c r="F111" s="70" t="str">
        <f aca="false">Data!F111</f>
        <v>C1</v>
      </c>
      <c r="G111" s="31" t="str">
        <f aca="false">Data!G111</f>
        <v>Can understand slang, idiomatic expressions and jokes in private correspondence.</v>
      </c>
      <c r="H111" s="71" t="s">
        <v>3131</v>
      </c>
      <c r="I111" s="79" t="s">
        <v>3089</v>
      </c>
    </row>
    <row r="112" customFormat="false" ht="21.75" hidden="false" customHeight="true" outlineLevel="0" collapsed="false">
      <c r="A112" s="70" t="n">
        <f aca="false">Data!A112</f>
        <v>111</v>
      </c>
      <c r="B112" s="70" t="str">
        <f aca="false">IFERROR(INDEX(対訳マスタ!$C$2:$C$136,MATCH(Data!B112,対訳マスタ!$B$2:$B$136,0)),Data!B112)</f>
        <v>コミュニケーション言語活動</v>
      </c>
      <c r="C112" s="70" t="str">
        <f aca="false">IF(Data!C112="—","—",IFERROR(INDEX(対訳マスタ!$C$2:$C$136,MATCH(Data!C112,対訳マスタ!$B$2:$B$136,0)),Data!C112))</f>
        <v>受容</v>
      </c>
      <c r="D112" s="70" t="str">
        <f aca="false">IF(Data!D112="—","—",IFERROR(INDEX(対訳マスタ!$C$2:$C$136,MATCH(Data!D112,対訳マスタ!$B$2:$B$136,0)),Data!D112))</f>
        <v>読解（読むこと）</v>
      </c>
      <c r="E112" s="70" t="str">
        <f aca="false">IFERROR(INDEX(対訳マスタ!$C$2:$C$136,MATCH(Data!E112,対訳マスタ!$B$2:$B$136,0)),Data!E112)</f>
        <v>手紙・メールを読む</v>
      </c>
      <c r="F112" s="70" t="str">
        <f aca="false">Data!F112</f>
        <v>B2</v>
      </c>
      <c r="G112" s="31" t="str">
        <f aca="false">Data!G112</f>
        <v>Can read correspondence relating to their field of interest and readily grasp the essential meaning.</v>
      </c>
      <c r="H112" s="71" t="s">
        <v>2518</v>
      </c>
      <c r="I112" s="79" t="s">
        <v>3089</v>
      </c>
    </row>
    <row r="113" customFormat="false" ht="21.75" hidden="false" customHeight="true" outlineLevel="0" collapsed="false">
      <c r="A113" s="70" t="n">
        <f aca="false">Data!A113</f>
        <v>112</v>
      </c>
      <c r="B113" s="70" t="str">
        <f aca="false">IFERROR(INDEX(対訳マスタ!$C$2:$C$136,MATCH(Data!B113,対訳マスタ!$B$2:$B$136,0)),Data!B113)</f>
        <v>コミュニケーション言語活動</v>
      </c>
      <c r="C113" s="70" t="str">
        <f aca="false">IF(Data!C113="—","—",IFERROR(INDEX(対訳マスタ!$C$2:$C$136,MATCH(Data!C113,対訳マスタ!$B$2:$B$136,0)),Data!C113))</f>
        <v>受容</v>
      </c>
      <c r="D113" s="70" t="str">
        <f aca="false">IF(Data!D113="—","—",IFERROR(INDEX(対訳マスタ!$C$2:$C$136,MATCH(Data!D113,対訳マスタ!$B$2:$B$136,0)),Data!D113))</f>
        <v>読解（読むこと）</v>
      </c>
      <c r="E113" s="70" t="str">
        <f aca="false">IFERROR(INDEX(対訳マスタ!$C$2:$C$136,MATCH(Data!E113,対訳マスタ!$B$2:$B$136,0)),Data!E113)</f>
        <v>手紙・メールを読む</v>
      </c>
      <c r="F113" s="70" t="str">
        <f aca="false">Data!F113</f>
        <v>B2</v>
      </c>
      <c r="G113" s="31" t="str">
        <f aca="false">Data!G113</f>
        <v>Can understand what is said in a personal e-mail or posting even where some colloquial language is used.</v>
      </c>
      <c r="H113" s="71" t="s">
        <v>3132</v>
      </c>
      <c r="I113" s="79" t="s">
        <v>3089</v>
      </c>
    </row>
    <row r="114" customFormat="false" ht="26.25" hidden="false" customHeight="true" outlineLevel="0" collapsed="false">
      <c r="A114" s="70" t="n">
        <f aca="false">Data!A114</f>
        <v>113</v>
      </c>
      <c r="B114" s="70" t="str">
        <f aca="false">IFERROR(INDEX(対訳マスタ!$C$2:$C$136,MATCH(Data!B114,対訳マスタ!$B$2:$B$136,0)),Data!B114)</f>
        <v>コミュニケーション言語活動</v>
      </c>
      <c r="C114" s="70" t="str">
        <f aca="false">IF(Data!C114="—","—",IFERROR(INDEX(対訳マスタ!$C$2:$C$136,MATCH(Data!C114,対訳マスタ!$B$2:$B$136,0)),Data!C114))</f>
        <v>受容</v>
      </c>
      <c r="D114" s="70" t="str">
        <f aca="false">IF(Data!D114="—","—",IFERROR(INDEX(対訳マスタ!$C$2:$C$136,MATCH(Data!D114,対訳マスタ!$B$2:$B$136,0)),Data!D114))</f>
        <v>読解（読むこと）</v>
      </c>
      <c r="E114" s="70" t="str">
        <f aca="false">IFERROR(INDEX(対訳マスタ!$C$2:$C$136,MATCH(Data!E114,対訳マスタ!$B$2:$B$136,0)),Data!E114)</f>
        <v>手紙・メールを読む</v>
      </c>
      <c r="F114" s="70" t="str">
        <f aca="false">Data!F114</f>
        <v>B1+</v>
      </c>
      <c r="G114" s="31" t="str">
        <f aca="false">Data!G114</f>
        <v>Can understand formal correspondence on less familiar subjects well enough to redirect it to someone else. </v>
      </c>
      <c r="H114" s="71" t="s">
        <v>2517</v>
      </c>
      <c r="I114" s="79" t="s">
        <v>3089</v>
      </c>
    </row>
    <row r="115" customFormat="false" ht="21.75" hidden="false" customHeight="true" outlineLevel="0" collapsed="false">
      <c r="A115" s="70" t="n">
        <f aca="false">Data!A115</f>
        <v>114</v>
      </c>
      <c r="B115" s="70" t="str">
        <f aca="false">IFERROR(INDEX(対訳マスタ!$C$2:$C$136,MATCH(Data!B115,対訳マスタ!$B$2:$B$136,0)),Data!B115)</f>
        <v>コミュニケーション言語活動</v>
      </c>
      <c r="C115" s="70" t="str">
        <f aca="false">IF(Data!C115="—","—",IFERROR(INDEX(対訳マスタ!$C$2:$C$136,MATCH(Data!C115,対訳マスタ!$B$2:$B$136,0)),Data!C115))</f>
        <v>受容</v>
      </c>
      <c r="D115" s="70" t="str">
        <f aca="false">IF(Data!D115="—","—",IFERROR(INDEX(対訳マスタ!$C$2:$C$136,MATCH(Data!D115,対訳マスタ!$B$2:$B$136,0)),Data!D115))</f>
        <v>読解（読むこと）</v>
      </c>
      <c r="E115" s="70" t="str">
        <f aca="false">IFERROR(INDEX(対訳マスタ!$C$2:$C$136,MATCH(Data!E115,対訳マスタ!$B$2:$B$136,0)),Data!E115)</f>
        <v>手紙・メールを読む</v>
      </c>
      <c r="F115" s="70" t="str">
        <f aca="false">Data!F115</f>
        <v>B1</v>
      </c>
      <c r="G115" s="31" t="str">
        <f aca="false">Data!G115</f>
        <v>Can understand the description of events, feelings and wishes in personal letters well enough to correspond regularly with a pen friend.</v>
      </c>
      <c r="H115" s="71" t="s">
        <v>3133</v>
      </c>
      <c r="I115" s="79" t="s">
        <v>3089</v>
      </c>
    </row>
    <row r="116" customFormat="false" ht="21.75" hidden="false" customHeight="true" outlineLevel="0" collapsed="false">
      <c r="A116" s="70" t="n">
        <f aca="false">Data!A116</f>
        <v>115</v>
      </c>
      <c r="B116" s="70" t="str">
        <f aca="false">IFERROR(INDEX(対訳マスタ!$C$2:$C$136,MATCH(Data!B116,対訳マスタ!$B$2:$B$136,0)),Data!B116)</f>
        <v>コミュニケーション言語活動</v>
      </c>
      <c r="C116" s="70" t="str">
        <f aca="false">IF(Data!C116="—","—",IFERROR(INDEX(対訳マスタ!$C$2:$C$136,MATCH(Data!C116,対訳マスタ!$B$2:$B$136,0)),Data!C116))</f>
        <v>受容</v>
      </c>
      <c r="D116" s="70" t="str">
        <f aca="false">IF(Data!D116="—","—",IFERROR(INDEX(対訳マスタ!$C$2:$C$136,MATCH(Data!D116,対訳マスタ!$B$2:$B$136,0)),Data!D116))</f>
        <v>読解（読むこと）</v>
      </c>
      <c r="E116" s="70" t="str">
        <f aca="false">IFERROR(INDEX(対訳マスタ!$C$2:$C$136,MATCH(Data!E116,対訳マスタ!$B$2:$B$136,0)),Data!E116)</f>
        <v>手紙・メールを読む</v>
      </c>
      <c r="F116" s="70" t="str">
        <f aca="false">Data!F116</f>
        <v>B1</v>
      </c>
      <c r="G116" s="31" t="str">
        <f aca="false">Data!G116</f>
        <v>Can understand straightforward personal letters, e-mails or postings giving a relatively detailed account of events and experiences.</v>
      </c>
      <c r="H116" s="71" t="s">
        <v>3134</v>
      </c>
      <c r="I116" s="79" t="s">
        <v>3089</v>
      </c>
    </row>
    <row r="117" customFormat="false" ht="21.75" hidden="false" customHeight="true" outlineLevel="0" collapsed="false">
      <c r="A117" s="70" t="n">
        <f aca="false">Data!A117</f>
        <v>116</v>
      </c>
      <c r="B117" s="70" t="str">
        <f aca="false">IFERROR(INDEX(対訳マスタ!$C$2:$C$136,MATCH(Data!B117,対訳マスタ!$B$2:$B$136,0)),Data!B117)</f>
        <v>コミュニケーション言語活動</v>
      </c>
      <c r="C117" s="70" t="str">
        <f aca="false">IF(Data!C117="—","—",IFERROR(INDEX(対訳マスタ!$C$2:$C$136,MATCH(Data!C117,対訳マスタ!$B$2:$B$136,0)),Data!C117))</f>
        <v>受容</v>
      </c>
      <c r="D117" s="70" t="str">
        <f aca="false">IF(Data!D117="—","—",IFERROR(INDEX(対訳マスタ!$C$2:$C$136,MATCH(Data!D117,対訳マスタ!$B$2:$B$136,0)),Data!D117))</f>
        <v>読解（読むこと）</v>
      </c>
      <c r="E117" s="70" t="str">
        <f aca="false">IFERROR(INDEX(対訳マスタ!$C$2:$C$136,MATCH(Data!E117,対訳マスタ!$B$2:$B$136,0)),Data!E117)</f>
        <v>手紙・メールを読む</v>
      </c>
      <c r="F117" s="70" t="str">
        <f aca="false">Data!F117</f>
        <v>B1</v>
      </c>
      <c r="G117" s="31" t="str">
        <f aca="false">Data!G117</f>
        <v>Can understand standard formal correspondence and online postings in their area of professional interest.</v>
      </c>
      <c r="H117" s="71" t="s">
        <v>2516</v>
      </c>
      <c r="I117" s="79" t="s">
        <v>3089</v>
      </c>
    </row>
    <row r="118" customFormat="false" ht="32.25" hidden="false" customHeight="true" outlineLevel="0" collapsed="false">
      <c r="A118" s="70" t="n">
        <f aca="false">Data!A118</f>
        <v>117</v>
      </c>
      <c r="B118" s="70" t="str">
        <f aca="false">IFERROR(INDEX(対訳マスタ!$C$2:$C$136,MATCH(Data!B118,対訳マスタ!$B$2:$B$136,0)),Data!B118)</f>
        <v>コミュニケーション言語活動</v>
      </c>
      <c r="C118" s="70" t="str">
        <f aca="false">IF(Data!C118="—","—",IFERROR(INDEX(対訳マスタ!$C$2:$C$136,MATCH(Data!C118,対訳マスタ!$B$2:$B$136,0)),Data!C118))</f>
        <v>受容</v>
      </c>
      <c r="D118" s="70" t="str">
        <f aca="false">IF(Data!D118="—","—",IFERROR(INDEX(対訳マスタ!$C$2:$C$136,MATCH(Data!D118,対訳マスタ!$B$2:$B$136,0)),Data!D118))</f>
        <v>読解（読むこと）</v>
      </c>
      <c r="E118" s="70" t="str">
        <f aca="false">IFERROR(INDEX(対訳マスタ!$C$2:$C$136,MATCH(Data!E118,対訳マスタ!$B$2:$B$136,0)),Data!E118)</f>
        <v>手紙・メールを読む</v>
      </c>
      <c r="F118" s="70" t="str">
        <f aca="false">Data!F118</f>
        <v>A2+</v>
      </c>
      <c r="G118" s="31" t="str">
        <f aca="false">Data!G118</f>
        <v>Can understand a simple personal letter, e-mail or post in which the person writing is talking about familiar subjects (such as friends or family) or asking questions on these subjects.</v>
      </c>
      <c r="H118" s="71" t="s">
        <v>3135</v>
      </c>
      <c r="I118" s="79" t="s">
        <v>3089</v>
      </c>
    </row>
    <row r="119" customFormat="false" ht="26.25" hidden="false" customHeight="true" outlineLevel="0" collapsed="false">
      <c r="A119" s="70" t="n">
        <f aca="false">Data!A119</f>
        <v>118</v>
      </c>
      <c r="B119" s="70" t="str">
        <f aca="false">IFERROR(INDEX(対訳マスタ!$C$2:$C$136,MATCH(Data!B119,対訳マスタ!$B$2:$B$136,0)),Data!B119)</f>
        <v>コミュニケーション言語活動</v>
      </c>
      <c r="C119" s="70" t="str">
        <f aca="false">IF(Data!C119="—","—",IFERROR(INDEX(対訳マスタ!$C$2:$C$136,MATCH(Data!C119,対訳マスタ!$B$2:$B$136,0)),Data!C119))</f>
        <v>受容</v>
      </c>
      <c r="D119" s="70" t="str">
        <f aca="false">IF(Data!D119="—","—",IFERROR(INDEX(対訳マスタ!$C$2:$C$136,MATCH(Data!D119,対訳マスタ!$B$2:$B$136,0)),Data!D119))</f>
        <v>読解（読むこと）</v>
      </c>
      <c r="E119" s="70" t="str">
        <f aca="false">IFERROR(INDEX(対訳マスタ!$C$2:$C$136,MATCH(Data!E119,対訳マスタ!$B$2:$B$136,0)),Data!E119)</f>
        <v>手紙・メールを読む</v>
      </c>
      <c r="F119" s="70" t="str">
        <f aca="false">Data!F119</f>
        <v>A2+</v>
      </c>
      <c r="G119" s="31" t="str">
        <f aca="false">Data!G119</f>
        <v>Can understand basic types of standard routine letters and faxes (enquiries, orders, letters of confirmation, etc.) on familiar topics.</v>
      </c>
      <c r="H119" s="71" t="s">
        <v>2515</v>
      </c>
      <c r="I119" s="79" t="s">
        <v>3089</v>
      </c>
    </row>
    <row r="120" customFormat="false" ht="15" hidden="false" customHeight="true" outlineLevel="0" collapsed="false">
      <c r="A120" s="70" t="n">
        <f aca="false">Data!A120</f>
        <v>119</v>
      </c>
      <c r="B120" s="70" t="str">
        <f aca="false">IFERROR(INDEX(対訳マスタ!$C$2:$C$136,MATCH(Data!B120,対訳マスタ!$B$2:$B$136,0)),Data!B120)</f>
        <v>コミュニケーション言語活動</v>
      </c>
      <c r="C120" s="70" t="str">
        <f aca="false">IF(Data!C120="—","—",IFERROR(INDEX(対訳マスタ!$C$2:$C$136,MATCH(Data!C120,対訳マスタ!$B$2:$B$136,0)),Data!C120))</f>
        <v>受容</v>
      </c>
      <c r="D120" s="70" t="str">
        <f aca="false">IF(Data!D120="—","—",IFERROR(INDEX(対訳マスタ!$C$2:$C$136,MATCH(Data!D120,対訳マスタ!$B$2:$B$136,0)),Data!D120))</f>
        <v>読解（読むこと）</v>
      </c>
      <c r="E120" s="70" t="str">
        <f aca="false">IFERROR(INDEX(対訳マスタ!$C$2:$C$136,MATCH(Data!E120,対訳マスタ!$B$2:$B$136,0)),Data!E120)</f>
        <v>手紙・メールを読む</v>
      </c>
      <c r="F120" s="70" t="str">
        <f aca="false">Data!F120</f>
        <v>A2</v>
      </c>
      <c r="G120" s="31" t="str">
        <f aca="false">Data!G120</f>
        <v>Can understand short, simple personal letters.</v>
      </c>
      <c r="H120" s="71" t="s">
        <v>2514</v>
      </c>
      <c r="I120" s="79" t="s">
        <v>3089</v>
      </c>
    </row>
    <row r="121" customFormat="false" ht="21.75" hidden="false" customHeight="true" outlineLevel="0" collapsed="false">
      <c r="A121" s="70" t="n">
        <f aca="false">Data!A121</f>
        <v>120</v>
      </c>
      <c r="B121" s="70" t="str">
        <f aca="false">IFERROR(INDEX(対訳マスタ!$C$2:$C$136,MATCH(Data!B121,対訳マスタ!$B$2:$B$136,0)),Data!B121)</f>
        <v>コミュニケーション言語活動</v>
      </c>
      <c r="C121" s="70" t="str">
        <f aca="false">IF(Data!C121="—","—",IFERROR(INDEX(対訳マスタ!$C$2:$C$136,MATCH(Data!C121,対訳マスタ!$B$2:$B$136,0)),Data!C121))</f>
        <v>受容</v>
      </c>
      <c r="D121" s="70" t="str">
        <f aca="false">IF(Data!D121="—","—",IFERROR(INDEX(対訳マスタ!$C$2:$C$136,MATCH(Data!D121,対訳マスタ!$B$2:$B$136,0)),Data!D121))</f>
        <v>読解（読むこと）</v>
      </c>
      <c r="E121" s="70" t="str">
        <f aca="false">IFERROR(INDEX(対訳マスタ!$C$2:$C$136,MATCH(Data!E121,対訳マスタ!$B$2:$B$136,0)),Data!E121)</f>
        <v>手紙・メールを読む</v>
      </c>
      <c r="F121" s="70" t="str">
        <f aca="false">Data!F121</f>
        <v>A2</v>
      </c>
      <c r="G121" s="31" t="str">
        <f aca="false">Data!G121</f>
        <v>Can understand very simple formal e-mails and letters (e.g. confirmation of a booking or online purchase).</v>
      </c>
      <c r="H121" s="71" t="s">
        <v>3136</v>
      </c>
      <c r="I121" s="79" t="s">
        <v>3089</v>
      </c>
    </row>
    <row r="122" customFormat="false" ht="15" hidden="false" customHeight="true" outlineLevel="0" collapsed="false">
      <c r="A122" s="70" t="n">
        <f aca="false">Data!A122</f>
        <v>121</v>
      </c>
      <c r="B122" s="70" t="str">
        <f aca="false">IFERROR(INDEX(対訳マスタ!$C$2:$C$136,MATCH(Data!B122,対訳マスタ!$B$2:$B$136,0)),Data!B122)</f>
        <v>コミュニケーション言語活動</v>
      </c>
      <c r="C122" s="70" t="str">
        <f aca="false">IF(Data!C122="—","—",IFERROR(INDEX(対訳マスタ!$C$2:$C$136,MATCH(Data!C122,対訳マスタ!$B$2:$B$136,0)),Data!C122))</f>
        <v>受容</v>
      </c>
      <c r="D122" s="70" t="str">
        <f aca="false">IF(Data!D122="—","—",IFERROR(INDEX(対訳マスタ!$C$2:$C$136,MATCH(Data!D122,対訳マスタ!$B$2:$B$136,0)),Data!D122))</f>
        <v>読解（読むこと）</v>
      </c>
      <c r="E122" s="70" t="str">
        <f aca="false">IFERROR(INDEX(対訳マスタ!$C$2:$C$136,MATCH(Data!E122,対訳マスタ!$B$2:$B$136,0)),Data!E122)</f>
        <v>手紙・メールを読む</v>
      </c>
      <c r="F122" s="70" t="str">
        <f aca="false">Data!F122</f>
        <v>A1</v>
      </c>
      <c r="G122" s="31" t="str">
        <f aca="false">Data!G122</f>
        <v>Can understand short, simple messages on postcards.</v>
      </c>
      <c r="H122" s="71" t="s">
        <v>2513</v>
      </c>
      <c r="I122" s="79" t="s">
        <v>3089</v>
      </c>
    </row>
    <row r="123" customFormat="false" ht="21.75" hidden="false" customHeight="true" outlineLevel="0" collapsed="false">
      <c r="A123" s="70" t="n">
        <f aca="false">Data!A123</f>
        <v>122</v>
      </c>
      <c r="B123" s="70" t="str">
        <f aca="false">IFERROR(INDEX(対訳マスタ!$C$2:$C$136,MATCH(Data!B123,対訳マスタ!$B$2:$B$136,0)),Data!B123)</f>
        <v>コミュニケーション言語活動</v>
      </c>
      <c r="C123" s="70" t="str">
        <f aca="false">IF(Data!C123="—","—",IFERROR(INDEX(対訳マスタ!$C$2:$C$136,MATCH(Data!C123,対訳マスタ!$B$2:$B$136,0)),Data!C123))</f>
        <v>受容</v>
      </c>
      <c r="D123" s="70" t="str">
        <f aca="false">IF(Data!D123="—","—",IFERROR(INDEX(対訳マスタ!$C$2:$C$136,MATCH(Data!D123,対訳マスタ!$B$2:$B$136,0)),Data!D123))</f>
        <v>読解（読むこと）</v>
      </c>
      <c r="E123" s="70" t="str">
        <f aca="false">IFERROR(INDEX(対訳マスタ!$C$2:$C$136,MATCH(Data!E123,対訳マスタ!$B$2:$B$136,0)),Data!E123)</f>
        <v>手紙・メールを読む</v>
      </c>
      <c r="F123" s="70" t="str">
        <f aca="false">Data!F123</f>
        <v>A1</v>
      </c>
      <c r="G123" s="31" t="str">
        <f aca="false">Data!G123</f>
        <v>Can understand short, simple messages sent via social media or e-mail (e.g. proposing what to do, when and where to meet).</v>
      </c>
      <c r="H123" s="71" t="s">
        <v>3137</v>
      </c>
      <c r="I123" s="79" t="s">
        <v>3089</v>
      </c>
    </row>
    <row r="124" customFormat="false" ht="26.25" hidden="false" customHeight="true" outlineLevel="0" collapsed="false">
      <c r="A124" s="70" t="n">
        <f aca="false">Data!A124</f>
        <v>123</v>
      </c>
      <c r="B124" s="70" t="str">
        <f aca="false">IFERROR(INDEX(対訳マスタ!$C$2:$C$136,MATCH(Data!B124,対訳マスタ!$B$2:$B$136,0)),Data!B124)</f>
        <v>コミュニケーション言語活動</v>
      </c>
      <c r="C124" s="70" t="str">
        <f aca="false">IF(Data!C124="—","—",IFERROR(INDEX(対訳マスタ!$C$2:$C$136,MATCH(Data!C124,対訳マスタ!$B$2:$B$136,0)),Data!C124))</f>
        <v>受容</v>
      </c>
      <c r="D124" s="70" t="str">
        <f aca="false">IF(Data!D124="—","—",IFERROR(INDEX(対訳マスタ!$C$2:$C$136,MATCH(Data!D124,対訳マスタ!$B$2:$B$136,0)),Data!D124))</f>
        <v>読解（読むこと）</v>
      </c>
      <c r="E124" s="70" t="str">
        <f aca="false">IFERROR(INDEX(対訳マスタ!$C$2:$C$136,MATCH(Data!E124,対訳マスタ!$B$2:$B$136,0)),Data!E124)</f>
        <v>手紙・メールを読む</v>
      </c>
      <c r="F124" s="70" t="str">
        <f aca="false">Data!F124</f>
        <v>Pre-A1</v>
      </c>
      <c r="G124" s="31" t="str">
        <f aca="false">Data!G124</f>
        <v>Can understand from a letter, card or e-mail the event to which they are being invited and the information given about day, time and location.</v>
      </c>
      <c r="H124" s="71" t="s">
        <v>2512</v>
      </c>
      <c r="I124" s="79" t="s">
        <v>3089</v>
      </c>
    </row>
    <row r="125" customFormat="false" ht="32.25" hidden="false" customHeight="true" outlineLevel="0" collapsed="false">
      <c r="A125" s="70" t="n">
        <f aca="false">Data!A125</f>
        <v>124</v>
      </c>
      <c r="B125" s="70" t="str">
        <f aca="false">IFERROR(INDEX(対訳マスタ!$C$2:$C$136,MATCH(Data!B125,対訳マスタ!$B$2:$B$136,0)),Data!B125)</f>
        <v>コミュニケーション言語活動</v>
      </c>
      <c r="C125" s="70" t="str">
        <f aca="false">IF(Data!C125="—","—",IFERROR(INDEX(対訳マスタ!$C$2:$C$136,MATCH(Data!C125,対訳マスタ!$B$2:$B$136,0)),Data!C125))</f>
        <v>受容</v>
      </c>
      <c r="D125" s="70" t="str">
        <f aca="false">IF(Data!D125="—","—",IFERROR(INDEX(対訳マスタ!$C$2:$C$136,MATCH(Data!D125,対訳マスタ!$B$2:$B$136,0)),Data!D125))</f>
        <v>読解（読むこと）</v>
      </c>
      <c r="E125" s="70" t="str">
        <f aca="false">IFERROR(INDEX(対訳マスタ!$C$2:$C$136,MATCH(Data!E125,対訳マスタ!$B$2:$B$136,0)),Data!E125)</f>
        <v>手紙・メールを読む</v>
      </c>
      <c r="F125" s="70" t="str">
        <f aca="false">Data!F125</f>
        <v>Pre-A1</v>
      </c>
      <c r="G125" s="31" t="str">
        <f aca="false">Data!G125</f>
        <v>Can recognise times and places in very simple notes and text messages from friends or colleagues (e.g. “Back at 4 o’clock” or “In the meeting room”), provided there are no abbreviations.</v>
      </c>
      <c r="H125" s="71" t="s">
        <v>3138</v>
      </c>
      <c r="I125" s="79" t="s">
        <v>3089</v>
      </c>
    </row>
    <row r="126" customFormat="false" ht="15" hidden="false" customHeight="true" outlineLevel="0" collapsed="false">
      <c r="A126" s="80" t="n">
        <f aca="false">Data!A126</f>
        <v>125</v>
      </c>
      <c r="B126" s="80" t="str">
        <f aca="false">IFERROR(INDEX(対訳マスタ!$C$2:$C$136,MATCH(Data!B126,対訳マスタ!$B$2:$B$136,0)),Data!B126)</f>
        <v>コミュニケーション言語活動</v>
      </c>
      <c r="C126" s="80" t="str">
        <f aca="false">IF(Data!C126="—","—",IFERROR(INDEX(対訳マスタ!$C$2:$C$136,MATCH(Data!C126,対訳マスタ!$B$2:$B$136,0)),Data!C126))</f>
        <v>受容</v>
      </c>
      <c r="D126" s="80" t="str">
        <f aca="false">IF(Data!D126="—","—",IFERROR(INDEX(対訳マスタ!$C$2:$C$136,MATCH(Data!D126,対訳マスタ!$B$2:$B$136,0)),Data!D126))</f>
        <v>読解（読むこと）</v>
      </c>
      <c r="E126" s="80" t="str">
        <f aca="false">IFERROR(INDEX(対訳マスタ!$C$2:$C$136,MATCH(Data!E126,対訳マスタ!$B$2:$B$136,0)),Data!E126)</f>
        <v>目当ての情報を探す読み（拾い読み）</v>
      </c>
      <c r="F126" s="80" t="str">
        <f aca="false">Data!F126</f>
        <v>C2</v>
      </c>
      <c r="G126" s="81" t="str">
        <f aca="false">Data!G126</f>
        <v>No descriptors available; see B2</v>
      </c>
      <c r="H126" s="81" t="s">
        <v>624</v>
      </c>
      <c r="I126" s="80" t="s">
        <v>624</v>
      </c>
    </row>
    <row r="127" customFormat="false" ht="15" hidden="false" customHeight="true" outlineLevel="0" collapsed="false">
      <c r="A127" s="80" t="n">
        <f aca="false">Data!A127</f>
        <v>126</v>
      </c>
      <c r="B127" s="80" t="str">
        <f aca="false">IFERROR(INDEX(対訳マスタ!$C$2:$C$136,MATCH(Data!B127,対訳マスタ!$B$2:$B$136,0)),Data!B127)</f>
        <v>コミュニケーション言語活動</v>
      </c>
      <c r="C127" s="80" t="str">
        <f aca="false">IF(Data!C127="—","—",IFERROR(INDEX(対訳マスタ!$C$2:$C$136,MATCH(Data!C127,対訳マスタ!$B$2:$B$136,0)),Data!C127))</f>
        <v>受容</v>
      </c>
      <c r="D127" s="80" t="str">
        <f aca="false">IF(Data!D127="—","—",IFERROR(INDEX(対訳マスタ!$C$2:$C$136,MATCH(Data!D127,対訳マスタ!$B$2:$B$136,0)),Data!D127))</f>
        <v>読解（読むこと）</v>
      </c>
      <c r="E127" s="80" t="str">
        <f aca="false">IFERROR(INDEX(対訳マスタ!$C$2:$C$136,MATCH(Data!E127,対訳マスタ!$B$2:$B$136,0)),Data!E127)</f>
        <v>目当ての情報を探す読み（拾い読み）</v>
      </c>
      <c r="F127" s="80" t="str">
        <f aca="false">Data!F127</f>
        <v>C1</v>
      </c>
      <c r="G127" s="81" t="str">
        <f aca="false">Data!G127</f>
        <v>No descriptors available; see B2</v>
      </c>
      <c r="H127" s="81" t="s">
        <v>624</v>
      </c>
      <c r="I127" s="80" t="s">
        <v>624</v>
      </c>
    </row>
    <row r="128" customFormat="false" ht="32.25" hidden="false" customHeight="true" outlineLevel="0" collapsed="false">
      <c r="A128" s="70" t="n">
        <f aca="false">Data!A128</f>
        <v>127</v>
      </c>
      <c r="B128" s="70" t="str">
        <f aca="false">IFERROR(INDEX(対訳マスタ!$C$2:$C$136,MATCH(Data!B128,対訳マスタ!$B$2:$B$136,0)),Data!B128)</f>
        <v>コミュニケーション言語活動</v>
      </c>
      <c r="C128" s="70" t="str">
        <f aca="false">IF(Data!C128="—","—",IFERROR(INDEX(対訳マスタ!$C$2:$C$136,MATCH(Data!C128,対訳マスタ!$B$2:$B$136,0)),Data!C128))</f>
        <v>受容</v>
      </c>
      <c r="D128" s="70" t="str">
        <f aca="false">IF(Data!D128="—","—",IFERROR(INDEX(対訳マスタ!$C$2:$C$136,MATCH(Data!D128,対訳マスタ!$B$2:$B$136,0)),Data!D128))</f>
        <v>読解（読むこと）</v>
      </c>
      <c r="E128" s="70" t="str">
        <f aca="false">IFERROR(INDEX(対訳マスタ!$C$2:$C$136,MATCH(Data!E128,対訳マスタ!$B$2:$B$136,0)),Data!E128)</f>
        <v>目当ての情報を探す読み（拾い読み）</v>
      </c>
      <c r="F128" s="70" t="str">
        <f aca="false">Data!F128</f>
        <v>B2+</v>
      </c>
      <c r="G128" s="31" t="str">
        <f aca="false">Data!G128</f>
        <v>Can scan quickly through several sources (articles, reports, websites, books, etc.) in parallel, in both their own field and in related fields, and can identify the relevance and usefulness of particular sections for the task at hand.</v>
      </c>
      <c r="H128" s="71" t="s">
        <v>2528</v>
      </c>
      <c r="I128" s="79" t="s">
        <v>3089</v>
      </c>
    </row>
    <row r="129" customFormat="false" ht="15" hidden="false" customHeight="true" outlineLevel="0" collapsed="false">
      <c r="A129" s="70" t="n">
        <f aca="false">Data!A129</f>
        <v>128</v>
      </c>
      <c r="B129" s="70" t="str">
        <f aca="false">IFERROR(INDEX(対訳マスタ!$C$2:$C$136,MATCH(Data!B129,対訳マスタ!$B$2:$B$136,0)),Data!B129)</f>
        <v>コミュニケーション言語活動</v>
      </c>
      <c r="C129" s="70" t="str">
        <f aca="false">IF(Data!C129="—","—",IFERROR(INDEX(対訳マスタ!$C$2:$C$136,MATCH(Data!C129,対訳マスタ!$B$2:$B$136,0)),Data!C129))</f>
        <v>受容</v>
      </c>
      <c r="D129" s="70" t="str">
        <f aca="false">IF(Data!D129="—","—",IFERROR(INDEX(対訳マスタ!$C$2:$C$136,MATCH(Data!D129,対訳マスタ!$B$2:$B$136,0)),Data!D129))</f>
        <v>読解（読むこと）</v>
      </c>
      <c r="E129" s="70" t="str">
        <f aca="false">IFERROR(INDEX(対訳マスタ!$C$2:$C$136,MATCH(Data!E129,対訳マスタ!$B$2:$B$136,0)),Data!E129)</f>
        <v>目当ての情報を探す読み（拾い読み）</v>
      </c>
      <c r="F129" s="70" t="str">
        <f aca="false">Data!F129</f>
        <v>B2</v>
      </c>
      <c r="G129" s="31" t="str">
        <f aca="false">Data!G129</f>
        <v>Can scan quickly through long and complex texts, locating relevant details.</v>
      </c>
      <c r="H129" s="71" t="s">
        <v>2527</v>
      </c>
      <c r="I129" s="79" t="s">
        <v>3089</v>
      </c>
    </row>
    <row r="130" customFormat="false" ht="21.75" hidden="false" customHeight="true" outlineLevel="0" collapsed="false">
      <c r="A130" s="70" t="n">
        <f aca="false">Data!A130</f>
        <v>129</v>
      </c>
      <c r="B130" s="70" t="str">
        <f aca="false">IFERROR(INDEX(対訳マスタ!$C$2:$C$136,MATCH(Data!B130,対訳マスタ!$B$2:$B$136,0)),Data!B130)</f>
        <v>コミュニケーション言語活動</v>
      </c>
      <c r="C130" s="70" t="str">
        <f aca="false">IF(Data!C130="—","—",IFERROR(INDEX(対訳マスタ!$C$2:$C$136,MATCH(Data!C130,対訳マスタ!$B$2:$B$136,0)),Data!C130))</f>
        <v>受容</v>
      </c>
      <c r="D130" s="70" t="str">
        <f aca="false">IF(Data!D130="—","—",IFERROR(INDEX(対訳マスタ!$C$2:$C$136,MATCH(Data!D130,対訳マスタ!$B$2:$B$136,0)),Data!D130))</f>
        <v>読解（読むこと）</v>
      </c>
      <c r="E130" s="70" t="str">
        <f aca="false">IFERROR(INDEX(対訳マスタ!$C$2:$C$136,MATCH(Data!E130,対訳マスタ!$B$2:$B$136,0)),Data!E130)</f>
        <v>目当ての情報を探す読み（拾い読み）</v>
      </c>
      <c r="F130" s="70" t="str">
        <f aca="false">Data!F130</f>
        <v>B2</v>
      </c>
      <c r="G130" s="31" t="str">
        <f aca="false">Data!G130</f>
        <v>Can quickly identify the content and relevance of news items, articles and reports on a wide range of professional topics, deciding whether closer study is worthwhile.</v>
      </c>
      <c r="H130" s="71" t="s">
        <v>3139</v>
      </c>
      <c r="I130" s="79" t="s">
        <v>3089</v>
      </c>
    </row>
    <row r="131" customFormat="false" ht="26.25" hidden="false" customHeight="true" outlineLevel="0" collapsed="false">
      <c r="A131" s="70" t="n">
        <f aca="false">Data!A131</f>
        <v>130</v>
      </c>
      <c r="B131" s="70" t="str">
        <f aca="false">IFERROR(INDEX(対訳マスタ!$C$2:$C$136,MATCH(Data!B131,対訳マスタ!$B$2:$B$136,0)),Data!B131)</f>
        <v>コミュニケーション言語活動</v>
      </c>
      <c r="C131" s="70" t="str">
        <f aca="false">IF(Data!C131="—","—",IFERROR(INDEX(対訳マスタ!$C$2:$C$136,MATCH(Data!C131,対訳マスタ!$B$2:$B$136,0)),Data!C131))</f>
        <v>受容</v>
      </c>
      <c r="D131" s="70" t="str">
        <f aca="false">IF(Data!D131="—","—",IFERROR(INDEX(対訳マスタ!$C$2:$C$136,MATCH(Data!D131,対訳マスタ!$B$2:$B$136,0)),Data!D131))</f>
        <v>読解（読むこと）</v>
      </c>
      <c r="E131" s="70" t="str">
        <f aca="false">IFERROR(INDEX(対訳マスタ!$C$2:$C$136,MATCH(Data!E131,対訳マスタ!$B$2:$B$136,0)),Data!E131)</f>
        <v>目当ての情報を探す読み（拾い読み）</v>
      </c>
      <c r="F131" s="70" t="str">
        <f aca="false">Data!F131</f>
        <v>B1+</v>
      </c>
      <c r="G131" s="31" t="str">
        <f aca="false">Data!G131</f>
        <v>Can scan longer texts in order to locate desired information, and gather information from different parts of a text, or from different texts in order to fulfil a specific task.</v>
      </c>
      <c r="H131" s="71" t="s">
        <v>2526</v>
      </c>
      <c r="I131" s="79" t="s">
        <v>3089</v>
      </c>
    </row>
    <row r="132" customFormat="false" ht="32.25" hidden="false" customHeight="true" outlineLevel="0" collapsed="false">
      <c r="A132" s="70" t="n">
        <f aca="false">Data!A132</f>
        <v>131</v>
      </c>
      <c r="B132" s="70" t="str">
        <f aca="false">IFERROR(INDEX(対訳マスタ!$C$2:$C$136,MATCH(Data!B132,対訳マスタ!$B$2:$B$136,0)),Data!B132)</f>
        <v>コミュニケーション言語活動</v>
      </c>
      <c r="C132" s="70" t="str">
        <f aca="false">IF(Data!C132="—","—",IFERROR(INDEX(対訳マスタ!$C$2:$C$136,MATCH(Data!C132,対訳マスタ!$B$2:$B$136,0)),Data!C132))</f>
        <v>受容</v>
      </c>
      <c r="D132" s="70" t="str">
        <f aca="false">IF(Data!D132="—","—",IFERROR(INDEX(対訳マスタ!$C$2:$C$136,MATCH(Data!D132,対訳マスタ!$B$2:$B$136,0)),Data!D132))</f>
        <v>読解（読むこと）</v>
      </c>
      <c r="E132" s="70" t="str">
        <f aca="false">IFERROR(INDEX(対訳マスタ!$C$2:$C$136,MATCH(Data!E132,対訳マスタ!$B$2:$B$136,0)),Data!E132)</f>
        <v>目当ての情報を探す読み（拾い読み）</v>
      </c>
      <c r="F132" s="70" t="str">
        <f aca="false">Data!F132</f>
        <v>B1+</v>
      </c>
      <c r="G132" s="31" t="str">
        <f aca="false">Data!G132</f>
        <v>Can scan through straightforward, factual texts in magazines, brochures or on the web, identify what they are about and decide whether they contain information that might be of practical use.</v>
      </c>
      <c r="H132" s="71" t="s">
        <v>3140</v>
      </c>
      <c r="I132" s="79" t="s">
        <v>3089</v>
      </c>
    </row>
    <row r="133" customFormat="false" ht="21.75" hidden="false" customHeight="true" outlineLevel="0" collapsed="false">
      <c r="A133" s="70" t="n">
        <f aca="false">Data!A133</f>
        <v>132</v>
      </c>
      <c r="B133" s="70" t="str">
        <f aca="false">IFERROR(INDEX(対訳マスタ!$C$2:$C$136,MATCH(Data!B133,対訳マスタ!$B$2:$B$136,0)),Data!B133)</f>
        <v>コミュニケーション言語活動</v>
      </c>
      <c r="C133" s="70" t="str">
        <f aca="false">IF(Data!C133="—","—",IFERROR(INDEX(対訳マスタ!$C$2:$C$136,MATCH(Data!C133,対訳マスタ!$B$2:$B$136,0)),Data!C133))</f>
        <v>受容</v>
      </c>
      <c r="D133" s="70" t="str">
        <f aca="false">IF(Data!D133="—","—",IFERROR(INDEX(対訳マスタ!$C$2:$C$136,MATCH(Data!D133,対訳マスタ!$B$2:$B$136,0)),Data!D133))</f>
        <v>読解（読むこと）</v>
      </c>
      <c r="E133" s="70" t="str">
        <f aca="false">IFERROR(INDEX(対訳マスタ!$C$2:$C$136,MATCH(Data!E133,対訳マスタ!$B$2:$B$136,0)),Data!E133)</f>
        <v>目当ての情報を探す読み（拾い読み）</v>
      </c>
      <c r="F133" s="70" t="str">
        <f aca="false">Data!F133</f>
        <v>B1</v>
      </c>
      <c r="G133" s="31" t="str">
        <f aca="false">Data!G133</f>
        <v>Can find and understand relevant information in everyday material, such as letters, brochures and short official documents.</v>
      </c>
      <c r="H133" s="71" t="s">
        <v>3141</v>
      </c>
      <c r="I133" s="79" t="s">
        <v>3089</v>
      </c>
    </row>
    <row r="134" customFormat="false" ht="21.75" hidden="false" customHeight="true" outlineLevel="0" collapsed="false">
      <c r="A134" s="70" t="n">
        <f aca="false">Data!A134</f>
        <v>133</v>
      </c>
      <c r="B134" s="70" t="str">
        <f aca="false">IFERROR(INDEX(対訳マスタ!$C$2:$C$136,MATCH(Data!B134,対訳マスタ!$B$2:$B$136,0)),Data!B134)</f>
        <v>コミュニケーション言語活動</v>
      </c>
      <c r="C134" s="70" t="str">
        <f aca="false">IF(Data!C134="—","—",IFERROR(INDEX(対訳マスタ!$C$2:$C$136,MATCH(Data!C134,対訳マスタ!$B$2:$B$136,0)),Data!C134))</f>
        <v>受容</v>
      </c>
      <c r="D134" s="70" t="str">
        <f aca="false">IF(Data!D134="—","—",IFERROR(INDEX(対訳マスタ!$C$2:$C$136,MATCH(Data!D134,対訳マスタ!$B$2:$B$136,0)),Data!D134))</f>
        <v>読解（読むこと）</v>
      </c>
      <c r="E134" s="70" t="str">
        <f aca="false">IFERROR(INDEX(対訳マスタ!$C$2:$C$136,MATCH(Data!E134,対訳マスタ!$B$2:$B$136,0)),Data!E134)</f>
        <v>目当ての情報を探す読み（拾い読み）</v>
      </c>
      <c r="F134" s="70" t="str">
        <f aca="false">Data!F134</f>
        <v>B1</v>
      </c>
      <c r="G134" s="31" t="str">
        <f aca="false">Data!G134</f>
        <v>Can pick out important information about preparation and usage on the labels on foodstuff and medicine.</v>
      </c>
      <c r="H134" s="71" t="s">
        <v>3142</v>
      </c>
      <c r="I134" s="79" t="s">
        <v>3089</v>
      </c>
    </row>
    <row r="135" customFormat="false" ht="15" hidden="false" customHeight="true" outlineLevel="0" collapsed="false">
      <c r="A135" s="70" t="n">
        <f aca="false">Data!A135</f>
        <v>134</v>
      </c>
      <c r="B135" s="70" t="str">
        <f aca="false">IFERROR(INDEX(対訳マスタ!$C$2:$C$136,MATCH(Data!B135,対訳マスタ!$B$2:$B$136,0)),Data!B135)</f>
        <v>コミュニケーション言語活動</v>
      </c>
      <c r="C135" s="70" t="str">
        <f aca="false">IF(Data!C135="—","—",IFERROR(INDEX(対訳マスタ!$C$2:$C$136,MATCH(Data!C135,対訳マスタ!$B$2:$B$136,0)),Data!C135))</f>
        <v>受容</v>
      </c>
      <c r="D135" s="70" t="str">
        <f aca="false">IF(Data!D135="—","—",IFERROR(INDEX(対訳マスタ!$C$2:$C$136,MATCH(Data!D135,対訳マスタ!$B$2:$B$136,0)),Data!D135))</f>
        <v>読解（読むこと）</v>
      </c>
      <c r="E135" s="70" t="str">
        <f aca="false">IFERROR(INDEX(対訳マスタ!$C$2:$C$136,MATCH(Data!E135,対訳マスタ!$B$2:$B$136,0)),Data!E135)</f>
        <v>目当ての情報を探す読み（拾い読み）</v>
      </c>
      <c r="F135" s="70" t="str">
        <f aca="false">Data!F135</f>
        <v>B1</v>
      </c>
      <c r="G135" s="31" t="str">
        <f aca="false">Data!G135</f>
        <v>Can assess whether an article, report or review is on the required topic.</v>
      </c>
      <c r="H135" s="71" t="s">
        <v>2525</v>
      </c>
      <c r="I135" s="79" t="s">
        <v>3089</v>
      </c>
    </row>
    <row r="136" customFormat="false" ht="21.75" hidden="false" customHeight="true" outlineLevel="0" collapsed="false">
      <c r="A136" s="70" t="n">
        <f aca="false">Data!A136</f>
        <v>135</v>
      </c>
      <c r="B136" s="70" t="str">
        <f aca="false">IFERROR(INDEX(対訳マスタ!$C$2:$C$136,MATCH(Data!B136,対訳マスタ!$B$2:$B$136,0)),Data!B136)</f>
        <v>コミュニケーション言語活動</v>
      </c>
      <c r="C136" s="70" t="str">
        <f aca="false">IF(Data!C136="—","—",IFERROR(INDEX(対訳マスタ!$C$2:$C$136,MATCH(Data!C136,対訳マスタ!$B$2:$B$136,0)),Data!C136))</f>
        <v>受容</v>
      </c>
      <c r="D136" s="70" t="str">
        <f aca="false">IF(Data!D136="—","—",IFERROR(INDEX(対訳マスタ!$C$2:$C$136,MATCH(Data!D136,対訳マスタ!$B$2:$B$136,0)),Data!D136))</f>
        <v>読解（読むこと）</v>
      </c>
      <c r="E136" s="70" t="str">
        <f aca="false">IFERROR(INDEX(対訳マスタ!$C$2:$C$136,MATCH(Data!E136,対訳マスタ!$B$2:$B$136,0)),Data!E136)</f>
        <v>目当ての情報を探す読み（拾い読み）</v>
      </c>
      <c r="F136" s="70" t="str">
        <f aca="false">Data!F136</f>
        <v>B1</v>
      </c>
      <c r="G136" s="31" t="str">
        <f aca="false">Data!G136</f>
        <v>Can understand the important information in simple, clearly drafted adverts in newspapers or magazines, provided there are not too many abbreviations.</v>
      </c>
      <c r="H136" s="71" t="s">
        <v>3143</v>
      </c>
      <c r="I136" s="79" t="s">
        <v>3089</v>
      </c>
    </row>
    <row r="137" customFormat="false" ht="21.75" hidden="false" customHeight="true" outlineLevel="0" collapsed="false">
      <c r="A137" s="70" t="n">
        <f aca="false">Data!A137</f>
        <v>136</v>
      </c>
      <c r="B137" s="70" t="str">
        <f aca="false">IFERROR(INDEX(対訳マスタ!$C$2:$C$136,MATCH(Data!B137,対訳マスタ!$B$2:$B$136,0)),Data!B137)</f>
        <v>コミュニケーション言語活動</v>
      </c>
      <c r="C137" s="70" t="str">
        <f aca="false">IF(Data!C137="—","—",IFERROR(INDEX(対訳マスタ!$C$2:$C$136,MATCH(Data!C137,対訳マスタ!$B$2:$B$136,0)),Data!C137))</f>
        <v>受容</v>
      </c>
      <c r="D137" s="70" t="str">
        <f aca="false">IF(Data!D137="—","—",IFERROR(INDEX(対訳マスタ!$C$2:$C$136,MATCH(Data!D137,対訳マスタ!$B$2:$B$136,0)),Data!D137))</f>
        <v>読解（読むこと）</v>
      </c>
      <c r="E137" s="70" t="str">
        <f aca="false">IFERROR(INDEX(対訳マスタ!$C$2:$C$136,MATCH(Data!E137,対訳マスタ!$B$2:$B$136,0)),Data!E137)</f>
        <v>目当ての情報を探す読み（拾い読み）</v>
      </c>
      <c r="F137" s="70" t="str">
        <f aca="false">Data!F137</f>
        <v>A2+</v>
      </c>
      <c r="G137" s="31" t="str">
        <f aca="false">Data!G137</f>
        <v>Can find specific information in practical, concrete, predictable texts (e.g. travel guidebooks, recipes), provided they are produced in simple language.</v>
      </c>
      <c r="H137" s="71" t="s">
        <v>3144</v>
      </c>
      <c r="I137" s="79" t="s">
        <v>3089</v>
      </c>
    </row>
    <row r="138" customFormat="false" ht="26.25" hidden="false" customHeight="true" outlineLevel="0" collapsed="false">
      <c r="A138" s="70" t="n">
        <f aca="false">Data!A138</f>
        <v>137</v>
      </c>
      <c r="B138" s="70" t="str">
        <f aca="false">IFERROR(INDEX(対訳マスタ!$C$2:$C$136,MATCH(Data!B138,対訳マスタ!$B$2:$B$136,0)),Data!B138)</f>
        <v>コミュニケーション言語活動</v>
      </c>
      <c r="C138" s="70" t="str">
        <f aca="false">IF(Data!C138="—","—",IFERROR(INDEX(対訳マスタ!$C$2:$C$136,MATCH(Data!C138,対訳マスタ!$B$2:$B$136,0)),Data!C138))</f>
        <v>受容</v>
      </c>
      <c r="D138" s="70" t="str">
        <f aca="false">IF(Data!D138="—","—",IFERROR(INDEX(対訳マスタ!$C$2:$C$136,MATCH(Data!D138,対訳マスタ!$B$2:$B$136,0)),Data!D138))</f>
        <v>読解（読むこと）</v>
      </c>
      <c r="E138" s="70" t="str">
        <f aca="false">IFERROR(INDEX(対訳マスタ!$C$2:$C$136,MATCH(Data!E138,対訳マスタ!$B$2:$B$136,0)),Data!E138)</f>
        <v>目当ての情報を探す読み（拾い読み）</v>
      </c>
      <c r="F138" s="70" t="str">
        <f aca="false">Data!F138</f>
        <v>A2+</v>
      </c>
      <c r="G138" s="31" t="str">
        <f aca="false">Data!G138</f>
        <v>Can understand the main information in short and simple descriptions of goods in brochures and websites (e.g. portable digital devices, cameras).</v>
      </c>
      <c r="H138" s="71" t="s">
        <v>2524</v>
      </c>
      <c r="I138" s="79" t="s">
        <v>3089</v>
      </c>
    </row>
    <row r="139" customFormat="false" ht="21.75" hidden="false" customHeight="true" outlineLevel="0" collapsed="false">
      <c r="A139" s="70" t="n">
        <f aca="false">Data!A139</f>
        <v>138</v>
      </c>
      <c r="B139" s="70" t="str">
        <f aca="false">IFERROR(INDEX(対訳マスタ!$C$2:$C$136,MATCH(Data!B139,対訳マスタ!$B$2:$B$136,0)),Data!B139)</f>
        <v>コミュニケーション言語活動</v>
      </c>
      <c r="C139" s="70" t="str">
        <f aca="false">IF(Data!C139="—","—",IFERROR(INDEX(対訳マスタ!$C$2:$C$136,MATCH(Data!C139,対訳マスタ!$B$2:$B$136,0)),Data!C139))</f>
        <v>受容</v>
      </c>
      <c r="D139" s="70" t="str">
        <f aca="false">IF(Data!D139="—","—",IFERROR(INDEX(対訳マスタ!$C$2:$C$136,MATCH(Data!D139,対訳マスタ!$B$2:$B$136,0)),Data!D139))</f>
        <v>読解（読むこと）</v>
      </c>
      <c r="E139" s="70" t="str">
        <f aca="false">IFERROR(INDEX(対訳マスタ!$C$2:$C$136,MATCH(Data!E139,対訳マスタ!$B$2:$B$136,0)),Data!E139)</f>
        <v>目当ての情報を探す読み（拾い読み）</v>
      </c>
      <c r="F139" s="70" t="str">
        <f aca="false">Data!F139</f>
        <v>A2</v>
      </c>
      <c r="G139" s="31" t="str">
        <f aca="false">Data!G139</f>
        <v>Can find specific, predictable information in simple everyday material such as advertisements, prospectuses, menus, reference lists and timetables.</v>
      </c>
      <c r="H139" s="71" t="s">
        <v>3145</v>
      </c>
      <c r="I139" s="79" t="s">
        <v>3089</v>
      </c>
    </row>
    <row r="140" customFormat="false" ht="26.25" hidden="false" customHeight="true" outlineLevel="0" collapsed="false">
      <c r="A140" s="70" t="n">
        <f aca="false">Data!A140</f>
        <v>139</v>
      </c>
      <c r="B140" s="70" t="str">
        <f aca="false">IFERROR(INDEX(対訳マスタ!$C$2:$C$136,MATCH(Data!B140,対訳マスタ!$B$2:$B$136,0)),Data!B140)</f>
        <v>コミュニケーション言語活動</v>
      </c>
      <c r="C140" s="70" t="str">
        <f aca="false">IF(Data!C140="—","—",IFERROR(INDEX(対訳マスタ!$C$2:$C$136,MATCH(Data!C140,対訳マスタ!$B$2:$B$136,0)),Data!C140))</f>
        <v>受容</v>
      </c>
      <c r="D140" s="70" t="str">
        <f aca="false">IF(Data!D140="—","—",IFERROR(INDEX(対訳マスタ!$C$2:$C$136,MATCH(Data!D140,対訳マスタ!$B$2:$B$136,0)),Data!D140))</f>
        <v>読解（読むこと）</v>
      </c>
      <c r="E140" s="70" t="str">
        <f aca="false">IFERROR(INDEX(対訳マスタ!$C$2:$C$136,MATCH(Data!E140,対訳マスタ!$B$2:$B$136,0)),Data!E140)</f>
        <v>目当ての情報を探す読み（拾い読み）</v>
      </c>
      <c r="F140" s="70" t="str">
        <f aca="false">Data!F140</f>
        <v>A2</v>
      </c>
      <c r="G140" s="31" t="str">
        <f aca="false">Data!G140</f>
        <v>Can locate specific information in lists and isolate the information required (e.g. use the Yellow Pages to find a service or tradesman).</v>
      </c>
      <c r="H140" s="71" t="s">
        <v>2523</v>
      </c>
      <c r="I140" s="79" t="s">
        <v>3089</v>
      </c>
    </row>
    <row r="141" customFormat="false" ht="32.25" hidden="false" customHeight="true" outlineLevel="0" collapsed="false">
      <c r="A141" s="70" t="n">
        <f aca="false">Data!A141</f>
        <v>140</v>
      </c>
      <c r="B141" s="70" t="str">
        <f aca="false">IFERROR(INDEX(対訳マスタ!$C$2:$C$136,MATCH(Data!B141,対訳マスタ!$B$2:$B$136,0)),Data!B141)</f>
        <v>コミュニケーション言語活動</v>
      </c>
      <c r="C141" s="70" t="str">
        <f aca="false">IF(Data!C141="—","—",IFERROR(INDEX(対訳マスタ!$C$2:$C$136,MATCH(Data!C141,対訳マスタ!$B$2:$B$136,0)),Data!C141))</f>
        <v>受容</v>
      </c>
      <c r="D141" s="70" t="str">
        <f aca="false">IF(Data!D141="—","—",IFERROR(INDEX(対訳マスタ!$C$2:$C$136,MATCH(Data!D141,対訳マスタ!$B$2:$B$136,0)),Data!D141))</f>
        <v>読解（読むこと）</v>
      </c>
      <c r="E141" s="70" t="str">
        <f aca="false">IFERROR(INDEX(対訳マスタ!$C$2:$C$136,MATCH(Data!E141,対訳マスタ!$B$2:$B$136,0)),Data!E141)</f>
        <v>目当ての情報を探す読み（拾い読み）</v>
      </c>
      <c r="F141" s="70" t="str">
        <f aca="false">Data!F141</f>
        <v>A2</v>
      </c>
      <c r="G141" s="31" t="str">
        <f aca="false">Data!G141</f>
        <v>Can understand everyday signs and notices, etc. in public places, such as streets, restaurants, railway stations; in workplaces, such as directions, instructions, hazard warnings.</v>
      </c>
      <c r="H141" s="71" t="s">
        <v>3146</v>
      </c>
      <c r="I141" s="79" t="s">
        <v>3089</v>
      </c>
    </row>
    <row r="142" customFormat="false" ht="21.75" hidden="false" customHeight="true" outlineLevel="0" collapsed="false">
      <c r="A142" s="70" t="n">
        <f aca="false">Data!A142</f>
        <v>141</v>
      </c>
      <c r="B142" s="70" t="str">
        <f aca="false">IFERROR(INDEX(対訳マスタ!$C$2:$C$136,MATCH(Data!B142,対訳マスタ!$B$2:$B$136,0)),Data!B142)</f>
        <v>コミュニケーション言語活動</v>
      </c>
      <c r="C142" s="70" t="str">
        <f aca="false">IF(Data!C142="—","—",IFERROR(INDEX(対訳マスタ!$C$2:$C$136,MATCH(Data!C142,対訳マスタ!$B$2:$B$136,0)),Data!C142))</f>
        <v>受容</v>
      </c>
      <c r="D142" s="70" t="str">
        <f aca="false">IF(Data!D142="—","—",IFERROR(INDEX(対訳マスタ!$C$2:$C$136,MATCH(Data!D142,対訳マスタ!$B$2:$B$136,0)),Data!D142))</f>
        <v>読解（読むこと）</v>
      </c>
      <c r="E142" s="70" t="str">
        <f aca="false">IFERROR(INDEX(対訳マスタ!$C$2:$C$136,MATCH(Data!E142,対訳マスタ!$B$2:$B$136,0)),Data!E142)</f>
        <v>目当ての情報を探す読み（拾い読み）</v>
      </c>
      <c r="F142" s="70" t="str">
        <f aca="false">Data!F142</f>
        <v>A1</v>
      </c>
      <c r="G142" s="31" t="str">
        <f aca="false">Data!G142</f>
        <v>Can recognise familiar names, words/signs and very basic phrases on simple notices in the most common everyday situations.</v>
      </c>
      <c r="H142" s="71" t="s">
        <v>3147</v>
      </c>
      <c r="I142" s="79" t="s">
        <v>3089</v>
      </c>
    </row>
    <row r="143" customFormat="false" ht="21.75" hidden="false" customHeight="true" outlineLevel="0" collapsed="false">
      <c r="A143" s="70" t="n">
        <f aca="false">Data!A143</f>
        <v>142</v>
      </c>
      <c r="B143" s="70" t="str">
        <f aca="false">IFERROR(INDEX(対訳マスタ!$C$2:$C$136,MATCH(Data!B143,対訳マスタ!$B$2:$B$136,0)),Data!B143)</f>
        <v>コミュニケーション言語活動</v>
      </c>
      <c r="C143" s="70" t="str">
        <f aca="false">IF(Data!C143="—","—",IFERROR(INDEX(対訳マスタ!$C$2:$C$136,MATCH(Data!C143,対訳マスタ!$B$2:$B$136,0)),Data!C143))</f>
        <v>受容</v>
      </c>
      <c r="D143" s="70" t="str">
        <f aca="false">IF(Data!D143="—","—",IFERROR(INDEX(対訳マスタ!$C$2:$C$136,MATCH(Data!D143,対訳マスタ!$B$2:$B$136,0)),Data!D143))</f>
        <v>読解（読むこと）</v>
      </c>
      <c r="E143" s="70" t="str">
        <f aca="false">IFERROR(INDEX(対訳マスタ!$C$2:$C$136,MATCH(Data!E143,対訳マスタ!$B$2:$B$136,0)),Data!E143)</f>
        <v>目当ての情報を探す読み（拾い読み）</v>
      </c>
      <c r="F143" s="70" t="str">
        <f aca="false">Data!F143</f>
        <v>A1</v>
      </c>
      <c r="G143" s="31" t="str">
        <f aca="false">Data!G143</f>
        <v>Can understand store guides (information on which floors departments are on) and directions (e.g. where to find lifts).</v>
      </c>
      <c r="H143" s="71" t="s">
        <v>3148</v>
      </c>
      <c r="I143" s="79" t="s">
        <v>3089</v>
      </c>
    </row>
    <row r="144" customFormat="false" ht="15" hidden="false" customHeight="true" outlineLevel="0" collapsed="false">
      <c r="A144" s="70" t="n">
        <f aca="false">Data!A144</f>
        <v>143</v>
      </c>
      <c r="B144" s="70" t="str">
        <f aca="false">IFERROR(INDEX(対訳マスタ!$C$2:$C$136,MATCH(Data!B144,対訳マスタ!$B$2:$B$136,0)),Data!B144)</f>
        <v>コミュニケーション言語活動</v>
      </c>
      <c r="C144" s="70" t="str">
        <f aca="false">IF(Data!C144="—","—",IFERROR(INDEX(対訳マスタ!$C$2:$C$136,MATCH(Data!C144,対訳マスタ!$B$2:$B$136,0)),Data!C144))</f>
        <v>受容</v>
      </c>
      <c r="D144" s="70" t="str">
        <f aca="false">IF(Data!D144="—","—",IFERROR(INDEX(対訳マスタ!$C$2:$C$136,MATCH(Data!D144,対訳マスタ!$B$2:$B$136,0)),Data!D144))</f>
        <v>読解（読むこと）</v>
      </c>
      <c r="E144" s="70" t="str">
        <f aca="false">IFERROR(INDEX(対訳マスタ!$C$2:$C$136,MATCH(Data!E144,対訳マスタ!$B$2:$B$136,0)),Data!E144)</f>
        <v>目当ての情報を探す読み（拾い読み）</v>
      </c>
      <c r="F144" s="70" t="str">
        <f aca="false">Data!F144</f>
        <v>A1</v>
      </c>
      <c r="G144" s="31" t="str">
        <f aca="false">Data!G144</f>
        <v>Can understand basic hotel information (e.g. times when meals are served).</v>
      </c>
      <c r="H144" s="71" t="s">
        <v>2522</v>
      </c>
      <c r="I144" s="79" t="s">
        <v>3089</v>
      </c>
    </row>
    <row r="145" customFormat="false" ht="32.25" hidden="false" customHeight="true" outlineLevel="0" collapsed="false">
      <c r="A145" s="70" t="n">
        <f aca="false">Data!A145</f>
        <v>144</v>
      </c>
      <c r="B145" s="70" t="str">
        <f aca="false">IFERROR(INDEX(対訳マスタ!$C$2:$C$136,MATCH(Data!B145,対訳マスタ!$B$2:$B$136,0)),Data!B145)</f>
        <v>コミュニケーション言語活動</v>
      </c>
      <c r="C145" s="70" t="str">
        <f aca="false">IF(Data!C145="—","—",IFERROR(INDEX(対訳マスタ!$C$2:$C$136,MATCH(Data!C145,対訳マスタ!$B$2:$B$136,0)),Data!C145))</f>
        <v>受容</v>
      </c>
      <c r="D145" s="70" t="str">
        <f aca="false">IF(Data!D145="—","—",IFERROR(INDEX(対訳マスタ!$C$2:$C$136,MATCH(Data!D145,対訳マスタ!$B$2:$B$136,0)),Data!D145))</f>
        <v>読解（読むこと）</v>
      </c>
      <c r="E145" s="70" t="str">
        <f aca="false">IFERROR(INDEX(対訳マスタ!$C$2:$C$136,MATCH(Data!E145,対訳マスタ!$B$2:$B$136,0)),Data!E145)</f>
        <v>目当ての情報を探す読み（拾い読み）</v>
      </c>
      <c r="F145" s="70" t="str">
        <f aca="false">Data!F145</f>
        <v>A1</v>
      </c>
      <c r="G145" s="31" t="str">
        <f aca="false">Data!G145</f>
        <v>Can find and understand simple, important information in advertisements, programmes for special events, leaflets and brochures (e.g. what is proposed, costs, the date and place of the event, departure times).</v>
      </c>
      <c r="H145" s="71" t="s">
        <v>3149</v>
      </c>
      <c r="I145" s="79" t="s">
        <v>3089</v>
      </c>
    </row>
    <row r="146" customFormat="false" ht="21.75" hidden="false" customHeight="true" outlineLevel="0" collapsed="false">
      <c r="A146" s="70" t="n">
        <f aca="false">Data!A146</f>
        <v>145</v>
      </c>
      <c r="B146" s="70" t="str">
        <f aca="false">IFERROR(INDEX(対訳マスタ!$C$2:$C$136,MATCH(Data!B146,対訳マスタ!$B$2:$B$136,0)),Data!B146)</f>
        <v>コミュニケーション言語活動</v>
      </c>
      <c r="C146" s="70" t="str">
        <f aca="false">IF(Data!C146="—","—",IFERROR(INDEX(対訳マスタ!$C$2:$C$136,MATCH(Data!C146,対訳マスタ!$B$2:$B$136,0)),Data!C146))</f>
        <v>受容</v>
      </c>
      <c r="D146" s="70" t="str">
        <f aca="false">IF(Data!D146="—","—",IFERROR(INDEX(対訳マスタ!$C$2:$C$136,MATCH(Data!D146,対訳マスタ!$B$2:$B$136,0)),Data!D146))</f>
        <v>読解（読むこと）</v>
      </c>
      <c r="E146" s="70" t="str">
        <f aca="false">IFERROR(INDEX(対訳マスタ!$C$2:$C$136,MATCH(Data!E146,対訳マスタ!$B$2:$B$136,0)),Data!E146)</f>
        <v>目当ての情報を探す読み（拾い読み）</v>
      </c>
      <c r="F146" s="70" t="str">
        <f aca="false">Data!F146</f>
        <v>Pre-A1</v>
      </c>
      <c r="G146" s="31" t="str">
        <f aca="false">Data!G146</f>
        <v>Can understand simple everyday signs such as “Parking”, “Station”, “Dining room”, “No smoking”, etc.</v>
      </c>
      <c r="H146" s="71" t="s">
        <v>3150</v>
      </c>
      <c r="I146" s="79" t="s">
        <v>3089</v>
      </c>
    </row>
    <row r="147" customFormat="false" ht="15" hidden="false" customHeight="true" outlineLevel="0" collapsed="false">
      <c r="A147" s="70" t="n">
        <f aca="false">Data!A147</f>
        <v>146</v>
      </c>
      <c r="B147" s="70" t="str">
        <f aca="false">IFERROR(INDEX(対訳マスタ!$C$2:$C$136,MATCH(Data!B147,対訳マスタ!$B$2:$B$136,0)),Data!B147)</f>
        <v>コミュニケーション言語活動</v>
      </c>
      <c r="C147" s="70" t="str">
        <f aca="false">IF(Data!C147="—","—",IFERROR(INDEX(対訳マスタ!$C$2:$C$136,MATCH(Data!C147,対訳マスタ!$B$2:$B$136,0)),Data!C147))</f>
        <v>受容</v>
      </c>
      <c r="D147" s="70" t="str">
        <f aca="false">IF(Data!D147="—","—",IFERROR(INDEX(対訳マスタ!$C$2:$C$136,MATCH(Data!D147,対訳マスタ!$B$2:$B$136,0)),Data!D147))</f>
        <v>読解（読むこと）</v>
      </c>
      <c r="E147" s="70" t="str">
        <f aca="false">IFERROR(INDEX(対訳マスタ!$C$2:$C$136,MATCH(Data!E147,対訳マスタ!$B$2:$B$136,0)),Data!E147)</f>
        <v>目当ての情報を探す読み（拾い読み）</v>
      </c>
      <c r="F147" s="70" t="str">
        <f aca="false">Data!F147</f>
        <v>Pre-A1</v>
      </c>
      <c r="G147" s="31" t="str">
        <f aca="false">Data!G147</f>
        <v>Can find information about places, times and prices on posters, flyers and notices.</v>
      </c>
      <c r="H147" s="71" t="s">
        <v>2521</v>
      </c>
      <c r="I147" s="79" t="s">
        <v>3089</v>
      </c>
    </row>
    <row r="148" customFormat="false" ht="21.75" hidden="false" customHeight="true" outlineLevel="0" collapsed="false">
      <c r="A148" s="70" t="n">
        <f aca="false">Data!A148</f>
        <v>147</v>
      </c>
      <c r="B148" s="70" t="str">
        <f aca="false">IFERROR(INDEX(対訳マスタ!$C$2:$C$136,MATCH(Data!B148,対訳マスタ!$B$2:$B$136,0)),Data!B148)</f>
        <v>コミュニケーション言語活動</v>
      </c>
      <c r="C148" s="70" t="str">
        <f aca="false">IF(Data!C148="—","—",IFERROR(INDEX(対訳マスタ!$C$2:$C$136,MATCH(Data!C148,対訳マスタ!$B$2:$B$136,0)),Data!C148))</f>
        <v>受容</v>
      </c>
      <c r="D148" s="70" t="str">
        <f aca="false">IF(Data!D148="—","—",IFERROR(INDEX(対訳マスタ!$C$2:$C$136,MATCH(Data!D148,対訳マスタ!$B$2:$B$136,0)),Data!D148))</f>
        <v>読解（読むこと）</v>
      </c>
      <c r="E148" s="70" t="str">
        <f aca="false">IFERROR(INDEX(対訳マスタ!$C$2:$C$136,MATCH(Data!E148,対訳マスタ!$B$2:$B$136,0)),Data!E148)</f>
        <v>情報・論旨の読み取り</v>
      </c>
      <c r="F148" s="70" t="str">
        <f aca="false">Data!F148</f>
        <v>C2</v>
      </c>
      <c r="G148" s="31" t="str">
        <f aca="false">Data!G148</f>
        <v>Can understand the finer points and implications of a complex report or article even outside their area of specialisation.</v>
      </c>
      <c r="H148" s="71" t="s">
        <v>2538</v>
      </c>
      <c r="I148" s="79" t="s">
        <v>3089</v>
      </c>
    </row>
    <row r="149" customFormat="false" ht="32.25" hidden="false" customHeight="true" outlineLevel="0" collapsed="false">
      <c r="A149" s="70" t="n">
        <f aca="false">Data!A149</f>
        <v>148</v>
      </c>
      <c r="B149" s="70" t="str">
        <f aca="false">IFERROR(INDEX(対訳マスタ!$C$2:$C$136,MATCH(Data!B149,対訳マスタ!$B$2:$B$136,0)),Data!B149)</f>
        <v>コミュニケーション言語活動</v>
      </c>
      <c r="C149" s="70" t="str">
        <f aca="false">IF(Data!C149="—","—",IFERROR(INDEX(対訳マスタ!$C$2:$C$136,MATCH(Data!C149,対訳マスタ!$B$2:$B$136,0)),Data!C149))</f>
        <v>受容</v>
      </c>
      <c r="D149" s="70" t="str">
        <f aca="false">IF(Data!D149="—","—",IFERROR(INDEX(対訳マスタ!$C$2:$C$136,MATCH(Data!D149,対訳マスタ!$B$2:$B$136,0)),Data!D149))</f>
        <v>読解（読むこと）</v>
      </c>
      <c r="E149" s="70" t="str">
        <f aca="false">IFERROR(INDEX(対訳マスタ!$C$2:$C$136,MATCH(Data!E149,対訳マスタ!$B$2:$B$136,0)),Data!E149)</f>
        <v>情報・論旨の読み取り</v>
      </c>
      <c r="F149" s="70" t="str">
        <f aca="false">Data!F149</f>
        <v>C1</v>
      </c>
      <c r="G149" s="31" t="str">
        <f aca="false">Data!G149</f>
        <v>Can understand in detail a wide range of lengthy, complex texts likely to be encountered in social, professional or academic life, identifying finer points of detail including attitudes and implied as well as stated opinions.</v>
      </c>
      <c r="H149" s="71" t="s">
        <v>2537</v>
      </c>
      <c r="I149" s="79" t="s">
        <v>3089</v>
      </c>
    </row>
    <row r="150" customFormat="false" ht="21.75" hidden="false" customHeight="true" outlineLevel="0" collapsed="false">
      <c r="A150" s="70" t="n">
        <f aca="false">Data!A150</f>
        <v>149</v>
      </c>
      <c r="B150" s="70" t="str">
        <f aca="false">IFERROR(INDEX(対訳マスタ!$C$2:$C$136,MATCH(Data!B150,対訳マスタ!$B$2:$B$136,0)),Data!B150)</f>
        <v>コミュニケーション言語活動</v>
      </c>
      <c r="C150" s="70" t="str">
        <f aca="false">IF(Data!C150="—","—",IFERROR(INDEX(対訳マスタ!$C$2:$C$136,MATCH(Data!C150,対訳マスタ!$B$2:$B$136,0)),Data!C150))</f>
        <v>受容</v>
      </c>
      <c r="D150" s="70" t="str">
        <f aca="false">IF(Data!D150="—","—",IFERROR(INDEX(対訳マスタ!$C$2:$C$136,MATCH(Data!D150,対訳マスタ!$B$2:$B$136,0)),Data!D150))</f>
        <v>読解（読むこと）</v>
      </c>
      <c r="E150" s="70" t="str">
        <f aca="false">IFERROR(INDEX(対訳マスタ!$C$2:$C$136,MATCH(Data!E150,対訳マスタ!$B$2:$B$136,0)),Data!E150)</f>
        <v>情報・論旨の読み取り</v>
      </c>
      <c r="F150" s="70" t="str">
        <f aca="false">Data!F150</f>
        <v>B2+</v>
      </c>
      <c r="G150" s="31" t="str">
        <f aca="false">Data!G150</f>
        <v>Can obtain information, ideas and opinions from highly specialised sources within their field.</v>
      </c>
      <c r="H150" s="71" t="s">
        <v>2536</v>
      </c>
      <c r="I150" s="79" t="s">
        <v>3089</v>
      </c>
    </row>
    <row r="151" customFormat="false" ht="21.75" hidden="false" customHeight="true" outlineLevel="0" collapsed="false">
      <c r="A151" s="70" t="n">
        <f aca="false">Data!A151</f>
        <v>150</v>
      </c>
      <c r="B151" s="70" t="str">
        <f aca="false">IFERROR(INDEX(対訳マスタ!$C$2:$C$136,MATCH(Data!B151,対訳マスタ!$B$2:$B$136,0)),Data!B151)</f>
        <v>コミュニケーション言語活動</v>
      </c>
      <c r="C151" s="70" t="str">
        <f aca="false">IF(Data!C151="—","—",IFERROR(INDEX(対訳マスタ!$C$2:$C$136,MATCH(Data!C151,対訳マスタ!$B$2:$B$136,0)),Data!C151))</f>
        <v>受容</v>
      </c>
      <c r="D151" s="70" t="str">
        <f aca="false">IF(Data!D151="—","—",IFERROR(INDEX(対訳マスタ!$C$2:$C$136,MATCH(Data!D151,対訳マスタ!$B$2:$B$136,0)),Data!D151))</f>
        <v>読解（読むこと）</v>
      </c>
      <c r="E151" s="70" t="str">
        <f aca="false">IFERROR(INDEX(対訳マスタ!$C$2:$C$136,MATCH(Data!E151,対訳マスタ!$B$2:$B$136,0)),Data!E151)</f>
        <v>情報・論旨の読み取り</v>
      </c>
      <c r="F151" s="70" t="str">
        <f aca="false">Data!F151</f>
        <v>B2+</v>
      </c>
      <c r="G151" s="31" t="str">
        <f aca="false">Data!G151</f>
        <v>Can understand specialised articles outside their field, provided they can use a dictionary occasionally to confirm their interpretation of terminology.</v>
      </c>
      <c r="H151" s="71" t="s">
        <v>3151</v>
      </c>
      <c r="I151" s="79" t="s">
        <v>3089</v>
      </c>
    </row>
    <row r="152" customFormat="false" ht="21.75" hidden="false" customHeight="true" outlineLevel="0" collapsed="false">
      <c r="A152" s="70" t="n">
        <f aca="false">Data!A152</f>
        <v>151</v>
      </c>
      <c r="B152" s="70" t="str">
        <f aca="false">IFERROR(INDEX(対訳マスタ!$C$2:$C$136,MATCH(Data!B152,対訳マスタ!$B$2:$B$136,0)),Data!B152)</f>
        <v>コミュニケーション言語活動</v>
      </c>
      <c r="C152" s="70" t="str">
        <f aca="false">IF(Data!C152="—","—",IFERROR(INDEX(対訳マスタ!$C$2:$C$136,MATCH(Data!C152,対訳マスタ!$B$2:$B$136,0)),Data!C152))</f>
        <v>受容</v>
      </c>
      <c r="D152" s="70" t="str">
        <f aca="false">IF(Data!D152="—","—",IFERROR(INDEX(対訳マスタ!$C$2:$C$136,MATCH(Data!D152,対訳マスタ!$B$2:$B$136,0)),Data!D152))</f>
        <v>読解（読むこと）</v>
      </c>
      <c r="E152" s="70" t="str">
        <f aca="false">IFERROR(INDEX(対訳マスタ!$C$2:$C$136,MATCH(Data!E152,対訳マスタ!$B$2:$B$136,0)),Data!E152)</f>
        <v>情報・論旨の読み取り</v>
      </c>
      <c r="F152" s="70" t="str">
        <f aca="false">Data!F152</f>
        <v>B2</v>
      </c>
      <c r="G152" s="31" t="str">
        <f aca="false">Data!G152</f>
        <v>Can understand articles and reports concerned with contemporary problems in which particular stances or viewpoints are adopted.</v>
      </c>
      <c r="H152" s="71" t="s">
        <v>3152</v>
      </c>
      <c r="I152" s="79" t="s">
        <v>3089</v>
      </c>
    </row>
    <row r="153" customFormat="false" ht="26.25" hidden="false" customHeight="true" outlineLevel="0" collapsed="false">
      <c r="A153" s="70" t="n">
        <f aca="false">Data!A153</f>
        <v>152</v>
      </c>
      <c r="B153" s="70" t="str">
        <f aca="false">IFERROR(INDEX(対訳マスタ!$C$2:$C$136,MATCH(Data!B153,対訳マスタ!$B$2:$B$136,0)),Data!B153)</f>
        <v>コミュニケーション言語活動</v>
      </c>
      <c r="C153" s="70" t="str">
        <f aca="false">IF(Data!C153="—","—",IFERROR(INDEX(対訳マスタ!$C$2:$C$136,MATCH(Data!C153,対訳マスタ!$B$2:$B$136,0)),Data!C153))</f>
        <v>受容</v>
      </c>
      <c r="D153" s="70" t="str">
        <f aca="false">IF(Data!D153="—","—",IFERROR(INDEX(対訳マスタ!$C$2:$C$136,MATCH(Data!D153,対訳マスタ!$B$2:$B$136,0)),Data!D153))</f>
        <v>読解（読むこと）</v>
      </c>
      <c r="E153" s="70" t="str">
        <f aca="false">IFERROR(INDEX(対訳マスタ!$C$2:$C$136,MATCH(Data!E153,対訳マスタ!$B$2:$B$136,0)),Data!E153)</f>
        <v>情報・論旨の読み取り</v>
      </c>
      <c r="F153" s="70" t="str">
        <f aca="false">Data!F153</f>
        <v>B2</v>
      </c>
      <c r="G153" s="31" t="str">
        <f aca="false">Data!G153</f>
        <v>Can recognise when a text provides factual information and when it seeks to convince readers of something.</v>
      </c>
      <c r="H153" s="71" t="s">
        <v>2535</v>
      </c>
      <c r="I153" s="79" t="s">
        <v>3089</v>
      </c>
    </row>
    <row r="154" customFormat="false" ht="21.75" hidden="false" customHeight="true" outlineLevel="0" collapsed="false">
      <c r="A154" s="70" t="n">
        <f aca="false">Data!A154</f>
        <v>153</v>
      </c>
      <c r="B154" s="70" t="str">
        <f aca="false">IFERROR(INDEX(対訳マスタ!$C$2:$C$136,MATCH(Data!B154,対訳マスタ!$B$2:$B$136,0)),Data!B154)</f>
        <v>コミュニケーション言語活動</v>
      </c>
      <c r="C154" s="70" t="str">
        <f aca="false">IF(Data!C154="—","—",IFERROR(INDEX(対訳マスタ!$C$2:$C$136,MATCH(Data!C154,対訳マスタ!$B$2:$B$136,0)),Data!C154))</f>
        <v>受容</v>
      </c>
      <c r="D154" s="70" t="str">
        <f aca="false">IF(Data!D154="—","—",IFERROR(INDEX(対訳マスタ!$C$2:$C$136,MATCH(Data!D154,対訳マスタ!$B$2:$B$136,0)),Data!D154))</f>
        <v>読解（読むこと）</v>
      </c>
      <c r="E154" s="70" t="str">
        <f aca="false">IFERROR(INDEX(対訳マスタ!$C$2:$C$136,MATCH(Data!E154,対訳マスタ!$B$2:$B$136,0)),Data!E154)</f>
        <v>情報・論旨の読み取り</v>
      </c>
      <c r="F154" s="70" t="str">
        <f aca="false">Data!F154</f>
        <v>B2</v>
      </c>
      <c r="G154" s="31" t="str">
        <f aca="false">Data!G154</f>
        <v>Can recognise different structures in discursive text: contrasting arguments, problem–solution presentation and cause–effect relationships.</v>
      </c>
      <c r="H154" s="71" t="s">
        <v>3153</v>
      </c>
      <c r="I154" s="79" t="s">
        <v>3089</v>
      </c>
    </row>
    <row r="155" customFormat="false" ht="21.75" hidden="false" customHeight="true" outlineLevel="0" collapsed="false">
      <c r="A155" s="70" t="n">
        <f aca="false">Data!A155</f>
        <v>154</v>
      </c>
      <c r="B155" s="70" t="str">
        <f aca="false">IFERROR(INDEX(対訳マスタ!$C$2:$C$136,MATCH(Data!B155,対訳マスタ!$B$2:$B$136,0)),Data!B155)</f>
        <v>コミュニケーション言語活動</v>
      </c>
      <c r="C155" s="70" t="str">
        <f aca="false">IF(Data!C155="—","—",IFERROR(INDEX(対訳マスタ!$C$2:$C$136,MATCH(Data!C155,対訳マスタ!$B$2:$B$136,0)),Data!C155))</f>
        <v>受容</v>
      </c>
      <c r="D155" s="70" t="str">
        <f aca="false">IF(Data!D155="—","—",IFERROR(INDEX(対訳マスタ!$C$2:$C$136,MATCH(Data!D155,対訳マスタ!$B$2:$B$136,0)),Data!D155))</f>
        <v>読解（読むこと）</v>
      </c>
      <c r="E155" s="70" t="str">
        <f aca="false">IFERROR(INDEX(対訳マスタ!$C$2:$C$136,MATCH(Data!E155,対訳マスタ!$B$2:$B$136,0)),Data!E155)</f>
        <v>情報・論旨の読み取り</v>
      </c>
      <c r="F155" s="70" t="str">
        <f aca="false">Data!F155</f>
        <v>B1+</v>
      </c>
      <c r="G155" s="31" t="str">
        <f aca="false">Data!G155</f>
        <v>Can understand straightforward, factual texts on subjects relating to their interests or studies.</v>
      </c>
      <c r="H155" s="71" t="s">
        <v>3154</v>
      </c>
      <c r="I155" s="79" t="s">
        <v>3089</v>
      </c>
    </row>
    <row r="156" customFormat="false" ht="32.25" hidden="false" customHeight="true" outlineLevel="0" collapsed="false">
      <c r="A156" s="70" t="n">
        <f aca="false">Data!A156</f>
        <v>155</v>
      </c>
      <c r="B156" s="70" t="str">
        <f aca="false">IFERROR(INDEX(対訳マスタ!$C$2:$C$136,MATCH(Data!B156,対訳マスタ!$B$2:$B$136,0)),Data!B156)</f>
        <v>コミュニケーション言語活動</v>
      </c>
      <c r="C156" s="70" t="str">
        <f aca="false">IF(Data!C156="—","—",IFERROR(INDEX(対訳マスタ!$C$2:$C$136,MATCH(Data!C156,対訳マスタ!$B$2:$B$136,0)),Data!C156))</f>
        <v>受容</v>
      </c>
      <c r="D156" s="70" t="str">
        <f aca="false">IF(Data!D156="—","—",IFERROR(INDEX(対訳マスタ!$C$2:$C$136,MATCH(Data!D156,対訳マスタ!$B$2:$B$136,0)),Data!D156))</f>
        <v>読解（読むこと）</v>
      </c>
      <c r="E156" s="70" t="str">
        <f aca="false">IFERROR(INDEX(対訳マスタ!$C$2:$C$136,MATCH(Data!E156,対訳マスタ!$B$2:$B$136,0)),Data!E156)</f>
        <v>情報・論旨の読み取り</v>
      </c>
      <c r="F156" s="70" t="str">
        <f aca="false">Data!F156</f>
        <v>B1+</v>
      </c>
      <c r="G156" s="31" t="str">
        <f aca="false">Data!G156</f>
        <v>Can understand short texts on subjects that are familiar or of current interest, in which people give their points of view (e.g. critical contributions to an online discussion forum or readers’ letters to the editor).</v>
      </c>
      <c r="H156" s="71" t="s">
        <v>3155</v>
      </c>
      <c r="I156" s="79" t="s">
        <v>3089</v>
      </c>
    </row>
    <row r="157" customFormat="false" ht="15" hidden="false" customHeight="true" outlineLevel="0" collapsed="false">
      <c r="A157" s="70" t="n">
        <f aca="false">Data!A157</f>
        <v>156</v>
      </c>
      <c r="B157" s="70" t="str">
        <f aca="false">IFERROR(INDEX(対訳マスタ!$C$2:$C$136,MATCH(Data!B157,対訳マスタ!$B$2:$B$136,0)),Data!B157)</f>
        <v>コミュニケーション言語活動</v>
      </c>
      <c r="C157" s="70" t="str">
        <f aca="false">IF(Data!C157="—","—",IFERROR(INDEX(対訳マスタ!$C$2:$C$136,MATCH(Data!C157,対訳マスタ!$B$2:$B$136,0)),Data!C157))</f>
        <v>受容</v>
      </c>
      <c r="D157" s="70" t="str">
        <f aca="false">IF(Data!D157="—","—",IFERROR(INDEX(対訳マスタ!$C$2:$C$136,MATCH(Data!D157,対訳マスタ!$B$2:$B$136,0)),Data!D157))</f>
        <v>読解（読むこと）</v>
      </c>
      <c r="E157" s="70" t="str">
        <f aca="false">IFERROR(INDEX(対訳マスタ!$C$2:$C$136,MATCH(Data!E157,対訳マスタ!$B$2:$B$136,0)),Data!E157)</f>
        <v>情報・論旨の読み取り</v>
      </c>
      <c r="F157" s="70" t="str">
        <f aca="false">Data!F157</f>
        <v>B1+</v>
      </c>
      <c r="G157" s="31" t="str">
        <f aca="false">Data!G157</f>
        <v>Can identify the main conclusions in clearly signalled argumentative texts.</v>
      </c>
      <c r="H157" s="71" t="s">
        <v>2534</v>
      </c>
      <c r="I157" s="79" t="s">
        <v>3089</v>
      </c>
    </row>
    <row r="158" customFormat="false" ht="21.75" hidden="false" customHeight="true" outlineLevel="0" collapsed="false">
      <c r="A158" s="70" t="n">
        <f aca="false">Data!A158</f>
        <v>157</v>
      </c>
      <c r="B158" s="70" t="str">
        <f aca="false">IFERROR(INDEX(対訳マスタ!$C$2:$C$136,MATCH(Data!B158,対訳マスタ!$B$2:$B$136,0)),Data!B158)</f>
        <v>コミュニケーション言語活動</v>
      </c>
      <c r="C158" s="70" t="str">
        <f aca="false">IF(Data!C158="—","—",IFERROR(INDEX(対訳マスタ!$C$2:$C$136,MATCH(Data!C158,対訳マスタ!$B$2:$B$136,0)),Data!C158))</f>
        <v>受容</v>
      </c>
      <c r="D158" s="70" t="str">
        <f aca="false">IF(Data!D158="—","—",IFERROR(INDEX(対訳マスタ!$C$2:$C$136,MATCH(Data!D158,対訳マスタ!$B$2:$B$136,0)),Data!D158))</f>
        <v>読解（読むこと）</v>
      </c>
      <c r="E158" s="70" t="str">
        <f aca="false">IFERROR(INDEX(対訳マスタ!$C$2:$C$136,MATCH(Data!E158,対訳マスタ!$B$2:$B$136,0)),Data!E158)</f>
        <v>情報・論旨の読み取り</v>
      </c>
      <c r="F158" s="70" t="str">
        <f aca="false">Data!F158</f>
        <v>B1+</v>
      </c>
      <c r="G158" s="31" t="str">
        <f aca="false">Data!G158</f>
        <v>Can recognise the line of argument in the treatment of the issue presented, though not necessarily in detail.</v>
      </c>
      <c r="H158" s="71" t="s">
        <v>3156</v>
      </c>
      <c r="I158" s="79" t="s">
        <v>3089</v>
      </c>
    </row>
    <row r="159" customFormat="false" ht="15" hidden="false" customHeight="true" outlineLevel="0" collapsed="false">
      <c r="A159" s="70" t="n">
        <f aca="false">Data!A159</f>
        <v>158</v>
      </c>
      <c r="B159" s="70" t="str">
        <f aca="false">IFERROR(INDEX(対訳マスタ!$C$2:$C$136,MATCH(Data!B159,対訳マスタ!$B$2:$B$136,0)),Data!B159)</f>
        <v>コミュニケーション言語活動</v>
      </c>
      <c r="C159" s="70" t="str">
        <f aca="false">IF(Data!C159="—","—",IFERROR(INDEX(対訳マスタ!$C$2:$C$136,MATCH(Data!C159,対訳マスタ!$B$2:$B$136,0)),Data!C159))</f>
        <v>受容</v>
      </c>
      <c r="D159" s="70" t="str">
        <f aca="false">IF(Data!D159="—","—",IFERROR(INDEX(対訳マスタ!$C$2:$C$136,MATCH(Data!D159,対訳マスタ!$B$2:$B$136,0)),Data!D159))</f>
        <v>読解（読むこと）</v>
      </c>
      <c r="E159" s="70" t="str">
        <f aca="false">IFERROR(INDEX(対訳マスタ!$C$2:$C$136,MATCH(Data!E159,対訳マスタ!$B$2:$B$136,0)),Data!E159)</f>
        <v>情報・論旨の読み取り</v>
      </c>
      <c r="F159" s="70" t="str">
        <f aca="false">Data!F159</f>
        <v>B1</v>
      </c>
      <c r="G159" s="31" t="str">
        <f aca="false">Data!G159</f>
        <v>Can recognise significant points in straightforward news articles on familiar subjects.</v>
      </c>
      <c r="H159" s="71" t="s">
        <v>2533</v>
      </c>
      <c r="I159" s="79" t="s">
        <v>3089</v>
      </c>
    </row>
    <row r="160" customFormat="false" ht="21.75" hidden="false" customHeight="true" outlineLevel="0" collapsed="false">
      <c r="A160" s="70" t="n">
        <f aca="false">Data!A160</f>
        <v>159</v>
      </c>
      <c r="B160" s="70" t="str">
        <f aca="false">IFERROR(INDEX(対訳マスタ!$C$2:$C$136,MATCH(Data!B160,対訳マスタ!$B$2:$B$136,0)),Data!B160)</f>
        <v>コミュニケーション言語活動</v>
      </c>
      <c r="C160" s="70" t="str">
        <f aca="false">IF(Data!C160="—","—",IFERROR(INDEX(対訳マスタ!$C$2:$C$136,MATCH(Data!C160,対訳マスタ!$B$2:$B$136,0)),Data!C160))</f>
        <v>受容</v>
      </c>
      <c r="D160" s="70" t="str">
        <f aca="false">IF(Data!D160="—","—",IFERROR(INDEX(対訳マスタ!$C$2:$C$136,MATCH(Data!D160,対訳マスタ!$B$2:$B$136,0)),Data!D160))</f>
        <v>読解（読むこと）</v>
      </c>
      <c r="E160" s="70" t="str">
        <f aca="false">IFERROR(INDEX(対訳マスタ!$C$2:$C$136,MATCH(Data!E160,対訳マスタ!$B$2:$B$136,0)),Data!E160)</f>
        <v>情報・論旨の読み取り</v>
      </c>
      <c r="F160" s="70" t="str">
        <f aca="false">Data!F160</f>
        <v>B1</v>
      </c>
      <c r="G160" s="31" t="str">
        <f aca="false">Data!G160</f>
        <v>Can understand most factual information that they are likely to come across on familiar subjects of interest, provided they have sufficient time for rereading.</v>
      </c>
      <c r="H160" s="71" t="s">
        <v>3157</v>
      </c>
      <c r="I160" s="79" t="s">
        <v>3089</v>
      </c>
    </row>
    <row r="161" customFormat="false" ht="21.75" hidden="false" customHeight="true" outlineLevel="0" collapsed="false">
      <c r="A161" s="70" t="n">
        <f aca="false">Data!A161</f>
        <v>160</v>
      </c>
      <c r="B161" s="70" t="str">
        <f aca="false">IFERROR(INDEX(対訳マスタ!$C$2:$C$136,MATCH(Data!B161,対訳マスタ!$B$2:$B$136,0)),Data!B161)</f>
        <v>コミュニケーション言語活動</v>
      </c>
      <c r="C161" s="70" t="str">
        <f aca="false">IF(Data!C161="—","—",IFERROR(INDEX(対訳マスタ!$C$2:$C$136,MATCH(Data!C161,対訳マスタ!$B$2:$B$136,0)),Data!C161))</f>
        <v>受容</v>
      </c>
      <c r="D161" s="70" t="str">
        <f aca="false">IF(Data!D161="—","—",IFERROR(INDEX(対訳マスタ!$C$2:$C$136,MATCH(Data!D161,対訳マスタ!$B$2:$B$136,0)),Data!D161))</f>
        <v>読解（読むこと）</v>
      </c>
      <c r="E161" s="70" t="str">
        <f aca="false">IFERROR(INDEX(対訳マスタ!$C$2:$C$136,MATCH(Data!E161,対訳マスタ!$B$2:$B$136,0)),Data!E161)</f>
        <v>情報・論旨の読み取り</v>
      </c>
      <c r="F161" s="70" t="str">
        <f aca="false">Data!F161</f>
        <v>B1</v>
      </c>
      <c r="G161" s="31" t="str">
        <f aca="false">Data!G161</f>
        <v>Can understand the main points in descriptive notes such as those on museum exhibits and explanatory boards in exhibitions.</v>
      </c>
      <c r="H161" s="71" t="s">
        <v>3158</v>
      </c>
      <c r="I161" s="79" t="s">
        <v>3089</v>
      </c>
    </row>
    <row r="162" customFormat="false" ht="21.75" hidden="false" customHeight="true" outlineLevel="0" collapsed="false">
      <c r="A162" s="70" t="n">
        <f aca="false">Data!A162</f>
        <v>161</v>
      </c>
      <c r="B162" s="70" t="str">
        <f aca="false">IFERROR(INDEX(対訳マスタ!$C$2:$C$136,MATCH(Data!B162,対訳マスタ!$B$2:$B$136,0)),Data!B162)</f>
        <v>コミュニケーション言語活動</v>
      </c>
      <c r="C162" s="70" t="str">
        <f aca="false">IF(Data!C162="—","—",IFERROR(INDEX(対訳マスタ!$C$2:$C$136,MATCH(Data!C162,対訳マスタ!$B$2:$B$136,0)),Data!C162))</f>
        <v>受容</v>
      </c>
      <c r="D162" s="70" t="str">
        <f aca="false">IF(Data!D162="—","—",IFERROR(INDEX(対訳マスタ!$C$2:$C$136,MATCH(Data!D162,対訳マスタ!$B$2:$B$136,0)),Data!D162))</f>
        <v>読解（読むこと）</v>
      </c>
      <c r="E162" s="70" t="str">
        <f aca="false">IFERROR(INDEX(対訳マスタ!$C$2:$C$136,MATCH(Data!E162,対訳マスタ!$B$2:$B$136,0)),Data!E162)</f>
        <v>情報・論旨の読み取り</v>
      </c>
      <c r="F162" s="70" t="str">
        <f aca="false">Data!F162</f>
        <v>A2+</v>
      </c>
      <c r="G162" s="31" t="str">
        <f aca="false">Data!G162</f>
        <v>Can identify specific information in simpler material they encounter such as letters, brochures and short news articles describing events.</v>
      </c>
      <c r="H162" s="71" t="s">
        <v>3159</v>
      </c>
      <c r="I162" s="79" t="s">
        <v>3089</v>
      </c>
    </row>
    <row r="163" customFormat="false" ht="21.75" hidden="false" customHeight="true" outlineLevel="0" collapsed="false">
      <c r="A163" s="70" t="n">
        <f aca="false">Data!A163</f>
        <v>162</v>
      </c>
      <c r="B163" s="70" t="str">
        <f aca="false">IFERROR(INDEX(対訳マスタ!$C$2:$C$136,MATCH(Data!B163,対訳マスタ!$B$2:$B$136,0)),Data!B163)</f>
        <v>コミュニケーション言語活動</v>
      </c>
      <c r="C163" s="70" t="str">
        <f aca="false">IF(Data!C163="—","—",IFERROR(INDEX(対訳マスタ!$C$2:$C$136,MATCH(Data!C163,対訳マスタ!$B$2:$B$136,0)),Data!C163))</f>
        <v>受容</v>
      </c>
      <c r="D163" s="70" t="str">
        <f aca="false">IF(Data!D163="—","—",IFERROR(INDEX(対訳マスタ!$C$2:$C$136,MATCH(Data!D163,対訳マスタ!$B$2:$B$136,0)),Data!D163))</f>
        <v>読解（読むこと）</v>
      </c>
      <c r="E163" s="70" t="str">
        <f aca="false">IFERROR(INDEX(対訳マスタ!$C$2:$C$136,MATCH(Data!E163,対訳マスタ!$B$2:$B$136,0)),Data!E163)</f>
        <v>情報・論旨の読み取り</v>
      </c>
      <c r="F163" s="70" t="str">
        <f aca="false">Data!F163</f>
        <v>A2+</v>
      </c>
      <c r="G163" s="31" t="str">
        <f aca="false">Data!G163</f>
        <v>Can follow the general outline of a news report on a familiar type of event, provided the contents are familiar and predictable.</v>
      </c>
      <c r="H163" s="71" t="s">
        <v>3160</v>
      </c>
      <c r="I163" s="79" t="s">
        <v>3089</v>
      </c>
    </row>
    <row r="164" customFormat="false" ht="32.25" hidden="false" customHeight="true" outlineLevel="0" collapsed="false">
      <c r="A164" s="70" t="n">
        <f aca="false">Data!A164</f>
        <v>163</v>
      </c>
      <c r="B164" s="70" t="str">
        <f aca="false">IFERROR(INDEX(対訳マスタ!$C$2:$C$136,MATCH(Data!B164,対訳マスタ!$B$2:$B$136,0)),Data!B164)</f>
        <v>コミュニケーション言語活動</v>
      </c>
      <c r="C164" s="70" t="str">
        <f aca="false">IF(Data!C164="—","—",IFERROR(INDEX(対訳マスタ!$C$2:$C$136,MATCH(Data!C164,対訳マスタ!$B$2:$B$136,0)),Data!C164))</f>
        <v>受容</v>
      </c>
      <c r="D164" s="70" t="str">
        <f aca="false">IF(Data!D164="—","—",IFERROR(INDEX(対訳マスタ!$C$2:$C$136,MATCH(Data!D164,対訳マスタ!$B$2:$B$136,0)),Data!D164))</f>
        <v>読解（読むこと）</v>
      </c>
      <c r="E164" s="70" t="str">
        <f aca="false">IFERROR(INDEX(対訳マスタ!$C$2:$C$136,MATCH(Data!E164,対訳マスタ!$B$2:$B$136,0)),Data!E164)</f>
        <v>情報・論旨の読み取り</v>
      </c>
      <c r="F164" s="70" t="str">
        <f aca="false">Data!F164</f>
        <v>A2+</v>
      </c>
      <c r="G164" s="31" t="str">
        <f aca="false">Data!G164</f>
        <v>Can pick out the main information in short news reports or simple articles in which figures, names, illustrations and titles play a prominent role and support the meaning of the text.</v>
      </c>
      <c r="H164" s="71" t="s">
        <v>3161</v>
      </c>
      <c r="I164" s="79" t="s">
        <v>3089</v>
      </c>
    </row>
    <row r="165" customFormat="false" ht="26.25" hidden="false" customHeight="true" outlineLevel="0" collapsed="false">
      <c r="A165" s="70" t="n">
        <f aca="false">Data!A165</f>
        <v>164</v>
      </c>
      <c r="B165" s="70" t="str">
        <f aca="false">IFERROR(INDEX(対訳マスタ!$C$2:$C$136,MATCH(Data!B165,対訳マスタ!$B$2:$B$136,0)),Data!B165)</f>
        <v>コミュニケーション言語活動</v>
      </c>
      <c r="C165" s="70" t="str">
        <f aca="false">IF(Data!C165="—","—",IFERROR(INDEX(対訳マスタ!$C$2:$C$136,MATCH(Data!C165,対訳マスタ!$B$2:$B$136,0)),Data!C165))</f>
        <v>受容</v>
      </c>
      <c r="D165" s="70" t="str">
        <f aca="false">IF(Data!D165="—","—",IFERROR(INDEX(対訳マスタ!$C$2:$C$136,MATCH(Data!D165,対訳マスタ!$B$2:$B$136,0)),Data!D165))</f>
        <v>読解（読むこと）</v>
      </c>
      <c r="E165" s="70" t="str">
        <f aca="false">IFERROR(INDEX(対訳マスタ!$C$2:$C$136,MATCH(Data!E165,対訳マスタ!$B$2:$B$136,0)),Data!E165)</f>
        <v>情報・論旨の読み取り</v>
      </c>
      <c r="F165" s="70" t="str">
        <f aca="false">Data!F165</f>
        <v>A2+</v>
      </c>
      <c r="G165" s="31" t="str">
        <f aca="false">Data!G165</f>
        <v>Can understand the main points of short texts dealing with everyday topics (e.g. lifestyle, hobbies, sports, weather).</v>
      </c>
      <c r="H165" s="71" t="s">
        <v>2532</v>
      </c>
      <c r="I165" s="79" t="s">
        <v>3089</v>
      </c>
    </row>
    <row r="166" customFormat="false" ht="21.75" hidden="false" customHeight="true" outlineLevel="0" collapsed="false">
      <c r="A166" s="70" t="n">
        <f aca="false">Data!A166</f>
        <v>165</v>
      </c>
      <c r="B166" s="70" t="str">
        <f aca="false">IFERROR(INDEX(対訳マスタ!$C$2:$C$136,MATCH(Data!B166,対訳マスタ!$B$2:$B$136,0)),Data!B166)</f>
        <v>コミュニケーション言語活動</v>
      </c>
      <c r="C166" s="70" t="str">
        <f aca="false">IF(Data!C166="—","—",IFERROR(INDEX(対訳マスタ!$C$2:$C$136,MATCH(Data!C166,対訳マスタ!$B$2:$B$136,0)),Data!C166))</f>
        <v>受容</v>
      </c>
      <c r="D166" s="70" t="str">
        <f aca="false">IF(Data!D166="—","—",IFERROR(INDEX(対訳マスタ!$C$2:$C$136,MATCH(Data!D166,対訳マスタ!$B$2:$B$136,0)),Data!D166))</f>
        <v>読解（読むこと）</v>
      </c>
      <c r="E166" s="70" t="str">
        <f aca="false">IFERROR(INDEX(対訳マスタ!$C$2:$C$136,MATCH(Data!E166,対訳マスタ!$B$2:$B$136,0)),Data!E166)</f>
        <v>情報・論旨の読み取り</v>
      </c>
      <c r="F166" s="70" t="str">
        <f aca="false">Data!F166</f>
        <v>A2</v>
      </c>
      <c r="G166" s="31" t="str">
        <f aca="false">Data!G166</f>
        <v>Can understand texts describing people, places, everyday life and culture, etc., provided they use simple language.</v>
      </c>
      <c r="H166" s="71" t="s">
        <v>3162</v>
      </c>
      <c r="I166" s="79" t="s">
        <v>3089</v>
      </c>
    </row>
    <row r="167" customFormat="false" ht="21.75" hidden="false" customHeight="true" outlineLevel="0" collapsed="false">
      <c r="A167" s="70" t="n">
        <f aca="false">Data!A167</f>
        <v>166</v>
      </c>
      <c r="B167" s="70" t="str">
        <f aca="false">IFERROR(INDEX(対訳マスタ!$C$2:$C$136,MATCH(Data!B167,対訳マスタ!$B$2:$B$136,0)),Data!B167)</f>
        <v>コミュニケーション言語活動</v>
      </c>
      <c r="C167" s="70" t="str">
        <f aca="false">IF(Data!C167="—","—",IFERROR(INDEX(対訳マスタ!$C$2:$C$136,MATCH(Data!C167,対訳マスタ!$B$2:$B$136,0)),Data!C167))</f>
        <v>受容</v>
      </c>
      <c r="D167" s="70" t="str">
        <f aca="false">IF(Data!D167="—","—",IFERROR(INDEX(対訳マスタ!$C$2:$C$136,MATCH(Data!D167,対訳マスタ!$B$2:$B$136,0)),Data!D167))</f>
        <v>読解（読むこと）</v>
      </c>
      <c r="E167" s="70" t="str">
        <f aca="false">IFERROR(INDEX(対訳マスタ!$C$2:$C$136,MATCH(Data!E167,対訳マスタ!$B$2:$B$136,0)),Data!E167)</f>
        <v>情報・論旨の読み取り</v>
      </c>
      <c r="F167" s="70" t="str">
        <f aca="false">Data!F167</f>
        <v>A2</v>
      </c>
      <c r="G167" s="31" t="str">
        <f aca="false">Data!G167</f>
        <v>Can understand information given in illustrated brochures and maps (e.g. the principal attractions of a city).</v>
      </c>
      <c r="H167" s="71" t="s">
        <v>2531</v>
      </c>
      <c r="I167" s="79" t="s">
        <v>3089</v>
      </c>
    </row>
    <row r="168" customFormat="false" ht="21.75" hidden="false" customHeight="true" outlineLevel="0" collapsed="false">
      <c r="A168" s="70" t="n">
        <f aca="false">Data!A168</f>
        <v>167</v>
      </c>
      <c r="B168" s="70" t="str">
        <f aca="false">IFERROR(INDEX(対訳マスタ!$C$2:$C$136,MATCH(Data!B168,対訳マスタ!$B$2:$B$136,0)),Data!B168)</f>
        <v>コミュニケーション言語活動</v>
      </c>
      <c r="C168" s="70" t="str">
        <f aca="false">IF(Data!C168="—","—",IFERROR(INDEX(対訳マスタ!$C$2:$C$136,MATCH(Data!C168,対訳マスタ!$B$2:$B$136,0)),Data!C168))</f>
        <v>受容</v>
      </c>
      <c r="D168" s="70" t="str">
        <f aca="false">IF(Data!D168="—","—",IFERROR(INDEX(対訳マスタ!$C$2:$C$136,MATCH(Data!D168,対訳マスタ!$B$2:$B$136,0)),Data!D168))</f>
        <v>読解（読むこと）</v>
      </c>
      <c r="E168" s="70" t="str">
        <f aca="false">IFERROR(INDEX(対訳マスタ!$C$2:$C$136,MATCH(Data!E168,対訳マスタ!$B$2:$B$136,0)),Data!E168)</f>
        <v>情報・論旨の読み取り</v>
      </c>
      <c r="F168" s="70" t="str">
        <f aca="false">Data!F168</f>
        <v>A2</v>
      </c>
      <c r="G168" s="31" t="str">
        <f aca="false">Data!G168</f>
        <v>Can understand the main points in short news items on subjects of personal interest (e.g. sport, celebrities).</v>
      </c>
      <c r="H168" s="71" t="s">
        <v>3163</v>
      </c>
      <c r="I168" s="79" t="s">
        <v>3089</v>
      </c>
    </row>
    <row r="169" customFormat="false" ht="21.75" hidden="false" customHeight="true" outlineLevel="0" collapsed="false">
      <c r="A169" s="70" t="n">
        <f aca="false">Data!A169</f>
        <v>168</v>
      </c>
      <c r="B169" s="70" t="str">
        <f aca="false">IFERROR(INDEX(対訳マスタ!$C$2:$C$136,MATCH(Data!B169,対訳マスタ!$B$2:$B$136,0)),Data!B169)</f>
        <v>コミュニケーション言語活動</v>
      </c>
      <c r="C169" s="70" t="str">
        <f aca="false">IF(Data!C169="—","—",IFERROR(INDEX(対訳マスタ!$C$2:$C$136,MATCH(Data!C169,対訳マスタ!$B$2:$B$136,0)),Data!C169))</f>
        <v>受容</v>
      </c>
      <c r="D169" s="70" t="str">
        <f aca="false">IF(Data!D169="—","—",IFERROR(INDEX(対訳マスタ!$C$2:$C$136,MATCH(Data!D169,対訳マスタ!$B$2:$B$136,0)),Data!D169))</f>
        <v>読解（読むこと）</v>
      </c>
      <c r="E169" s="70" t="str">
        <f aca="false">IFERROR(INDEX(対訳マスタ!$C$2:$C$136,MATCH(Data!E169,対訳マスタ!$B$2:$B$136,0)),Data!E169)</f>
        <v>情報・論旨の読み取り</v>
      </c>
      <c r="F169" s="70" t="str">
        <f aca="false">Data!F169</f>
        <v>A2</v>
      </c>
      <c r="G169" s="31" t="str">
        <f aca="false">Data!G169</f>
        <v>Can understand a short factual description or report within their own field, provided simple language is used and that it does not contain unpredictable detail.</v>
      </c>
      <c r="H169" s="71" t="s">
        <v>3164</v>
      </c>
      <c r="I169" s="79" t="s">
        <v>3089</v>
      </c>
    </row>
    <row r="170" customFormat="false" ht="21.75" hidden="false" customHeight="true" outlineLevel="0" collapsed="false">
      <c r="A170" s="70" t="n">
        <f aca="false">Data!A170</f>
        <v>169</v>
      </c>
      <c r="B170" s="70" t="str">
        <f aca="false">IFERROR(INDEX(対訳マスタ!$C$2:$C$136,MATCH(Data!B170,対訳マスタ!$B$2:$B$136,0)),Data!B170)</f>
        <v>コミュニケーション言語活動</v>
      </c>
      <c r="C170" s="70" t="str">
        <f aca="false">IF(Data!C170="—","—",IFERROR(INDEX(対訳マスタ!$C$2:$C$136,MATCH(Data!C170,対訳マスタ!$B$2:$B$136,0)),Data!C170))</f>
        <v>受容</v>
      </c>
      <c r="D170" s="70" t="str">
        <f aca="false">IF(Data!D170="—","—",IFERROR(INDEX(対訳マスタ!$C$2:$C$136,MATCH(Data!D170,対訳マスタ!$B$2:$B$136,0)),Data!D170))</f>
        <v>読解（読むこと）</v>
      </c>
      <c r="E170" s="70" t="str">
        <f aca="false">IFERROR(INDEX(対訳マスタ!$C$2:$C$136,MATCH(Data!E170,対訳マスタ!$B$2:$B$136,0)),Data!E170)</f>
        <v>情報・論旨の読み取り</v>
      </c>
      <c r="F170" s="70" t="str">
        <f aca="false">Data!F170</f>
        <v>A2</v>
      </c>
      <c r="G170" s="31" t="str">
        <f aca="false">Data!G170</f>
        <v>Can understand most of what people say about themselves in a personal ad or post and what they say they like in other people.</v>
      </c>
      <c r="H170" s="71" t="s">
        <v>3165</v>
      </c>
      <c r="I170" s="79" t="s">
        <v>3089</v>
      </c>
    </row>
    <row r="171" customFormat="false" ht="26.25" hidden="false" customHeight="true" outlineLevel="0" collapsed="false">
      <c r="A171" s="70" t="n">
        <f aca="false">Data!A171</f>
        <v>170</v>
      </c>
      <c r="B171" s="70" t="str">
        <f aca="false">IFERROR(INDEX(対訳マスタ!$C$2:$C$136,MATCH(Data!B171,対訳マスタ!$B$2:$B$136,0)),Data!B171)</f>
        <v>コミュニケーション言語活動</v>
      </c>
      <c r="C171" s="70" t="str">
        <f aca="false">IF(Data!C171="—","—",IFERROR(INDEX(対訳マスタ!$C$2:$C$136,MATCH(Data!C171,対訳マスタ!$B$2:$B$136,0)),Data!C171))</f>
        <v>受容</v>
      </c>
      <c r="D171" s="70" t="str">
        <f aca="false">IF(Data!D171="—","—",IFERROR(INDEX(対訳マスタ!$C$2:$C$136,MATCH(Data!D171,対訳マスタ!$B$2:$B$136,0)),Data!D171))</f>
        <v>読解（読むこと）</v>
      </c>
      <c r="E171" s="70" t="str">
        <f aca="false">IFERROR(INDEX(対訳マスタ!$C$2:$C$136,MATCH(Data!E171,対訳マスタ!$B$2:$B$136,0)),Data!E171)</f>
        <v>情報・論旨の読み取り</v>
      </c>
      <c r="F171" s="70" t="str">
        <f aca="false">Data!F171</f>
        <v>A1</v>
      </c>
      <c r="G171" s="31" t="str">
        <f aca="false">Data!G171</f>
        <v>Can get an idea of the content of simpler informational material and short, simple descriptions, especially if there is visual support.</v>
      </c>
      <c r="H171" s="71" t="s">
        <v>2530</v>
      </c>
      <c r="I171" s="79" t="s">
        <v>3089</v>
      </c>
    </row>
    <row r="172" customFormat="false" ht="32.25" hidden="false" customHeight="true" outlineLevel="0" collapsed="false">
      <c r="A172" s="70" t="n">
        <f aca="false">Data!A172</f>
        <v>171</v>
      </c>
      <c r="B172" s="70" t="str">
        <f aca="false">IFERROR(INDEX(対訳マスタ!$C$2:$C$136,MATCH(Data!B172,対訳マスタ!$B$2:$B$136,0)),Data!B172)</f>
        <v>コミュニケーション言語活動</v>
      </c>
      <c r="C172" s="70" t="str">
        <f aca="false">IF(Data!C172="—","—",IFERROR(INDEX(対訳マスタ!$C$2:$C$136,MATCH(Data!C172,対訳マスタ!$B$2:$B$136,0)),Data!C172))</f>
        <v>受容</v>
      </c>
      <c r="D172" s="70" t="str">
        <f aca="false">IF(Data!D172="—","—",IFERROR(INDEX(対訳マスタ!$C$2:$C$136,MATCH(Data!D172,対訳マスタ!$B$2:$B$136,0)),Data!D172))</f>
        <v>読解（読むこと）</v>
      </c>
      <c r="E172" s="70" t="str">
        <f aca="false">IFERROR(INDEX(対訳マスタ!$C$2:$C$136,MATCH(Data!E172,対訳マスタ!$B$2:$B$136,0)),Data!E172)</f>
        <v>情報・論旨の読み取り</v>
      </c>
      <c r="F172" s="70" t="str">
        <f aca="false">Data!F172</f>
        <v>A1</v>
      </c>
      <c r="G172" s="31" t="str">
        <f aca="false">Data!G172</f>
        <v>Can understand short texts on subjects of personal interest (e.g. news flashes about sports, music, travel or stories) composed in very simple language and supported by illustrations and pictures.</v>
      </c>
      <c r="H172" s="71" t="s">
        <v>3166</v>
      </c>
      <c r="I172" s="79" t="s">
        <v>3089</v>
      </c>
    </row>
    <row r="173" customFormat="false" ht="32.25" hidden="false" customHeight="true" outlineLevel="0" collapsed="false">
      <c r="A173" s="70" t="n">
        <f aca="false">Data!A173</f>
        <v>172</v>
      </c>
      <c r="B173" s="70" t="str">
        <f aca="false">IFERROR(INDEX(対訳マスタ!$C$2:$C$136,MATCH(Data!B173,対訳マスタ!$B$2:$B$136,0)),Data!B173)</f>
        <v>コミュニケーション言語活動</v>
      </c>
      <c r="C173" s="70" t="str">
        <f aca="false">IF(Data!C173="—","—",IFERROR(INDEX(対訳マスタ!$C$2:$C$136,MATCH(Data!C173,対訳マスタ!$B$2:$B$136,0)),Data!C173))</f>
        <v>受容</v>
      </c>
      <c r="D173" s="70" t="str">
        <f aca="false">IF(Data!D173="—","—",IFERROR(INDEX(対訳マスタ!$C$2:$C$136,MATCH(Data!D173,対訳マスタ!$B$2:$B$136,0)),Data!D173))</f>
        <v>読解（読むこと）</v>
      </c>
      <c r="E173" s="70" t="str">
        <f aca="false">IFERROR(INDEX(対訳マスタ!$C$2:$C$136,MATCH(Data!E173,対訳マスタ!$B$2:$B$136,0)),Data!E173)</f>
        <v>情報・論旨の読み取り</v>
      </c>
      <c r="F173" s="70" t="str">
        <f aca="false">Data!F173</f>
        <v>Pre-A1</v>
      </c>
      <c r="G173" s="31" t="str">
        <f aca="false">Data!G173</f>
        <v>Can understand the simplest informational material such as a fast-food restaurant menu illustrated with photos or an illustrated story formulated in very simple everyday words/signs.</v>
      </c>
      <c r="H173" s="71" t="s">
        <v>2529</v>
      </c>
      <c r="I173" s="79" t="s">
        <v>3089</v>
      </c>
    </row>
    <row r="174" customFormat="false" ht="15" hidden="false" customHeight="true" outlineLevel="0" collapsed="false">
      <c r="A174" s="80" t="n">
        <f aca="false">Data!A174</f>
        <v>173</v>
      </c>
      <c r="B174" s="80" t="str">
        <f aca="false">IFERROR(INDEX(対訳マスタ!$C$2:$C$136,MATCH(Data!B174,対訳マスタ!$B$2:$B$136,0)),Data!B174)</f>
        <v>コミュニケーション言語活動</v>
      </c>
      <c r="C174" s="80" t="str">
        <f aca="false">IF(Data!C174="—","—",IFERROR(INDEX(対訳マスタ!$C$2:$C$136,MATCH(Data!C174,対訳マスタ!$B$2:$B$136,0)),Data!C174))</f>
        <v>受容</v>
      </c>
      <c r="D174" s="80" t="str">
        <f aca="false">IF(Data!D174="—","—",IFERROR(INDEX(対訳マスタ!$C$2:$C$136,MATCH(Data!D174,対訳マスタ!$B$2:$B$136,0)),Data!D174))</f>
        <v>読解（読むこと）</v>
      </c>
      <c r="E174" s="80" t="str">
        <f aca="false">IFERROR(INDEX(対訳マスタ!$C$2:$C$136,MATCH(Data!E174,対訳マスタ!$B$2:$B$136,0)),Data!E174)</f>
        <v>説明書・指示を読む</v>
      </c>
      <c r="F174" s="80" t="str">
        <f aca="false">Data!F174</f>
        <v>C2</v>
      </c>
      <c r="G174" s="81" t="str">
        <f aca="false">Data!G174</f>
        <v>No descriptors available; see C1</v>
      </c>
      <c r="H174" s="81" t="s">
        <v>624</v>
      </c>
      <c r="I174" s="80" t="s">
        <v>624</v>
      </c>
    </row>
    <row r="175" customFormat="false" ht="32.25" hidden="false" customHeight="true" outlineLevel="0" collapsed="false">
      <c r="A175" s="70" t="n">
        <f aca="false">Data!A175</f>
        <v>174</v>
      </c>
      <c r="B175" s="70" t="str">
        <f aca="false">IFERROR(INDEX(対訳マスタ!$C$2:$C$136,MATCH(Data!B175,対訳マスタ!$B$2:$B$136,0)),Data!B175)</f>
        <v>コミュニケーション言語活動</v>
      </c>
      <c r="C175" s="70" t="str">
        <f aca="false">IF(Data!C175="—","—",IFERROR(INDEX(対訳マスタ!$C$2:$C$136,MATCH(Data!C175,対訳マスタ!$B$2:$B$136,0)),Data!C175))</f>
        <v>受容</v>
      </c>
      <c r="D175" s="70" t="str">
        <f aca="false">IF(Data!D175="—","—",IFERROR(INDEX(対訳マスタ!$C$2:$C$136,MATCH(Data!D175,対訳マスタ!$B$2:$B$136,0)),Data!D175))</f>
        <v>読解（読むこと）</v>
      </c>
      <c r="E175" s="70" t="str">
        <f aca="false">IFERROR(INDEX(対訳マスタ!$C$2:$C$136,MATCH(Data!E175,対訳マスタ!$B$2:$B$136,0)),Data!E175)</f>
        <v>説明書・指示を読む</v>
      </c>
      <c r="F175" s="70" t="str">
        <f aca="false">Data!F175</f>
        <v>C1</v>
      </c>
      <c r="G175" s="31" t="str">
        <f aca="false">Data!G175</f>
        <v>Can understand in detail lengthy, complex instructions on a new machine or procedure, whether or not the instructions relate to their own area of speciality, provided they can reread difficult sections.</v>
      </c>
      <c r="H175" s="71" t="s">
        <v>2546</v>
      </c>
      <c r="I175" s="79" t="s">
        <v>3089</v>
      </c>
    </row>
    <row r="176" customFormat="false" ht="26.25" hidden="false" customHeight="true" outlineLevel="0" collapsed="false">
      <c r="A176" s="70" t="n">
        <f aca="false">Data!A176</f>
        <v>175</v>
      </c>
      <c r="B176" s="70" t="str">
        <f aca="false">IFERROR(INDEX(対訳マスタ!$C$2:$C$136,MATCH(Data!B176,対訳マスタ!$B$2:$B$136,0)),Data!B176)</f>
        <v>コミュニケーション言語活動</v>
      </c>
      <c r="C176" s="70" t="str">
        <f aca="false">IF(Data!C176="—","—",IFERROR(INDEX(対訳マスタ!$C$2:$C$136,MATCH(Data!C176,対訳マスタ!$B$2:$B$136,0)),Data!C176))</f>
        <v>受容</v>
      </c>
      <c r="D176" s="70" t="str">
        <f aca="false">IF(Data!D176="—","—",IFERROR(INDEX(対訳マスタ!$C$2:$C$136,MATCH(Data!D176,対訳マスタ!$B$2:$B$136,0)),Data!D176))</f>
        <v>読解（読むこと）</v>
      </c>
      <c r="E176" s="70" t="str">
        <f aca="false">IFERROR(INDEX(対訳マスタ!$C$2:$C$136,MATCH(Data!E176,対訳マスタ!$B$2:$B$136,0)),Data!E176)</f>
        <v>説明書・指示を読む</v>
      </c>
      <c r="F176" s="70" t="str">
        <f aca="false">Data!F176</f>
        <v>B2</v>
      </c>
      <c r="G176" s="31" t="str">
        <f aca="false">Data!G176</f>
        <v>Can understand lengthy, complex instructions in their field, including details on conditions and warnings, provided they can reread difficult sections.</v>
      </c>
      <c r="H176" s="71" t="s">
        <v>2545</v>
      </c>
      <c r="I176" s="79" t="s">
        <v>3089</v>
      </c>
    </row>
    <row r="177" customFormat="false" ht="32.25" hidden="false" customHeight="true" outlineLevel="0" collapsed="false">
      <c r="A177" s="70" t="n">
        <f aca="false">Data!A177</f>
        <v>176</v>
      </c>
      <c r="B177" s="70" t="str">
        <f aca="false">IFERROR(INDEX(対訳マスタ!$C$2:$C$136,MATCH(Data!B177,対訳マスタ!$B$2:$B$136,0)),Data!B177)</f>
        <v>コミュニケーション言語活動</v>
      </c>
      <c r="C177" s="70" t="str">
        <f aca="false">IF(Data!C177="—","—",IFERROR(INDEX(対訳マスタ!$C$2:$C$136,MATCH(Data!C177,対訳マスタ!$B$2:$B$136,0)),Data!C177))</f>
        <v>受容</v>
      </c>
      <c r="D177" s="70" t="str">
        <f aca="false">IF(Data!D177="—","—",IFERROR(INDEX(対訳マスタ!$C$2:$C$136,MATCH(Data!D177,対訳マスタ!$B$2:$B$136,0)),Data!D177))</f>
        <v>読解（読むこと）</v>
      </c>
      <c r="E177" s="70" t="str">
        <f aca="false">IFERROR(INDEX(対訳マスタ!$C$2:$C$136,MATCH(Data!E177,対訳マスタ!$B$2:$B$136,0)),Data!E177)</f>
        <v>説明書・指示を読む</v>
      </c>
      <c r="F177" s="70" t="str">
        <f aca="false">Data!F177</f>
        <v>B1+</v>
      </c>
      <c r="G177" s="31" t="str">
        <f aca="false">Data!G177</f>
        <v>Can understand instructions and procedures in the form of a continuous text, for instance in a manual, provided they are familiar with the type of process or product concerned.</v>
      </c>
      <c r="H177" s="71" t="s">
        <v>2544</v>
      </c>
      <c r="I177" s="79" t="s">
        <v>3089</v>
      </c>
    </row>
    <row r="178" customFormat="false" ht="15" hidden="false" customHeight="true" outlineLevel="0" collapsed="false">
      <c r="A178" s="70" t="n">
        <f aca="false">Data!A178</f>
        <v>177</v>
      </c>
      <c r="B178" s="70" t="str">
        <f aca="false">IFERROR(INDEX(対訳マスタ!$C$2:$C$136,MATCH(Data!B178,対訳マスタ!$B$2:$B$136,0)),Data!B178)</f>
        <v>コミュニケーション言語活動</v>
      </c>
      <c r="C178" s="70" t="str">
        <f aca="false">IF(Data!C178="—","—",IFERROR(INDEX(対訳マスタ!$C$2:$C$136,MATCH(Data!C178,対訳マスタ!$B$2:$B$136,0)),Data!C178))</f>
        <v>受容</v>
      </c>
      <c r="D178" s="70" t="str">
        <f aca="false">IF(Data!D178="—","—",IFERROR(INDEX(対訳マスタ!$C$2:$C$136,MATCH(Data!D178,対訳マスタ!$B$2:$B$136,0)),Data!D178))</f>
        <v>読解（読むこと）</v>
      </c>
      <c r="E178" s="70" t="str">
        <f aca="false">IFERROR(INDEX(対訳マスタ!$C$2:$C$136,MATCH(Data!E178,対訳マスタ!$B$2:$B$136,0)),Data!E178)</f>
        <v>説明書・指示を読む</v>
      </c>
      <c r="F178" s="70" t="str">
        <f aca="false">Data!F178</f>
        <v>B1</v>
      </c>
      <c r="G178" s="31" t="str">
        <f aca="false">Data!G178</f>
        <v>Can understand clearly expressed, straightforward instructions for a piece of equipment.</v>
      </c>
      <c r="H178" s="71" t="s">
        <v>3167</v>
      </c>
      <c r="I178" s="79" t="s">
        <v>3089</v>
      </c>
    </row>
    <row r="179" customFormat="false" ht="15" hidden="false" customHeight="true" outlineLevel="0" collapsed="false">
      <c r="A179" s="70" t="n">
        <f aca="false">Data!A179</f>
        <v>178</v>
      </c>
      <c r="B179" s="70" t="str">
        <f aca="false">IFERROR(INDEX(対訳マスタ!$C$2:$C$136,MATCH(Data!B179,対訳マスタ!$B$2:$B$136,0)),Data!B179)</f>
        <v>コミュニケーション言語活動</v>
      </c>
      <c r="C179" s="70" t="str">
        <f aca="false">IF(Data!C179="—","—",IFERROR(INDEX(対訳マスタ!$C$2:$C$136,MATCH(Data!C179,対訳マスタ!$B$2:$B$136,0)),Data!C179))</f>
        <v>受容</v>
      </c>
      <c r="D179" s="70" t="str">
        <f aca="false">IF(Data!D179="—","—",IFERROR(INDEX(対訳マスタ!$C$2:$C$136,MATCH(Data!D179,対訳マスタ!$B$2:$B$136,0)),Data!D179))</f>
        <v>読解（読むこと）</v>
      </c>
      <c r="E179" s="70" t="str">
        <f aca="false">IFERROR(INDEX(対訳マスタ!$C$2:$C$136,MATCH(Data!E179,対訳マスタ!$B$2:$B$136,0)),Data!E179)</f>
        <v>説明書・指示を読む</v>
      </c>
      <c r="F179" s="70" t="str">
        <f aca="false">Data!F179</f>
        <v>B1</v>
      </c>
      <c r="G179" s="31" t="str">
        <f aca="false">Data!G179</f>
        <v>Can follow simple instructions given on packaging (e.g. cooking instructions).</v>
      </c>
      <c r="H179" s="71" t="s">
        <v>2543</v>
      </c>
      <c r="I179" s="79" t="s">
        <v>3089</v>
      </c>
    </row>
    <row r="180" customFormat="false" ht="21.75" hidden="false" customHeight="true" outlineLevel="0" collapsed="false">
      <c r="A180" s="70" t="n">
        <f aca="false">Data!A180</f>
        <v>179</v>
      </c>
      <c r="B180" s="70" t="str">
        <f aca="false">IFERROR(INDEX(対訳マスタ!$C$2:$C$136,MATCH(Data!B180,対訳マスタ!$B$2:$B$136,0)),Data!B180)</f>
        <v>コミュニケーション言語活動</v>
      </c>
      <c r="C180" s="70" t="str">
        <f aca="false">IF(Data!C180="—","—",IFERROR(INDEX(対訳マスタ!$C$2:$C$136,MATCH(Data!C180,対訳マスタ!$B$2:$B$136,0)),Data!C180))</f>
        <v>受容</v>
      </c>
      <c r="D180" s="70" t="str">
        <f aca="false">IF(Data!D180="—","—",IFERROR(INDEX(対訳マスタ!$C$2:$C$136,MATCH(Data!D180,対訳マスタ!$B$2:$B$136,0)),Data!D180))</f>
        <v>読解（読むこと）</v>
      </c>
      <c r="E180" s="70" t="str">
        <f aca="false">IFERROR(INDEX(対訳マスタ!$C$2:$C$136,MATCH(Data!E180,対訳マスタ!$B$2:$B$136,0)),Data!E180)</f>
        <v>説明書・指示を読む</v>
      </c>
      <c r="F180" s="70" t="str">
        <f aca="false">Data!F180</f>
        <v>B1</v>
      </c>
      <c r="G180" s="31" t="str">
        <f aca="false">Data!G180</f>
        <v>Can understand most short safety instructions, (e.g. on public transport or in manuals for the use of electrical equipment).</v>
      </c>
      <c r="H180" s="71" t="s">
        <v>3168</v>
      </c>
      <c r="I180" s="79" t="s">
        <v>3089</v>
      </c>
    </row>
    <row r="181" customFormat="false" ht="15" hidden="false" customHeight="true" outlineLevel="0" collapsed="false">
      <c r="A181" s="70" t="n">
        <f aca="false">Data!A181</f>
        <v>180</v>
      </c>
      <c r="B181" s="70" t="str">
        <f aca="false">IFERROR(INDEX(対訳マスタ!$C$2:$C$136,MATCH(Data!B181,対訳マスタ!$B$2:$B$136,0)),Data!B181)</f>
        <v>コミュニケーション言語活動</v>
      </c>
      <c r="C181" s="70" t="str">
        <f aca="false">IF(Data!C181="—","—",IFERROR(INDEX(対訳マスタ!$C$2:$C$136,MATCH(Data!C181,対訳マスタ!$B$2:$B$136,0)),Data!C181))</f>
        <v>受容</v>
      </c>
      <c r="D181" s="70" t="str">
        <f aca="false">IF(Data!D181="—","—",IFERROR(INDEX(対訳マスタ!$C$2:$C$136,MATCH(Data!D181,対訳マスタ!$B$2:$B$136,0)),Data!D181))</f>
        <v>読解（読むこと）</v>
      </c>
      <c r="E181" s="70" t="str">
        <f aca="false">IFERROR(INDEX(対訳マスタ!$C$2:$C$136,MATCH(Data!E181,対訳マスタ!$B$2:$B$136,0)),Data!E181)</f>
        <v>説明書・指示を読む</v>
      </c>
      <c r="F181" s="70" t="str">
        <f aca="false">Data!F181</f>
        <v>A2+</v>
      </c>
      <c r="G181" s="31" t="str">
        <f aca="false">Data!G181</f>
        <v>Can understand regulations, for example safety, when expressed in simple language.</v>
      </c>
      <c r="H181" s="71" t="s">
        <v>2542</v>
      </c>
      <c r="I181" s="79" t="s">
        <v>3089</v>
      </c>
    </row>
    <row r="182" customFormat="false" ht="21.75" hidden="false" customHeight="true" outlineLevel="0" collapsed="false">
      <c r="A182" s="70" t="n">
        <f aca="false">Data!A182</f>
        <v>181</v>
      </c>
      <c r="B182" s="70" t="str">
        <f aca="false">IFERROR(INDEX(対訳マスタ!$C$2:$C$136,MATCH(Data!B182,対訳マスタ!$B$2:$B$136,0)),Data!B182)</f>
        <v>コミュニケーション言語活動</v>
      </c>
      <c r="C182" s="70" t="str">
        <f aca="false">IF(Data!C182="—","—",IFERROR(INDEX(対訳マスタ!$C$2:$C$136,MATCH(Data!C182,対訳マスタ!$B$2:$B$136,0)),Data!C182))</f>
        <v>受容</v>
      </c>
      <c r="D182" s="70" t="str">
        <f aca="false">IF(Data!D182="—","—",IFERROR(INDEX(対訳マスタ!$C$2:$C$136,MATCH(Data!D182,対訳マスタ!$B$2:$B$136,0)),Data!D182))</f>
        <v>読解（読むこと）</v>
      </c>
      <c r="E182" s="70" t="str">
        <f aca="false">IFERROR(INDEX(対訳マスタ!$C$2:$C$136,MATCH(Data!E182,対訳マスタ!$B$2:$B$136,0)),Data!E182)</f>
        <v>説明書・指示を読む</v>
      </c>
      <c r="F182" s="70" t="str">
        <f aca="false">Data!F182</f>
        <v>A2+</v>
      </c>
      <c r="G182" s="31" t="str">
        <f aca="false">Data!G182</f>
        <v>Can understand short instructions illustrated step by step (e.g. for installing new technology).</v>
      </c>
      <c r="H182" s="71" t="s">
        <v>3169</v>
      </c>
      <c r="I182" s="79" t="s">
        <v>3089</v>
      </c>
    </row>
    <row r="183" customFormat="false" ht="21.75" hidden="false" customHeight="true" outlineLevel="0" collapsed="false">
      <c r="A183" s="70" t="n">
        <f aca="false">Data!A183</f>
        <v>182</v>
      </c>
      <c r="B183" s="70" t="str">
        <f aca="false">IFERROR(INDEX(対訳マスタ!$C$2:$C$136,MATCH(Data!B183,対訳マスタ!$B$2:$B$136,0)),Data!B183)</f>
        <v>コミュニケーション言語活動</v>
      </c>
      <c r="C183" s="70" t="str">
        <f aca="false">IF(Data!C183="—","—",IFERROR(INDEX(対訳マスタ!$C$2:$C$136,MATCH(Data!C183,対訳マスタ!$B$2:$B$136,0)),Data!C183))</f>
        <v>受容</v>
      </c>
      <c r="D183" s="70" t="str">
        <f aca="false">IF(Data!D183="—","—",IFERROR(INDEX(対訳マスタ!$C$2:$C$136,MATCH(Data!D183,対訳マスタ!$B$2:$B$136,0)),Data!D183))</f>
        <v>読解（読むこと）</v>
      </c>
      <c r="E183" s="70" t="str">
        <f aca="false">IFERROR(INDEX(対訳マスタ!$C$2:$C$136,MATCH(Data!E183,対訳マスタ!$B$2:$B$136,0)),Data!E183)</f>
        <v>説明書・指示を読む</v>
      </c>
      <c r="F183" s="70" t="str">
        <f aca="false">Data!F183</f>
        <v>A2</v>
      </c>
      <c r="G183" s="31" t="str">
        <f aca="false">Data!G183</f>
        <v>Can understand simple instructions on equipment encountered in everyday life – such as a public telephone.</v>
      </c>
      <c r="H183" s="71" t="s">
        <v>3170</v>
      </c>
      <c r="I183" s="79" t="s">
        <v>3089</v>
      </c>
    </row>
    <row r="184" customFormat="false" ht="21.75" hidden="false" customHeight="true" outlineLevel="0" collapsed="false">
      <c r="A184" s="70" t="n">
        <f aca="false">Data!A184</f>
        <v>183</v>
      </c>
      <c r="B184" s="70" t="str">
        <f aca="false">IFERROR(INDEX(対訳マスタ!$C$2:$C$136,MATCH(Data!B184,対訳マスタ!$B$2:$B$136,0)),Data!B184)</f>
        <v>コミュニケーション言語活動</v>
      </c>
      <c r="C184" s="70" t="str">
        <f aca="false">IF(Data!C184="—","—",IFERROR(INDEX(対訳マスタ!$C$2:$C$136,MATCH(Data!C184,対訳マスタ!$B$2:$B$136,0)),Data!C184))</f>
        <v>受容</v>
      </c>
      <c r="D184" s="70" t="str">
        <f aca="false">IF(Data!D184="—","—",IFERROR(INDEX(対訳マスタ!$C$2:$C$136,MATCH(Data!D184,対訳マスタ!$B$2:$B$136,0)),Data!D184))</f>
        <v>読解（読むこと）</v>
      </c>
      <c r="E184" s="70" t="str">
        <f aca="false">IFERROR(INDEX(対訳マスタ!$C$2:$C$136,MATCH(Data!E184,対訳マスタ!$B$2:$B$136,0)),Data!E184)</f>
        <v>説明書・指示を読む</v>
      </c>
      <c r="F184" s="70" t="str">
        <f aca="false">Data!F184</f>
        <v>A2</v>
      </c>
      <c r="G184" s="31" t="str">
        <f aca="false">Data!G184</f>
        <v>Can understand simple, brief instructions, provided they are illustrated and not presented in continuous text.</v>
      </c>
      <c r="H184" s="71" t="s">
        <v>3171</v>
      </c>
      <c r="I184" s="79" t="s">
        <v>3089</v>
      </c>
    </row>
    <row r="185" customFormat="false" ht="21.75" hidden="false" customHeight="true" outlineLevel="0" collapsed="false">
      <c r="A185" s="70" t="n">
        <f aca="false">Data!A185</f>
        <v>184</v>
      </c>
      <c r="B185" s="70" t="str">
        <f aca="false">IFERROR(INDEX(対訳マスタ!$C$2:$C$136,MATCH(Data!B185,対訳マスタ!$B$2:$B$136,0)),Data!B185)</f>
        <v>コミュニケーション言語活動</v>
      </c>
      <c r="C185" s="70" t="str">
        <f aca="false">IF(Data!C185="—","—",IFERROR(INDEX(対訳マスタ!$C$2:$C$136,MATCH(Data!C185,対訳マスタ!$B$2:$B$136,0)),Data!C185))</f>
        <v>受容</v>
      </c>
      <c r="D185" s="70" t="str">
        <f aca="false">IF(Data!D185="—","—",IFERROR(INDEX(対訳マスタ!$C$2:$C$136,MATCH(Data!D185,対訳マスタ!$B$2:$B$136,0)),Data!D185))</f>
        <v>読解（読むこと）</v>
      </c>
      <c r="E185" s="70" t="str">
        <f aca="false">IFERROR(INDEX(対訳マスタ!$C$2:$C$136,MATCH(Data!E185,対訳マスタ!$B$2:$B$136,0)),Data!E185)</f>
        <v>説明書・指示を読む</v>
      </c>
      <c r="F185" s="70" t="str">
        <f aca="false">Data!F185</f>
        <v>A2</v>
      </c>
      <c r="G185" s="31" t="str">
        <f aca="false">Data!G185</f>
        <v>Can understand instructions on medicine labels expressed as a simple command (e.g. “Take before meals” or “Do not take if driving”).</v>
      </c>
      <c r="H185" s="71" t="s">
        <v>3172</v>
      </c>
      <c r="I185" s="79" t="s">
        <v>3089</v>
      </c>
    </row>
    <row r="186" customFormat="false" ht="21.75" hidden="false" customHeight="true" outlineLevel="0" collapsed="false">
      <c r="A186" s="70" t="n">
        <f aca="false">Data!A186</f>
        <v>185</v>
      </c>
      <c r="B186" s="70" t="str">
        <f aca="false">IFERROR(INDEX(対訳マスタ!$C$2:$C$136,MATCH(Data!B186,対訳マスタ!$B$2:$B$136,0)),Data!B186)</f>
        <v>コミュニケーション言語活動</v>
      </c>
      <c r="C186" s="70" t="str">
        <f aca="false">IF(Data!C186="—","—",IFERROR(INDEX(対訳マスタ!$C$2:$C$136,MATCH(Data!C186,対訳マスタ!$B$2:$B$136,0)),Data!C186))</f>
        <v>受容</v>
      </c>
      <c r="D186" s="70" t="str">
        <f aca="false">IF(Data!D186="—","—",IFERROR(INDEX(対訳マスタ!$C$2:$C$136,MATCH(Data!D186,対訳マスタ!$B$2:$B$136,0)),Data!D186))</f>
        <v>読解（読むこと）</v>
      </c>
      <c r="E186" s="70" t="str">
        <f aca="false">IFERROR(INDEX(対訳マスタ!$C$2:$C$136,MATCH(Data!E186,対訳マスタ!$B$2:$B$136,0)),Data!E186)</f>
        <v>説明書・指示を読む</v>
      </c>
      <c r="F186" s="70" t="str">
        <f aca="false">Data!F186</f>
        <v>A2</v>
      </c>
      <c r="G186" s="31" t="str">
        <f aca="false">Data!G186</f>
        <v>Can follow a simple recipe, especially if there are pictures to illustrate the most important steps.</v>
      </c>
      <c r="H186" s="71" t="s">
        <v>2541</v>
      </c>
      <c r="I186" s="79" t="s">
        <v>3089</v>
      </c>
    </row>
    <row r="187" customFormat="false" ht="15" hidden="false" customHeight="true" outlineLevel="0" collapsed="false">
      <c r="A187" s="70" t="n">
        <f aca="false">Data!A187</f>
        <v>186</v>
      </c>
      <c r="B187" s="70" t="str">
        <f aca="false">IFERROR(INDEX(対訳マスタ!$C$2:$C$136,MATCH(Data!B187,対訳マスタ!$B$2:$B$136,0)),Data!B187)</f>
        <v>コミュニケーション言語活動</v>
      </c>
      <c r="C187" s="70" t="str">
        <f aca="false">IF(Data!C187="—","—",IFERROR(INDEX(対訳マスタ!$C$2:$C$136,MATCH(Data!C187,対訳マスタ!$B$2:$B$136,0)),Data!C187))</f>
        <v>受容</v>
      </c>
      <c r="D187" s="70" t="str">
        <f aca="false">IF(Data!D187="—","—",IFERROR(INDEX(対訳マスタ!$C$2:$C$136,MATCH(Data!D187,対訳マスタ!$B$2:$B$136,0)),Data!D187))</f>
        <v>読解（読むこと）</v>
      </c>
      <c r="E187" s="70" t="str">
        <f aca="false">IFERROR(INDEX(対訳マスタ!$C$2:$C$136,MATCH(Data!E187,対訳マスタ!$B$2:$B$136,0)),Data!E187)</f>
        <v>説明書・指示を読む</v>
      </c>
      <c r="F187" s="70" t="str">
        <f aca="false">Data!F187</f>
        <v>A1</v>
      </c>
      <c r="G187" s="31" t="str">
        <f aca="false">Data!G187</f>
        <v>Can follow short, simple directions (e.g. to go from X to Y).</v>
      </c>
      <c r="H187" s="71" t="s">
        <v>2540</v>
      </c>
      <c r="I187" s="79" t="s">
        <v>3089</v>
      </c>
    </row>
    <row r="188" customFormat="false" ht="26.25" hidden="false" customHeight="true" outlineLevel="0" collapsed="false">
      <c r="A188" s="70" t="n">
        <f aca="false">Data!A188</f>
        <v>187</v>
      </c>
      <c r="B188" s="70" t="str">
        <f aca="false">IFERROR(INDEX(対訳マスタ!$C$2:$C$136,MATCH(Data!B188,対訳マスタ!$B$2:$B$136,0)),Data!B188)</f>
        <v>コミュニケーション言語活動</v>
      </c>
      <c r="C188" s="70" t="str">
        <f aca="false">IF(Data!C188="—","—",IFERROR(INDEX(対訳マスタ!$C$2:$C$136,MATCH(Data!C188,対訳マスタ!$B$2:$B$136,0)),Data!C188))</f>
        <v>受容</v>
      </c>
      <c r="D188" s="70" t="str">
        <f aca="false">IF(Data!D188="—","—",IFERROR(INDEX(対訳マスタ!$C$2:$C$136,MATCH(Data!D188,対訳マスタ!$B$2:$B$136,0)),Data!D188))</f>
        <v>読解（読むこと）</v>
      </c>
      <c r="E188" s="70" t="str">
        <f aca="false">IFERROR(INDEX(対訳マスタ!$C$2:$C$136,MATCH(Data!E188,対訳マスタ!$B$2:$B$136,0)),Data!E188)</f>
        <v>説明書・指示を読む</v>
      </c>
      <c r="F188" s="70" t="str">
        <f aca="false">Data!F188</f>
        <v>Pre-A1</v>
      </c>
      <c r="G188" s="31" t="str">
        <f aca="false">Data!G188</f>
        <v>Can understand very short, simple, instructions used in familiar everyday contexts (e.g. “No parking”, “No food or drink”), especially if there are illustrations.</v>
      </c>
      <c r="H188" s="71" t="s">
        <v>2539</v>
      </c>
      <c r="I188" s="79" t="s">
        <v>3089</v>
      </c>
    </row>
    <row r="189" customFormat="false" ht="32.25" hidden="false" customHeight="true" outlineLevel="0" collapsed="false">
      <c r="A189" s="70" t="n">
        <f aca="false">Data!A189</f>
        <v>188</v>
      </c>
      <c r="B189" s="70" t="str">
        <f aca="false">IFERROR(INDEX(対訳マスタ!$C$2:$C$136,MATCH(Data!B189,対訳マスタ!$B$2:$B$136,0)),Data!B189)</f>
        <v>コミュニケーション言語活動</v>
      </c>
      <c r="C189" s="70" t="str">
        <f aca="false">IF(Data!C189="—","—",IFERROR(INDEX(対訳マスタ!$C$2:$C$136,MATCH(Data!C189,対訳マスタ!$B$2:$B$136,0)),Data!C189))</f>
        <v>受容</v>
      </c>
      <c r="D189" s="70" t="str">
        <f aca="false">IF(Data!D189="—","—",IFERROR(INDEX(対訳マスタ!$C$2:$C$136,MATCH(Data!D189,対訳マスタ!$B$2:$B$136,0)),Data!D189))</f>
        <v>読解（読むこと）</v>
      </c>
      <c r="E189" s="70" t="str">
        <f aca="false">IFERROR(INDEX(対訳マスタ!$C$2:$C$136,MATCH(Data!E189,対訳マスタ!$B$2:$B$136,0)),Data!E189)</f>
        <v>娯楽としての読書</v>
      </c>
      <c r="F189" s="70" t="str">
        <f aca="false">Data!F189</f>
        <v>C2</v>
      </c>
      <c r="G189" s="31" t="str">
        <f aca="false">Data!G189</f>
        <v>Can read virtually all forms of texts including classical or colloquial literary and non-literary texts in different genres, appreciating subtle distinctions of style and implicit as well as explicit meaning.</v>
      </c>
      <c r="H189" s="71" t="s">
        <v>2554</v>
      </c>
      <c r="I189" s="79" t="s">
        <v>3089</v>
      </c>
    </row>
    <row r="190" customFormat="false" ht="26.25" hidden="false" customHeight="true" outlineLevel="0" collapsed="false">
      <c r="A190" s="70" t="n">
        <f aca="false">Data!A190</f>
        <v>189</v>
      </c>
      <c r="B190" s="70" t="str">
        <f aca="false">IFERROR(INDEX(対訳マスタ!$C$2:$C$136,MATCH(Data!B190,対訳マスタ!$B$2:$B$136,0)),Data!B190)</f>
        <v>コミュニケーション言語活動</v>
      </c>
      <c r="C190" s="70" t="str">
        <f aca="false">IF(Data!C190="—","—",IFERROR(INDEX(対訳マスタ!$C$2:$C$136,MATCH(Data!C190,対訳マスタ!$B$2:$B$136,0)),Data!C190))</f>
        <v>受容</v>
      </c>
      <c r="D190" s="70" t="str">
        <f aca="false">IF(Data!D190="—","—",IFERROR(INDEX(対訳マスタ!$C$2:$C$136,MATCH(Data!D190,対訳マスタ!$B$2:$B$136,0)),Data!D190))</f>
        <v>読解（読むこと）</v>
      </c>
      <c r="E190" s="70" t="str">
        <f aca="false">IFERROR(INDEX(対訳マスタ!$C$2:$C$136,MATCH(Data!E190,対訳マスタ!$B$2:$B$136,0)),Data!E190)</f>
        <v>娯楽としての読書</v>
      </c>
      <c r="F190" s="70" t="str">
        <f aca="false">Data!F190</f>
        <v>C1</v>
      </c>
      <c r="G190" s="31" t="str">
        <f aca="false">Data!G190</f>
        <v>Can read and appreciate a variety of literary texts, provided they can reread certain sections and that they can access reference tools if they wish.</v>
      </c>
      <c r="H190" s="71" t="s">
        <v>2553</v>
      </c>
      <c r="I190" s="79" t="s">
        <v>3089</v>
      </c>
    </row>
    <row r="191" customFormat="false" ht="32.25" hidden="false" customHeight="true" outlineLevel="0" collapsed="false">
      <c r="A191" s="70" t="n">
        <f aca="false">Data!A191</f>
        <v>190</v>
      </c>
      <c r="B191" s="70" t="str">
        <f aca="false">IFERROR(INDEX(対訳マスタ!$C$2:$C$136,MATCH(Data!B191,対訳マスタ!$B$2:$B$136,0)),Data!B191)</f>
        <v>コミュニケーション言語活動</v>
      </c>
      <c r="C191" s="70" t="str">
        <f aca="false">IF(Data!C191="—","—",IFERROR(INDEX(対訳マスタ!$C$2:$C$136,MATCH(Data!C191,対訳マスタ!$B$2:$B$136,0)),Data!C191))</f>
        <v>受容</v>
      </c>
      <c r="D191" s="70" t="str">
        <f aca="false">IF(Data!D191="—","—",IFERROR(INDEX(対訳マスタ!$C$2:$C$136,MATCH(Data!D191,対訳マスタ!$B$2:$B$136,0)),Data!D191))</f>
        <v>読解（読むこと）</v>
      </c>
      <c r="E191" s="70" t="str">
        <f aca="false">IFERROR(INDEX(対訳マスタ!$C$2:$C$136,MATCH(Data!E191,対訳マスタ!$B$2:$B$136,0)),Data!E191)</f>
        <v>娯楽としての読書</v>
      </c>
      <c r="F191" s="70" t="str">
        <f aca="false">Data!F191</f>
        <v>C1</v>
      </c>
      <c r="G191" s="31" t="str">
        <f aca="false">Data!G191</f>
        <v>Can read contemporary literary texts and non-fiction produced in the standard form of the language or a familiar variety with little difficulty and with appreciation of implicit meanings and ideas.</v>
      </c>
      <c r="H191" s="71" t="s">
        <v>3173</v>
      </c>
      <c r="I191" s="79" t="s">
        <v>3089</v>
      </c>
    </row>
    <row r="192" customFormat="false" ht="42.75" hidden="false" customHeight="true" outlineLevel="0" collapsed="false">
      <c r="A192" s="70" t="n">
        <f aca="false">Data!A192</f>
        <v>191</v>
      </c>
      <c r="B192" s="70" t="str">
        <f aca="false">IFERROR(INDEX(対訳マスタ!$C$2:$C$136,MATCH(Data!B192,対訳マスタ!$B$2:$B$136,0)),Data!B192)</f>
        <v>コミュニケーション言語活動</v>
      </c>
      <c r="C192" s="70" t="str">
        <f aca="false">IF(Data!C192="—","—",IFERROR(INDEX(対訳マスタ!$C$2:$C$136,MATCH(Data!C192,対訳マスタ!$B$2:$B$136,0)),Data!C192))</f>
        <v>受容</v>
      </c>
      <c r="D192" s="70" t="str">
        <f aca="false">IF(Data!D192="—","—",IFERROR(INDEX(対訳マスタ!$C$2:$C$136,MATCH(Data!D192,対訳マスタ!$B$2:$B$136,0)),Data!D192))</f>
        <v>読解（読むこと）</v>
      </c>
      <c r="E192" s="70" t="str">
        <f aca="false">IFERROR(INDEX(対訳マスタ!$C$2:$C$136,MATCH(Data!E192,対訳マスタ!$B$2:$B$136,0)),Data!E192)</f>
        <v>娯楽としての読書</v>
      </c>
      <c r="F192" s="70" t="str">
        <f aca="false">Data!F192</f>
        <v>B2</v>
      </c>
      <c r="G192" s="31" t="str">
        <f aca="false">Data!G192</f>
        <v>Can read for pleasure with a large degree of independence, adapting style and speed of reading to different texts (e.g. magazines, more straightforward novels, history books, biographies, travelogues, guides, lyrics, poems), using appropriate reference sources selectively.</v>
      </c>
      <c r="H192" s="71" t="s">
        <v>3174</v>
      </c>
      <c r="I192" s="79" t="s">
        <v>3089</v>
      </c>
    </row>
    <row r="193" customFormat="false" ht="26.25" hidden="false" customHeight="true" outlineLevel="0" collapsed="false">
      <c r="A193" s="70" t="n">
        <f aca="false">Data!A193</f>
        <v>192</v>
      </c>
      <c r="B193" s="70" t="str">
        <f aca="false">IFERROR(INDEX(対訳マスタ!$C$2:$C$136,MATCH(Data!B193,対訳マスタ!$B$2:$B$136,0)),Data!B193)</f>
        <v>コミュニケーション言語活動</v>
      </c>
      <c r="C193" s="70" t="str">
        <f aca="false">IF(Data!C193="—","—",IFERROR(INDEX(対訳マスタ!$C$2:$C$136,MATCH(Data!C193,対訳マスタ!$B$2:$B$136,0)),Data!C193))</f>
        <v>受容</v>
      </c>
      <c r="D193" s="70" t="str">
        <f aca="false">IF(Data!D193="—","—",IFERROR(INDEX(対訳マスタ!$C$2:$C$136,MATCH(Data!D193,対訳マスタ!$B$2:$B$136,0)),Data!D193))</f>
        <v>読解（読むこと）</v>
      </c>
      <c r="E193" s="70" t="str">
        <f aca="false">IFERROR(INDEX(対訳マスタ!$C$2:$C$136,MATCH(Data!E193,対訳マスタ!$B$2:$B$136,0)),Data!E193)</f>
        <v>娯楽としての読書</v>
      </c>
      <c r="F193" s="70" t="str">
        <f aca="false">Data!F193</f>
        <v>B2</v>
      </c>
      <c r="G193" s="31" t="str">
        <f aca="false">Data!G193</f>
        <v>Can read novels with a strong, narrative plot and that use straightforward, unelaborated language, provided they can take their time and use a dictionary.</v>
      </c>
      <c r="H193" s="71" t="s">
        <v>2552</v>
      </c>
      <c r="I193" s="79" t="s">
        <v>3089</v>
      </c>
    </row>
    <row r="194" customFormat="false" ht="21.75" hidden="false" customHeight="true" outlineLevel="0" collapsed="false">
      <c r="A194" s="70" t="n">
        <f aca="false">Data!A194</f>
        <v>193</v>
      </c>
      <c r="B194" s="70" t="str">
        <f aca="false">IFERROR(INDEX(対訳マスタ!$C$2:$C$136,MATCH(Data!B194,対訳マスタ!$B$2:$B$136,0)),Data!B194)</f>
        <v>コミュニケーション言語活動</v>
      </c>
      <c r="C194" s="70" t="str">
        <f aca="false">IF(Data!C194="—","—",IFERROR(INDEX(対訳マスタ!$C$2:$C$136,MATCH(Data!C194,対訳マスタ!$B$2:$B$136,0)),Data!C194))</f>
        <v>受容</v>
      </c>
      <c r="D194" s="70" t="str">
        <f aca="false">IF(Data!D194="—","—",IFERROR(INDEX(対訳マスタ!$C$2:$C$136,MATCH(Data!D194,対訳マスタ!$B$2:$B$136,0)),Data!D194))</f>
        <v>読解（読むこと）</v>
      </c>
      <c r="E194" s="70" t="str">
        <f aca="false">IFERROR(INDEX(対訳マスタ!$C$2:$C$136,MATCH(Data!E194,対訳マスタ!$B$2:$B$136,0)),Data!E194)</f>
        <v>娯楽としての読書</v>
      </c>
      <c r="F194" s="70" t="str">
        <f aca="false">Data!F194</f>
        <v>B1+</v>
      </c>
      <c r="G194" s="31" t="str">
        <f aca="false">Data!G194</f>
        <v>Can read newspaper/magazine accounts of films, books, concerts, etc. produced for a wider audience and understand the main points.</v>
      </c>
      <c r="H194" s="71" t="s">
        <v>3175</v>
      </c>
      <c r="I194" s="79" t="s">
        <v>3089</v>
      </c>
    </row>
    <row r="195" customFormat="false" ht="21.75" hidden="false" customHeight="true" outlineLevel="0" collapsed="false">
      <c r="A195" s="70" t="n">
        <f aca="false">Data!A195</f>
        <v>194</v>
      </c>
      <c r="B195" s="70" t="str">
        <f aca="false">IFERROR(INDEX(対訳マスタ!$C$2:$C$136,MATCH(Data!B195,対訳マスタ!$B$2:$B$136,0)),Data!B195)</f>
        <v>コミュニケーション言語活動</v>
      </c>
      <c r="C195" s="70" t="str">
        <f aca="false">IF(Data!C195="—","—",IFERROR(INDEX(対訳マスタ!$C$2:$C$136,MATCH(Data!C195,対訳マスタ!$B$2:$B$136,0)),Data!C195))</f>
        <v>受容</v>
      </c>
      <c r="D195" s="70" t="str">
        <f aca="false">IF(Data!D195="—","—",IFERROR(INDEX(対訳マスタ!$C$2:$C$136,MATCH(Data!D195,対訳マスタ!$B$2:$B$136,0)),Data!D195))</f>
        <v>読解（読むこと）</v>
      </c>
      <c r="E195" s="70" t="str">
        <f aca="false">IFERROR(INDEX(対訳マスタ!$C$2:$C$136,MATCH(Data!E195,対訳マスタ!$B$2:$B$136,0)),Data!E195)</f>
        <v>娯楽としての読書</v>
      </c>
      <c r="F195" s="70" t="str">
        <f aca="false">Data!F195</f>
        <v>B1+</v>
      </c>
      <c r="G195" s="31" t="str">
        <f aca="false">Data!G195</f>
        <v>Can understand simple poems and song lyrics provided these employ straightforward language and style.</v>
      </c>
      <c r="H195" s="71" t="s">
        <v>2551</v>
      </c>
      <c r="I195" s="79" t="s">
        <v>3089</v>
      </c>
    </row>
    <row r="196" customFormat="false" ht="32.25" hidden="false" customHeight="true" outlineLevel="0" collapsed="false">
      <c r="A196" s="70" t="n">
        <f aca="false">Data!A196</f>
        <v>195</v>
      </c>
      <c r="B196" s="70" t="str">
        <f aca="false">IFERROR(INDEX(対訳マスタ!$C$2:$C$136,MATCH(Data!B196,対訳マスタ!$B$2:$B$136,0)),Data!B196)</f>
        <v>コミュニケーション言語活動</v>
      </c>
      <c r="C196" s="70" t="str">
        <f aca="false">IF(Data!C196="—","—",IFERROR(INDEX(対訳マスタ!$C$2:$C$136,MATCH(Data!C196,対訳マスタ!$B$2:$B$136,0)),Data!C196))</f>
        <v>受容</v>
      </c>
      <c r="D196" s="70" t="str">
        <f aca="false">IF(Data!D196="—","—",IFERROR(INDEX(対訳マスタ!$C$2:$C$136,MATCH(Data!D196,対訳マスタ!$B$2:$B$136,0)),Data!D196))</f>
        <v>読解（読むこと）</v>
      </c>
      <c r="E196" s="70" t="str">
        <f aca="false">IFERROR(INDEX(対訳マスタ!$C$2:$C$136,MATCH(Data!E196,対訳マスタ!$B$2:$B$136,0)),Data!E196)</f>
        <v>娯楽としての読書</v>
      </c>
      <c r="F196" s="70" t="str">
        <f aca="false">Data!F196</f>
        <v>B1</v>
      </c>
      <c r="G196" s="31" t="str">
        <f aca="false">Data!G196</f>
        <v>Can understand descriptions of places, events, explicitly expressed feelings and perspectives in narratives, guides and magazine articles that employ high frequency everyday language.</v>
      </c>
      <c r="H196" s="71" t="s">
        <v>3176</v>
      </c>
      <c r="I196" s="79" t="s">
        <v>3089</v>
      </c>
    </row>
    <row r="197" customFormat="false" ht="21.75" hidden="false" customHeight="true" outlineLevel="0" collapsed="false">
      <c r="A197" s="70" t="n">
        <f aca="false">Data!A197</f>
        <v>196</v>
      </c>
      <c r="B197" s="70" t="str">
        <f aca="false">IFERROR(INDEX(対訳マスタ!$C$2:$C$136,MATCH(Data!B197,対訳マスタ!$B$2:$B$136,0)),Data!B197)</f>
        <v>コミュニケーション言語活動</v>
      </c>
      <c r="C197" s="70" t="str">
        <f aca="false">IF(Data!C197="—","—",IFERROR(INDEX(対訳マスタ!$C$2:$C$136,MATCH(Data!C197,対訳マスタ!$B$2:$B$136,0)),Data!C197))</f>
        <v>受容</v>
      </c>
      <c r="D197" s="70" t="str">
        <f aca="false">IF(Data!D197="—","—",IFERROR(INDEX(対訳マスタ!$C$2:$C$136,MATCH(Data!D197,対訳マスタ!$B$2:$B$136,0)),Data!D197))</f>
        <v>読解（読むこと）</v>
      </c>
      <c r="E197" s="70" t="str">
        <f aca="false">IFERROR(INDEX(対訳マスタ!$C$2:$C$136,MATCH(Data!E197,対訳マスタ!$B$2:$B$136,0)),Data!E197)</f>
        <v>娯楽としての読書</v>
      </c>
      <c r="F197" s="70" t="str">
        <f aca="false">Data!F197</f>
        <v>B1</v>
      </c>
      <c r="G197" s="31" t="str">
        <f aca="false">Data!G197</f>
        <v>Can understand a travel diary mainly describing the events of a journey and the experiences and discoveries of the writer.</v>
      </c>
      <c r="H197" s="71" t="s">
        <v>2550</v>
      </c>
      <c r="I197" s="79" t="s">
        <v>3089</v>
      </c>
    </row>
    <row r="198" customFormat="false" ht="21.75" hidden="false" customHeight="true" outlineLevel="0" collapsed="false">
      <c r="A198" s="70" t="n">
        <f aca="false">Data!A198</f>
        <v>197</v>
      </c>
      <c r="B198" s="70" t="str">
        <f aca="false">IFERROR(INDEX(対訳マスタ!$C$2:$C$136,MATCH(Data!B198,対訳マスタ!$B$2:$B$136,0)),Data!B198)</f>
        <v>コミュニケーション言語活動</v>
      </c>
      <c r="C198" s="70" t="str">
        <f aca="false">IF(Data!C198="—","—",IFERROR(INDEX(対訳マスタ!$C$2:$C$136,MATCH(Data!C198,対訳マスタ!$B$2:$B$136,0)),Data!C198))</f>
        <v>受容</v>
      </c>
      <c r="D198" s="70" t="str">
        <f aca="false">IF(Data!D198="—","—",IFERROR(INDEX(対訳マスタ!$C$2:$C$136,MATCH(Data!D198,対訳マスタ!$B$2:$B$136,0)),Data!D198))</f>
        <v>読解（読むこと）</v>
      </c>
      <c r="E198" s="70" t="str">
        <f aca="false">IFERROR(INDEX(対訳マスタ!$C$2:$C$136,MATCH(Data!E198,対訳マスタ!$B$2:$B$136,0)),Data!E198)</f>
        <v>娯楽としての読書</v>
      </c>
      <c r="F198" s="70" t="str">
        <f aca="false">Data!F198</f>
        <v>B1</v>
      </c>
      <c r="G198" s="31" t="str">
        <f aca="false">Data!G198</f>
        <v>Can follow the plot of stories, simple novels and comics with a clear linear storyline and high frequency everyday language, given regular use of a dictionary.</v>
      </c>
      <c r="H198" s="71" t="s">
        <v>3177</v>
      </c>
      <c r="I198" s="79" t="s">
        <v>3089</v>
      </c>
    </row>
    <row r="199" customFormat="false" ht="26.25" hidden="false" customHeight="true" outlineLevel="0" collapsed="false">
      <c r="A199" s="70" t="n">
        <f aca="false">Data!A199</f>
        <v>198</v>
      </c>
      <c r="B199" s="70" t="str">
        <f aca="false">IFERROR(INDEX(対訳マスタ!$C$2:$C$136,MATCH(Data!B199,対訳マスタ!$B$2:$B$136,0)),Data!B199)</f>
        <v>コミュニケーション言語活動</v>
      </c>
      <c r="C199" s="70" t="str">
        <f aca="false">IF(Data!C199="—","—",IFERROR(INDEX(対訳マスタ!$C$2:$C$136,MATCH(Data!C199,対訳マスタ!$B$2:$B$136,0)),Data!C199))</f>
        <v>受容</v>
      </c>
      <c r="D199" s="70" t="str">
        <f aca="false">IF(Data!D199="—","—",IFERROR(INDEX(対訳マスタ!$C$2:$C$136,MATCH(Data!D199,対訳マスタ!$B$2:$B$136,0)),Data!D199))</f>
        <v>読解（読むこと）</v>
      </c>
      <c r="E199" s="70" t="str">
        <f aca="false">IFERROR(INDEX(対訳マスタ!$C$2:$C$136,MATCH(Data!E199,対訳マスタ!$B$2:$B$136,0)),Data!E199)</f>
        <v>娯楽としての読書</v>
      </c>
      <c r="F199" s="70" t="str">
        <f aca="false">Data!F199</f>
        <v>A2+</v>
      </c>
      <c r="G199" s="31" t="str">
        <f aca="false">Data!G199</f>
        <v>Can understand enough to read short, simple stories and comic strips involving familiar, concrete situations described in high frequency everyday language.</v>
      </c>
      <c r="H199" s="71" t="s">
        <v>2549</v>
      </c>
      <c r="I199" s="79" t="s">
        <v>3089</v>
      </c>
    </row>
    <row r="200" customFormat="false" ht="21.75" hidden="false" customHeight="true" outlineLevel="0" collapsed="false">
      <c r="A200" s="70" t="n">
        <f aca="false">Data!A200</f>
        <v>199</v>
      </c>
      <c r="B200" s="70" t="str">
        <f aca="false">IFERROR(INDEX(対訳マスタ!$C$2:$C$136,MATCH(Data!B200,対訳マスタ!$B$2:$B$136,0)),Data!B200)</f>
        <v>コミュニケーション言語活動</v>
      </c>
      <c r="C200" s="70" t="str">
        <f aca="false">IF(Data!C200="—","—",IFERROR(INDEX(対訳マスタ!$C$2:$C$136,MATCH(Data!C200,対訳マスタ!$B$2:$B$136,0)),Data!C200))</f>
        <v>受容</v>
      </c>
      <c r="D200" s="70" t="str">
        <f aca="false">IF(Data!D200="—","—",IFERROR(INDEX(対訳マスタ!$C$2:$C$136,MATCH(Data!D200,対訳マスタ!$B$2:$B$136,0)),Data!D200))</f>
        <v>読解（読むこと）</v>
      </c>
      <c r="E200" s="70" t="str">
        <f aca="false">IFERROR(INDEX(対訳マスタ!$C$2:$C$136,MATCH(Data!E200,対訳マスタ!$B$2:$B$136,0)),Data!E200)</f>
        <v>娯楽としての読書</v>
      </c>
      <c r="F200" s="70" t="str">
        <f aca="false">Data!F200</f>
        <v>A2+</v>
      </c>
      <c r="G200" s="31" t="str">
        <f aca="false">Data!G200</f>
        <v>Can understand the main points made in short magazine reports or guide entries that deal with concrete everyday topics (e.g. hobbies, sports, leisure activities, animals).</v>
      </c>
      <c r="H200" s="71" t="s">
        <v>3178</v>
      </c>
      <c r="I200" s="79" t="s">
        <v>3089</v>
      </c>
    </row>
    <row r="201" customFormat="false" ht="21.75" hidden="false" customHeight="true" outlineLevel="0" collapsed="false">
      <c r="A201" s="70" t="n">
        <f aca="false">Data!A201</f>
        <v>200</v>
      </c>
      <c r="B201" s="70" t="str">
        <f aca="false">IFERROR(INDEX(対訳マスタ!$C$2:$C$136,MATCH(Data!B201,対訳マスタ!$B$2:$B$136,0)),Data!B201)</f>
        <v>コミュニケーション言語活動</v>
      </c>
      <c r="C201" s="70" t="str">
        <f aca="false">IF(Data!C201="—","—",IFERROR(INDEX(対訳マスタ!$C$2:$C$136,MATCH(Data!C201,対訳マスタ!$B$2:$B$136,0)),Data!C201))</f>
        <v>受容</v>
      </c>
      <c r="D201" s="70" t="str">
        <f aca="false">IF(Data!D201="—","—",IFERROR(INDEX(対訳マスタ!$C$2:$C$136,MATCH(Data!D201,対訳マスタ!$B$2:$B$136,0)),Data!D201))</f>
        <v>読解（読むこと）</v>
      </c>
      <c r="E201" s="70" t="str">
        <f aca="false">IFERROR(INDEX(対訳マスタ!$C$2:$C$136,MATCH(Data!E201,対訳マスタ!$B$2:$B$136,0)),Data!E201)</f>
        <v>娯楽としての読書</v>
      </c>
      <c r="F201" s="70" t="str">
        <f aca="false">Data!F201</f>
        <v>A2</v>
      </c>
      <c r="G201" s="31" t="str">
        <f aca="false">Data!G201</f>
        <v>Can understand short narratives and descriptions of someone’s life composed in simple language.</v>
      </c>
      <c r="H201" s="71" t="s">
        <v>2548</v>
      </c>
      <c r="I201" s="79" t="s">
        <v>3089</v>
      </c>
    </row>
    <row r="202" customFormat="false" ht="21.75" hidden="false" customHeight="true" outlineLevel="0" collapsed="false">
      <c r="A202" s="70" t="n">
        <f aca="false">Data!A202</f>
        <v>201</v>
      </c>
      <c r="B202" s="70" t="str">
        <f aca="false">IFERROR(INDEX(対訳マスタ!$C$2:$C$136,MATCH(Data!B202,対訳マスタ!$B$2:$B$136,0)),Data!B202)</f>
        <v>コミュニケーション言語活動</v>
      </c>
      <c r="C202" s="70" t="str">
        <f aca="false">IF(Data!C202="—","—",IFERROR(INDEX(対訳マスタ!$C$2:$C$136,MATCH(Data!C202,対訳マスタ!$B$2:$B$136,0)),Data!C202))</f>
        <v>受容</v>
      </c>
      <c r="D202" s="70" t="str">
        <f aca="false">IF(Data!D202="—","—",IFERROR(INDEX(対訳マスタ!$C$2:$C$136,MATCH(Data!D202,対訳マスタ!$B$2:$B$136,0)),Data!D202))</f>
        <v>読解（読むこと）</v>
      </c>
      <c r="E202" s="70" t="str">
        <f aca="false">IFERROR(INDEX(対訳マスタ!$C$2:$C$136,MATCH(Data!E202,対訳マスタ!$B$2:$B$136,0)),Data!E202)</f>
        <v>娯楽としての読書</v>
      </c>
      <c r="F202" s="70" t="str">
        <f aca="false">Data!F202</f>
        <v>A2</v>
      </c>
      <c r="G202" s="31" t="str">
        <f aca="false">Data!G202</f>
        <v>Can understand what is happening in a photo story (e.g. in a lifestyle magazine) and form an impression of what the characters are like.</v>
      </c>
      <c r="H202" s="71" t="s">
        <v>3179</v>
      </c>
      <c r="I202" s="79" t="s">
        <v>3089</v>
      </c>
    </row>
    <row r="203" customFormat="false" ht="21.75" hidden="false" customHeight="true" outlineLevel="0" collapsed="false">
      <c r="A203" s="70" t="n">
        <f aca="false">Data!A203</f>
        <v>202</v>
      </c>
      <c r="B203" s="70" t="str">
        <f aca="false">IFERROR(INDEX(対訳マスタ!$C$2:$C$136,MATCH(Data!B203,対訳マスタ!$B$2:$B$136,0)),Data!B203)</f>
        <v>コミュニケーション言語活動</v>
      </c>
      <c r="C203" s="70" t="str">
        <f aca="false">IF(Data!C203="—","—",IFERROR(INDEX(対訳マスタ!$C$2:$C$136,MATCH(Data!C203,対訳マスタ!$B$2:$B$136,0)),Data!C203))</f>
        <v>受容</v>
      </c>
      <c r="D203" s="70" t="str">
        <f aca="false">IF(Data!D203="—","—",IFERROR(INDEX(対訳マスタ!$C$2:$C$136,MATCH(Data!D203,対訳マスタ!$B$2:$B$136,0)),Data!D203))</f>
        <v>読解（読むこと）</v>
      </c>
      <c r="E203" s="70" t="str">
        <f aca="false">IFERROR(INDEX(対訳マスタ!$C$2:$C$136,MATCH(Data!E203,対訳マスタ!$B$2:$B$136,0)),Data!E203)</f>
        <v>娯楽としての読書</v>
      </c>
      <c r="F203" s="70" t="str">
        <f aca="false">Data!F203</f>
        <v>A2</v>
      </c>
      <c r="G203" s="31" t="str">
        <f aca="false">Data!G203</f>
        <v>Can understand much of the information provided in a short description of a person (e.g. a celebrity).</v>
      </c>
      <c r="H203" s="71" t="s">
        <v>3180</v>
      </c>
      <c r="I203" s="79" t="s">
        <v>3089</v>
      </c>
    </row>
    <row r="204" customFormat="false" ht="21.75" hidden="false" customHeight="true" outlineLevel="0" collapsed="false">
      <c r="A204" s="70" t="n">
        <f aca="false">Data!A204</f>
        <v>203</v>
      </c>
      <c r="B204" s="70" t="str">
        <f aca="false">IFERROR(INDEX(対訳マスタ!$C$2:$C$136,MATCH(Data!B204,対訳マスタ!$B$2:$B$136,0)),Data!B204)</f>
        <v>コミュニケーション言語活動</v>
      </c>
      <c r="C204" s="70" t="str">
        <f aca="false">IF(Data!C204="—","—",IFERROR(INDEX(対訳マスタ!$C$2:$C$136,MATCH(Data!C204,対訳マスタ!$B$2:$B$136,0)),Data!C204))</f>
        <v>受容</v>
      </c>
      <c r="D204" s="70" t="str">
        <f aca="false">IF(Data!D204="—","—",IFERROR(INDEX(対訳マスタ!$C$2:$C$136,MATCH(Data!D204,対訳マスタ!$B$2:$B$136,0)),Data!D204))</f>
        <v>読解（読むこと）</v>
      </c>
      <c r="E204" s="70" t="str">
        <f aca="false">IFERROR(INDEX(対訳マスタ!$C$2:$C$136,MATCH(Data!E204,対訳マスタ!$B$2:$B$136,0)),Data!E204)</f>
        <v>娯楽としての読書</v>
      </c>
      <c r="F204" s="70" t="str">
        <f aca="false">Data!F204</f>
        <v>A2</v>
      </c>
      <c r="G204" s="31" t="str">
        <f aca="false">Data!G204</f>
        <v>Can understand the main point of a short article reporting an event that follows a predictable pattern (e.g. the Oscars), provided it is composed clearly in simple language.</v>
      </c>
      <c r="H204" s="71" t="s">
        <v>3181</v>
      </c>
      <c r="I204" s="79" t="s">
        <v>3089</v>
      </c>
    </row>
    <row r="205" customFormat="false" ht="21.75" hidden="false" customHeight="true" outlineLevel="0" collapsed="false">
      <c r="A205" s="70" t="n">
        <f aca="false">Data!A205</f>
        <v>204</v>
      </c>
      <c r="B205" s="70" t="str">
        <f aca="false">IFERROR(INDEX(対訳マスタ!$C$2:$C$136,MATCH(Data!B205,対訳マスタ!$B$2:$B$136,0)),Data!B205)</f>
        <v>コミュニケーション言語活動</v>
      </c>
      <c r="C205" s="70" t="str">
        <f aca="false">IF(Data!C205="—","—",IFERROR(INDEX(対訳マスタ!$C$2:$C$136,MATCH(Data!C205,対訳マスタ!$B$2:$B$136,0)),Data!C205))</f>
        <v>受容</v>
      </c>
      <c r="D205" s="70" t="str">
        <f aca="false">IF(Data!D205="—","—",IFERROR(INDEX(対訳マスタ!$C$2:$C$136,MATCH(Data!D205,対訳マスタ!$B$2:$B$136,0)),Data!D205))</f>
        <v>読解（読むこと）</v>
      </c>
      <c r="E205" s="70" t="str">
        <f aca="false">IFERROR(INDEX(対訳マスタ!$C$2:$C$136,MATCH(Data!E205,対訳マスタ!$B$2:$B$136,0)),Data!E205)</f>
        <v>娯楽としての読書</v>
      </c>
      <c r="F205" s="70" t="str">
        <f aca="false">Data!F205</f>
        <v>A1</v>
      </c>
      <c r="G205" s="31" t="str">
        <f aca="false">Data!G205</f>
        <v>Can understand short, illustrated narratives about everyday activities described in simple words.</v>
      </c>
      <c r="H205" s="71" t="s">
        <v>2547</v>
      </c>
      <c r="I205" s="79" t="s">
        <v>3089</v>
      </c>
    </row>
    <row r="206" customFormat="false" ht="21.75" hidden="false" customHeight="true" outlineLevel="0" collapsed="false">
      <c r="A206" s="70" t="n">
        <f aca="false">Data!A206</f>
        <v>205</v>
      </c>
      <c r="B206" s="70" t="str">
        <f aca="false">IFERROR(INDEX(対訳マスタ!$C$2:$C$136,MATCH(Data!B206,対訳マスタ!$B$2:$B$136,0)),Data!B206)</f>
        <v>コミュニケーション言語活動</v>
      </c>
      <c r="C206" s="70" t="str">
        <f aca="false">IF(Data!C206="—","—",IFERROR(INDEX(対訳マスタ!$C$2:$C$136,MATCH(Data!C206,対訳マスタ!$B$2:$B$136,0)),Data!C206))</f>
        <v>受容</v>
      </c>
      <c r="D206" s="70" t="str">
        <f aca="false">IF(Data!D206="—","—",IFERROR(INDEX(対訳マスタ!$C$2:$C$136,MATCH(Data!D206,対訳マスタ!$B$2:$B$136,0)),Data!D206))</f>
        <v>読解（読むこと）</v>
      </c>
      <c r="E206" s="70" t="str">
        <f aca="false">IFERROR(INDEX(対訳マスタ!$C$2:$C$136,MATCH(Data!E206,対訳マスタ!$B$2:$B$136,0)),Data!E206)</f>
        <v>娯楽としての読書</v>
      </c>
      <c r="F206" s="70" t="str">
        <f aca="false">Data!F206</f>
        <v>A1</v>
      </c>
      <c r="G206" s="31" t="str">
        <f aca="false">Data!G206</f>
        <v>Can understand in outline short texts in illustrated stories, provided the images help them to guess at a lot of the content.</v>
      </c>
      <c r="H206" s="71" t="s">
        <v>3182</v>
      </c>
      <c r="I206" s="79" t="s">
        <v>3089</v>
      </c>
    </row>
    <row r="207" customFormat="false" ht="15" hidden="false" customHeight="true" outlineLevel="0" collapsed="false">
      <c r="A207" s="80" t="n">
        <f aca="false">Data!A207</f>
        <v>206</v>
      </c>
      <c r="B207" s="80" t="str">
        <f aca="false">IFERROR(INDEX(対訳マスタ!$C$2:$C$136,MATCH(Data!B207,対訳マスタ!$B$2:$B$136,0)),Data!B207)</f>
        <v>コミュニケーション言語活動</v>
      </c>
      <c r="C207" s="80" t="str">
        <f aca="false">IF(Data!C207="—","—",IFERROR(INDEX(対訳マスタ!$C$2:$C$136,MATCH(Data!C207,対訳マスタ!$B$2:$B$136,0)),Data!C207))</f>
        <v>受容</v>
      </c>
      <c r="D207" s="80" t="str">
        <f aca="false">IF(Data!D207="—","—",IFERROR(INDEX(対訳マスタ!$C$2:$C$136,MATCH(Data!D207,対訳マスタ!$B$2:$B$136,0)),Data!D207))</f>
        <v>読解（読むこと）</v>
      </c>
      <c r="E207" s="80" t="str">
        <f aca="false">IFERROR(INDEX(対訳マスタ!$C$2:$C$136,MATCH(Data!E207,対訳マスタ!$B$2:$B$136,0)),Data!E207)</f>
        <v>娯楽としての読書</v>
      </c>
      <c r="F207" s="80" t="str">
        <f aca="false">Data!F207</f>
        <v>Pre-A1</v>
      </c>
      <c r="G207" s="81" t="str">
        <f aca="false">Data!G207</f>
        <v>No descriptors available</v>
      </c>
      <c r="H207" s="81" t="s">
        <v>624</v>
      </c>
      <c r="I207" s="80" t="s">
        <v>624</v>
      </c>
    </row>
    <row r="208" customFormat="false" ht="15" hidden="false" customHeight="true" outlineLevel="0" collapsed="false">
      <c r="A208" s="80" t="n">
        <f aca="false">Data!A208</f>
        <v>207</v>
      </c>
      <c r="B208" s="80" t="str">
        <f aca="false">IFERROR(INDEX(対訳マスタ!$C$2:$C$136,MATCH(Data!B208,対訳マスタ!$B$2:$B$136,0)),Data!B208)</f>
        <v>コミュニケーション言語方略</v>
      </c>
      <c r="C208" s="80" t="str">
        <f aca="false">IF(Data!C208="—","—",IFERROR(INDEX(対訳マスタ!$C$2:$C$136,MATCH(Data!C208,対訳マスタ!$B$2:$B$136,0)),Data!C208))</f>
        <v>受容</v>
      </c>
      <c r="D208" s="80" t="str">
        <f aca="false">IF(Data!D208="—","—",IFERROR(INDEX(対訳マスタ!$C$2:$C$136,MATCH(Data!D208,対訳マスタ!$B$2:$B$136,0)),Data!D208))</f>
        <v>—</v>
      </c>
      <c r="E208" s="80" t="str">
        <f aca="false">IFERROR(INDEX(対訳マスタ!$C$2:$C$136,MATCH(Data!E208,対訳マスタ!$B$2:$B$136,0)),Data!E208)</f>
        <v>手がかりの特定と推論</v>
      </c>
      <c r="F208" s="80" t="str">
        <f aca="false">Data!F208</f>
        <v>C2</v>
      </c>
      <c r="G208" s="81" t="str">
        <f aca="false">Data!G208</f>
        <v>No descriptors available; see C1</v>
      </c>
      <c r="H208" s="81" t="s">
        <v>624</v>
      </c>
      <c r="I208" s="80" t="s">
        <v>624</v>
      </c>
    </row>
    <row r="209" customFormat="false" ht="26.25" hidden="false" customHeight="true" outlineLevel="0" collapsed="false">
      <c r="A209" s="70" t="n">
        <f aca="false">Data!A209</f>
        <v>208</v>
      </c>
      <c r="B209" s="70" t="str">
        <f aca="false">IFERROR(INDEX(対訳マスタ!$C$2:$C$136,MATCH(Data!B209,対訳マスタ!$B$2:$B$136,0)),Data!B209)</f>
        <v>コミュニケーション言語方略</v>
      </c>
      <c r="C209" s="70" t="str">
        <f aca="false">IF(Data!C209="—","—",IFERROR(INDEX(対訳マスタ!$C$2:$C$136,MATCH(Data!C209,対訳マスタ!$B$2:$B$136,0)),Data!C209))</f>
        <v>受容</v>
      </c>
      <c r="D209" s="70" t="str">
        <f aca="false">IF(Data!D209="—","—",IFERROR(INDEX(対訳マスタ!$C$2:$C$136,MATCH(Data!D209,対訳マスタ!$B$2:$B$136,0)),Data!D209))</f>
        <v>—</v>
      </c>
      <c r="E209" s="70" t="str">
        <f aca="false">IFERROR(INDEX(対訳マスタ!$C$2:$C$136,MATCH(Data!E209,対訳マスタ!$B$2:$B$136,0)),Data!E209)</f>
        <v>手がかりの特定と推論</v>
      </c>
      <c r="F209" s="70" t="str">
        <f aca="false">Data!F209</f>
        <v>C1</v>
      </c>
      <c r="G209" s="31" t="str">
        <f aca="false">Data!G209</f>
        <v>Is skilled at using contextual, grammatical and lexical cues to infer attitude, mood and intentions and anticipate what will come next.</v>
      </c>
      <c r="H209" s="71" t="s">
        <v>2562</v>
      </c>
      <c r="I209" s="79" t="s">
        <v>3089</v>
      </c>
    </row>
    <row r="210" customFormat="false" ht="26.25" hidden="false" customHeight="true" outlineLevel="0" collapsed="false">
      <c r="A210" s="70" t="n">
        <f aca="false">Data!A210</f>
        <v>209</v>
      </c>
      <c r="B210" s="70" t="str">
        <f aca="false">IFERROR(INDEX(対訳マスタ!$C$2:$C$136,MATCH(Data!B210,対訳マスタ!$B$2:$B$136,0)),Data!B210)</f>
        <v>コミュニケーション言語方略</v>
      </c>
      <c r="C210" s="70" t="str">
        <f aca="false">IF(Data!C210="—","—",IFERROR(INDEX(対訳マスタ!$C$2:$C$136,MATCH(Data!C210,対訳マスタ!$B$2:$B$136,0)),Data!C210))</f>
        <v>受容</v>
      </c>
      <c r="D210" s="70" t="str">
        <f aca="false">IF(Data!D210="—","—",IFERROR(INDEX(対訳マスタ!$C$2:$C$136,MATCH(Data!D210,対訳マスタ!$B$2:$B$136,0)),Data!D210))</f>
        <v>—</v>
      </c>
      <c r="E210" s="70" t="str">
        <f aca="false">IFERROR(INDEX(対訳マスタ!$C$2:$C$136,MATCH(Data!E210,対訳マスタ!$B$2:$B$136,0)),Data!E210)</f>
        <v>手がかりの特定と推論</v>
      </c>
      <c r="F210" s="70" t="str">
        <f aca="false">Data!F210</f>
        <v>B2</v>
      </c>
      <c r="G210" s="31" t="str">
        <f aca="false">Data!G210</f>
        <v>Can use a variety of strategies to achieve comprehension, including watching out for main points and checking comprehension by using contextual clues.</v>
      </c>
      <c r="H210" s="71" t="s">
        <v>2561</v>
      </c>
      <c r="I210" s="79" t="s">
        <v>3089</v>
      </c>
    </row>
    <row r="211" customFormat="false" ht="32.25" hidden="false" customHeight="true" outlineLevel="0" collapsed="false">
      <c r="A211" s="70" t="n">
        <f aca="false">Data!A211</f>
        <v>210</v>
      </c>
      <c r="B211" s="70" t="str">
        <f aca="false">IFERROR(INDEX(対訳マスタ!$C$2:$C$136,MATCH(Data!B211,対訳マスタ!$B$2:$B$136,0)),Data!B211)</f>
        <v>コミュニケーション言語方略</v>
      </c>
      <c r="C211" s="70" t="str">
        <f aca="false">IF(Data!C211="—","—",IFERROR(INDEX(対訳マスタ!$C$2:$C$136,MATCH(Data!C211,対訳マスタ!$B$2:$B$136,0)),Data!C211))</f>
        <v>受容</v>
      </c>
      <c r="D211" s="70" t="str">
        <f aca="false">IF(Data!D211="—","—",IFERROR(INDEX(対訳マスタ!$C$2:$C$136,MATCH(Data!D211,対訳マスタ!$B$2:$B$136,0)),Data!D211))</f>
        <v>—</v>
      </c>
      <c r="E211" s="70" t="str">
        <f aca="false">IFERROR(INDEX(対訳マスタ!$C$2:$C$136,MATCH(Data!E211,対訳マスタ!$B$2:$B$136,0)),Data!E211)</f>
        <v>手がかりの特定と推論</v>
      </c>
      <c r="F211" s="70" t="str">
        <f aca="false">Data!F211</f>
        <v>B1+</v>
      </c>
      <c r="G211" s="31" t="str">
        <f aca="false">Data!G211</f>
        <v>Can exploit different types of connectors (numerical, temporal, logical) and the role of key paragraphs in the overall organisation in order to better understand the argumentation in a text.</v>
      </c>
      <c r="H211" s="71" t="s">
        <v>3183</v>
      </c>
      <c r="I211" s="79" t="s">
        <v>3089</v>
      </c>
    </row>
    <row r="212" customFormat="false" ht="21.75" hidden="false" customHeight="true" outlineLevel="0" collapsed="false">
      <c r="A212" s="70" t="n">
        <f aca="false">Data!A212</f>
        <v>211</v>
      </c>
      <c r="B212" s="70" t="str">
        <f aca="false">IFERROR(INDEX(対訳マスタ!$C$2:$C$136,MATCH(Data!B212,対訳マスタ!$B$2:$B$136,0)),Data!B212)</f>
        <v>コミュニケーション言語方略</v>
      </c>
      <c r="C212" s="70" t="str">
        <f aca="false">IF(Data!C212="—","—",IFERROR(INDEX(対訳マスタ!$C$2:$C$136,MATCH(Data!C212,対訳マスタ!$B$2:$B$136,0)),Data!C212))</f>
        <v>受容</v>
      </c>
      <c r="D212" s="70" t="str">
        <f aca="false">IF(Data!D212="—","—",IFERROR(INDEX(対訳マスタ!$C$2:$C$136,MATCH(Data!D212,対訳マスタ!$B$2:$B$136,0)),Data!D212))</f>
        <v>—</v>
      </c>
      <c r="E212" s="70" t="str">
        <f aca="false">IFERROR(INDEX(対訳マスタ!$C$2:$C$136,MATCH(Data!E212,対訳マスタ!$B$2:$B$136,0)),Data!E212)</f>
        <v>手がかりの特定と推論</v>
      </c>
      <c r="F212" s="70" t="str">
        <f aca="false">Data!F212</f>
        <v>B1+</v>
      </c>
      <c r="G212" s="31" t="str">
        <f aca="false">Data!G212</f>
        <v>Can extrapolate the meaning of a section of a text by taking into account the text as a whole.</v>
      </c>
      <c r="H212" s="71" t="s">
        <v>2560</v>
      </c>
      <c r="I212" s="79" t="s">
        <v>3089</v>
      </c>
    </row>
    <row r="213" customFormat="false" ht="21.75" hidden="false" customHeight="true" outlineLevel="0" collapsed="false">
      <c r="A213" s="70" t="n">
        <f aca="false">Data!A213</f>
        <v>212</v>
      </c>
      <c r="B213" s="70" t="str">
        <f aca="false">IFERROR(INDEX(対訳マスタ!$C$2:$C$136,MATCH(Data!B213,対訳マスタ!$B$2:$B$136,0)),Data!B213)</f>
        <v>コミュニケーション言語方略</v>
      </c>
      <c r="C213" s="70" t="str">
        <f aca="false">IF(Data!C213="—","—",IFERROR(INDEX(対訳マスタ!$C$2:$C$136,MATCH(Data!C213,対訳マスタ!$B$2:$B$136,0)),Data!C213))</f>
        <v>受容</v>
      </c>
      <c r="D213" s="70" t="str">
        <f aca="false">IF(Data!D213="—","—",IFERROR(INDEX(対訳マスタ!$C$2:$C$136,MATCH(Data!D213,対訳マスタ!$B$2:$B$136,0)),Data!D213))</f>
        <v>—</v>
      </c>
      <c r="E213" s="70" t="str">
        <f aca="false">IFERROR(INDEX(対訳マスタ!$C$2:$C$136,MATCH(Data!E213,対訳マスタ!$B$2:$B$136,0)),Data!E213)</f>
        <v>手がかりの特定と推論</v>
      </c>
      <c r="F213" s="70" t="str">
        <f aca="false">Data!F213</f>
        <v>B1+</v>
      </c>
      <c r="G213" s="31" t="str">
        <f aca="false">Data!G213</f>
        <v>Can identify the meaning of unfamiliar words/signs from the context on topics related to their field and interests.</v>
      </c>
      <c r="H213" s="71" t="s">
        <v>3184</v>
      </c>
      <c r="I213" s="79" t="s">
        <v>3089</v>
      </c>
    </row>
    <row r="214" customFormat="false" ht="21.75" hidden="false" customHeight="true" outlineLevel="0" collapsed="false">
      <c r="A214" s="70" t="n">
        <f aca="false">Data!A214</f>
        <v>213</v>
      </c>
      <c r="B214" s="70" t="str">
        <f aca="false">IFERROR(INDEX(対訳マスタ!$C$2:$C$136,MATCH(Data!B214,対訳マスタ!$B$2:$B$136,0)),Data!B214)</f>
        <v>コミュニケーション言語方略</v>
      </c>
      <c r="C214" s="70" t="str">
        <f aca="false">IF(Data!C214="—","—",IFERROR(INDEX(対訳マスタ!$C$2:$C$136,MATCH(Data!C214,対訳マスタ!$B$2:$B$136,0)),Data!C214))</f>
        <v>受容</v>
      </c>
      <c r="D214" s="70" t="str">
        <f aca="false">IF(Data!D214="—","—",IFERROR(INDEX(対訳マスタ!$C$2:$C$136,MATCH(Data!D214,対訳マスタ!$B$2:$B$136,0)),Data!D214))</f>
        <v>—</v>
      </c>
      <c r="E214" s="70" t="str">
        <f aca="false">IFERROR(INDEX(対訳マスタ!$C$2:$C$136,MATCH(Data!E214,対訳マスタ!$B$2:$B$136,0)),Data!E214)</f>
        <v>手がかりの特定と推論</v>
      </c>
      <c r="F214" s="70" t="str">
        <f aca="false">Data!F214</f>
        <v>B1+</v>
      </c>
      <c r="G214" s="31" t="str">
        <f aca="false">Data!G214</f>
        <v>Can extrapolate the meaning of occasional unknown words/signs from the context and deduce sentence meaning, provided the topic discussed is familiar.</v>
      </c>
      <c r="H214" s="71" t="s">
        <v>3185</v>
      </c>
      <c r="I214" s="79" t="s">
        <v>3089</v>
      </c>
    </row>
    <row r="215" customFormat="false" ht="21.75" hidden="false" customHeight="true" outlineLevel="0" collapsed="false">
      <c r="A215" s="70" t="n">
        <f aca="false">Data!A215</f>
        <v>214</v>
      </c>
      <c r="B215" s="70" t="str">
        <f aca="false">IFERROR(INDEX(対訳マスタ!$C$2:$C$136,MATCH(Data!B215,対訳マスタ!$B$2:$B$136,0)),Data!B215)</f>
        <v>コミュニケーション言語方略</v>
      </c>
      <c r="C215" s="70" t="str">
        <f aca="false">IF(Data!C215="—","—",IFERROR(INDEX(対訳マスタ!$C$2:$C$136,MATCH(Data!C215,対訳マスタ!$B$2:$B$136,0)),Data!C215))</f>
        <v>受容</v>
      </c>
      <c r="D215" s="70" t="str">
        <f aca="false">IF(Data!D215="—","—",IFERROR(INDEX(対訳マスタ!$C$2:$C$136,MATCH(Data!D215,対訳マスタ!$B$2:$B$136,0)),Data!D215))</f>
        <v>—</v>
      </c>
      <c r="E215" s="70" t="str">
        <f aca="false">IFERROR(INDEX(対訳マスタ!$C$2:$C$136,MATCH(Data!E215,対訳マスタ!$B$2:$B$136,0)),Data!E215)</f>
        <v>手がかりの特定と推論</v>
      </c>
      <c r="F215" s="70" t="str">
        <f aca="false">Data!F215</f>
        <v>B1</v>
      </c>
      <c r="G215" s="31" t="str">
        <f aca="false">Data!G215</f>
        <v>Can make basic inferences or predictions about text content from headings, titles or headlines.</v>
      </c>
      <c r="H215" s="71" t="s">
        <v>3186</v>
      </c>
      <c r="I215" s="79" t="s">
        <v>3089</v>
      </c>
    </row>
    <row r="216" customFormat="false" ht="15" hidden="false" customHeight="true" outlineLevel="0" collapsed="false">
      <c r="A216" s="70" t="n">
        <f aca="false">Data!A216</f>
        <v>215</v>
      </c>
      <c r="B216" s="70" t="str">
        <f aca="false">IFERROR(INDEX(対訳マスタ!$C$2:$C$136,MATCH(Data!B216,対訳マスタ!$B$2:$B$136,0)),Data!B216)</f>
        <v>コミュニケーション言語方略</v>
      </c>
      <c r="C216" s="70" t="str">
        <f aca="false">IF(Data!C216="—","—",IFERROR(INDEX(対訳マスタ!$C$2:$C$136,MATCH(Data!C216,対訳マスタ!$B$2:$B$136,0)),Data!C216))</f>
        <v>受容</v>
      </c>
      <c r="D216" s="70" t="str">
        <f aca="false">IF(Data!D216="—","—",IFERROR(INDEX(対訳マスタ!$C$2:$C$136,MATCH(Data!D216,対訳マスタ!$B$2:$B$136,0)),Data!D216))</f>
        <v>—</v>
      </c>
      <c r="E216" s="70" t="str">
        <f aca="false">IFERROR(INDEX(対訳マスタ!$C$2:$C$136,MATCH(Data!E216,対訳マスタ!$B$2:$B$136,0)),Data!E216)</f>
        <v>手がかりの特定と推論</v>
      </c>
      <c r="F216" s="70" t="str">
        <f aca="false">Data!F216</f>
        <v>B1</v>
      </c>
      <c r="G216" s="31" t="str">
        <f aca="false">Data!G216</f>
        <v>Can watch or listen to a short narrative and predict what will happen next.</v>
      </c>
      <c r="H216" s="71" t="s">
        <v>2559</v>
      </c>
      <c r="I216" s="79" t="s">
        <v>3089</v>
      </c>
    </row>
    <row r="217" customFormat="false" ht="32.25" hidden="false" customHeight="true" outlineLevel="0" collapsed="false">
      <c r="A217" s="70" t="n">
        <f aca="false">Data!A217</f>
        <v>216</v>
      </c>
      <c r="B217" s="70" t="str">
        <f aca="false">IFERROR(INDEX(対訳マスタ!$C$2:$C$136,MATCH(Data!B217,対訳マスタ!$B$2:$B$136,0)),Data!B217)</f>
        <v>コミュニケーション言語方略</v>
      </c>
      <c r="C217" s="70" t="str">
        <f aca="false">IF(Data!C217="—","—",IFERROR(INDEX(対訳マスタ!$C$2:$C$136,MATCH(Data!C217,対訳マスタ!$B$2:$B$136,0)),Data!C217))</f>
        <v>受容</v>
      </c>
      <c r="D217" s="70" t="str">
        <f aca="false">IF(Data!D217="—","—",IFERROR(INDEX(対訳マスタ!$C$2:$C$136,MATCH(Data!D217,対訳マスタ!$B$2:$B$136,0)),Data!D217))</f>
        <v>—</v>
      </c>
      <c r="E217" s="70" t="str">
        <f aca="false">IFERROR(INDEX(対訳マスタ!$C$2:$C$136,MATCH(Data!E217,対訳マスタ!$B$2:$B$136,0)),Data!E217)</f>
        <v>手がかりの特定と推論</v>
      </c>
      <c r="F217" s="70" t="str">
        <f aca="false">Data!F217</f>
        <v>B1</v>
      </c>
      <c r="G217" s="31" t="str">
        <f aca="false">Data!G217</f>
        <v>Can follow a line of argumentation or the sequence of events in a story, by focusing on common logical connectors (e.g. however, because) and temporal connectors (e.g. after that, beforehand).</v>
      </c>
      <c r="H217" s="31" t="s">
        <v>3187</v>
      </c>
      <c r="I217" s="79" t="s">
        <v>3089</v>
      </c>
    </row>
    <row r="218" customFormat="false" ht="21.75" hidden="false" customHeight="true" outlineLevel="0" collapsed="false">
      <c r="A218" s="70" t="n">
        <f aca="false">Data!A218</f>
        <v>217</v>
      </c>
      <c r="B218" s="70" t="str">
        <f aca="false">IFERROR(INDEX(対訳マスタ!$C$2:$C$136,MATCH(Data!B218,対訳マスタ!$B$2:$B$136,0)),Data!B218)</f>
        <v>コミュニケーション言語方略</v>
      </c>
      <c r="C218" s="70" t="str">
        <f aca="false">IF(Data!C218="—","—",IFERROR(INDEX(対訳マスタ!$C$2:$C$136,MATCH(Data!C218,対訳マスタ!$B$2:$B$136,0)),Data!C218))</f>
        <v>受容</v>
      </c>
      <c r="D218" s="70" t="str">
        <f aca="false">IF(Data!D218="—","—",IFERROR(INDEX(対訳マスタ!$C$2:$C$136,MATCH(Data!D218,対訳マスタ!$B$2:$B$136,0)),Data!D218))</f>
        <v>—</v>
      </c>
      <c r="E218" s="70" t="str">
        <f aca="false">IFERROR(INDEX(対訳マスタ!$C$2:$C$136,MATCH(Data!E218,対訳マスタ!$B$2:$B$136,0)),Data!E218)</f>
        <v>手がかりの特定と推論</v>
      </c>
      <c r="F218" s="70" t="str">
        <f aca="false">Data!F218</f>
        <v>B1</v>
      </c>
      <c r="G218" s="31" t="str">
        <f aca="false">Data!G218</f>
        <v>Can deduce the probable meaning of unknown words/signs in a text by identifying their constituent parts (e.g. identifying roots, lexical elements, suffixes and prefixes).</v>
      </c>
      <c r="H218" s="71" t="s">
        <v>3188</v>
      </c>
      <c r="I218" s="79" t="s">
        <v>3089</v>
      </c>
    </row>
    <row r="219" customFormat="false" ht="32.25" hidden="false" customHeight="true" outlineLevel="0" collapsed="false">
      <c r="A219" s="70" t="n">
        <f aca="false">Data!A219</f>
        <v>218</v>
      </c>
      <c r="B219" s="70" t="str">
        <f aca="false">IFERROR(INDEX(対訳マスタ!$C$2:$C$136,MATCH(Data!B219,対訳マスタ!$B$2:$B$136,0)),Data!B219)</f>
        <v>コミュニケーション言語方略</v>
      </c>
      <c r="C219" s="70" t="str">
        <f aca="false">IF(Data!C219="—","—",IFERROR(INDEX(対訳マスタ!$C$2:$C$136,MATCH(Data!C219,対訳マスタ!$B$2:$B$136,0)),Data!C219))</f>
        <v>受容</v>
      </c>
      <c r="D219" s="70" t="str">
        <f aca="false">IF(Data!D219="—","—",IFERROR(INDEX(対訳マスタ!$C$2:$C$136,MATCH(Data!D219,対訳マスタ!$B$2:$B$136,0)),Data!D219))</f>
        <v>—</v>
      </c>
      <c r="E219" s="70" t="str">
        <f aca="false">IFERROR(INDEX(対訳マスタ!$C$2:$C$136,MATCH(Data!E219,対訳マスタ!$B$2:$B$136,0)),Data!E219)</f>
        <v>手がかりの特定と推論</v>
      </c>
      <c r="F219" s="70" t="str">
        <f aca="false">Data!F219</f>
        <v>A2+</v>
      </c>
      <c r="G219" s="31" t="str">
        <f aca="false">Data!G219</f>
        <v>Can use an idea of the overall meaning of short texts and utterances on everyday topics of a concrete type to derive the probable meaning of unknown words/signs from the context.</v>
      </c>
      <c r="H219" s="71" t="s">
        <v>3189</v>
      </c>
      <c r="I219" s="79" t="s">
        <v>3089</v>
      </c>
    </row>
    <row r="220" customFormat="false" ht="26.25" hidden="false" customHeight="true" outlineLevel="0" collapsed="false">
      <c r="A220" s="70" t="n">
        <f aca="false">Data!A220</f>
        <v>219</v>
      </c>
      <c r="B220" s="70" t="str">
        <f aca="false">IFERROR(INDEX(対訳マスタ!$C$2:$C$136,MATCH(Data!B220,対訳マスタ!$B$2:$B$136,0)),Data!B220)</f>
        <v>コミュニケーション言語方略</v>
      </c>
      <c r="C220" s="70" t="str">
        <f aca="false">IF(Data!C220="—","—",IFERROR(INDEX(対訳マスタ!$C$2:$C$136,MATCH(Data!C220,対訳マスタ!$B$2:$B$136,0)),Data!C220))</f>
        <v>受容</v>
      </c>
      <c r="D220" s="70" t="str">
        <f aca="false">IF(Data!D220="—","—",IFERROR(INDEX(対訳マスタ!$C$2:$C$136,MATCH(Data!D220,対訳マスタ!$B$2:$B$136,0)),Data!D220))</f>
        <v>—</v>
      </c>
      <c r="E220" s="70" t="str">
        <f aca="false">IFERROR(INDEX(対訳マスタ!$C$2:$C$136,MATCH(Data!E220,対訳マスタ!$B$2:$B$136,0)),Data!E220)</f>
        <v>手がかりの特定と推論</v>
      </c>
      <c r="F220" s="70" t="str">
        <f aca="false">Data!F220</f>
        <v>A2+</v>
      </c>
      <c r="G220" s="31" t="str">
        <f aca="false">Data!G220</f>
        <v>Can exploit their recognition of known words/signs to deduce the meaning of unfamiliar words/signs in short expressions used in routine everyday contexts.</v>
      </c>
      <c r="H220" s="71" t="s">
        <v>2558</v>
      </c>
      <c r="I220" s="79" t="s">
        <v>3089</v>
      </c>
    </row>
    <row r="221" customFormat="false" ht="21.75" hidden="false" customHeight="true" outlineLevel="0" collapsed="false">
      <c r="A221" s="70" t="n">
        <f aca="false">Data!A221</f>
        <v>220</v>
      </c>
      <c r="B221" s="70" t="str">
        <f aca="false">IFERROR(INDEX(対訳マスタ!$C$2:$C$136,MATCH(Data!B221,対訳マスタ!$B$2:$B$136,0)),Data!B221)</f>
        <v>コミュニケーション言語方略</v>
      </c>
      <c r="C221" s="70" t="str">
        <f aca="false">IF(Data!C221="—","—",IFERROR(INDEX(対訳マスタ!$C$2:$C$136,MATCH(Data!C221,対訳マスタ!$B$2:$B$136,0)),Data!C221))</f>
        <v>受容</v>
      </c>
      <c r="D221" s="70" t="str">
        <f aca="false">IF(Data!D221="—","—",IFERROR(INDEX(対訳マスタ!$C$2:$C$136,MATCH(Data!D221,対訳マスタ!$B$2:$B$136,0)),Data!D221))</f>
        <v>—</v>
      </c>
      <c r="E221" s="70" t="str">
        <f aca="false">IFERROR(INDEX(対訳マスタ!$C$2:$C$136,MATCH(Data!E221,対訳マスタ!$B$2:$B$136,0)),Data!E221)</f>
        <v>手がかりの特定と推論</v>
      </c>
      <c r="F221" s="70" t="str">
        <f aca="false">Data!F221</f>
        <v>A2</v>
      </c>
      <c r="G221" s="31" t="str">
        <f aca="false">Data!G221</f>
        <v>Can exploit format, appearance and typographic features in order to identify the type of text: news story, promotional text, article, textbook, chat or forum, etc.</v>
      </c>
      <c r="H221" s="71" t="s">
        <v>3190</v>
      </c>
      <c r="I221" s="79" t="s">
        <v>3089</v>
      </c>
    </row>
    <row r="222" customFormat="false" ht="15" hidden="false" customHeight="true" outlineLevel="0" collapsed="false">
      <c r="A222" s="70" t="n">
        <f aca="false">Data!A222</f>
        <v>221</v>
      </c>
      <c r="B222" s="70" t="str">
        <f aca="false">IFERROR(INDEX(対訳マスタ!$C$2:$C$136,MATCH(Data!B222,対訳マスタ!$B$2:$B$136,0)),Data!B222)</f>
        <v>コミュニケーション言語方略</v>
      </c>
      <c r="C222" s="70" t="str">
        <f aca="false">IF(Data!C222="—","—",IFERROR(INDEX(対訳マスタ!$C$2:$C$136,MATCH(Data!C222,対訳マスタ!$B$2:$B$136,0)),Data!C222))</f>
        <v>受容</v>
      </c>
      <c r="D222" s="70" t="str">
        <f aca="false">IF(Data!D222="—","—",IFERROR(INDEX(対訳マスタ!$C$2:$C$136,MATCH(Data!D222,対訳マスタ!$B$2:$B$136,0)),Data!D222))</f>
        <v>—</v>
      </c>
      <c r="E222" s="70" t="str">
        <f aca="false">IFERROR(INDEX(対訳マスタ!$C$2:$C$136,MATCH(Data!E222,対訳マスタ!$B$2:$B$136,0)),Data!E222)</f>
        <v>手がかりの特定と推論</v>
      </c>
      <c r="F222" s="70" t="str">
        <f aca="false">Data!F222</f>
        <v>A2</v>
      </c>
      <c r="G222" s="31" t="str">
        <f aca="false">Data!G222</f>
        <v>Can exploit numbers, dates, names, proper nouns, etc. to identify the topic of a text.</v>
      </c>
      <c r="H222" s="71" t="s">
        <v>2557</v>
      </c>
      <c r="I222" s="79" t="s">
        <v>3089</v>
      </c>
    </row>
    <row r="223" customFormat="false" ht="21.75" hidden="false" customHeight="true" outlineLevel="0" collapsed="false">
      <c r="A223" s="70" t="n">
        <f aca="false">Data!A223</f>
        <v>222</v>
      </c>
      <c r="B223" s="70" t="str">
        <f aca="false">IFERROR(INDEX(対訳マスタ!$C$2:$C$136,MATCH(Data!B223,対訳マスタ!$B$2:$B$136,0)),Data!B223)</f>
        <v>コミュニケーション言語方略</v>
      </c>
      <c r="C223" s="70" t="str">
        <f aca="false">IF(Data!C223="—","—",IFERROR(INDEX(対訳マスタ!$C$2:$C$136,MATCH(Data!C223,対訳マスタ!$B$2:$B$136,0)),Data!C223))</f>
        <v>受容</v>
      </c>
      <c r="D223" s="70" t="str">
        <f aca="false">IF(Data!D223="—","—",IFERROR(INDEX(対訳マスタ!$C$2:$C$136,MATCH(Data!D223,対訳マスタ!$B$2:$B$136,0)),Data!D223))</f>
        <v>—</v>
      </c>
      <c r="E223" s="70" t="str">
        <f aca="false">IFERROR(INDEX(対訳マスタ!$C$2:$C$136,MATCH(Data!E223,対訳マスタ!$B$2:$B$136,0)),Data!E223)</f>
        <v>手がかりの特定と推論</v>
      </c>
      <c r="F223" s="70" t="str">
        <f aca="false">Data!F223</f>
        <v>A2</v>
      </c>
      <c r="G223" s="31" t="str">
        <f aca="false">Data!G223</f>
        <v>Can deduce the meaning and function of unknown formulaic expressions from their position in a text (e.g. at the beginning or end of a letter).</v>
      </c>
      <c r="H223" s="71" t="s">
        <v>3191</v>
      </c>
      <c r="I223" s="79" t="s">
        <v>3089</v>
      </c>
    </row>
    <row r="224" customFormat="false" ht="21.75" hidden="false" customHeight="true" outlineLevel="0" collapsed="false">
      <c r="A224" s="70" t="n">
        <f aca="false">Data!A224</f>
        <v>223</v>
      </c>
      <c r="B224" s="70" t="str">
        <f aca="false">IFERROR(INDEX(対訳マスタ!$C$2:$C$136,MATCH(Data!B224,対訳マスタ!$B$2:$B$136,0)),Data!B224)</f>
        <v>コミュニケーション言語方略</v>
      </c>
      <c r="C224" s="70" t="str">
        <f aca="false">IF(Data!C224="—","—",IFERROR(INDEX(対訳マスタ!$C$2:$C$136,MATCH(Data!C224,対訳マスタ!$B$2:$B$136,0)),Data!C224))</f>
        <v>受容</v>
      </c>
      <c r="D224" s="70" t="str">
        <f aca="false">IF(Data!D224="—","—",IFERROR(INDEX(対訳マスタ!$C$2:$C$136,MATCH(Data!D224,対訳マスタ!$B$2:$B$136,0)),Data!D224))</f>
        <v>—</v>
      </c>
      <c r="E224" s="70" t="str">
        <f aca="false">IFERROR(INDEX(対訳マスタ!$C$2:$C$136,MATCH(Data!E224,対訳マスタ!$B$2:$B$136,0)),Data!E224)</f>
        <v>手がかりの特定と推論</v>
      </c>
      <c r="F224" s="70" t="str">
        <f aca="false">Data!F224</f>
        <v>A1</v>
      </c>
      <c r="G224" s="31" t="str">
        <f aca="false">Data!G224</f>
        <v>Can deduce the meaning of an unknown word/sign for a concrete action or object, provided the surrounding text is very simple, and on a familiar everyday subject.</v>
      </c>
      <c r="H224" s="71" t="s">
        <v>3192</v>
      </c>
      <c r="I224" s="79" t="s">
        <v>3089</v>
      </c>
    </row>
    <row r="225" customFormat="false" ht="21.75" hidden="false" customHeight="true" outlineLevel="0" collapsed="false">
      <c r="A225" s="70" t="n">
        <f aca="false">Data!A225</f>
        <v>224</v>
      </c>
      <c r="B225" s="70" t="str">
        <f aca="false">IFERROR(INDEX(対訳マスタ!$C$2:$C$136,MATCH(Data!B225,対訳マスタ!$B$2:$B$136,0)),Data!B225)</f>
        <v>コミュニケーション言語方略</v>
      </c>
      <c r="C225" s="70" t="str">
        <f aca="false">IF(Data!C225="—","—",IFERROR(INDEX(対訳マスタ!$C$2:$C$136,MATCH(Data!C225,対訳マスタ!$B$2:$B$136,0)),Data!C225))</f>
        <v>受容</v>
      </c>
      <c r="D225" s="70" t="str">
        <f aca="false">IF(Data!D225="—","—",IFERROR(INDEX(対訳マスタ!$C$2:$C$136,MATCH(Data!D225,対訳マスタ!$B$2:$B$136,0)),Data!D225))</f>
        <v>—</v>
      </c>
      <c r="E225" s="70" t="str">
        <f aca="false">IFERROR(INDEX(対訳マスタ!$C$2:$C$136,MATCH(Data!E225,対訳マスタ!$B$2:$B$136,0)),Data!E225)</f>
        <v>手がかりの特定と推論</v>
      </c>
      <c r="F225" s="70" t="str">
        <f aca="false">Data!F225</f>
        <v>A1</v>
      </c>
      <c r="G225" s="31" t="str">
        <f aca="false">Data!G225</f>
        <v>Can guess the probable meaning of an unknown word/sign that is similar to one in the language they normally use.</v>
      </c>
      <c r="H225" s="71" t="s">
        <v>2556</v>
      </c>
      <c r="I225" s="79" t="s">
        <v>3089</v>
      </c>
    </row>
    <row r="226" customFormat="false" ht="15" hidden="false" customHeight="true" outlineLevel="0" collapsed="false">
      <c r="A226" s="70" t="n">
        <f aca="false">Data!A226</f>
        <v>225</v>
      </c>
      <c r="B226" s="70" t="str">
        <f aca="false">IFERROR(INDEX(対訳マスタ!$C$2:$C$136,MATCH(Data!B226,対訳マスタ!$B$2:$B$136,0)),Data!B226)</f>
        <v>コミュニケーション言語方略</v>
      </c>
      <c r="C226" s="70" t="str">
        <f aca="false">IF(Data!C226="—","—",IFERROR(INDEX(対訳マスタ!$C$2:$C$136,MATCH(Data!C226,対訳マスタ!$B$2:$B$136,0)),Data!C226))</f>
        <v>受容</v>
      </c>
      <c r="D226" s="70" t="str">
        <f aca="false">IF(Data!D226="—","—",IFERROR(INDEX(対訳マスタ!$C$2:$C$136,MATCH(Data!D226,対訳マスタ!$B$2:$B$136,0)),Data!D226))</f>
        <v>—</v>
      </c>
      <c r="E226" s="70" t="str">
        <f aca="false">IFERROR(INDEX(対訳マスタ!$C$2:$C$136,MATCH(Data!E226,対訳マスタ!$B$2:$B$136,0)),Data!E226)</f>
        <v>手がかりの特定と推論</v>
      </c>
      <c r="F226" s="70" t="str">
        <f aca="false">Data!F226</f>
        <v>Pre-A1</v>
      </c>
      <c r="G226" s="31" t="str">
        <f aca="false">Data!G226</f>
        <v>Can deduce the meaning of a word/sign from an accompanying picture or icon.</v>
      </c>
      <c r="H226" s="71" t="s">
        <v>2555</v>
      </c>
      <c r="I226" s="79" t="s">
        <v>3089</v>
      </c>
    </row>
    <row r="227" customFormat="false" ht="26.25" hidden="false" customHeight="true" outlineLevel="0" collapsed="false">
      <c r="A227" s="70" t="n">
        <f aca="false">Data!A227</f>
        <v>226</v>
      </c>
      <c r="B227" s="70" t="str">
        <f aca="false">IFERROR(INDEX(対訳マスタ!$C$2:$C$136,MATCH(Data!B227,対訳マスタ!$B$2:$B$136,0)),Data!B227)</f>
        <v>コミュニケーション言語活動</v>
      </c>
      <c r="C227" s="70" t="str">
        <f aca="false">IF(Data!C227="—","—",IFERROR(INDEX(対訳マスタ!$C$2:$C$136,MATCH(Data!C227,対訳マスタ!$B$2:$B$136,0)),Data!C227))</f>
        <v>産出</v>
      </c>
      <c r="D227" s="70" t="str">
        <f aca="false">IF(Data!D227="—","—",IFERROR(INDEX(対訳マスタ!$C$2:$C$136,MATCH(Data!D227,対訳マスタ!$B$2:$B$136,0)),Data!D227))</f>
        <v>口頭産出（話すこと）</v>
      </c>
      <c r="E227" s="70" t="str">
        <f aca="false">IFERROR(INDEX(対訳マスタ!$C$2:$C$136,MATCH(Data!E227,対訳マスタ!$B$2:$B$136,0)),Data!E227)</f>
        <v>口頭産出（総合）</v>
      </c>
      <c r="F227" s="70" t="str">
        <f aca="false">Data!F227</f>
        <v>C2</v>
      </c>
      <c r="G227" s="31" t="str">
        <f aca="false">Data!G227</f>
        <v>Can produce clear, smoothly flowing, well-structured discourse with an effective logical structure which helps the recipient to notice and remember significant points.</v>
      </c>
      <c r="H227" s="71" t="s">
        <v>2570</v>
      </c>
      <c r="I227" s="79" t="s">
        <v>3089</v>
      </c>
    </row>
    <row r="228" customFormat="false" ht="32.25" hidden="false" customHeight="true" outlineLevel="0" collapsed="false">
      <c r="A228" s="70" t="n">
        <f aca="false">Data!A228</f>
        <v>227</v>
      </c>
      <c r="B228" s="70" t="str">
        <f aca="false">IFERROR(INDEX(対訳マスタ!$C$2:$C$136,MATCH(Data!B228,対訳マスタ!$B$2:$B$136,0)),Data!B228)</f>
        <v>コミュニケーション言語活動</v>
      </c>
      <c r="C228" s="70" t="str">
        <f aca="false">IF(Data!C228="—","—",IFERROR(INDEX(対訳マスタ!$C$2:$C$136,MATCH(Data!C228,対訳マスタ!$B$2:$B$136,0)),Data!C228))</f>
        <v>産出</v>
      </c>
      <c r="D228" s="70" t="str">
        <f aca="false">IF(Data!D228="—","—",IFERROR(INDEX(対訳マスタ!$C$2:$C$136,MATCH(Data!D228,対訳マスタ!$B$2:$B$136,0)),Data!D228))</f>
        <v>口頭産出（話すこと）</v>
      </c>
      <c r="E228" s="70" t="str">
        <f aca="false">IFERROR(INDEX(対訳マスタ!$C$2:$C$136,MATCH(Data!E228,対訳マスタ!$B$2:$B$136,0)),Data!E228)</f>
        <v>口頭産出（総合）</v>
      </c>
      <c r="F228" s="70" t="str">
        <f aca="false">Data!F228</f>
        <v>C1</v>
      </c>
      <c r="G228" s="31" t="str">
        <f aca="false">Data!G228</f>
        <v>Can give clear, detailed descriptions and presentations on complex subjects, integrating sub-themes, developing particular points and rounding off with an appropriate conclusion.</v>
      </c>
      <c r="H228" s="71" t="s">
        <v>2569</v>
      </c>
      <c r="I228" s="79" t="s">
        <v>3089</v>
      </c>
    </row>
    <row r="229" customFormat="false" ht="26.25" hidden="false" customHeight="true" outlineLevel="0" collapsed="false">
      <c r="A229" s="70" t="n">
        <f aca="false">Data!A229</f>
        <v>228</v>
      </c>
      <c r="B229" s="70" t="str">
        <f aca="false">IFERROR(INDEX(対訳マスタ!$C$2:$C$136,MATCH(Data!B229,対訳マスタ!$B$2:$B$136,0)),Data!B229)</f>
        <v>コミュニケーション言語活動</v>
      </c>
      <c r="C229" s="70" t="str">
        <f aca="false">IF(Data!C229="—","—",IFERROR(INDEX(対訳マスタ!$C$2:$C$136,MATCH(Data!C229,対訳マスタ!$B$2:$B$136,0)),Data!C229))</f>
        <v>産出</v>
      </c>
      <c r="D229" s="70" t="str">
        <f aca="false">IF(Data!D229="—","—",IFERROR(INDEX(対訳マスタ!$C$2:$C$136,MATCH(Data!D229,対訳マスタ!$B$2:$B$136,0)),Data!D229))</f>
        <v>口頭産出（話すこと）</v>
      </c>
      <c r="E229" s="70" t="str">
        <f aca="false">IFERROR(INDEX(対訳マスタ!$C$2:$C$136,MATCH(Data!E229,対訳マスタ!$B$2:$B$136,0)),Data!E229)</f>
        <v>口頭産出（総合）</v>
      </c>
      <c r="F229" s="70" t="str">
        <f aca="false">Data!F229</f>
        <v>B2+</v>
      </c>
      <c r="G229" s="31" t="str">
        <f aca="false">Data!G229</f>
        <v>Can give clear, systematically developed descriptions and presentations, with appropriate highlighting of significant points, and relevant supporting detail.</v>
      </c>
      <c r="H229" s="71" t="s">
        <v>2568</v>
      </c>
      <c r="I229" s="79" t="s">
        <v>3089</v>
      </c>
    </row>
    <row r="230" customFormat="false" ht="32.25" hidden="false" customHeight="true" outlineLevel="0" collapsed="false">
      <c r="A230" s="70" t="n">
        <f aca="false">Data!A230</f>
        <v>229</v>
      </c>
      <c r="B230" s="70" t="str">
        <f aca="false">IFERROR(INDEX(対訳マスタ!$C$2:$C$136,MATCH(Data!B230,対訳マスタ!$B$2:$B$136,0)),Data!B230)</f>
        <v>コミュニケーション言語活動</v>
      </c>
      <c r="C230" s="70" t="str">
        <f aca="false">IF(Data!C230="—","—",IFERROR(INDEX(対訳マスタ!$C$2:$C$136,MATCH(Data!C230,対訳マスタ!$B$2:$B$136,0)),Data!C230))</f>
        <v>産出</v>
      </c>
      <c r="D230" s="70" t="str">
        <f aca="false">IF(Data!D230="—","—",IFERROR(INDEX(対訳マスタ!$C$2:$C$136,MATCH(Data!D230,対訳マスタ!$B$2:$B$136,0)),Data!D230))</f>
        <v>口頭産出（話すこと）</v>
      </c>
      <c r="E230" s="70" t="str">
        <f aca="false">IFERROR(INDEX(対訳マスタ!$C$2:$C$136,MATCH(Data!E230,対訳マスタ!$B$2:$B$136,0)),Data!E230)</f>
        <v>口頭産出（総合）</v>
      </c>
      <c r="F230" s="70" t="str">
        <f aca="false">Data!F230</f>
        <v>B2</v>
      </c>
      <c r="G230" s="31" t="str">
        <f aca="false">Data!G230</f>
        <v>Can give clear, detailed descriptions and presentations on a wide range of subjects related to their field of interest, expanding and supporting ideas with subsidiary points and relevant examples.</v>
      </c>
      <c r="H230" s="71" t="s">
        <v>2567</v>
      </c>
      <c r="I230" s="79" t="s">
        <v>3089</v>
      </c>
    </row>
    <row r="231" customFormat="false" ht="26.25" hidden="false" customHeight="true" outlineLevel="0" collapsed="false">
      <c r="A231" s="70" t="n">
        <f aca="false">Data!A231</f>
        <v>230</v>
      </c>
      <c r="B231" s="70" t="str">
        <f aca="false">IFERROR(INDEX(対訳マスタ!$C$2:$C$136,MATCH(Data!B231,対訳マスタ!$B$2:$B$136,0)),Data!B231)</f>
        <v>コミュニケーション言語活動</v>
      </c>
      <c r="C231" s="70" t="str">
        <f aca="false">IF(Data!C231="—","—",IFERROR(INDEX(対訳マスタ!$C$2:$C$136,MATCH(Data!C231,対訳マスタ!$B$2:$B$136,0)),Data!C231))</f>
        <v>産出</v>
      </c>
      <c r="D231" s="70" t="str">
        <f aca="false">IF(Data!D231="—","—",IFERROR(INDEX(対訳マスタ!$C$2:$C$136,MATCH(Data!D231,対訳マスタ!$B$2:$B$136,0)),Data!D231))</f>
        <v>口頭産出（話すこと）</v>
      </c>
      <c r="E231" s="70" t="str">
        <f aca="false">IFERROR(INDEX(対訳マスタ!$C$2:$C$136,MATCH(Data!E231,対訳マスタ!$B$2:$B$136,0)),Data!E231)</f>
        <v>口頭産出（総合）</v>
      </c>
      <c r="F231" s="70" t="str">
        <f aca="false">Data!F231</f>
        <v>B1</v>
      </c>
      <c r="G231" s="31" t="str">
        <f aca="false">Data!G231</f>
        <v>Can reasonably fluently sustain a straightforward description of one of a variety of subjects within their field of interest, presenting it as a linear sequence of points.</v>
      </c>
      <c r="H231" s="71" t="s">
        <v>2566</v>
      </c>
      <c r="I231" s="79" t="s">
        <v>3089</v>
      </c>
    </row>
    <row r="232" customFormat="false" ht="32.25" hidden="false" customHeight="true" outlineLevel="0" collapsed="false">
      <c r="A232" s="70" t="n">
        <f aca="false">Data!A232</f>
        <v>231</v>
      </c>
      <c r="B232" s="70" t="str">
        <f aca="false">IFERROR(INDEX(対訳マスタ!$C$2:$C$136,MATCH(Data!B232,対訳マスタ!$B$2:$B$136,0)),Data!B232)</f>
        <v>コミュニケーション言語活動</v>
      </c>
      <c r="C232" s="70" t="str">
        <f aca="false">IF(Data!C232="—","—",IFERROR(INDEX(対訳マスタ!$C$2:$C$136,MATCH(Data!C232,対訳マスタ!$B$2:$B$136,0)),Data!C232))</f>
        <v>産出</v>
      </c>
      <c r="D232" s="70" t="str">
        <f aca="false">IF(Data!D232="—","—",IFERROR(INDEX(対訳マスタ!$C$2:$C$136,MATCH(Data!D232,対訳マスタ!$B$2:$B$136,0)),Data!D232))</f>
        <v>口頭産出（話すこと）</v>
      </c>
      <c r="E232" s="70" t="str">
        <f aca="false">IFERROR(INDEX(対訳マスタ!$C$2:$C$136,MATCH(Data!E232,対訳マスタ!$B$2:$B$136,0)),Data!E232)</f>
        <v>口頭産出（総合）</v>
      </c>
      <c r="F232" s="70" t="str">
        <f aca="false">Data!F232</f>
        <v>A2</v>
      </c>
      <c r="G232" s="31" t="str">
        <f aca="false">Data!G232</f>
        <v>Can give a simple description or presentation of people, living or working conditions, daily routines. likes/dislikes, etc. as a short series of simple phrases and sentences linked into a list.</v>
      </c>
      <c r="H232" s="71" t="s">
        <v>2565</v>
      </c>
      <c r="I232" s="79" t="s">
        <v>3089</v>
      </c>
    </row>
    <row r="233" customFormat="false" ht="15" hidden="false" customHeight="true" outlineLevel="0" collapsed="false">
      <c r="A233" s="70" t="n">
        <f aca="false">Data!A233</f>
        <v>232</v>
      </c>
      <c r="B233" s="70" t="str">
        <f aca="false">IFERROR(INDEX(対訳マスタ!$C$2:$C$136,MATCH(Data!B233,対訳マスタ!$B$2:$B$136,0)),Data!B233)</f>
        <v>コミュニケーション言語活動</v>
      </c>
      <c r="C233" s="70" t="str">
        <f aca="false">IF(Data!C233="—","—",IFERROR(INDEX(対訳マスタ!$C$2:$C$136,MATCH(Data!C233,対訳マスタ!$B$2:$B$136,0)),Data!C233))</f>
        <v>産出</v>
      </c>
      <c r="D233" s="70" t="str">
        <f aca="false">IF(Data!D233="—","—",IFERROR(INDEX(対訳マスタ!$C$2:$C$136,MATCH(Data!D233,対訳マスタ!$B$2:$B$136,0)),Data!D233))</f>
        <v>口頭産出（話すこと）</v>
      </c>
      <c r="E233" s="70" t="str">
        <f aca="false">IFERROR(INDEX(対訳マスタ!$C$2:$C$136,MATCH(Data!E233,対訳マスタ!$B$2:$B$136,0)),Data!E233)</f>
        <v>口頭産出（総合）</v>
      </c>
      <c r="F233" s="70" t="str">
        <f aca="false">Data!F233</f>
        <v>A1</v>
      </c>
      <c r="G233" s="31" t="str">
        <f aca="false">Data!G233</f>
        <v>Can produce simple, mainly isolated phrases about people and places.</v>
      </c>
      <c r="H233" s="71" t="s">
        <v>2564</v>
      </c>
      <c r="I233" s="79" t="s">
        <v>3089</v>
      </c>
    </row>
    <row r="234" customFormat="false" ht="26.25" hidden="false" customHeight="true" outlineLevel="0" collapsed="false">
      <c r="A234" s="70" t="n">
        <f aca="false">Data!A234</f>
        <v>233</v>
      </c>
      <c r="B234" s="70" t="str">
        <f aca="false">IFERROR(INDEX(対訳マスタ!$C$2:$C$136,MATCH(Data!B234,対訳マスタ!$B$2:$B$136,0)),Data!B234)</f>
        <v>コミュニケーション言語活動</v>
      </c>
      <c r="C234" s="70" t="str">
        <f aca="false">IF(Data!C234="—","—",IFERROR(INDEX(対訳マスタ!$C$2:$C$136,MATCH(Data!C234,対訳マスタ!$B$2:$B$136,0)),Data!C234))</f>
        <v>産出</v>
      </c>
      <c r="D234" s="70" t="str">
        <f aca="false">IF(Data!D234="—","—",IFERROR(INDEX(対訳マスタ!$C$2:$C$136,MATCH(Data!D234,対訳マスタ!$B$2:$B$136,0)),Data!D234))</f>
        <v>口頭産出（話すこと）</v>
      </c>
      <c r="E234" s="70" t="str">
        <f aca="false">IFERROR(INDEX(対訳マスタ!$C$2:$C$136,MATCH(Data!E234,対訳マスタ!$B$2:$B$136,0)),Data!E234)</f>
        <v>口頭産出（総合）</v>
      </c>
      <c r="F234" s="70" t="str">
        <f aca="false">Data!F234</f>
        <v>Pre-A1</v>
      </c>
      <c r="G234" s="31" t="str">
        <f aca="false">Data!G234</f>
        <v>Can produce short phrases about themselves, giving basic personal information (e.g. name, address, family, nationality).</v>
      </c>
      <c r="H234" s="71" t="s">
        <v>2563</v>
      </c>
      <c r="I234" s="79" t="s">
        <v>3089</v>
      </c>
    </row>
    <row r="235" customFormat="false" ht="15" hidden="false" customHeight="true" outlineLevel="0" collapsed="false">
      <c r="A235" s="70" t="n">
        <f aca="false">Data!A235</f>
        <v>234</v>
      </c>
      <c r="B235" s="70" t="str">
        <f aca="false">IFERROR(INDEX(対訳マスタ!$C$2:$C$136,MATCH(Data!B235,対訳マスタ!$B$2:$B$136,0)),Data!B235)</f>
        <v>コミュニケーション言語活動</v>
      </c>
      <c r="C235" s="70" t="str">
        <f aca="false">IF(Data!C235="—","—",IFERROR(INDEX(対訳マスタ!$C$2:$C$136,MATCH(Data!C235,対訳マスタ!$B$2:$B$136,0)),Data!C235))</f>
        <v>産出</v>
      </c>
      <c r="D235" s="70" t="str">
        <f aca="false">IF(Data!D235="—","—",IFERROR(INDEX(対訳マスタ!$C$2:$C$136,MATCH(Data!D235,対訳マスタ!$B$2:$B$136,0)),Data!D235))</f>
        <v>口頭産出（話すこと）</v>
      </c>
      <c r="E235" s="70" t="str">
        <f aca="false">IFERROR(INDEX(対訳マスタ!$C$2:$C$136,MATCH(Data!E235,対訳マスタ!$B$2:$B$136,0)),Data!E235)</f>
        <v>長めの一人語り：経験の描写</v>
      </c>
      <c r="F235" s="70" t="str">
        <f aca="false">Data!F235</f>
        <v>C2</v>
      </c>
      <c r="G235" s="31" t="str">
        <f aca="false">Data!G235</f>
        <v>Can give clear, smoothly flowing, elaborate and often memorable descriptions.</v>
      </c>
      <c r="H235" s="71" t="s">
        <v>2579</v>
      </c>
      <c r="I235" s="79" t="s">
        <v>3089</v>
      </c>
    </row>
    <row r="236" customFormat="false" ht="15" hidden="false" customHeight="true" outlineLevel="0" collapsed="false">
      <c r="A236" s="70" t="n">
        <f aca="false">Data!A236</f>
        <v>235</v>
      </c>
      <c r="B236" s="70" t="str">
        <f aca="false">IFERROR(INDEX(対訳マスタ!$C$2:$C$136,MATCH(Data!B236,対訳マスタ!$B$2:$B$136,0)),Data!B236)</f>
        <v>コミュニケーション言語活動</v>
      </c>
      <c r="C236" s="70" t="str">
        <f aca="false">IF(Data!C236="—","—",IFERROR(INDEX(対訳マスタ!$C$2:$C$136,MATCH(Data!C236,対訳マスタ!$B$2:$B$136,0)),Data!C236))</f>
        <v>産出</v>
      </c>
      <c r="D236" s="70" t="str">
        <f aca="false">IF(Data!D236="—","—",IFERROR(INDEX(対訳マスタ!$C$2:$C$136,MATCH(Data!D236,対訳マスタ!$B$2:$B$136,0)),Data!D236))</f>
        <v>口頭産出（話すこと）</v>
      </c>
      <c r="E236" s="70" t="str">
        <f aca="false">IFERROR(INDEX(対訳マスタ!$C$2:$C$136,MATCH(Data!E236,対訳マスタ!$B$2:$B$136,0)),Data!E236)</f>
        <v>長めの一人語り：経験の描写</v>
      </c>
      <c r="F236" s="70" t="str">
        <f aca="false">Data!F236</f>
        <v>C1</v>
      </c>
      <c r="G236" s="31" t="str">
        <f aca="false">Data!G236</f>
        <v>Can give clear, detailed descriptions of complex subjects.</v>
      </c>
      <c r="H236" s="71" t="s">
        <v>2578</v>
      </c>
      <c r="I236" s="79" t="s">
        <v>3089</v>
      </c>
    </row>
    <row r="237" customFormat="false" ht="21.75" hidden="false" customHeight="true" outlineLevel="0" collapsed="false">
      <c r="A237" s="70" t="n">
        <f aca="false">Data!A237</f>
        <v>236</v>
      </c>
      <c r="B237" s="70" t="str">
        <f aca="false">IFERROR(INDEX(対訳マスタ!$C$2:$C$136,MATCH(Data!B237,対訳マスタ!$B$2:$B$136,0)),Data!B237)</f>
        <v>コミュニケーション言語活動</v>
      </c>
      <c r="C237" s="70" t="str">
        <f aca="false">IF(Data!C237="—","—",IFERROR(INDEX(対訳マスタ!$C$2:$C$136,MATCH(Data!C237,対訳マスタ!$B$2:$B$136,0)),Data!C237))</f>
        <v>産出</v>
      </c>
      <c r="D237" s="70" t="str">
        <f aca="false">IF(Data!D237="—","—",IFERROR(INDEX(対訳マスタ!$C$2:$C$136,MATCH(Data!D237,対訳マスタ!$B$2:$B$136,0)),Data!D237))</f>
        <v>口頭産出（話すこと）</v>
      </c>
      <c r="E237" s="70" t="str">
        <f aca="false">IFERROR(INDEX(対訳マスタ!$C$2:$C$136,MATCH(Data!E237,対訳マスタ!$B$2:$B$136,0)),Data!E237)</f>
        <v>長めの一人語り：経験の描写</v>
      </c>
      <c r="F237" s="70" t="str">
        <f aca="false">Data!F237</f>
        <v>C1</v>
      </c>
      <c r="G237" s="31" t="str">
        <f aca="false">Data!G237</f>
        <v>Can give elaborate descriptions and narratives, integrating sub-themes, developing particular points and rounding them off with an appropriate conclusion.</v>
      </c>
      <c r="H237" s="71" t="s">
        <v>3193</v>
      </c>
      <c r="I237" s="79" t="s">
        <v>3089</v>
      </c>
    </row>
    <row r="238" customFormat="false" ht="21.75" hidden="false" customHeight="true" outlineLevel="0" collapsed="false">
      <c r="A238" s="70" t="n">
        <f aca="false">Data!A238</f>
        <v>237</v>
      </c>
      <c r="B238" s="70" t="str">
        <f aca="false">IFERROR(INDEX(対訳マスタ!$C$2:$C$136,MATCH(Data!B238,対訳マスタ!$B$2:$B$136,0)),Data!B238)</f>
        <v>コミュニケーション言語活動</v>
      </c>
      <c r="C238" s="70" t="str">
        <f aca="false">IF(Data!C238="—","—",IFERROR(INDEX(対訳マスタ!$C$2:$C$136,MATCH(Data!C238,対訳マスタ!$B$2:$B$136,0)),Data!C238))</f>
        <v>産出</v>
      </c>
      <c r="D238" s="70" t="str">
        <f aca="false">IF(Data!D238="—","—",IFERROR(INDEX(対訳マスタ!$C$2:$C$136,MATCH(Data!D238,対訳マスタ!$B$2:$B$136,0)),Data!D238))</f>
        <v>口頭産出（話すこと）</v>
      </c>
      <c r="E238" s="70" t="str">
        <f aca="false">IFERROR(INDEX(対訳マスタ!$C$2:$C$136,MATCH(Data!E238,対訳マスタ!$B$2:$B$136,0)),Data!E238)</f>
        <v>長めの一人語り：経験の描写</v>
      </c>
      <c r="F238" s="70" t="str">
        <f aca="false">Data!F238</f>
        <v>B2</v>
      </c>
      <c r="G238" s="31" t="str">
        <f aca="false">Data!G238</f>
        <v>Can give clear, detailed descriptions on a wide range of subjects related to their field of interest.</v>
      </c>
      <c r="H238" s="71" t="s">
        <v>3194</v>
      </c>
      <c r="I238" s="79" t="s">
        <v>3089</v>
      </c>
    </row>
    <row r="239" customFormat="false" ht="15" hidden="false" customHeight="true" outlineLevel="0" collapsed="false">
      <c r="A239" s="70" t="n">
        <f aca="false">Data!A239</f>
        <v>238</v>
      </c>
      <c r="B239" s="70" t="str">
        <f aca="false">IFERROR(INDEX(対訳マスタ!$C$2:$C$136,MATCH(Data!B239,対訳マスタ!$B$2:$B$136,0)),Data!B239)</f>
        <v>コミュニケーション言語活動</v>
      </c>
      <c r="C239" s="70" t="str">
        <f aca="false">IF(Data!C239="—","—",IFERROR(INDEX(対訳マスタ!$C$2:$C$136,MATCH(Data!C239,対訳マスタ!$B$2:$B$136,0)),Data!C239))</f>
        <v>産出</v>
      </c>
      <c r="D239" s="70" t="str">
        <f aca="false">IF(Data!D239="—","—",IFERROR(INDEX(対訳マスタ!$C$2:$C$136,MATCH(Data!D239,対訳マスタ!$B$2:$B$136,0)),Data!D239))</f>
        <v>口頭産出（話すこと）</v>
      </c>
      <c r="E239" s="70" t="str">
        <f aca="false">IFERROR(INDEX(対訳マスタ!$C$2:$C$136,MATCH(Data!E239,対訳マスタ!$B$2:$B$136,0)),Data!E239)</f>
        <v>長めの一人語り：経験の描写</v>
      </c>
      <c r="F239" s="70" t="str">
        <f aca="false">Data!F239</f>
        <v>B2</v>
      </c>
      <c r="G239" s="31" t="str">
        <f aca="false">Data!G239</f>
        <v>Can describe the personal significance of events and experiences in detail.</v>
      </c>
      <c r="H239" s="71" t="s">
        <v>2577</v>
      </c>
      <c r="I239" s="79" t="s">
        <v>3089</v>
      </c>
    </row>
    <row r="240" customFormat="false" ht="21.75" hidden="false" customHeight="true" outlineLevel="0" collapsed="false">
      <c r="A240" s="70" t="n">
        <f aca="false">Data!A240</f>
        <v>239</v>
      </c>
      <c r="B240" s="70" t="str">
        <f aca="false">IFERROR(INDEX(対訳マスタ!$C$2:$C$136,MATCH(Data!B240,対訳マスタ!$B$2:$B$136,0)),Data!B240)</f>
        <v>コミュニケーション言語活動</v>
      </c>
      <c r="C240" s="70" t="str">
        <f aca="false">IF(Data!C240="—","—",IFERROR(INDEX(対訳マスタ!$C$2:$C$136,MATCH(Data!C240,対訳マスタ!$B$2:$B$136,0)),Data!C240))</f>
        <v>産出</v>
      </c>
      <c r="D240" s="70" t="str">
        <f aca="false">IF(Data!D240="—","—",IFERROR(INDEX(対訳マスタ!$C$2:$C$136,MATCH(Data!D240,対訳マスタ!$B$2:$B$136,0)),Data!D240))</f>
        <v>口頭産出（話すこと）</v>
      </c>
      <c r="E240" s="70" t="str">
        <f aca="false">IFERROR(INDEX(対訳マスタ!$C$2:$C$136,MATCH(Data!E240,対訳マスタ!$B$2:$B$136,0)),Data!E240)</f>
        <v>長めの一人語り：経験の描写</v>
      </c>
      <c r="F240" s="70" t="str">
        <f aca="false">Data!F240</f>
        <v>B1+</v>
      </c>
      <c r="G240" s="31" t="str">
        <f aca="false">Data!G240</f>
        <v>Can clearly express feelings about something experienced and give reasons to explain those feelings.</v>
      </c>
      <c r="H240" s="71" t="s">
        <v>2576</v>
      </c>
      <c r="I240" s="79" t="s">
        <v>3089</v>
      </c>
    </row>
    <row r="241" customFormat="false" ht="21.75" hidden="false" customHeight="true" outlineLevel="0" collapsed="false">
      <c r="A241" s="70" t="n">
        <f aca="false">Data!A241</f>
        <v>240</v>
      </c>
      <c r="B241" s="70" t="str">
        <f aca="false">IFERROR(INDEX(対訳マスタ!$C$2:$C$136,MATCH(Data!B241,対訳マスタ!$B$2:$B$136,0)),Data!B241)</f>
        <v>コミュニケーション言語活動</v>
      </c>
      <c r="C241" s="70" t="str">
        <f aca="false">IF(Data!C241="—","—",IFERROR(INDEX(対訳マスタ!$C$2:$C$136,MATCH(Data!C241,対訳マスタ!$B$2:$B$136,0)),Data!C241))</f>
        <v>産出</v>
      </c>
      <c r="D241" s="70" t="str">
        <f aca="false">IF(Data!D241="—","—",IFERROR(INDEX(対訳マスタ!$C$2:$C$136,MATCH(Data!D241,対訳マスタ!$B$2:$B$136,0)),Data!D241))</f>
        <v>口頭産出（話すこと）</v>
      </c>
      <c r="E241" s="70" t="str">
        <f aca="false">IFERROR(INDEX(対訳マスタ!$C$2:$C$136,MATCH(Data!E241,対訳マスタ!$B$2:$B$136,0)),Data!E241)</f>
        <v>長めの一人語り：経験の描写</v>
      </c>
      <c r="F241" s="70" t="str">
        <f aca="false">Data!F241</f>
        <v>B1</v>
      </c>
      <c r="G241" s="31" t="str">
        <f aca="false">Data!G241</f>
        <v>Can give straightforward descriptions on a variety of familiar subjects within their field of interest.</v>
      </c>
      <c r="H241" s="71" t="s">
        <v>3195</v>
      </c>
      <c r="I241" s="79" t="s">
        <v>3089</v>
      </c>
    </row>
    <row r="242" customFormat="false" ht="21.75" hidden="false" customHeight="true" outlineLevel="0" collapsed="false">
      <c r="A242" s="70" t="n">
        <f aca="false">Data!A242</f>
        <v>241</v>
      </c>
      <c r="B242" s="70" t="str">
        <f aca="false">IFERROR(INDEX(対訳マスタ!$C$2:$C$136,MATCH(Data!B242,対訳マスタ!$B$2:$B$136,0)),Data!B242)</f>
        <v>コミュニケーション言語活動</v>
      </c>
      <c r="C242" s="70" t="str">
        <f aca="false">IF(Data!C242="—","—",IFERROR(INDEX(対訳マスタ!$C$2:$C$136,MATCH(Data!C242,対訳マスタ!$B$2:$B$136,0)),Data!C242))</f>
        <v>産出</v>
      </c>
      <c r="D242" s="70" t="str">
        <f aca="false">IF(Data!D242="—","—",IFERROR(INDEX(対訳マスタ!$C$2:$C$136,MATCH(Data!D242,対訳マスタ!$B$2:$B$136,0)),Data!D242))</f>
        <v>口頭産出（話すこと）</v>
      </c>
      <c r="E242" s="70" t="str">
        <f aca="false">IFERROR(INDEX(対訳マスタ!$C$2:$C$136,MATCH(Data!E242,対訳マスタ!$B$2:$B$136,0)),Data!E242)</f>
        <v>長めの一人語り：経験の描写</v>
      </c>
      <c r="F242" s="70" t="str">
        <f aca="false">Data!F242</f>
        <v>B1</v>
      </c>
      <c r="G242" s="31" t="str">
        <f aca="false">Data!G242</f>
        <v>Can reasonably fluently relate a straightforward narrative or description as a sequence of points.</v>
      </c>
      <c r="H242" s="71" t="s">
        <v>3054</v>
      </c>
      <c r="I242" s="79" t="s">
        <v>3089</v>
      </c>
    </row>
    <row r="243" customFormat="false" ht="15" hidden="false" customHeight="true" outlineLevel="0" collapsed="false">
      <c r="A243" s="70" t="n">
        <f aca="false">Data!A243</f>
        <v>242</v>
      </c>
      <c r="B243" s="70" t="str">
        <f aca="false">IFERROR(INDEX(対訳マスタ!$C$2:$C$136,MATCH(Data!B243,対訳マスタ!$B$2:$B$136,0)),Data!B243)</f>
        <v>コミュニケーション言語活動</v>
      </c>
      <c r="C243" s="70" t="str">
        <f aca="false">IF(Data!C243="—","—",IFERROR(INDEX(対訳マスタ!$C$2:$C$136,MATCH(Data!C243,対訳マスタ!$B$2:$B$136,0)),Data!C243))</f>
        <v>産出</v>
      </c>
      <c r="D243" s="70" t="str">
        <f aca="false">IF(Data!D243="—","—",IFERROR(INDEX(対訳マスタ!$C$2:$C$136,MATCH(Data!D243,対訳マスタ!$B$2:$B$136,0)),Data!D243))</f>
        <v>口頭産出（話すこと）</v>
      </c>
      <c r="E243" s="70" t="str">
        <f aca="false">IFERROR(INDEX(対訳マスタ!$C$2:$C$136,MATCH(Data!E243,対訳マスタ!$B$2:$B$136,0)),Data!E243)</f>
        <v>長めの一人語り：経験の描写</v>
      </c>
      <c r="F243" s="70" t="str">
        <f aca="false">Data!F243</f>
        <v>B1</v>
      </c>
      <c r="G243" s="31" t="str">
        <f aca="false">Data!G243</f>
        <v>Can give detailed accounts of experiences, describing feelings and reactions.</v>
      </c>
      <c r="H243" s="71" t="s">
        <v>3196</v>
      </c>
      <c r="I243" s="79" t="s">
        <v>3089</v>
      </c>
    </row>
    <row r="244" customFormat="false" ht="15" hidden="false" customHeight="true" outlineLevel="0" collapsed="false">
      <c r="A244" s="70" t="n">
        <f aca="false">Data!A244</f>
        <v>243</v>
      </c>
      <c r="B244" s="70" t="str">
        <f aca="false">IFERROR(INDEX(対訳マスタ!$C$2:$C$136,MATCH(Data!B244,対訳マスタ!$B$2:$B$136,0)),Data!B244)</f>
        <v>コミュニケーション言語活動</v>
      </c>
      <c r="C244" s="70" t="str">
        <f aca="false">IF(Data!C244="—","—",IFERROR(INDEX(対訳マスタ!$C$2:$C$136,MATCH(Data!C244,対訳マスタ!$B$2:$B$136,0)),Data!C244))</f>
        <v>産出</v>
      </c>
      <c r="D244" s="70" t="str">
        <f aca="false">IF(Data!D244="—","—",IFERROR(INDEX(対訳マスタ!$C$2:$C$136,MATCH(Data!D244,対訳マスタ!$B$2:$B$136,0)),Data!D244))</f>
        <v>口頭産出（話すこと）</v>
      </c>
      <c r="E244" s="70" t="str">
        <f aca="false">IFERROR(INDEX(対訳マスタ!$C$2:$C$136,MATCH(Data!E244,対訳マスタ!$B$2:$B$136,0)),Data!E244)</f>
        <v>長めの一人語り：経験の描写</v>
      </c>
      <c r="F244" s="70" t="str">
        <f aca="false">Data!F244</f>
        <v>B1</v>
      </c>
      <c r="G244" s="31" t="str">
        <f aca="false">Data!G244</f>
        <v>Can relate details of unpredictable occurrences, e.g. an accident.</v>
      </c>
      <c r="H244" s="71" t="s">
        <v>3197</v>
      </c>
      <c r="I244" s="79" t="s">
        <v>3089</v>
      </c>
    </row>
    <row r="245" customFormat="false" ht="15" hidden="false" customHeight="true" outlineLevel="0" collapsed="false">
      <c r="A245" s="70" t="n">
        <f aca="false">Data!A245</f>
        <v>244</v>
      </c>
      <c r="B245" s="70" t="str">
        <f aca="false">IFERROR(INDEX(対訳マスタ!$C$2:$C$136,MATCH(Data!B245,対訳マスタ!$B$2:$B$136,0)),Data!B245)</f>
        <v>コミュニケーション言語活動</v>
      </c>
      <c r="C245" s="70" t="str">
        <f aca="false">IF(Data!C245="—","—",IFERROR(INDEX(対訳マスタ!$C$2:$C$136,MATCH(Data!C245,対訳マスタ!$B$2:$B$136,0)),Data!C245))</f>
        <v>産出</v>
      </c>
      <c r="D245" s="70" t="str">
        <f aca="false">IF(Data!D245="—","—",IFERROR(INDEX(対訳マスタ!$C$2:$C$136,MATCH(Data!D245,対訳マスタ!$B$2:$B$136,0)),Data!D245))</f>
        <v>口頭産出（話すこと）</v>
      </c>
      <c r="E245" s="70" t="str">
        <f aca="false">IFERROR(INDEX(対訳マスタ!$C$2:$C$136,MATCH(Data!E245,対訳マスタ!$B$2:$B$136,0)),Data!E245)</f>
        <v>長めの一人語り：経験の描写</v>
      </c>
      <c r="F245" s="70" t="str">
        <f aca="false">Data!F245</f>
        <v>B1</v>
      </c>
      <c r="G245" s="31" t="str">
        <f aca="false">Data!G245</f>
        <v>Can relate the plot of a book or film and describe their reactions.</v>
      </c>
      <c r="H245" s="71" t="s">
        <v>3198</v>
      </c>
      <c r="I245" s="79" t="s">
        <v>3089</v>
      </c>
    </row>
    <row r="246" customFormat="false" ht="15" hidden="false" customHeight="true" outlineLevel="0" collapsed="false">
      <c r="A246" s="70" t="n">
        <f aca="false">Data!A246</f>
        <v>245</v>
      </c>
      <c r="B246" s="70" t="str">
        <f aca="false">IFERROR(INDEX(対訳マスタ!$C$2:$C$136,MATCH(Data!B246,対訳マスタ!$B$2:$B$136,0)),Data!B246)</f>
        <v>コミュニケーション言語活動</v>
      </c>
      <c r="C246" s="70" t="str">
        <f aca="false">IF(Data!C246="—","—",IFERROR(INDEX(対訳マスタ!$C$2:$C$136,MATCH(Data!C246,対訳マスタ!$B$2:$B$136,0)),Data!C246))</f>
        <v>産出</v>
      </c>
      <c r="D246" s="70" t="str">
        <f aca="false">IF(Data!D246="—","—",IFERROR(INDEX(対訳マスタ!$C$2:$C$136,MATCH(Data!D246,対訳マスタ!$B$2:$B$136,0)),Data!D246))</f>
        <v>口頭産出（話すこと）</v>
      </c>
      <c r="E246" s="70" t="str">
        <f aca="false">IFERROR(INDEX(対訳マスタ!$C$2:$C$136,MATCH(Data!E246,対訳マスタ!$B$2:$B$136,0)),Data!E246)</f>
        <v>長めの一人語り：経験の描写</v>
      </c>
      <c r="F246" s="70" t="str">
        <f aca="false">Data!F246</f>
        <v>B1</v>
      </c>
      <c r="G246" s="31" t="str">
        <f aca="false">Data!G246</f>
        <v>Can describe dreams, hopes and ambitions.</v>
      </c>
      <c r="H246" s="71" t="s">
        <v>3199</v>
      </c>
      <c r="I246" s="79" t="s">
        <v>3089</v>
      </c>
    </row>
    <row r="247" customFormat="false" ht="15" hidden="false" customHeight="true" outlineLevel="0" collapsed="false">
      <c r="A247" s="70" t="n">
        <f aca="false">Data!A247</f>
        <v>246</v>
      </c>
      <c r="B247" s="70" t="str">
        <f aca="false">IFERROR(INDEX(対訳マスタ!$C$2:$C$136,MATCH(Data!B247,対訳マスタ!$B$2:$B$136,0)),Data!B247)</f>
        <v>コミュニケーション言語活動</v>
      </c>
      <c r="C247" s="70" t="str">
        <f aca="false">IF(Data!C247="—","—",IFERROR(INDEX(対訳マスタ!$C$2:$C$136,MATCH(Data!C247,対訳マスタ!$B$2:$B$136,0)),Data!C247))</f>
        <v>産出</v>
      </c>
      <c r="D247" s="70" t="str">
        <f aca="false">IF(Data!D247="—","—",IFERROR(INDEX(対訳マスタ!$C$2:$C$136,MATCH(Data!D247,対訳マスタ!$B$2:$B$136,0)),Data!D247))</f>
        <v>口頭産出（話すこと）</v>
      </c>
      <c r="E247" s="70" t="str">
        <f aca="false">IFERROR(INDEX(対訳マスタ!$C$2:$C$136,MATCH(Data!E247,対訳マスタ!$B$2:$B$136,0)),Data!E247)</f>
        <v>長めの一人語り：経験の描写</v>
      </c>
      <c r="F247" s="70" t="str">
        <f aca="false">Data!F247</f>
        <v>B1</v>
      </c>
      <c r="G247" s="31" t="str">
        <f aca="false">Data!G247</f>
        <v>Can describe events, real or imagined.</v>
      </c>
      <c r="H247" s="71" t="s">
        <v>3200</v>
      </c>
      <c r="I247" s="79" t="s">
        <v>3089</v>
      </c>
    </row>
    <row r="248" customFormat="false" ht="15" hidden="false" customHeight="true" outlineLevel="0" collapsed="false">
      <c r="A248" s="70" t="n">
        <f aca="false">Data!A248</f>
        <v>247</v>
      </c>
      <c r="B248" s="70" t="str">
        <f aca="false">IFERROR(INDEX(対訳マスタ!$C$2:$C$136,MATCH(Data!B248,対訳マスタ!$B$2:$B$136,0)),Data!B248)</f>
        <v>コミュニケーション言語活動</v>
      </c>
      <c r="C248" s="70" t="str">
        <f aca="false">IF(Data!C248="—","—",IFERROR(INDEX(対訳マスタ!$C$2:$C$136,MATCH(Data!C248,対訳マスタ!$B$2:$B$136,0)),Data!C248))</f>
        <v>産出</v>
      </c>
      <c r="D248" s="70" t="str">
        <f aca="false">IF(Data!D248="—","—",IFERROR(INDEX(対訳マスタ!$C$2:$C$136,MATCH(Data!D248,対訳マスタ!$B$2:$B$136,0)),Data!D248))</f>
        <v>口頭産出（話すこと）</v>
      </c>
      <c r="E248" s="70" t="str">
        <f aca="false">IFERROR(INDEX(対訳マスタ!$C$2:$C$136,MATCH(Data!E248,対訳マスタ!$B$2:$B$136,0)),Data!E248)</f>
        <v>長めの一人語り：経験の描写</v>
      </c>
      <c r="F248" s="70" t="str">
        <f aca="false">Data!F248</f>
        <v>B1</v>
      </c>
      <c r="G248" s="31" t="str">
        <f aca="false">Data!G248</f>
        <v>Can narrate a story.</v>
      </c>
      <c r="H248" s="71" t="s">
        <v>2575</v>
      </c>
      <c r="I248" s="79" t="s">
        <v>3089</v>
      </c>
    </row>
    <row r="249" customFormat="false" ht="15" hidden="false" customHeight="true" outlineLevel="0" collapsed="false">
      <c r="A249" s="70" t="n">
        <f aca="false">Data!A249</f>
        <v>248</v>
      </c>
      <c r="B249" s="70" t="str">
        <f aca="false">IFERROR(INDEX(対訳マスタ!$C$2:$C$136,MATCH(Data!B249,対訳マスタ!$B$2:$B$136,0)),Data!B249)</f>
        <v>コミュニケーション言語活動</v>
      </c>
      <c r="C249" s="70" t="str">
        <f aca="false">IF(Data!C249="—","—",IFERROR(INDEX(対訳マスタ!$C$2:$C$136,MATCH(Data!C249,対訳マスタ!$B$2:$B$136,0)),Data!C249))</f>
        <v>産出</v>
      </c>
      <c r="D249" s="70" t="str">
        <f aca="false">IF(Data!D249="—","—",IFERROR(INDEX(対訳マスタ!$C$2:$C$136,MATCH(Data!D249,対訳マスタ!$B$2:$B$136,0)),Data!D249))</f>
        <v>口頭産出（話すこと）</v>
      </c>
      <c r="E249" s="70" t="str">
        <f aca="false">IFERROR(INDEX(対訳マスタ!$C$2:$C$136,MATCH(Data!E249,対訳マスタ!$B$2:$B$136,0)),Data!E249)</f>
        <v>長めの一人語り：経験の描写</v>
      </c>
      <c r="F249" s="70" t="str">
        <f aca="false">Data!F249</f>
        <v>A2+</v>
      </c>
      <c r="G249" s="31" t="str">
        <f aca="false">Data!G249</f>
        <v>Can tell a story or describe something in a simple list of points.</v>
      </c>
      <c r="H249" s="71" t="s">
        <v>3053</v>
      </c>
      <c r="I249" s="79" t="s">
        <v>3089</v>
      </c>
    </row>
    <row r="250" customFormat="false" ht="21.75" hidden="false" customHeight="true" outlineLevel="0" collapsed="false">
      <c r="A250" s="70" t="n">
        <f aca="false">Data!A250</f>
        <v>249</v>
      </c>
      <c r="B250" s="70" t="str">
        <f aca="false">IFERROR(INDEX(対訳マスタ!$C$2:$C$136,MATCH(Data!B250,対訳マスタ!$B$2:$B$136,0)),Data!B250)</f>
        <v>コミュニケーション言語活動</v>
      </c>
      <c r="C250" s="70" t="str">
        <f aca="false">IF(Data!C250="—","—",IFERROR(INDEX(対訳マスタ!$C$2:$C$136,MATCH(Data!C250,対訳マスタ!$B$2:$B$136,0)),Data!C250))</f>
        <v>産出</v>
      </c>
      <c r="D250" s="70" t="str">
        <f aca="false">IF(Data!D250="—","—",IFERROR(INDEX(対訳マスタ!$C$2:$C$136,MATCH(Data!D250,対訳マスタ!$B$2:$B$136,0)),Data!D250))</f>
        <v>口頭産出（話すこと）</v>
      </c>
      <c r="E250" s="70" t="str">
        <f aca="false">IFERROR(INDEX(対訳マスタ!$C$2:$C$136,MATCH(Data!E250,対訳マスタ!$B$2:$B$136,0)),Data!E250)</f>
        <v>長めの一人語り：経験の描写</v>
      </c>
      <c r="F250" s="70" t="str">
        <f aca="false">Data!F250</f>
        <v>A2+</v>
      </c>
      <c r="G250" s="31" t="str">
        <f aca="false">Data!G250</f>
        <v>Can describe everyday aspects of their environment e.g. people, places, a job or study experience.</v>
      </c>
      <c r="H250" s="71" t="s">
        <v>3201</v>
      </c>
      <c r="I250" s="79" t="s">
        <v>3089</v>
      </c>
    </row>
    <row r="251" customFormat="false" ht="15" hidden="false" customHeight="true" outlineLevel="0" collapsed="false">
      <c r="A251" s="70" t="n">
        <f aca="false">Data!A251</f>
        <v>250</v>
      </c>
      <c r="B251" s="70" t="str">
        <f aca="false">IFERROR(INDEX(対訳マスタ!$C$2:$C$136,MATCH(Data!B251,対訳マスタ!$B$2:$B$136,0)),Data!B251)</f>
        <v>コミュニケーション言語活動</v>
      </c>
      <c r="C251" s="70" t="str">
        <f aca="false">IF(Data!C251="—","—",IFERROR(INDEX(対訳マスタ!$C$2:$C$136,MATCH(Data!C251,対訳マスタ!$B$2:$B$136,0)),Data!C251))</f>
        <v>産出</v>
      </c>
      <c r="D251" s="70" t="str">
        <f aca="false">IF(Data!D251="—","—",IFERROR(INDEX(対訳マスタ!$C$2:$C$136,MATCH(Data!D251,対訳マスタ!$B$2:$B$136,0)),Data!D251))</f>
        <v>口頭産出（話すこと）</v>
      </c>
      <c r="E251" s="70" t="str">
        <f aca="false">IFERROR(INDEX(対訳マスタ!$C$2:$C$136,MATCH(Data!E251,対訳マスタ!$B$2:$B$136,0)),Data!E251)</f>
        <v>長めの一人語り：経験の描写</v>
      </c>
      <c r="F251" s="70" t="str">
        <f aca="false">Data!F251</f>
        <v>A2+</v>
      </c>
      <c r="G251" s="31" t="str">
        <f aca="false">Data!G251</f>
        <v>Can give short, basic descriptions of events and activities.</v>
      </c>
      <c r="H251" s="71" t="s">
        <v>3202</v>
      </c>
      <c r="I251" s="79" t="s">
        <v>3089</v>
      </c>
    </row>
    <row r="252" customFormat="false" ht="21.75" hidden="false" customHeight="true" outlineLevel="0" collapsed="false">
      <c r="A252" s="70" t="n">
        <f aca="false">Data!A252</f>
        <v>251</v>
      </c>
      <c r="B252" s="70" t="str">
        <f aca="false">IFERROR(INDEX(対訳マスタ!$C$2:$C$136,MATCH(Data!B252,対訳マスタ!$B$2:$B$136,0)),Data!B252)</f>
        <v>コミュニケーション言語活動</v>
      </c>
      <c r="C252" s="70" t="str">
        <f aca="false">IF(Data!C252="—","—",IFERROR(INDEX(対訳マスタ!$C$2:$C$136,MATCH(Data!C252,対訳マスタ!$B$2:$B$136,0)),Data!C252))</f>
        <v>産出</v>
      </c>
      <c r="D252" s="70" t="str">
        <f aca="false">IF(Data!D252="—","—",IFERROR(INDEX(対訳マスタ!$C$2:$C$136,MATCH(Data!D252,対訳マスタ!$B$2:$B$136,0)),Data!D252))</f>
        <v>口頭産出（話すこと）</v>
      </c>
      <c r="E252" s="70" t="str">
        <f aca="false">IFERROR(INDEX(対訳マスタ!$C$2:$C$136,MATCH(Data!E252,対訳マスタ!$B$2:$B$136,0)),Data!E252)</f>
        <v>長めの一人語り：経験の描写</v>
      </c>
      <c r="F252" s="70" t="str">
        <f aca="false">Data!F252</f>
        <v>A2+</v>
      </c>
      <c r="G252" s="31" t="str">
        <f aca="false">Data!G252</f>
        <v>Can describe plans and arrangements, habits and routines, past activities and personal experiences.</v>
      </c>
      <c r="H252" s="71" t="s">
        <v>3203</v>
      </c>
      <c r="I252" s="79" t="s">
        <v>3089</v>
      </c>
    </row>
    <row r="253" customFormat="false" ht="21.75" hidden="false" customHeight="true" outlineLevel="0" collapsed="false">
      <c r="A253" s="70" t="n">
        <f aca="false">Data!A253</f>
        <v>252</v>
      </c>
      <c r="B253" s="70" t="str">
        <f aca="false">IFERROR(INDEX(対訳マスタ!$C$2:$C$136,MATCH(Data!B253,対訳マスタ!$B$2:$B$136,0)),Data!B253)</f>
        <v>コミュニケーション言語活動</v>
      </c>
      <c r="C253" s="70" t="str">
        <f aca="false">IF(Data!C253="—","—",IFERROR(INDEX(対訳マスタ!$C$2:$C$136,MATCH(Data!C253,対訳マスタ!$B$2:$B$136,0)),Data!C253))</f>
        <v>産出</v>
      </c>
      <c r="D253" s="70" t="str">
        <f aca="false">IF(Data!D253="—","—",IFERROR(INDEX(対訳マスタ!$C$2:$C$136,MATCH(Data!D253,対訳マスタ!$B$2:$B$136,0)),Data!D253))</f>
        <v>口頭産出（話すこと）</v>
      </c>
      <c r="E253" s="70" t="str">
        <f aca="false">IFERROR(INDEX(対訳マスタ!$C$2:$C$136,MATCH(Data!E253,対訳マスタ!$B$2:$B$136,0)),Data!E253)</f>
        <v>長めの一人語り：経験の描写</v>
      </c>
      <c r="F253" s="70" t="str">
        <f aca="false">Data!F253</f>
        <v>A2+</v>
      </c>
      <c r="G253" s="31" t="str">
        <f aca="false">Data!G253</f>
        <v>Can use simple descriptive language to make brief statements about and compare objects and possessions.</v>
      </c>
      <c r="H253" s="71" t="s">
        <v>3204</v>
      </c>
      <c r="I253" s="79" t="s">
        <v>3089</v>
      </c>
    </row>
    <row r="254" customFormat="false" ht="15" hidden="false" customHeight="true" outlineLevel="0" collapsed="false">
      <c r="A254" s="70" t="n">
        <f aca="false">Data!A254</f>
        <v>253</v>
      </c>
      <c r="B254" s="70" t="str">
        <f aca="false">IFERROR(INDEX(対訳マスタ!$C$2:$C$136,MATCH(Data!B254,対訳マスタ!$B$2:$B$136,0)),Data!B254)</f>
        <v>コミュニケーション言語活動</v>
      </c>
      <c r="C254" s="70" t="str">
        <f aca="false">IF(Data!C254="—","—",IFERROR(INDEX(対訳マスタ!$C$2:$C$136,MATCH(Data!C254,対訳マスタ!$B$2:$B$136,0)),Data!C254))</f>
        <v>産出</v>
      </c>
      <c r="D254" s="70" t="str">
        <f aca="false">IF(Data!D254="—","—",IFERROR(INDEX(対訳マスタ!$C$2:$C$136,MATCH(Data!D254,対訳マスタ!$B$2:$B$136,0)),Data!D254))</f>
        <v>口頭産出（話すこと）</v>
      </c>
      <c r="E254" s="70" t="str">
        <f aca="false">IFERROR(INDEX(対訳マスタ!$C$2:$C$136,MATCH(Data!E254,対訳マスタ!$B$2:$B$136,0)),Data!E254)</f>
        <v>長めの一人語り：経験の描写</v>
      </c>
      <c r="F254" s="70" t="str">
        <f aca="false">Data!F254</f>
        <v>A2+</v>
      </c>
      <c r="G254" s="31" t="str">
        <f aca="false">Data!G254</f>
        <v>Can explain what they like or dislike about something.</v>
      </c>
      <c r="H254" s="71" t="s">
        <v>2574</v>
      </c>
      <c r="I254" s="79" t="s">
        <v>3089</v>
      </c>
    </row>
    <row r="255" customFormat="false" ht="21.75" hidden="false" customHeight="true" outlineLevel="0" collapsed="false">
      <c r="A255" s="70" t="n">
        <f aca="false">Data!A255</f>
        <v>254</v>
      </c>
      <c r="B255" s="70" t="str">
        <f aca="false">IFERROR(INDEX(対訳マスタ!$C$2:$C$136,MATCH(Data!B255,対訳マスタ!$B$2:$B$136,0)),Data!B255)</f>
        <v>コミュニケーション言語活動</v>
      </c>
      <c r="C255" s="70" t="str">
        <f aca="false">IF(Data!C255="—","—",IFERROR(INDEX(対訳マスタ!$C$2:$C$136,MATCH(Data!C255,対訳マスタ!$B$2:$B$136,0)),Data!C255))</f>
        <v>産出</v>
      </c>
      <c r="D255" s="70" t="str">
        <f aca="false">IF(Data!D255="—","—",IFERROR(INDEX(対訳マスタ!$C$2:$C$136,MATCH(Data!D255,対訳マスタ!$B$2:$B$136,0)),Data!D255))</f>
        <v>口頭産出（話すこと）</v>
      </c>
      <c r="E255" s="70" t="str">
        <f aca="false">IFERROR(INDEX(対訳マスタ!$C$2:$C$136,MATCH(Data!E255,対訳マスタ!$B$2:$B$136,0)),Data!E255)</f>
        <v>長めの一人語り：経験の描写</v>
      </c>
      <c r="F255" s="70" t="str">
        <f aca="false">Data!F255</f>
        <v>A2</v>
      </c>
      <c r="G255" s="31" t="str">
        <f aca="false">Data!G255</f>
        <v>Can describe their family, living conditions, educational background, present or most recent job.</v>
      </c>
      <c r="H255" s="71" t="s">
        <v>3205</v>
      </c>
      <c r="I255" s="79" t="s">
        <v>3089</v>
      </c>
    </row>
    <row r="256" customFormat="false" ht="15" hidden="false" customHeight="true" outlineLevel="0" collapsed="false">
      <c r="A256" s="70" t="n">
        <f aca="false">Data!A256</f>
        <v>255</v>
      </c>
      <c r="B256" s="70" t="str">
        <f aca="false">IFERROR(INDEX(対訳マスタ!$C$2:$C$136,MATCH(Data!B256,対訳マスタ!$B$2:$B$136,0)),Data!B256)</f>
        <v>コミュニケーション言語活動</v>
      </c>
      <c r="C256" s="70" t="str">
        <f aca="false">IF(Data!C256="—","—",IFERROR(INDEX(対訳マスタ!$C$2:$C$136,MATCH(Data!C256,対訳マスタ!$B$2:$B$136,0)),Data!C256))</f>
        <v>産出</v>
      </c>
      <c r="D256" s="70" t="str">
        <f aca="false">IF(Data!D256="—","—",IFERROR(INDEX(対訳マスタ!$C$2:$C$136,MATCH(Data!D256,対訳マスタ!$B$2:$B$136,0)),Data!D256))</f>
        <v>口頭産出（話すこと）</v>
      </c>
      <c r="E256" s="70" t="str">
        <f aca="false">IFERROR(INDEX(対訳マスタ!$C$2:$C$136,MATCH(Data!E256,対訳マスタ!$B$2:$B$136,0)),Data!E256)</f>
        <v>長めの一人語り：経験の描写</v>
      </c>
      <c r="F256" s="70" t="str">
        <f aca="false">Data!F256</f>
        <v>A2</v>
      </c>
      <c r="G256" s="31" t="str">
        <f aca="false">Data!G256</f>
        <v>Can describe people, places and possessions in simple terms.</v>
      </c>
      <c r="H256" s="71" t="s">
        <v>2573</v>
      </c>
      <c r="I256" s="79" t="s">
        <v>3089</v>
      </c>
    </row>
    <row r="257" customFormat="false" ht="21.75" hidden="false" customHeight="true" outlineLevel="0" collapsed="false">
      <c r="A257" s="70" t="n">
        <f aca="false">Data!A257</f>
        <v>256</v>
      </c>
      <c r="B257" s="70" t="str">
        <f aca="false">IFERROR(INDEX(対訳マスタ!$C$2:$C$136,MATCH(Data!B257,対訳マスタ!$B$2:$B$136,0)),Data!B257)</f>
        <v>コミュニケーション言語活動</v>
      </c>
      <c r="C257" s="70" t="str">
        <f aca="false">IF(Data!C257="—","—",IFERROR(INDEX(対訳マスタ!$C$2:$C$136,MATCH(Data!C257,対訳マスタ!$B$2:$B$136,0)),Data!C257))</f>
        <v>産出</v>
      </c>
      <c r="D257" s="70" t="str">
        <f aca="false">IF(Data!D257="—","—",IFERROR(INDEX(対訳マスタ!$C$2:$C$136,MATCH(Data!D257,対訳マスタ!$B$2:$B$136,0)),Data!D257))</f>
        <v>口頭産出（話すこと）</v>
      </c>
      <c r="E257" s="70" t="str">
        <f aca="false">IFERROR(INDEX(対訳マスタ!$C$2:$C$136,MATCH(Data!E257,対訳マスタ!$B$2:$B$136,0)),Data!E257)</f>
        <v>長めの一人語り：経験の描写</v>
      </c>
      <c r="F257" s="70" t="str">
        <f aca="false">Data!F257</f>
        <v>A2</v>
      </c>
      <c r="G257" s="31" t="str">
        <f aca="false">Data!G257</f>
        <v>Can express what they are good at and not so good at (e.g. sports, games, skills, subjects).</v>
      </c>
      <c r="H257" s="71" t="s">
        <v>3206</v>
      </c>
      <c r="I257" s="79" t="s">
        <v>3089</v>
      </c>
    </row>
    <row r="258" customFormat="false" ht="15" hidden="false" customHeight="true" outlineLevel="0" collapsed="false">
      <c r="A258" s="70" t="n">
        <f aca="false">Data!A258</f>
        <v>257</v>
      </c>
      <c r="B258" s="70" t="str">
        <f aca="false">IFERROR(INDEX(対訳マスタ!$C$2:$C$136,MATCH(Data!B258,対訳マスタ!$B$2:$B$136,0)),Data!B258)</f>
        <v>コミュニケーション言語活動</v>
      </c>
      <c r="C258" s="70" t="str">
        <f aca="false">IF(Data!C258="—","—",IFERROR(INDEX(対訳マスタ!$C$2:$C$136,MATCH(Data!C258,対訳マスタ!$B$2:$B$136,0)),Data!C258))</f>
        <v>産出</v>
      </c>
      <c r="D258" s="70" t="str">
        <f aca="false">IF(Data!D258="—","—",IFERROR(INDEX(対訳マスタ!$C$2:$C$136,MATCH(Data!D258,対訳マスタ!$B$2:$B$136,0)),Data!D258))</f>
        <v>口頭産出（話すこと）</v>
      </c>
      <c r="E258" s="70" t="str">
        <f aca="false">IFERROR(INDEX(対訳マスタ!$C$2:$C$136,MATCH(Data!E258,対訳マスタ!$B$2:$B$136,0)),Data!E258)</f>
        <v>長めの一人語り：経験の描写</v>
      </c>
      <c r="F258" s="70" t="str">
        <f aca="false">Data!F258</f>
        <v>A2</v>
      </c>
      <c r="G258" s="31" t="str">
        <f aca="false">Data!G258</f>
        <v>Can briefly describe what they plan to do at the weekend or during the holidays.</v>
      </c>
      <c r="H258" s="71" t="s">
        <v>3207</v>
      </c>
      <c r="I258" s="79" t="s">
        <v>3089</v>
      </c>
    </row>
    <row r="259" customFormat="false" ht="15" hidden="false" customHeight="true" outlineLevel="0" collapsed="false">
      <c r="A259" s="70" t="n">
        <f aca="false">Data!A259</f>
        <v>258</v>
      </c>
      <c r="B259" s="70" t="str">
        <f aca="false">IFERROR(INDEX(対訳マスタ!$C$2:$C$136,MATCH(Data!B259,対訳マスタ!$B$2:$B$136,0)),Data!B259)</f>
        <v>コミュニケーション言語活動</v>
      </c>
      <c r="C259" s="70" t="str">
        <f aca="false">IF(Data!C259="—","—",IFERROR(INDEX(対訳マスタ!$C$2:$C$136,MATCH(Data!C259,対訳マスタ!$B$2:$B$136,0)),Data!C259))</f>
        <v>産出</v>
      </c>
      <c r="D259" s="70" t="str">
        <f aca="false">IF(Data!D259="—","—",IFERROR(INDEX(対訳マスタ!$C$2:$C$136,MATCH(Data!D259,対訳マスタ!$B$2:$B$136,0)),Data!D259))</f>
        <v>口頭産出（話すこと）</v>
      </c>
      <c r="E259" s="70" t="str">
        <f aca="false">IFERROR(INDEX(対訳マスタ!$C$2:$C$136,MATCH(Data!E259,対訳マスタ!$B$2:$B$136,0)),Data!E259)</f>
        <v>長めの一人語り：経験の描写</v>
      </c>
      <c r="F259" s="70" t="str">
        <f aca="false">Data!F259</f>
        <v>A1</v>
      </c>
      <c r="G259" s="31" t="str">
        <f aca="false">Data!G259</f>
        <v>Can describe themselves, what they do and where they live.</v>
      </c>
      <c r="H259" s="71" t="s">
        <v>2572</v>
      </c>
      <c r="I259" s="79" t="s">
        <v>3089</v>
      </c>
    </row>
    <row r="260" customFormat="false" ht="21.75" hidden="false" customHeight="true" outlineLevel="0" collapsed="false">
      <c r="A260" s="70" t="n">
        <f aca="false">Data!A260</f>
        <v>259</v>
      </c>
      <c r="B260" s="70" t="str">
        <f aca="false">IFERROR(INDEX(対訳マスタ!$C$2:$C$136,MATCH(Data!B260,対訳マスタ!$B$2:$B$136,0)),Data!B260)</f>
        <v>コミュニケーション言語活動</v>
      </c>
      <c r="C260" s="70" t="str">
        <f aca="false">IF(Data!C260="—","—",IFERROR(INDEX(対訳マスタ!$C$2:$C$136,MATCH(Data!C260,対訳マスタ!$B$2:$B$136,0)),Data!C260))</f>
        <v>産出</v>
      </c>
      <c r="D260" s="70" t="str">
        <f aca="false">IF(Data!D260="—","—",IFERROR(INDEX(対訳マスタ!$C$2:$C$136,MATCH(Data!D260,対訳マスタ!$B$2:$B$136,0)),Data!D260))</f>
        <v>口頭産出（話すこと）</v>
      </c>
      <c r="E260" s="70" t="str">
        <f aca="false">IFERROR(INDEX(対訳マスタ!$C$2:$C$136,MATCH(Data!E260,対訳マスタ!$B$2:$B$136,0)),Data!E260)</f>
        <v>長めの一人語り：経験の描写</v>
      </c>
      <c r="F260" s="70" t="str">
        <f aca="false">Data!F260</f>
        <v>A1</v>
      </c>
      <c r="G260" s="31" t="str">
        <f aca="false">Data!G260</f>
        <v>Can describe simple aspects of their everyday life in a series of simple sentences, using simple words/signs and basic phrases, provided they can prepare in advance.</v>
      </c>
      <c r="H260" s="71" t="s">
        <v>3208</v>
      </c>
      <c r="I260" s="79" t="s">
        <v>3089</v>
      </c>
    </row>
    <row r="261" customFormat="false" ht="21.75" hidden="false" customHeight="true" outlineLevel="0" collapsed="false">
      <c r="A261" s="70" t="n">
        <f aca="false">Data!A261</f>
        <v>260</v>
      </c>
      <c r="B261" s="70" t="str">
        <f aca="false">IFERROR(INDEX(対訳マスタ!$C$2:$C$136,MATCH(Data!B261,対訳マスタ!$B$2:$B$136,0)),Data!B261)</f>
        <v>コミュニケーション言語活動</v>
      </c>
      <c r="C261" s="70" t="str">
        <f aca="false">IF(Data!C261="—","—",IFERROR(INDEX(対訳マスタ!$C$2:$C$136,MATCH(Data!C261,対訳マスタ!$B$2:$B$136,0)),Data!C261))</f>
        <v>産出</v>
      </c>
      <c r="D261" s="70" t="str">
        <f aca="false">IF(Data!D261="—","—",IFERROR(INDEX(対訳マスタ!$C$2:$C$136,MATCH(Data!D261,対訳マスタ!$B$2:$B$136,0)),Data!D261))</f>
        <v>口頭産出（話すこと）</v>
      </c>
      <c r="E261" s="70" t="str">
        <f aca="false">IFERROR(INDEX(対訳マスタ!$C$2:$C$136,MATCH(Data!E261,対訳マスタ!$B$2:$B$136,0)),Data!E261)</f>
        <v>長めの一人語り：経験の描写</v>
      </c>
      <c r="F261" s="70" t="str">
        <f aca="false">Data!F261</f>
        <v>Pre-A1</v>
      </c>
      <c r="G261" s="31" t="str">
        <f aca="false">Data!G261</f>
        <v>Can describe themselves (e.g. name, age, family), using simple words/signs and formulaic expressions, provided they can prepare in advance.</v>
      </c>
      <c r="H261" s="71" t="s">
        <v>3209</v>
      </c>
      <c r="I261" s="79" t="s">
        <v>3089</v>
      </c>
    </row>
    <row r="262" customFormat="false" ht="26.25" hidden="false" customHeight="true" outlineLevel="0" collapsed="false">
      <c r="A262" s="70" t="n">
        <f aca="false">Data!A262</f>
        <v>261</v>
      </c>
      <c r="B262" s="70" t="str">
        <f aca="false">IFERROR(INDEX(対訳マスタ!$C$2:$C$136,MATCH(Data!B262,対訳マスタ!$B$2:$B$136,0)),Data!B262)</f>
        <v>コミュニケーション言語活動</v>
      </c>
      <c r="C262" s="70" t="str">
        <f aca="false">IF(Data!C262="—","—",IFERROR(INDEX(対訳マスタ!$C$2:$C$136,MATCH(Data!C262,対訳マスタ!$B$2:$B$136,0)),Data!C262))</f>
        <v>産出</v>
      </c>
      <c r="D262" s="70" t="str">
        <f aca="false">IF(Data!D262="—","—",IFERROR(INDEX(対訳マスタ!$C$2:$C$136,MATCH(Data!D262,対訳マスタ!$B$2:$B$136,0)),Data!D262))</f>
        <v>口頭産出（話すこと）</v>
      </c>
      <c r="E262" s="70" t="str">
        <f aca="false">IFERROR(INDEX(対訳マスタ!$C$2:$C$136,MATCH(Data!E262,対訳マスタ!$B$2:$B$136,0)),Data!E262)</f>
        <v>長めの一人語り：経験の描写</v>
      </c>
      <c r="F262" s="70" t="str">
        <f aca="false">Data!F262</f>
        <v>Pre-A1</v>
      </c>
      <c r="G262" s="31" t="str">
        <f aca="false">Data!G262</f>
        <v>Can express how they are feeling using simple adjectives like “happy” or “tired”, accompanied by body language.</v>
      </c>
      <c r="H262" s="71" t="s">
        <v>2571</v>
      </c>
      <c r="I262" s="79" t="s">
        <v>3089</v>
      </c>
    </row>
    <row r="263" customFormat="false" ht="15" hidden="false" customHeight="true" outlineLevel="0" collapsed="false">
      <c r="A263" s="80" t="n">
        <f aca="false">Data!A263</f>
        <v>262</v>
      </c>
      <c r="B263" s="80" t="str">
        <f aca="false">IFERROR(INDEX(対訳マスタ!$C$2:$C$136,MATCH(Data!B263,対訳マスタ!$B$2:$B$136,0)),Data!B263)</f>
        <v>コミュニケーション言語活動</v>
      </c>
      <c r="C263" s="80" t="str">
        <f aca="false">IF(Data!C263="—","—",IFERROR(INDEX(対訳マスタ!$C$2:$C$136,MATCH(Data!C263,対訳マスタ!$B$2:$B$136,0)),Data!C263))</f>
        <v>産出</v>
      </c>
      <c r="D263" s="80" t="str">
        <f aca="false">IF(Data!D263="—","—",IFERROR(INDEX(対訳マスタ!$C$2:$C$136,MATCH(Data!D263,対訳マスタ!$B$2:$B$136,0)),Data!D263))</f>
        <v>口頭産出（話すこと）</v>
      </c>
      <c r="E263" s="80" t="str">
        <f aca="false">IFERROR(INDEX(対訳マスタ!$C$2:$C$136,MATCH(Data!E263,対訳マスタ!$B$2:$B$136,0)),Data!E263)</f>
        <v>長めの一人語り：情報提供</v>
      </c>
      <c r="F263" s="80" t="str">
        <f aca="false">Data!F263</f>
        <v>C2</v>
      </c>
      <c r="G263" s="81" t="str">
        <f aca="false">Data!G263</f>
        <v>No descriptors available; see C1</v>
      </c>
      <c r="H263" s="81" t="s">
        <v>624</v>
      </c>
      <c r="I263" s="80" t="s">
        <v>624</v>
      </c>
    </row>
    <row r="264" customFormat="false" ht="21.75" hidden="false" customHeight="true" outlineLevel="0" collapsed="false">
      <c r="A264" s="70" t="n">
        <f aca="false">Data!A264</f>
        <v>263</v>
      </c>
      <c r="B264" s="70" t="str">
        <f aca="false">IFERROR(INDEX(対訳マスタ!$C$2:$C$136,MATCH(Data!B264,対訳マスタ!$B$2:$B$136,0)),Data!B264)</f>
        <v>コミュニケーション言語活動</v>
      </c>
      <c r="C264" s="70" t="str">
        <f aca="false">IF(Data!C264="—","—",IFERROR(INDEX(対訳マスタ!$C$2:$C$136,MATCH(Data!C264,対訳マスタ!$B$2:$B$136,0)),Data!C264))</f>
        <v>産出</v>
      </c>
      <c r="D264" s="70" t="str">
        <f aca="false">IF(Data!D264="—","—",IFERROR(INDEX(対訳マスタ!$C$2:$C$136,MATCH(Data!D264,対訳マスタ!$B$2:$B$136,0)),Data!D264))</f>
        <v>口頭産出（話すこと）</v>
      </c>
      <c r="E264" s="70" t="str">
        <f aca="false">IFERROR(INDEX(対訳マスタ!$C$2:$C$136,MATCH(Data!E264,対訳マスタ!$B$2:$B$136,0)),Data!E264)</f>
        <v>長めの一人語り：情報提供</v>
      </c>
      <c r="F264" s="70" t="str">
        <f aca="false">Data!F264</f>
        <v>C1</v>
      </c>
      <c r="G264" s="31" t="str">
        <f aca="false">Data!G264</f>
        <v>Can communicate clearly detailed distinctions between ideas, concepts and things that closely resemble one other.</v>
      </c>
      <c r="H264" s="71" t="s">
        <v>3210</v>
      </c>
      <c r="I264" s="79" t="s">
        <v>3089</v>
      </c>
    </row>
    <row r="265" customFormat="false" ht="21.75" hidden="false" customHeight="true" outlineLevel="0" collapsed="false">
      <c r="A265" s="70" t="n">
        <f aca="false">Data!A265</f>
        <v>264</v>
      </c>
      <c r="B265" s="70" t="str">
        <f aca="false">IFERROR(INDEX(対訳マスタ!$C$2:$C$136,MATCH(Data!B265,対訳マスタ!$B$2:$B$136,0)),Data!B265)</f>
        <v>コミュニケーション言語活動</v>
      </c>
      <c r="C265" s="70" t="str">
        <f aca="false">IF(Data!C265="—","—",IFERROR(INDEX(対訳マスタ!$C$2:$C$136,MATCH(Data!C265,対訳マスタ!$B$2:$B$136,0)),Data!C265))</f>
        <v>産出</v>
      </c>
      <c r="D265" s="70" t="str">
        <f aca="false">IF(Data!D265="—","—",IFERROR(INDEX(対訳マスタ!$C$2:$C$136,MATCH(Data!D265,対訳マスタ!$B$2:$B$136,0)),Data!D265))</f>
        <v>口頭産出（話すこと）</v>
      </c>
      <c r="E265" s="70" t="str">
        <f aca="false">IFERROR(INDEX(対訳マスタ!$C$2:$C$136,MATCH(Data!E265,対訳マスタ!$B$2:$B$136,0)),Data!E265)</f>
        <v>長めの一人語り：情報提供</v>
      </c>
      <c r="F265" s="70" t="str">
        <f aca="false">Data!F265</f>
        <v>C1</v>
      </c>
      <c r="G265" s="31" t="str">
        <f aca="false">Data!G265</f>
        <v>Can give instructions on carrying out a series of complex professional or academic procedures.</v>
      </c>
      <c r="H265" s="71" t="s">
        <v>2586</v>
      </c>
      <c r="I265" s="79" t="s">
        <v>3089</v>
      </c>
    </row>
    <row r="266" customFormat="false" ht="21.75" hidden="false" customHeight="true" outlineLevel="0" collapsed="false">
      <c r="A266" s="70" t="n">
        <f aca="false">Data!A266</f>
        <v>265</v>
      </c>
      <c r="B266" s="70" t="str">
        <f aca="false">IFERROR(INDEX(対訳マスタ!$C$2:$C$136,MATCH(Data!B266,対訳マスタ!$B$2:$B$136,0)),Data!B266)</f>
        <v>コミュニケーション言語活動</v>
      </c>
      <c r="C266" s="70" t="str">
        <f aca="false">IF(Data!C266="—","—",IFERROR(INDEX(対訳マスタ!$C$2:$C$136,MATCH(Data!C266,対訳マスタ!$B$2:$B$136,0)),Data!C266))</f>
        <v>産出</v>
      </c>
      <c r="D266" s="70" t="str">
        <f aca="false">IF(Data!D266="—","—",IFERROR(INDEX(対訳マスタ!$C$2:$C$136,MATCH(Data!D266,対訳マスタ!$B$2:$B$136,0)),Data!D266))</f>
        <v>口頭産出（話すこと）</v>
      </c>
      <c r="E266" s="70" t="str">
        <f aca="false">IFERROR(INDEX(対訳マスタ!$C$2:$C$136,MATCH(Data!E266,対訳マスタ!$B$2:$B$136,0)),Data!E266)</f>
        <v>長めの一人語り：情報提供</v>
      </c>
      <c r="F266" s="70" t="str">
        <f aca="false">Data!F266</f>
        <v>B2+</v>
      </c>
      <c r="G266" s="31" t="str">
        <f aca="false">Data!G266</f>
        <v>Can communicate complex information and advice on the full range of matters related to their occupational role.</v>
      </c>
      <c r="H266" s="71" t="s">
        <v>2585</v>
      </c>
      <c r="I266" s="79" t="s">
        <v>3089</v>
      </c>
    </row>
    <row r="267" customFormat="false" ht="15" hidden="false" customHeight="true" outlineLevel="0" collapsed="false">
      <c r="A267" s="70" t="n">
        <f aca="false">Data!A267</f>
        <v>266</v>
      </c>
      <c r="B267" s="70" t="str">
        <f aca="false">IFERROR(INDEX(対訳マスタ!$C$2:$C$136,MATCH(Data!B267,対訳マスタ!$B$2:$B$136,0)),Data!B267)</f>
        <v>コミュニケーション言語活動</v>
      </c>
      <c r="C267" s="70" t="str">
        <f aca="false">IF(Data!C267="—","—",IFERROR(INDEX(対訳マスタ!$C$2:$C$136,MATCH(Data!C267,対訳マスタ!$B$2:$B$136,0)),Data!C267))</f>
        <v>産出</v>
      </c>
      <c r="D267" s="70" t="str">
        <f aca="false">IF(Data!D267="—","—",IFERROR(INDEX(対訳マスタ!$C$2:$C$136,MATCH(Data!D267,対訳マスタ!$B$2:$B$136,0)),Data!D267))</f>
        <v>口頭産出（話すこと）</v>
      </c>
      <c r="E267" s="70" t="str">
        <f aca="false">IFERROR(INDEX(対訳マスタ!$C$2:$C$136,MATCH(Data!E267,対訳マスタ!$B$2:$B$136,0)),Data!E267)</f>
        <v>長めの一人語り：情報提供</v>
      </c>
      <c r="F267" s="70" t="str">
        <f aca="false">Data!F267</f>
        <v>B2</v>
      </c>
      <c r="G267" s="31" t="str">
        <f aca="false">Data!G267</f>
        <v>Can communicate detailed information reliably.</v>
      </c>
      <c r="H267" s="71" t="s">
        <v>2584</v>
      </c>
      <c r="I267" s="79" t="s">
        <v>3089</v>
      </c>
    </row>
    <row r="268" customFormat="false" ht="15" hidden="false" customHeight="true" outlineLevel="0" collapsed="false">
      <c r="A268" s="70" t="n">
        <f aca="false">Data!A268</f>
        <v>267</v>
      </c>
      <c r="B268" s="70" t="str">
        <f aca="false">IFERROR(INDEX(対訳マスタ!$C$2:$C$136,MATCH(Data!B268,対訳マスタ!$B$2:$B$136,0)),Data!B268)</f>
        <v>コミュニケーション言語活動</v>
      </c>
      <c r="C268" s="70" t="str">
        <f aca="false">IF(Data!C268="—","—",IFERROR(INDEX(対訳マスタ!$C$2:$C$136,MATCH(Data!C268,対訳マスタ!$B$2:$B$136,0)),Data!C268))</f>
        <v>産出</v>
      </c>
      <c r="D268" s="70" t="str">
        <f aca="false">IF(Data!D268="—","—",IFERROR(INDEX(対訳マスタ!$C$2:$C$136,MATCH(Data!D268,対訳マスタ!$B$2:$B$136,0)),Data!D268))</f>
        <v>口頭産出（話すこと）</v>
      </c>
      <c r="E268" s="70" t="str">
        <f aca="false">IFERROR(INDEX(対訳マスタ!$C$2:$C$136,MATCH(Data!E268,対訳マスタ!$B$2:$B$136,0)),Data!E268)</f>
        <v>長めの一人語り：情報提供</v>
      </c>
      <c r="F268" s="70" t="str">
        <f aca="false">Data!F268</f>
        <v>B2</v>
      </c>
      <c r="G268" s="31" t="str">
        <f aca="false">Data!G268</f>
        <v>Can give a clear, detailed description of how to carry out a procedure.</v>
      </c>
      <c r="H268" s="71" t="s">
        <v>3211</v>
      </c>
      <c r="I268" s="79" t="s">
        <v>3089</v>
      </c>
    </row>
    <row r="269" customFormat="false" ht="15" hidden="false" customHeight="true" outlineLevel="0" collapsed="false">
      <c r="A269" s="70" t="n">
        <f aca="false">Data!A269</f>
        <v>268</v>
      </c>
      <c r="B269" s="70" t="str">
        <f aca="false">IFERROR(INDEX(対訳マスタ!$C$2:$C$136,MATCH(Data!B269,対訳マスタ!$B$2:$B$136,0)),Data!B269)</f>
        <v>コミュニケーション言語活動</v>
      </c>
      <c r="C269" s="70" t="str">
        <f aca="false">IF(Data!C269="—","—",IFERROR(INDEX(対訳マスタ!$C$2:$C$136,MATCH(Data!C269,対訳マスタ!$B$2:$B$136,0)),Data!C269))</f>
        <v>産出</v>
      </c>
      <c r="D269" s="70" t="str">
        <f aca="false">IF(Data!D269="—","—",IFERROR(INDEX(対訳マスタ!$C$2:$C$136,MATCH(Data!D269,対訳マスタ!$B$2:$B$136,0)),Data!D269))</f>
        <v>口頭産出（話すこと）</v>
      </c>
      <c r="E269" s="70" t="str">
        <f aca="false">IFERROR(INDEX(対訳マスタ!$C$2:$C$136,MATCH(Data!E269,対訳マスタ!$B$2:$B$136,0)),Data!E269)</f>
        <v>長めの一人語り：情報提供</v>
      </c>
      <c r="F269" s="70" t="str">
        <f aca="false">Data!F269</f>
        <v>B1+</v>
      </c>
      <c r="G269" s="31" t="str">
        <f aca="false">Data!G269</f>
        <v>Can explain the main points in an idea or problem with reasonable precision.</v>
      </c>
      <c r="H269" s="71" t="s">
        <v>3072</v>
      </c>
      <c r="I269" s="79" t="s">
        <v>3089</v>
      </c>
    </row>
    <row r="270" customFormat="false" ht="15" hidden="false" customHeight="true" outlineLevel="0" collapsed="false">
      <c r="A270" s="70" t="n">
        <f aca="false">Data!A270</f>
        <v>269</v>
      </c>
      <c r="B270" s="70" t="str">
        <f aca="false">IFERROR(INDEX(対訳マスタ!$C$2:$C$136,MATCH(Data!B270,対訳マスタ!$B$2:$B$136,0)),Data!B270)</f>
        <v>コミュニケーション言語活動</v>
      </c>
      <c r="C270" s="70" t="str">
        <f aca="false">IF(Data!C270="—","—",IFERROR(INDEX(対訳マスタ!$C$2:$C$136,MATCH(Data!C270,対訳マスタ!$B$2:$B$136,0)),Data!C270))</f>
        <v>産出</v>
      </c>
      <c r="D270" s="70" t="str">
        <f aca="false">IF(Data!D270="—","—",IFERROR(INDEX(対訳マスタ!$C$2:$C$136,MATCH(Data!D270,対訳マスタ!$B$2:$B$136,0)),Data!D270))</f>
        <v>口頭産出（話すこと）</v>
      </c>
      <c r="E270" s="70" t="str">
        <f aca="false">IFERROR(INDEX(対訳マスタ!$C$2:$C$136,MATCH(Data!E270,対訳マスタ!$B$2:$B$136,0)),Data!E270)</f>
        <v>長めの一人語り：情報提供</v>
      </c>
      <c r="F270" s="70" t="str">
        <f aca="false">Data!F270</f>
        <v>B1+</v>
      </c>
      <c r="G270" s="31" t="str">
        <f aca="false">Data!G270</f>
        <v>Can describe how to do something, giving detailed instructions.</v>
      </c>
      <c r="H270" s="71" t="s">
        <v>2583</v>
      </c>
      <c r="I270" s="79" t="s">
        <v>3089</v>
      </c>
    </row>
    <row r="271" customFormat="false" ht="32.25" hidden="false" customHeight="true" outlineLevel="0" collapsed="false">
      <c r="A271" s="70" t="n">
        <f aca="false">Data!A271</f>
        <v>270</v>
      </c>
      <c r="B271" s="70" t="str">
        <f aca="false">IFERROR(INDEX(対訳マスタ!$C$2:$C$136,MATCH(Data!B271,対訳マスタ!$B$2:$B$136,0)),Data!B271)</f>
        <v>コミュニケーション言語活動</v>
      </c>
      <c r="C271" s="70" t="str">
        <f aca="false">IF(Data!C271="—","—",IFERROR(INDEX(対訳マスタ!$C$2:$C$136,MATCH(Data!C271,対訳マスタ!$B$2:$B$136,0)),Data!C271))</f>
        <v>産出</v>
      </c>
      <c r="D271" s="70" t="str">
        <f aca="false">IF(Data!D271="—","—",IFERROR(INDEX(対訳マスタ!$C$2:$C$136,MATCH(Data!D271,対訳マスタ!$B$2:$B$136,0)),Data!D271))</f>
        <v>口頭産出（話すこと）</v>
      </c>
      <c r="E271" s="70" t="str">
        <f aca="false">IFERROR(INDEX(対訳マスタ!$C$2:$C$136,MATCH(Data!E271,対訳マスタ!$B$2:$B$136,0)),Data!E271)</f>
        <v>長めの一人語り：情報提供</v>
      </c>
      <c r="F271" s="70" t="str">
        <f aca="false">Data!F271</f>
        <v>B1</v>
      </c>
      <c r="G271" s="31" t="str">
        <f aca="false">Data!G271</f>
        <v>Can report straightforward factual information on a familiar topic, for example to indicate the nature of a problem or to give detailed directions, provided they can prepare beforehand.</v>
      </c>
      <c r="H271" s="71" t="s">
        <v>2582</v>
      </c>
      <c r="I271" s="79" t="s">
        <v>3089</v>
      </c>
    </row>
    <row r="272" customFormat="false" ht="32.25" hidden="false" customHeight="true" outlineLevel="0" collapsed="false">
      <c r="A272" s="70" t="n">
        <f aca="false">Data!A272</f>
        <v>271</v>
      </c>
      <c r="B272" s="70" t="str">
        <f aca="false">IFERROR(INDEX(対訳マスタ!$C$2:$C$136,MATCH(Data!B272,対訳マスタ!$B$2:$B$136,0)),Data!B272)</f>
        <v>コミュニケーション言語活動</v>
      </c>
      <c r="C272" s="70" t="str">
        <f aca="false">IF(Data!C272="—","—",IFERROR(INDEX(対訳マスタ!$C$2:$C$136,MATCH(Data!C272,対訳マスタ!$B$2:$B$136,0)),Data!C272))</f>
        <v>産出</v>
      </c>
      <c r="D272" s="70" t="str">
        <f aca="false">IF(Data!D272="—","—",IFERROR(INDEX(対訳マスタ!$C$2:$C$136,MATCH(Data!D272,対訳マスタ!$B$2:$B$136,0)),Data!D272))</f>
        <v>口頭産出（話すこと）</v>
      </c>
      <c r="E272" s="70" t="str">
        <f aca="false">IFERROR(INDEX(対訳マスタ!$C$2:$C$136,MATCH(Data!E272,対訳マスタ!$B$2:$B$136,0)),Data!E272)</f>
        <v>長めの一人語り：情報提供</v>
      </c>
      <c r="F272" s="70" t="str">
        <f aca="false">Data!F272</f>
        <v>A2</v>
      </c>
      <c r="G272" s="31" t="str">
        <f aca="false">Data!G272</f>
        <v>Can give simple directions on how to get from X to Y, using basic expressions such as “turn right” and “go straight” along with sequential connectors such as “first”, “then” and “next”.</v>
      </c>
      <c r="H272" s="71" t="s">
        <v>2581</v>
      </c>
      <c r="I272" s="79" t="s">
        <v>3089</v>
      </c>
    </row>
    <row r="273" customFormat="false" ht="32.25" hidden="false" customHeight="true" outlineLevel="0" collapsed="false">
      <c r="A273" s="70" t="n">
        <f aca="false">Data!A273</f>
        <v>272</v>
      </c>
      <c r="B273" s="70" t="str">
        <f aca="false">IFERROR(INDEX(対訳マスタ!$C$2:$C$136,MATCH(Data!B273,対訳マスタ!$B$2:$B$136,0)),Data!B273)</f>
        <v>コミュニケーション言語活動</v>
      </c>
      <c r="C273" s="70" t="str">
        <f aca="false">IF(Data!C273="—","—",IFERROR(INDEX(対訳マスタ!$C$2:$C$136,MATCH(Data!C273,対訳マスタ!$B$2:$B$136,0)),Data!C273))</f>
        <v>産出</v>
      </c>
      <c r="D273" s="70" t="str">
        <f aca="false">IF(Data!D273="—","—",IFERROR(INDEX(対訳マスタ!$C$2:$C$136,MATCH(Data!D273,対訳マスタ!$B$2:$B$136,0)),Data!D273))</f>
        <v>口頭産出（話すこと）</v>
      </c>
      <c r="E273" s="70" t="str">
        <f aca="false">IFERROR(INDEX(対訳マスタ!$C$2:$C$136,MATCH(Data!E273,対訳マスタ!$B$2:$B$136,0)),Data!E273)</f>
        <v>長めの一人語り：情報提供</v>
      </c>
      <c r="F273" s="70" t="str">
        <f aca="false">Data!F273</f>
        <v>A1</v>
      </c>
      <c r="G273" s="31" t="str">
        <f aca="false">Data!G273</f>
        <v>Can name an object and indicate its shape and colour while showing it to others using basic words/signs, phrases and formulaic expressions, provided they can prepare in advance.</v>
      </c>
      <c r="H273" s="71" t="s">
        <v>2580</v>
      </c>
      <c r="I273" s="79" t="s">
        <v>3089</v>
      </c>
    </row>
    <row r="274" customFormat="false" ht="15" hidden="false" customHeight="true" outlineLevel="0" collapsed="false">
      <c r="A274" s="80" t="n">
        <f aca="false">Data!A274</f>
        <v>273</v>
      </c>
      <c r="B274" s="80" t="str">
        <f aca="false">IFERROR(INDEX(対訳マスタ!$C$2:$C$136,MATCH(Data!B274,対訳マスタ!$B$2:$B$136,0)),Data!B274)</f>
        <v>コミュニケーション言語活動</v>
      </c>
      <c r="C274" s="80" t="str">
        <f aca="false">IF(Data!C274="—","—",IFERROR(INDEX(対訳マスタ!$C$2:$C$136,MATCH(Data!C274,対訳マスタ!$B$2:$B$136,0)),Data!C274))</f>
        <v>産出</v>
      </c>
      <c r="D274" s="80" t="str">
        <f aca="false">IF(Data!D274="—","—",IFERROR(INDEX(対訳マスタ!$C$2:$C$136,MATCH(Data!D274,対訳マスタ!$B$2:$B$136,0)),Data!D274))</f>
        <v>口頭産出（話すこと）</v>
      </c>
      <c r="E274" s="80" t="str">
        <f aca="false">IFERROR(INDEX(対訳マスタ!$C$2:$C$136,MATCH(Data!E274,対訳マスタ!$B$2:$B$136,0)),Data!E274)</f>
        <v>長めの一人語り：情報提供</v>
      </c>
      <c r="F274" s="80" t="str">
        <f aca="false">Data!F274</f>
        <v>Pre-A1</v>
      </c>
      <c r="G274" s="81" t="str">
        <f aca="false">Data!G274</f>
        <v>No descriptors available</v>
      </c>
      <c r="H274" s="81" t="s">
        <v>624</v>
      </c>
      <c r="I274" s="80" t="s">
        <v>624</v>
      </c>
    </row>
    <row r="275" customFormat="false" ht="15" hidden="false" customHeight="true" outlineLevel="0" collapsed="false">
      <c r="A275" s="80" t="n">
        <f aca="false">Data!A275</f>
        <v>274</v>
      </c>
      <c r="B275" s="80" t="str">
        <f aca="false">IFERROR(INDEX(対訳マスタ!$C$2:$C$136,MATCH(Data!B275,対訳マスタ!$B$2:$B$136,0)),Data!B275)</f>
        <v>コミュニケーション言語活動</v>
      </c>
      <c r="C275" s="80" t="str">
        <f aca="false">IF(Data!C275="—","—",IFERROR(INDEX(対訳マスタ!$C$2:$C$136,MATCH(Data!C275,対訳マスタ!$B$2:$B$136,0)),Data!C275))</f>
        <v>産出</v>
      </c>
      <c r="D275" s="80" t="str">
        <f aca="false">IF(Data!D275="—","—",IFERROR(INDEX(対訳マスタ!$C$2:$C$136,MATCH(Data!D275,対訳マスタ!$B$2:$B$136,0)),Data!D275))</f>
        <v>口頭産出（話すこと）</v>
      </c>
      <c r="E275" s="80" t="str">
        <f aca="false">IFERROR(INDEX(対訳マスタ!$C$2:$C$136,MATCH(Data!E275,対訳マスタ!$B$2:$B$136,0)),Data!E275)</f>
        <v>長めの一人語り：立論（討論など）</v>
      </c>
      <c r="F275" s="80" t="str">
        <f aca="false">Data!F275</f>
        <v>C2</v>
      </c>
      <c r="G275" s="81" t="str">
        <f aca="false">Data!G275</f>
        <v>No descriptors available; see C1</v>
      </c>
      <c r="H275" s="81" t="s">
        <v>624</v>
      </c>
      <c r="I275" s="80" t="s">
        <v>624</v>
      </c>
    </row>
    <row r="276" customFormat="false" ht="26.25" hidden="false" customHeight="true" outlineLevel="0" collapsed="false">
      <c r="A276" s="70" t="n">
        <f aca="false">Data!A276</f>
        <v>275</v>
      </c>
      <c r="B276" s="70" t="str">
        <f aca="false">IFERROR(INDEX(対訳マスタ!$C$2:$C$136,MATCH(Data!B276,対訳マスタ!$B$2:$B$136,0)),Data!B276)</f>
        <v>コミュニケーション言語活動</v>
      </c>
      <c r="C276" s="70" t="str">
        <f aca="false">IF(Data!C276="—","—",IFERROR(INDEX(対訳マスタ!$C$2:$C$136,MATCH(Data!C276,対訳マスタ!$B$2:$B$136,0)),Data!C276))</f>
        <v>産出</v>
      </c>
      <c r="D276" s="70" t="str">
        <f aca="false">IF(Data!D276="—","—",IFERROR(INDEX(対訳マスタ!$C$2:$C$136,MATCH(Data!D276,対訳マスタ!$B$2:$B$136,0)),Data!D276))</f>
        <v>口頭産出（話すこと）</v>
      </c>
      <c r="E276" s="70" t="str">
        <f aca="false">IFERROR(INDEX(対訳マスタ!$C$2:$C$136,MATCH(Data!E276,対訳マスタ!$B$2:$B$136,0)),Data!E276)</f>
        <v>長めの一人語り：立論（討論など）</v>
      </c>
      <c r="F276" s="70" t="str">
        <f aca="false">Data!F276</f>
        <v>C1</v>
      </c>
      <c r="G276" s="31" t="str">
        <f aca="false">Data!G276</f>
        <v>Can argue a case on a complex issue, formulating points precisely and employing emphasis effectively.</v>
      </c>
      <c r="H276" s="71" t="s">
        <v>2593</v>
      </c>
      <c r="I276" s="79" t="s">
        <v>3089</v>
      </c>
    </row>
    <row r="277" customFormat="false" ht="32.25" hidden="false" customHeight="true" outlineLevel="0" collapsed="false">
      <c r="A277" s="70" t="n">
        <f aca="false">Data!A277</f>
        <v>276</v>
      </c>
      <c r="B277" s="70" t="str">
        <f aca="false">IFERROR(INDEX(対訳マスタ!$C$2:$C$136,MATCH(Data!B277,対訳マスタ!$B$2:$B$136,0)),Data!B277)</f>
        <v>コミュニケーション言語活動</v>
      </c>
      <c r="C277" s="70" t="str">
        <f aca="false">IF(Data!C277="—","—",IFERROR(INDEX(対訳マスタ!$C$2:$C$136,MATCH(Data!C277,対訳マスタ!$B$2:$B$136,0)),Data!C277))</f>
        <v>産出</v>
      </c>
      <c r="D277" s="70" t="str">
        <f aca="false">IF(Data!D277="—","—",IFERROR(INDEX(対訳マスタ!$C$2:$C$136,MATCH(Data!D277,対訳マスタ!$B$2:$B$136,0)),Data!D277))</f>
        <v>口頭産出（話すこと）</v>
      </c>
      <c r="E277" s="70" t="str">
        <f aca="false">IFERROR(INDEX(対訳マスタ!$C$2:$C$136,MATCH(Data!E277,対訳マスタ!$B$2:$B$136,0)),Data!E277)</f>
        <v>長めの一人語り：立論（討論など）</v>
      </c>
      <c r="F277" s="70" t="str">
        <f aca="false">Data!F277</f>
        <v>C1</v>
      </c>
      <c r="G277" s="31" t="str">
        <f aca="false">Data!G277</f>
        <v>Can develop an argument systematically in well-structured language, taking into account the interlocutor’s perspective, highlighting significant points with supporting examples and concluding appropriately.</v>
      </c>
      <c r="H277" s="71" t="s">
        <v>3212</v>
      </c>
      <c r="I277" s="79" t="s">
        <v>3089</v>
      </c>
    </row>
    <row r="278" customFormat="false" ht="21.75" hidden="false" customHeight="true" outlineLevel="0" collapsed="false">
      <c r="A278" s="70" t="n">
        <f aca="false">Data!A278</f>
        <v>277</v>
      </c>
      <c r="B278" s="70" t="str">
        <f aca="false">IFERROR(INDEX(対訳マスタ!$C$2:$C$136,MATCH(Data!B278,対訳マスタ!$B$2:$B$136,0)),Data!B278)</f>
        <v>コミュニケーション言語活動</v>
      </c>
      <c r="C278" s="70" t="str">
        <f aca="false">IF(Data!C278="—","—",IFERROR(INDEX(対訳マスタ!$C$2:$C$136,MATCH(Data!C278,対訳マスタ!$B$2:$B$136,0)),Data!C278))</f>
        <v>産出</v>
      </c>
      <c r="D278" s="70" t="str">
        <f aca="false">IF(Data!D278="—","—",IFERROR(INDEX(対訳マスタ!$C$2:$C$136,MATCH(Data!D278,対訳マスタ!$B$2:$B$136,0)),Data!D278))</f>
        <v>口頭産出（話すこと）</v>
      </c>
      <c r="E278" s="70" t="str">
        <f aca="false">IFERROR(INDEX(対訳マスタ!$C$2:$C$136,MATCH(Data!E278,対訳マスタ!$B$2:$B$136,0)),Data!E278)</f>
        <v>長めの一人語り：立論（討論など）</v>
      </c>
      <c r="F278" s="70" t="str">
        <f aca="false">Data!F278</f>
        <v>B2+</v>
      </c>
      <c r="G278" s="31" t="str">
        <f aca="false">Data!G278</f>
        <v>Can develop an argument systematically with appropriate highlighting of significant points, and relevant supporting detail.</v>
      </c>
      <c r="H278" s="71" t="s">
        <v>2592</v>
      </c>
      <c r="I278" s="79" t="s">
        <v>3089</v>
      </c>
    </row>
    <row r="279" customFormat="false" ht="21.75" hidden="false" customHeight="true" outlineLevel="0" collapsed="false">
      <c r="A279" s="70" t="n">
        <f aca="false">Data!A279</f>
        <v>278</v>
      </c>
      <c r="B279" s="70" t="str">
        <f aca="false">IFERROR(INDEX(対訳マスタ!$C$2:$C$136,MATCH(Data!B279,対訳マスタ!$B$2:$B$136,0)),Data!B279)</f>
        <v>コミュニケーション言語活動</v>
      </c>
      <c r="C279" s="70" t="str">
        <f aca="false">IF(Data!C279="—","—",IFERROR(INDEX(対訳マスタ!$C$2:$C$136,MATCH(Data!C279,対訳マスタ!$B$2:$B$136,0)),Data!C279))</f>
        <v>産出</v>
      </c>
      <c r="D279" s="70" t="str">
        <f aca="false">IF(Data!D279="—","—",IFERROR(INDEX(対訳マスタ!$C$2:$C$136,MATCH(Data!D279,対訳マスタ!$B$2:$B$136,0)),Data!D279))</f>
        <v>口頭産出（話すこと）</v>
      </c>
      <c r="E279" s="70" t="str">
        <f aca="false">IFERROR(INDEX(対訳マスタ!$C$2:$C$136,MATCH(Data!E279,対訳マスタ!$B$2:$B$136,0)),Data!E279)</f>
        <v>長めの一人語り：立論（討論など）</v>
      </c>
      <c r="F279" s="70" t="str">
        <f aca="false">Data!F279</f>
        <v>B2</v>
      </c>
      <c r="G279" s="31" t="str">
        <f aca="false">Data!G279</f>
        <v>Can develop a clear argument, expanding and supporting their points of view at some length with subsidiary points and relevant examples.</v>
      </c>
      <c r="H279" s="71" t="s">
        <v>3213</v>
      </c>
      <c r="I279" s="79" t="s">
        <v>3089</v>
      </c>
    </row>
    <row r="280" customFormat="false" ht="15" hidden="false" customHeight="true" outlineLevel="0" collapsed="false">
      <c r="A280" s="70" t="n">
        <f aca="false">Data!A280</f>
        <v>279</v>
      </c>
      <c r="B280" s="70" t="str">
        <f aca="false">IFERROR(INDEX(対訳マスタ!$C$2:$C$136,MATCH(Data!B280,対訳マスタ!$B$2:$B$136,0)),Data!B280)</f>
        <v>コミュニケーション言語活動</v>
      </c>
      <c r="C280" s="70" t="str">
        <f aca="false">IF(Data!C280="—","—",IFERROR(INDEX(対訳マスタ!$C$2:$C$136,MATCH(Data!C280,対訳マスタ!$B$2:$B$136,0)),Data!C280))</f>
        <v>産出</v>
      </c>
      <c r="D280" s="70" t="str">
        <f aca="false">IF(Data!D280="—","—",IFERROR(INDEX(対訳マスタ!$C$2:$C$136,MATCH(Data!D280,対訳マスタ!$B$2:$B$136,0)),Data!D280))</f>
        <v>口頭産出（話すこと）</v>
      </c>
      <c r="E280" s="70" t="str">
        <f aca="false">IFERROR(INDEX(対訳マスタ!$C$2:$C$136,MATCH(Data!E280,対訳マスタ!$B$2:$B$136,0)),Data!E280)</f>
        <v>長めの一人語り：立論（討論など）</v>
      </c>
      <c r="F280" s="70" t="str">
        <f aca="false">Data!F280</f>
        <v>B2</v>
      </c>
      <c r="G280" s="31" t="str">
        <f aca="false">Data!G280</f>
        <v>Can construct a chain of reasoned argument.</v>
      </c>
      <c r="H280" s="71" t="s">
        <v>2591</v>
      </c>
      <c r="I280" s="79" t="s">
        <v>3089</v>
      </c>
    </row>
    <row r="281" customFormat="false" ht="21.75" hidden="false" customHeight="true" outlineLevel="0" collapsed="false">
      <c r="A281" s="70" t="n">
        <f aca="false">Data!A281</f>
        <v>280</v>
      </c>
      <c r="B281" s="70" t="str">
        <f aca="false">IFERROR(INDEX(対訳マスタ!$C$2:$C$136,MATCH(Data!B281,対訳マスタ!$B$2:$B$136,0)),Data!B281)</f>
        <v>コミュニケーション言語活動</v>
      </c>
      <c r="C281" s="70" t="str">
        <f aca="false">IF(Data!C281="—","—",IFERROR(INDEX(対訳マスタ!$C$2:$C$136,MATCH(Data!C281,対訳マスタ!$B$2:$B$136,0)),Data!C281))</f>
        <v>産出</v>
      </c>
      <c r="D281" s="70" t="str">
        <f aca="false">IF(Data!D281="—","—",IFERROR(INDEX(対訳マスタ!$C$2:$C$136,MATCH(Data!D281,対訳マスタ!$B$2:$B$136,0)),Data!D281))</f>
        <v>口頭産出（話すこと）</v>
      </c>
      <c r="E281" s="70" t="str">
        <f aca="false">IFERROR(INDEX(対訳マスタ!$C$2:$C$136,MATCH(Data!E281,対訳マスタ!$B$2:$B$136,0)),Data!E281)</f>
        <v>長めの一人語り：立論（討論など）</v>
      </c>
      <c r="F281" s="70" t="str">
        <f aca="false">Data!F281</f>
        <v>B2</v>
      </c>
      <c r="G281" s="31" t="str">
        <f aca="false">Data!G281</f>
        <v>Can explain a viewpoint on a topical issue giving the advantages and disadvantages of various options.</v>
      </c>
      <c r="H281" s="71" t="s">
        <v>3214</v>
      </c>
      <c r="I281" s="79" t="s">
        <v>3089</v>
      </c>
    </row>
    <row r="282" customFormat="false" ht="15" hidden="false" customHeight="true" outlineLevel="0" collapsed="false">
      <c r="A282" s="70" t="n">
        <f aca="false">Data!A282</f>
        <v>281</v>
      </c>
      <c r="B282" s="70" t="str">
        <f aca="false">IFERROR(INDEX(対訳マスタ!$C$2:$C$136,MATCH(Data!B282,対訳マスタ!$B$2:$B$136,0)),Data!B282)</f>
        <v>コミュニケーション言語活動</v>
      </c>
      <c r="C282" s="70" t="str">
        <f aca="false">IF(Data!C282="—","—",IFERROR(INDEX(対訳マスタ!$C$2:$C$136,MATCH(Data!C282,対訳マスタ!$B$2:$B$136,0)),Data!C282))</f>
        <v>産出</v>
      </c>
      <c r="D282" s="70" t="str">
        <f aca="false">IF(Data!D282="—","—",IFERROR(INDEX(対訳マスタ!$C$2:$C$136,MATCH(Data!D282,対訳マスタ!$B$2:$B$136,0)),Data!D282))</f>
        <v>口頭産出（話すこと）</v>
      </c>
      <c r="E282" s="70" t="str">
        <f aca="false">IFERROR(INDEX(対訳マスタ!$C$2:$C$136,MATCH(Data!E282,対訳マスタ!$B$2:$B$136,0)),Data!E282)</f>
        <v>長めの一人語り：立論（討論など）</v>
      </c>
      <c r="F282" s="70" t="str">
        <f aca="false">Data!F282</f>
        <v>B1+</v>
      </c>
      <c r="G282" s="31" t="str">
        <f aca="false">Data!G282</f>
        <v>Can develop an argument well enough to be followed without difficulty most of the time.</v>
      </c>
      <c r="H282" s="71" t="s">
        <v>3215</v>
      </c>
      <c r="I282" s="79" t="s">
        <v>3089</v>
      </c>
    </row>
    <row r="283" customFormat="false" ht="15" hidden="false" customHeight="true" outlineLevel="0" collapsed="false">
      <c r="A283" s="70" t="n">
        <f aca="false">Data!A283</f>
        <v>282</v>
      </c>
      <c r="B283" s="70" t="str">
        <f aca="false">IFERROR(INDEX(対訳マスタ!$C$2:$C$136,MATCH(Data!B283,対訳マスタ!$B$2:$B$136,0)),Data!B283)</f>
        <v>コミュニケーション言語活動</v>
      </c>
      <c r="C283" s="70" t="str">
        <f aca="false">IF(Data!C283="—","—",IFERROR(INDEX(対訳マスタ!$C$2:$C$136,MATCH(Data!C283,対訳マスタ!$B$2:$B$136,0)),Data!C283))</f>
        <v>産出</v>
      </c>
      <c r="D283" s="70" t="str">
        <f aca="false">IF(Data!D283="—","—",IFERROR(INDEX(対訳マスタ!$C$2:$C$136,MATCH(Data!D283,対訳マスタ!$B$2:$B$136,0)),Data!D283))</f>
        <v>口頭産出（話すこと）</v>
      </c>
      <c r="E283" s="70" t="str">
        <f aca="false">IFERROR(INDEX(対訳マスタ!$C$2:$C$136,MATCH(Data!E283,対訳マスタ!$B$2:$B$136,0)),Data!E283)</f>
        <v>長めの一人語り：立論（討論など）</v>
      </c>
      <c r="F283" s="70" t="str">
        <f aca="false">Data!F283</f>
        <v>B1+</v>
      </c>
      <c r="G283" s="31" t="str">
        <f aca="false">Data!G283</f>
        <v>Can give simple reasons to justify a viewpoint on a familiar topic.</v>
      </c>
      <c r="H283" s="71" t="s">
        <v>2590</v>
      </c>
      <c r="I283" s="79" t="s">
        <v>3089</v>
      </c>
    </row>
    <row r="284" customFormat="false" ht="15" hidden="false" customHeight="true" outlineLevel="0" collapsed="false">
      <c r="A284" s="70" t="n">
        <f aca="false">Data!A284</f>
        <v>283</v>
      </c>
      <c r="B284" s="70" t="str">
        <f aca="false">IFERROR(INDEX(対訳マスタ!$C$2:$C$136,MATCH(Data!B284,対訳マスタ!$B$2:$B$136,0)),Data!B284)</f>
        <v>コミュニケーション言語活動</v>
      </c>
      <c r="C284" s="70" t="str">
        <f aca="false">IF(Data!C284="—","—",IFERROR(INDEX(対訳マスタ!$C$2:$C$136,MATCH(Data!C284,対訳マスタ!$B$2:$B$136,0)),Data!C284))</f>
        <v>産出</v>
      </c>
      <c r="D284" s="70" t="str">
        <f aca="false">IF(Data!D284="—","—",IFERROR(INDEX(対訳マスタ!$C$2:$C$136,MATCH(Data!D284,対訳マスタ!$B$2:$B$136,0)),Data!D284))</f>
        <v>口頭産出（話すこと）</v>
      </c>
      <c r="E284" s="70" t="str">
        <f aca="false">IFERROR(INDEX(対訳マスタ!$C$2:$C$136,MATCH(Data!E284,対訳マスタ!$B$2:$B$136,0)),Data!E284)</f>
        <v>長めの一人語り：立論（討論など）</v>
      </c>
      <c r="F284" s="70" t="str">
        <f aca="false">Data!F284</f>
        <v>B1</v>
      </c>
      <c r="G284" s="31" t="str">
        <f aca="false">Data!G284</f>
        <v>Can express opinions on subjects relating to everyday life, using simple expressions.</v>
      </c>
      <c r="H284" s="71" t="s">
        <v>3216</v>
      </c>
      <c r="I284" s="79" t="s">
        <v>3089</v>
      </c>
    </row>
    <row r="285" customFormat="false" ht="15" hidden="false" customHeight="true" outlineLevel="0" collapsed="false">
      <c r="A285" s="70" t="n">
        <f aca="false">Data!A285</f>
        <v>284</v>
      </c>
      <c r="B285" s="70" t="str">
        <f aca="false">IFERROR(INDEX(対訳マスタ!$C$2:$C$136,MATCH(Data!B285,対訳マスタ!$B$2:$B$136,0)),Data!B285)</f>
        <v>コミュニケーション言語活動</v>
      </c>
      <c r="C285" s="70" t="str">
        <f aca="false">IF(Data!C285="—","—",IFERROR(INDEX(対訳マスタ!$C$2:$C$136,MATCH(Data!C285,対訳マスタ!$B$2:$B$136,0)),Data!C285))</f>
        <v>産出</v>
      </c>
      <c r="D285" s="70" t="str">
        <f aca="false">IF(Data!D285="—","—",IFERROR(INDEX(対訳マスタ!$C$2:$C$136,MATCH(Data!D285,対訳マスタ!$B$2:$B$136,0)),Data!D285))</f>
        <v>口頭産出（話すこと）</v>
      </c>
      <c r="E285" s="70" t="str">
        <f aca="false">IFERROR(INDEX(対訳マスタ!$C$2:$C$136,MATCH(Data!E285,対訳マスタ!$B$2:$B$136,0)),Data!E285)</f>
        <v>長めの一人語り：立論（討論など）</v>
      </c>
      <c r="F285" s="70" t="str">
        <f aca="false">Data!F285</f>
        <v>B1</v>
      </c>
      <c r="G285" s="31" t="str">
        <f aca="false">Data!G285</f>
        <v>Can briefly give reasons and explanations for opinions, plans and actions.</v>
      </c>
      <c r="H285" s="71" t="s">
        <v>2589</v>
      </c>
      <c r="I285" s="79" t="s">
        <v>3089</v>
      </c>
    </row>
    <row r="286" customFormat="false" ht="21.75" hidden="false" customHeight="true" outlineLevel="0" collapsed="false">
      <c r="A286" s="70" t="n">
        <f aca="false">Data!A286</f>
        <v>285</v>
      </c>
      <c r="B286" s="70" t="str">
        <f aca="false">IFERROR(INDEX(対訳マスタ!$C$2:$C$136,MATCH(Data!B286,対訳マスタ!$B$2:$B$136,0)),Data!B286)</f>
        <v>コミュニケーション言語活動</v>
      </c>
      <c r="C286" s="70" t="str">
        <f aca="false">IF(Data!C286="—","—",IFERROR(INDEX(対訳マスタ!$C$2:$C$136,MATCH(Data!C286,対訳マスタ!$B$2:$B$136,0)),Data!C286))</f>
        <v>産出</v>
      </c>
      <c r="D286" s="70" t="str">
        <f aca="false">IF(Data!D286="—","—",IFERROR(INDEX(対訳マスタ!$C$2:$C$136,MATCH(Data!D286,対訳マスタ!$B$2:$B$136,0)),Data!D286))</f>
        <v>口頭産出（話すこと）</v>
      </c>
      <c r="E286" s="70" t="str">
        <f aca="false">IFERROR(INDEX(対訳マスタ!$C$2:$C$136,MATCH(Data!E286,対訳マスタ!$B$2:$B$136,0)),Data!E286)</f>
        <v>長めの一人語り：立論（討論など）</v>
      </c>
      <c r="F286" s="70" t="str">
        <f aca="false">Data!F286</f>
        <v>B1</v>
      </c>
      <c r="G286" s="31" t="str">
        <f aca="false">Data!G286</f>
        <v>Can explain whether or not they approve of what someone has done and give reasons to justify this opinion.</v>
      </c>
      <c r="H286" s="71" t="s">
        <v>3217</v>
      </c>
      <c r="I286" s="79" t="s">
        <v>3089</v>
      </c>
    </row>
    <row r="287" customFormat="false" ht="26.25" hidden="false" customHeight="true" outlineLevel="0" collapsed="false">
      <c r="A287" s="70" t="n">
        <f aca="false">Data!A287</f>
        <v>286</v>
      </c>
      <c r="B287" s="70" t="str">
        <f aca="false">IFERROR(INDEX(対訳マスタ!$C$2:$C$136,MATCH(Data!B287,対訳マスタ!$B$2:$B$136,0)),Data!B287)</f>
        <v>コミュニケーション言語活動</v>
      </c>
      <c r="C287" s="70" t="str">
        <f aca="false">IF(Data!C287="—","—",IFERROR(INDEX(対訳マスタ!$C$2:$C$136,MATCH(Data!C287,対訳マスタ!$B$2:$B$136,0)),Data!C287))</f>
        <v>産出</v>
      </c>
      <c r="D287" s="70" t="str">
        <f aca="false">IF(Data!D287="—","—",IFERROR(INDEX(対訳マスタ!$C$2:$C$136,MATCH(Data!D287,対訳マスタ!$B$2:$B$136,0)),Data!D287))</f>
        <v>口頭産出（話すこと）</v>
      </c>
      <c r="E287" s="70" t="str">
        <f aca="false">IFERROR(INDEX(対訳マスタ!$C$2:$C$136,MATCH(Data!E287,対訳マスタ!$B$2:$B$136,0)),Data!E287)</f>
        <v>長めの一人語り：立論（討論など）</v>
      </c>
      <c r="F287" s="70" t="str">
        <f aca="false">Data!F287</f>
        <v>A2+</v>
      </c>
      <c r="G287" s="31" t="str">
        <f aca="false">Data!G287</f>
        <v>Can explain what they like or dislike about something, why they prefer one thing to another, making simple, direct comparisons.</v>
      </c>
      <c r="H287" s="71" t="s">
        <v>2588</v>
      </c>
      <c r="I287" s="79" t="s">
        <v>3089</v>
      </c>
    </row>
    <row r="288" customFormat="false" ht="15" hidden="false" customHeight="true" outlineLevel="0" collapsed="false">
      <c r="A288" s="70" t="n">
        <f aca="false">Data!A288</f>
        <v>287</v>
      </c>
      <c r="B288" s="70" t="str">
        <f aca="false">IFERROR(INDEX(対訳マスタ!$C$2:$C$136,MATCH(Data!B288,対訳マスタ!$B$2:$B$136,0)),Data!B288)</f>
        <v>コミュニケーション言語活動</v>
      </c>
      <c r="C288" s="70" t="str">
        <f aca="false">IF(Data!C288="—","—",IFERROR(INDEX(対訳マスタ!$C$2:$C$136,MATCH(Data!C288,対訳マスタ!$B$2:$B$136,0)),Data!C288))</f>
        <v>産出</v>
      </c>
      <c r="D288" s="70" t="str">
        <f aca="false">IF(Data!D288="—","—",IFERROR(INDEX(対訳マスタ!$C$2:$C$136,MATCH(Data!D288,対訳マスタ!$B$2:$B$136,0)),Data!D288))</f>
        <v>口頭産出（話すこと）</v>
      </c>
      <c r="E288" s="70" t="str">
        <f aca="false">IFERROR(INDEX(対訳マスタ!$C$2:$C$136,MATCH(Data!E288,対訳マスタ!$B$2:$B$136,0)),Data!E288)</f>
        <v>長めの一人語り：立論（討論など）</v>
      </c>
      <c r="F288" s="70" t="str">
        <f aca="false">Data!F288</f>
        <v>A2</v>
      </c>
      <c r="G288" s="31" t="str">
        <f aca="false">Data!G288</f>
        <v>Can present their opinion in simple terms, provided interlocutors are patient.</v>
      </c>
      <c r="H288" s="71" t="s">
        <v>2587</v>
      </c>
      <c r="I288" s="79" t="s">
        <v>3089</v>
      </c>
    </row>
    <row r="289" customFormat="false" ht="15" hidden="false" customHeight="true" outlineLevel="0" collapsed="false">
      <c r="A289" s="80" t="n">
        <f aca="false">Data!A289</f>
        <v>288</v>
      </c>
      <c r="B289" s="80" t="str">
        <f aca="false">IFERROR(INDEX(対訳マスタ!$C$2:$C$136,MATCH(Data!B289,対訳マスタ!$B$2:$B$136,0)),Data!B289)</f>
        <v>コミュニケーション言語活動</v>
      </c>
      <c r="C289" s="80" t="str">
        <f aca="false">IF(Data!C289="—","—",IFERROR(INDEX(対訳マスタ!$C$2:$C$136,MATCH(Data!C289,対訳マスタ!$B$2:$B$136,0)),Data!C289))</f>
        <v>産出</v>
      </c>
      <c r="D289" s="80" t="str">
        <f aca="false">IF(Data!D289="—","—",IFERROR(INDEX(対訳マスタ!$C$2:$C$136,MATCH(Data!D289,対訳マスタ!$B$2:$B$136,0)),Data!D289))</f>
        <v>口頭産出（話すこと）</v>
      </c>
      <c r="E289" s="80" t="str">
        <f aca="false">IFERROR(INDEX(対訳マスタ!$C$2:$C$136,MATCH(Data!E289,対訳マスタ!$B$2:$B$136,0)),Data!E289)</f>
        <v>長めの一人語り：立論（討論など）</v>
      </c>
      <c r="F289" s="80" t="str">
        <f aca="false">Data!F289</f>
        <v>A1</v>
      </c>
      <c r="G289" s="81" t="str">
        <f aca="false">Data!G289</f>
        <v>No descriptors available</v>
      </c>
      <c r="H289" s="81" t="s">
        <v>624</v>
      </c>
      <c r="I289" s="80" t="s">
        <v>624</v>
      </c>
    </row>
    <row r="290" customFormat="false" ht="15" hidden="false" customHeight="true" outlineLevel="0" collapsed="false">
      <c r="A290" s="80" t="n">
        <f aca="false">Data!A290</f>
        <v>289</v>
      </c>
      <c r="B290" s="80" t="str">
        <f aca="false">IFERROR(INDEX(対訳マスタ!$C$2:$C$136,MATCH(Data!B290,対訳マスタ!$B$2:$B$136,0)),Data!B290)</f>
        <v>コミュニケーション言語活動</v>
      </c>
      <c r="C290" s="80" t="str">
        <f aca="false">IF(Data!C290="—","—",IFERROR(INDEX(対訳マスタ!$C$2:$C$136,MATCH(Data!C290,対訳マスタ!$B$2:$B$136,0)),Data!C290))</f>
        <v>産出</v>
      </c>
      <c r="D290" s="80" t="str">
        <f aca="false">IF(Data!D290="—","—",IFERROR(INDEX(対訳マスタ!$C$2:$C$136,MATCH(Data!D290,対訳マスタ!$B$2:$B$136,0)),Data!D290))</f>
        <v>口頭産出（話すこと）</v>
      </c>
      <c r="E290" s="80" t="str">
        <f aca="false">IFERROR(INDEX(対訳マスタ!$C$2:$C$136,MATCH(Data!E290,対訳マスタ!$B$2:$B$136,0)),Data!E290)</f>
        <v>長めの一人語り：立論（討論など）</v>
      </c>
      <c r="F290" s="80" t="str">
        <f aca="false">Data!F290</f>
        <v>Pre-A1</v>
      </c>
      <c r="G290" s="81" t="str">
        <f aca="false">Data!G290</f>
        <v>No descriptors available</v>
      </c>
      <c r="H290" s="81" t="s">
        <v>624</v>
      </c>
      <c r="I290" s="80" t="s">
        <v>624</v>
      </c>
    </row>
    <row r="291" customFormat="false" ht="15" hidden="false" customHeight="true" outlineLevel="0" collapsed="false">
      <c r="A291" s="80" t="n">
        <f aca="false">Data!A291</f>
        <v>290</v>
      </c>
      <c r="B291" s="80" t="str">
        <f aca="false">IFERROR(INDEX(対訳マスタ!$C$2:$C$136,MATCH(Data!B291,対訳マスタ!$B$2:$B$136,0)),Data!B291)</f>
        <v>コミュニケーション言語活動</v>
      </c>
      <c r="C291" s="80" t="str">
        <f aca="false">IF(Data!C291="—","—",IFERROR(INDEX(対訳マスタ!$C$2:$C$136,MATCH(Data!C291,対訳マスタ!$B$2:$B$136,0)),Data!C291))</f>
        <v>産出</v>
      </c>
      <c r="D291" s="80" t="str">
        <f aca="false">IF(Data!D291="—","—",IFERROR(INDEX(対訳マスタ!$C$2:$C$136,MATCH(Data!D291,対訳マスタ!$B$2:$B$136,0)),Data!D291))</f>
        <v>口頭産出（話すこと）</v>
      </c>
      <c r="E291" s="80" t="str">
        <f aca="false">IFERROR(INDEX(対訳マスタ!$C$2:$C$136,MATCH(Data!E291,対訳マスタ!$B$2:$B$136,0)),Data!E291)</f>
        <v>公共のアナウンス</v>
      </c>
      <c r="F291" s="80" t="str">
        <f aca="false">Data!F291</f>
        <v>C2</v>
      </c>
      <c r="G291" s="81" t="str">
        <f aca="false">Data!G291</f>
        <v>No descriptors available; see C1</v>
      </c>
      <c r="H291" s="81" t="s">
        <v>624</v>
      </c>
      <c r="I291" s="80" t="s">
        <v>624</v>
      </c>
    </row>
    <row r="292" customFormat="false" ht="26.25" hidden="false" customHeight="true" outlineLevel="0" collapsed="false">
      <c r="A292" s="70" t="n">
        <f aca="false">Data!A292</f>
        <v>291</v>
      </c>
      <c r="B292" s="70" t="str">
        <f aca="false">IFERROR(INDEX(対訳マスタ!$C$2:$C$136,MATCH(Data!B292,対訳マスタ!$B$2:$B$136,0)),Data!B292)</f>
        <v>コミュニケーション言語活動</v>
      </c>
      <c r="C292" s="70" t="str">
        <f aca="false">IF(Data!C292="—","—",IFERROR(INDEX(対訳マスタ!$C$2:$C$136,MATCH(Data!C292,対訳マスタ!$B$2:$B$136,0)),Data!C292))</f>
        <v>産出</v>
      </c>
      <c r="D292" s="70" t="str">
        <f aca="false">IF(Data!D292="—","—",IFERROR(INDEX(対訳マスタ!$C$2:$C$136,MATCH(Data!D292,対訳マスタ!$B$2:$B$136,0)),Data!D292))</f>
        <v>口頭産出（話すこと）</v>
      </c>
      <c r="E292" s="70" t="str">
        <f aca="false">IFERROR(INDEX(対訳マスタ!$C$2:$C$136,MATCH(Data!E292,対訳マスタ!$B$2:$B$136,0)),Data!E292)</f>
        <v>公共のアナウンス</v>
      </c>
      <c r="F292" s="70" t="str">
        <f aca="false">Data!F292</f>
        <v>C1</v>
      </c>
      <c r="G292" s="31" t="str">
        <f aca="false">Data!G292</f>
        <v>Can deliver announcements fluently, almost effortlessly, using stress and intonation to convey finer shades of meaning precisely.</v>
      </c>
      <c r="H292" s="71" t="s">
        <v>2597</v>
      </c>
      <c r="I292" s="79" t="s">
        <v>3089</v>
      </c>
    </row>
    <row r="293" customFormat="false" ht="26.25" hidden="false" customHeight="true" outlineLevel="0" collapsed="false">
      <c r="A293" s="70" t="n">
        <f aca="false">Data!A293</f>
        <v>292</v>
      </c>
      <c r="B293" s="70" t="str">
        <f aca="false">IFERROR(INDEX(対訳マスタ!$C$2:$C$136,MATCH(Data!B293,対訳マスタ!$B$2:$B$136,0)),Data!B293)</f>
        <v>コミュニケーション言語活動</v>
      </c>
      <c r="C293" s="70" t="str">
        <f aca="false">IF(Data!C293="—","—",IFERROR(INDEX(対訳マスタ!$C$2:$C$136,MATCH(Data!C293,対訳マスタ!$B$2:$B$136,0)),Data!C293))</f>
        <v>産出</v>
      </c>
      <c r="D293" s="70" t="str">
        <f aca="false">IF(Data!D293="—","—",IFERROR(INDEX(対訳マスタ!$C$2:$C$136,MATCH(Data!D293,対訳マスタ!$B$2:$B$136,0)),Data!D293))</f>
        <v>口頭産出（話すこと）</v>
      </c>
      <c r="E293" s="70" t="str">
        <f aca="false">IFERROR(INDEX(対訳マスタ!$C$2:$C$136,MATCH(Data!E293,対訳マスタ!$B$2:$B$136,0)),Data!E293)</f>
        <v>公共のアナウンス</v>
      </c>
      <c r="F293" s="70" t="str">
        <f aca="false">Data!F293</f>
        <v>B2</v>
      </c>
      <c r="G293" s="31" t="str">
        <f aca="false">Data!G293</f>
        <v>Can deliver announcements on most general topics with a degree of clarity, fluency and spontaneity which causes no strain or inconvenience to the recipient.</v>
      </c>
      <c r="H293" s="71" t="s">
        <v>2596</v>
      </c>
      <c r="I293" s="79" t="s">
        <v>3089</v>
      </c>
    </row>
    <row r="294" customFormat="false" ht="32.25" hidden="false" customHeight="true" outlineLevel="0" collapsed="false">
      <c r="A294" s="70" t="n">
        <f aca="false">Data!A294</f>
        <v>293</v>
      </c>
      <c r="B294" s="70" t="str">
        <f aca="false">IFERROR(INDEX(対訳マスタ!$C$2:$C$136,MATCH(Data!B294,対訳マスタ!$B$2:$B$136,0)),Data!B294)</f>
        <v>コミュニケーション言語活動</v>
      </c>
      <c r="C294" s="70" t="str">
        <f aca="false">IF(Data!C294="—","—",IFERROR(INDEX(対訳マスタ!$C$2:$C$136,MATCH(Data!C294,対訳マスタ!$B$2:$B$136,0)),Data!C294))</f>
        <v>産出</v>
      </c>
      <c r="D294" s="70" t="str">
        <f aca="false">IF(Data!D294="—","—",IFERROR(INDEX(対訳マスタ!$C$2:$C$136,MATCH(Data!D294,対訳マスタ!$B$2:$B$136,0)),Data!D294))</f>
        <v>口頭産出（話すこと）</v>
      </c>
      <c r="E294" s="70" t="str">
        <f aca="false">IFERROR(INDEX(対訳マスタ!$C$2:$C$136,MATCH(Data!E294,対訳マスタ!$B$2:$B$136,0)),Data!E294)</f>
        <v>公共のアナウンス</v>
      </c>
      <c r="F294" s="70" t="str">
        <f aca="false">Data!F294</f>
        <v>B1</v>
      </c>
      <c r="G294" s="31" t="str">
        <f aca="false">Data!G294</f>
        <v>Can deliver short, rehearsed announcements on a topic pertinent to everyday occurrences in their field which, despite possible problems with stress and intonation (= non-manuals in a sign language), are nevertheless clearly intelligible.</v>
      </c>
      <c r="H294" s="71" t="s">
        <v>2595</v>
      </c>
      <c r="I294" s="79" t="s">
        <v>3089</v>
      </c>
    </row>
    <row r="295" customFormat="false" ht="26.25" hidden="false" customHeight="true" outlineLevel="0" collapsed="false">
      <c r="A295" s="70" t="n">
        <f aca="false">Data!A295</f>
        <v>294</v>
      </c>
      <c r="B295" s="70" t="str">
        <f aca="false">IFERROR(INDEX(対訳マスタ!$C$2:$C$136,MATCH(Data!B295,対訳マスタ!$B$2:$B$136,0)),Data!B295)</f>
        <v>コミュニケーション言語活動</v>
      </c>
      <c r="C295" s="70" t="str">
        <f aca="false">IF(Data!C295="—","—",IFERROR(INDEX(対訳マスタ!$C$2:$C$136,MATCH(Data!C295,対訳マスタ!$B$2:$B$136,0)),Data!C295))</f>
        <v>産出</v>
      </c>
      <c r="D295" s="70" t="str">
        <f aca="false">IF(Data!D295="—","—",IFERROR(INDEX(対訳マスタ!$C$2:$C$136,MATCH(Data!D295,対訳マスタ!$B$2:$B$136,0)),Data!D295))</f>
        <v>口頭産出（話すこと）</v>
      </c>
      <c r="E295" s="70" t="str">
        <f aca="false">IFERROR(INDEX(対訳マスタ!$C$2:$C$136,MATCH(Data!E295,対訳マスタ!$B$2:$B$136,0)),Data!E295)</f>
        <v>公共のアナウンス</v>
      </c>
      <c r="F295" s="70" t="str">
        <f aca="false">Data!F295</f>
        <v>A2</v>
      </c>
      <c r="G295" s="31" t="str">
        <f aca="false">Data!G295</f>
        <v>Can deliver very short, rehearsed announcements of predictable, learnt content which are intelligible to recipients who are prepared to concentrate.</v>
      </c>
      <c r="H295" s="71" t="s">
        <v>2594</v>
      </c>
      <c r="I295" s="79" t="s">
        <v>3089</v>
      </c>
    </row>
    <row r="296" customFormat="false" ht="15" hidden="false" customHeight="true" outlineLevel="0" collapsed="false">
      <c r="A296" s="80" t="n">
        <f aca="false">Data!A296</f>
        <v>295</v>
      </c>
      <c r="B296" s="80" t="str">
        <f aca="false">IFERROR(INDEX(対訳マスタ!$C$2:$C$136,MATCH(Data!B296,対訳マスタ!$B$2:$B$136,0)),Data!B296)</f>
        <v>コミュニケーション言語活動</v>
      </c>
      <c r="C296" s="80" t="str">
        <f aca="false">IF(Data!C296="—","—",IFERROR(INDEX(対訳マスタ!$C$2:$C$136,MATCH(Data!C296,対訳マスタ!$B$2:$B$136,0)),Data!C296))</f>
        <v>産出</v>
      </c>
      <c r="D296" s="80" t="str">
        <f aca="false">IF(Data!D296="—","—",IFERROR(INDEX(対訳マスタ!$C$2:$C$136,MATCH(Data!D296,対訳マスタ!$B$2:$B$136,0)),Data!D296))</f>
        <v>口頭産出（話すこと）</v>
      </c>
      <c r="E296" s="80" t="str">
        <f aca="false">IFERROR(INDEX(対訳マスタ!$C$2:$C$136,MATCH(Data!E296,対訳マスタ!$B$2:$B$136,0)),Data!E296)</f>
        <v>公共のアナウンス</v>
      </c>
      <c r="F296" s="80" t="str">
        <f aca="false">Data!F296</f>
        <v>A1</v>
      </c>
      <c r="G296" s="81" t="str">
        <f aca="false">Data!G296</f>
        <v>No descriptors available</v>
      </c>
      <c r="H296" s="81" t="s">
        <v>624</v>
      </c>
      <c r="I296" s="80" t="s">
        <v>624</v>
      </c>
    </row>
    <row r="297" customFormat="false" ht="15" hidden="false" customHeight="true" outlineLevel="0" collapsed="false">
      <c r="A297" s="80" t="n">
        <f aca="false">Data!A297</f>
        <v>296</v>
      </c>
      <c r="B297" s="80" t="str">
        <f aca="false">IFERROR(INDEX(対訳マスタ!$C$2:$C$136,MATCH(Data!B297,対訳マスタ!$B$2:$B$136,0)),Data!B297)</f>
        <v>コミュニケーション言語活動</v>
      </c>
      <c r="C297" s="80" t="str">
        <f aca="false">IF(Data!C297="—","—",IFERROR(INDEX(対訳マスタ!$C$2:$C$136,MATCH(Data!C297,対訳マスタ!$B$2:$B$136,0)),Data!C297))</f>
        <v>産出</v>
      </c>
      <c r="D297" s="80" t="str">
        <f aca="false">IF(Data!D297="—","—",IFERROR(INDEX(対訳マスタ!$C$2:$C$136,MATCH(Data!D297,対訳マスタ!$B$2:$B$136,0)),Data!D297))</f>
        <v>口頭産出（話すこと）</v>
      </c>
      <c r="E297" s="80" t="str">
        <f aca="false">IFERROR(INDEX(対訳マスタ!$C$2:$C$136,MATCH(Data!E297,対訳マスタ!$B$2:$B$136,0)),Data!E297)</f>
        <v>公共のアナウンス</v>
      </c>
      <c r="F297" s="80" t="str">
        <f aca="false">Data!F297</f>
        <v>Pre-A1</v>
      </c>
      <c r="G297" s="81" t="str">
        <f aca="false">Data!G297</f>
        <v>No descriptors available</v>
      </c>
      <c r="H297" s="81" t="s">
        <v>624</v>
      </c>
      <c r="I297" s="80" t="s">
        <v>624</v>
      </c>
    </row>
    <row r="298" customFormat="false" ht="21.75" hidden="false" customHeight="true" outlineLevel="0" collapsed="false">
      <c r="A298" s="70" t="n">
        <f aca="false">Data!A298</f>
        <v>297</v>
      </c>
      <c r="B298" s="70" t="str">
        <f aca="false">IFERROR(INDEX(対訳マスタ!$C$2:$C$136,MATCH(Data!B298,対訳マスタ!$B$2:$B$136,0)),Data!B298)</f>
        <v>コミュニケーション言語活動</v>
      </c>
      <c r="C298" s="70" t="str">
        <f aca="false">IF(Data!C298="—","—",IFERROR(INDEX(対訳マスタ!$C$2:$C$136,MATCH(Data!C298,対訳マスタ!$B$2:$B$136,0)),Data!C298))</f>
        <v>産出</v>
      </c>
      <c r="D298" s="70" t="str">
        <f aca="false">IF(Data!D298="—","—",IFERROR(INDEX(対訳マスタ!$C$2:$C$136,MATCH(Data!D298,対訳マスタ!$B$2:$B$136,0)),Data!D298))</f>
        <v>口頭産出（話すこと）</v>
      </c>
      <c r="E298" s="70" t="str">
        <f aca="false">IFERROR(INDEX(対訳マスタ!$C$2:$C$136,MATCH(Data!E298,対訳マスタ!$B$2:$B$136,0)),Data!E298)</f>
        <v>聴衆への発表（スピーチ）</v>
      </c>
      <c r="F298" s="70" t="str">
        <f aca="false">Data!F298</f>
        <v>C2</v>
      </c>
      <c r="G298" s="31" t="str">
        <f aca="false">Data!G298</f>
        <v>Can present a complex topic confidently and articulately to an audience unfamiliar with it, structuring and adapting the talk flexibly to meet the audience’s needs.</v>
      </c>
      <c r="H298" s="71" t="s">
        <v>3218</v>
      </c>
      <c r="I298" s="79" t="s">
        <v>3089</v>
      </c>
    </row>
    <row r="299" customFormat="false" ht="15" hidden="false" customHeight="true" outlineLevel="0" collapsed="false">
      <c r="A299" s="70" t="n">
        <f aca="false">Data!A299</f>
        <v>298</v>
      </c>
      <c r="B299" s="70" t="str">
        <f aca="false">IFERROR(INDEX(対訳マスタ!$C$2:$C$136,MATCH(Data!B299,対訳マスタ!$B$2:$B$136,0)),Data!B299)</f>
        <v>コミュニケーション言語活動</v>
      </c>
      <c r="C299" s="70" t="str">
        <f aca="false">IF(Data!C299="—","—",IFERROR(INDEX(対訳マスタ!$C$2:$C$136,MATCH(Data!C299,対訳マスタ!$B$2:$B$136,0)),Data!C299))</f>
        <v>産出</v>
      </c>
      <c r="D299" s="70" t="str">
        <f aca="false">IF(Data!D299="—","—",IFERROR(INDEX(対訳マスタ!$C$2:$C$136,MATCH(Data!D299,対訳マスタ!$B$2:$B$136,0)),Data!D299))</f>
        <v>口頭産出（話すこと）</v>
      </c>
      <c r="E299" s="70" t="str">
        <f aca="false">IFERROR(INDEX(対訳マスタ!$C$2:$C$136,MATCH(Data!E299,対訳マスタ!$B$2:$B$136,0)),Data!E299)</f>
        <v>聴衆への発表（スピーチ）</v>
      </c>
      <c r="F299" s="70" t="str">
        <f aca="false">Data!F299</f>
        <v>C2</v>
      </c>
      <c r="G299" s="31" t="str">
        <f aca="false">Data!G299</f>
        <v>Can handle difficult and even hostile questioning.</v>
      </c>
      <c r="H299" s="71" t="s">
        <v>2606</v>
      </c>
      <c r="I299" s="79" t="s">
        <v>3089</v>
      </c>
    </row>
    <row r="300" customFormat="false" ht="32.25" hidden="false" customHeight="true" outlineLevel="0" collapsed="false">
      <c r="A300" s="70" t="n">
        <f aca="false">Data!A300</f>
        <v>299</v>
      </c>
      <c r="B300" s="70" t="str">
        <f aca="false">IFERROR(INDEX(対訳マスタ!$C$2:$C$136,MATCH(Data!B300,対訳マスタ!$B$2:$B$136,0)),Data!B300)</f>
        <v>コミュニケーション言語活動</v>
      </c>
      <c r="C300" s="70" t="str">
        <f aca="false">IF(Data!C300="—","—",IFERROR(INDEX(対訳マスタ!$C$2:$C$136,MATCH(Data!C300,対訳マスタ!$B$2:$B$136,0)),Data!C300))</f>
        <v>産出</v>
      </c>
      <c r="D300" s="70" t="str">
        <f aca="false">IF(Data!D300="—","—",IFERROR(INDEX(対訳マスタ!$C$2:$C$136,MATCH(Data!D300,対訳マスタ!$B$2:$B$136,0)),Data!D300))</f>
        <v>口頭産出（話すこと）</v>
      </c>
      <c r="E300" s="70" t="str">
        <f aca="false">IFERROR(INDEX(対訳マスタ!$C$2:$C$136,MATCH(Data!E300,対訳マスタ!$B$2:$B$136,0)),Data!E300)</f>
        <v>聴衆への発表（スピーチ）</v>
      </c>
      <c r="F300" s="70" t="str">
        <f aca="false">Data!F300</f>
        <v>C1</v>
      </c>
      <c r="G300" s="31" t="str">
        <f aca="false">Data!G300</f>
        <v>Can give a clear, well-structured presentation on a complex subject, expanding and supporting points of view at some length with subsidiary points, reasons and relevant examples.</v>
      </c>
      <c r="H300" s="71" t="s">
        <v>3219</v>
      </c>
      <c r="I300" s="79" t="s">
        <v>3089</v>
      </c>
    </row>
    <row r="301" customFormat="false" ht="21.75" hidden="false" customHeight="true" outlineLevel="0" collapsed="false">
      <c r="A301" s="70" t="n">
        <f aca="false">Data!A301</f>
        <v>300</v>
      </c>
      <c r="B301" s="70" t="str">
        <f aca="false">IFERROR(INDEX(対訳マスタ!$C$2:$C$136,MATCH(Data!B301,対訳マスタ!$B$2:$B$136,0)),Data!B301)</f>
        <v>コミュニケーション言語活動</v>
      </c>
      <c r="C301" s="70" t="str">
        <f aca="false">IF(Data!C301="—","—",IFERROR(INDEX(対訳マスタ!$C$2:$C$136,MATCH(Data!C301,対訳マスタ!$B$2:$B$136,0)),Data!C301))</f>
        <v>産出</v>
      </c>
      <c r="D301" s="70" t="str">
        <f aca="false">IF(Data!D301="—","—",IFERROR(INDEX(対訳マスタ!$C$2:$C$136,MATCH(Data!D301,対訳マスタ!$B$2:$B$136,0)),Data!D301))</f>
        <v>口頭産出（話すこと）</v>
      </c>
      <c r="E301" s="70" t="str">
        <f aca="false">IFERROR(INDEX(対訳マスタ!$C$2:$C$136,MATCH(Data!E301,対訳マスタ!$B$2:$B$136,0)),Data!E301)</f>
        <v>聴衆への発表（スピーチ）</v>
      </c>
      <c r="F301" s="70" t="str">
        <f aca="false">Data!F301</f>
        <v>C1</v>
      </c>
      <c r="G301" s="31" t="str">
        <f aca="false">Data!G301</f>
        <v>Can structure a longer presentation appropriately in order to help the audience follow the sequence of ideas and understand the overall argumentation.</v>
      </c>
      <c r="H301" s="71" t="s">
        <v>3220</v>
      </c>
      <c r="I301" s="79" t="s">
        <v>3089</v>
      </c>
    </row>
    <row r="302" customFormat="false" ht="21.75" hidden="false" customHeight="true" outlineLevel="0" collapsed="false">
      <c r="A302" s="70" t="n">
        <f aca="false">Data!A302</f>
        <v>301</v>
      </c>
      <c r="B302" s="70" t="str">
        <f aca="false">IFERROR(INDEX(対訳マスタ!$C$2:$C$136,MATCH(Data!B302,対訳マスタ!$B$2:$B$136,0)),Data!B302)</f>
        <v>コミュニケーション言語活動</v>
      </c>
      <c r="C302" s="70" t="str">
        <f aca="false">IF(Data!C302="—","—",IFERROR(INDEX(対訳マスタ!$C$2:$C$136,MATCH(Data!C302,対訳マスタ!$B$2:$B$136,0)),Data!C302))</f>
        <v>産出</v>
      </c>
      <c r="D302" s="70" t="str">
        <f aca="false">IF(Data!D302="—","—",IFERROR(INDEX(対訳マスタ!$C$2:$C$136,MATCH(Data!D302,対訳マスタ!$B$2:$B$136,0)),Data!D302))</f>
        <v>口頭産出（話すこと）</v>
      </c>
      <c r="E302" s="70" t="str">
        <f aca="false">IFERROR(INDEX(対訳マスタ!$C$2:$C$136,MATCH(Data!E302,対訳マスタ!$B$2:$B$136,0)),Data!E302)</f>
        <v>聴衆への発表（スピーチ）</v>
      </c>
      <c r="F302" s="70" t="str">
        <f aca="false">Data!F302</f>
        <v>C1</v>
      </c>
      <c r="G302" s="31" t="str">
        <f aca="false">Data!G302</f>
        <v>Can speculate or hypothesise in presenting a complex subject, comparing and evaluating alternative proposals and arguments.</v>
      </c>
      <c r="H302" s="71" t="s">
        <v>3221</v>
      </c>
      <c r="I302" s="79" t="s">
        <v>3089</v>
      </c>
    </row>
    <row r="303" customFormat="false" ht="15" hidden="false" customHeight="true" outlineLevel="0" collapsed="false">
      <c r="A303" s="70" t="n">
        <f aca="false">Data!A303</f>
        <v>302</v>
      </c>
      <c r="B303" s="70" t="str">
        <f aca="false">IFERROR(INDEX(対訳マスタ!$C$2:$C$136,MATCH(Data!B303,対訳マスタ!$B$2:$B$136,0)),Data!B303)</f>
        <v>コミュニケーション言語活動</v>
      </c>
      <c r="C303" s="70" t="str">
        <f aca="false">IF(Data!C303="—","—",IFERROR(INDEX(対訳マスタ!$C$2:$C$136,MATCH(Data!C303,対訳マスタ!$B$2:$B$136,0)),Data!C303))</f>
        <v>産出</v>
      </c>
      <c r="D303" s="70" t="str">
        <f aca="false">IF(Data!D303="—","—",IFERROR(INDEX(対訳マスタ!$C$2:$C$136,MATCH(Data!D303,対訳マスタ!$B$2:$B$136,0)),Data!D303))</f>
        <v>口頭産出（話すこと）</v>
      </c>
      <c r="E303" s="70" t="str">
        <f aca="false">IFERROR(INDEX(対訳マスタ!$C$2:$C$136,MATCH(Data!E303,対訳マスタ!$B$2:$B$136,0)),Data!E303)</f>
        <v>聴衆への発表（スピーチ）</v>
      </c>
      <c r="F303" s="70" t="str">
        <f aca="false">Data!F303</f>
        <v>C1</v>
      </c>
      <c r="G303" s="31" t="str">
        <f aca="false">Data!G303</f>
        <v>Can handle interjections well, responding spontaneously and almost effortlessly.</v>
      </c>
      <c r="H303" s="71" t="s">
        <v>2605</v>
      </c>
      <c r="I303" s="79" t="s">
        <v>3089</v>
      </c>
    </row>
    <row r="304" customFormat="false" ht="26.25" hidden="false" customHeight="true" outlineLevel="0" collapsed="false">
      <c r="A304" s="70" t="n">
        <f aca="false">Data!A304</f>
        <v>303</v>
      </c>
      <c r="B304" s="70" t="str">
        <f aca="false">IFERROR(INDEX(対訳マスタ!$C$2:$C$136,MATCH(Data!B304,対訳マスタ!$B$2:$B$136,0)),Data!B304)</f>
        <v>コミュニケーション言語活動</v>
      </c>
      <c r="C304" s="70" t="str">
        <f aca="false">IF(Data!C304="—","—",IFERROR(INDEX(対訳マスタ!$C$2:$C$136,MATCH(Data!C304,対訳マスタ!$B$2:$B$136,0)),Data!C304))</f>
        <v>産出</v>
      </c>
      <c r="D304" s="70" t="str">
        <f aca="false">IF(Data!D304="—","—",IFERROR(INDEX(対訳マスタ!$C$2:$C$136,MATCH(Data!D304,対訳マスタ!$B$2:$B$136,0)),Data!D304))</f>
        <v>口頭産出（話すこと）</v>
      </c>
      <c r="E304" s="70" t="str">
        <f aca="false">IFERROR(INDEX(対訳マスタ!$C$2:$C$136,MATCH(Data!E304,対訳マスタ!$B$2:$B$136,0)),Data!E304)</f>
        <v>聴衆への発表（スピーチ）</v>
      </c>
      <c r="F304" s="70" t="str">
        <f aca="false">Data!F304</f>
        <v>B2+</v>
      </c>
      <c r="G304" s="31" t="str">
        <f aca="false">Data!G304</f>
        <v>Can give a clear, systematically developed presentation, with highlighting of significant points, and relevant supporting detail.</v>
      </c>
      <c r="H304" s="71" t="s">
        <v>2604</v>
      </c>
      <c r="I304" s="79" t="s">
        <v>3089</v>
      </c>
    </row>
    <row r="305" customFormat="false" ht="21.75" hidden="false" customHeight="true" outlineLevel="0" collapsed="false">
      <c r="A305" s="70" t="n">
        <f aca="false">Data!A305</f>
        <v>304</v>
      </c>
      <c r="B305" s="70" t="str">
        <f aca="false">IFERROR(INDEX(対訳マスタ!$C$2:$C$136,MATCH(Data!B305,対訳マスタ!$B$2:$B$136,0)),Data!B305)</f>
        <v>コミュニケーション言語活動</v>
      </c>
      <c r="C305" s="70" t="str">
        <f aca="false">IF(Data!C305="—","—",IFERROR(INDEX(対訳マスタ!$C$2:$C$136,MATCH(Data!C305,対訳マスタ!$B$2:$B$136,0)),Data!C305))</f>
        <v>産出</v>
      </c>
      <c r="D305" s="70" t="str">
        <f aca="false">IF(Data!D305="—","—",IFERROR(INDEX(対訳マスタ!$C$2:$C$136,MATCH(Data!D305,対訳マスタ!$B$2:$B$136,0)),Data!D305))</f>
        <v>口頭産出（話すこと）</v>
      </c>
      <c r="E305" s="70" t="str">
        <f aca="false">IFERROR(INDEX(対訳マスタ!$C$2:$C$136,MATCH(Data!E305,対訳マスタ!$B$2:$B$136,0)),Data!E305)</f>
        <v>聴衆への発表（スピーチ）</v>
      </c>
      <c r="F305" s="70" t="str">
        <f aca="false">Data!F305</f>
        <v>B2+</v>
      </c>
      <c r="G305" s="31" t="str">
        <f aca="false">Data!G305</f>
        <v>Can depart spontaneously from a prepared text and follow up interesting points raised by members of the audience, often showing remarkable fluency and ease of expression.</v>
      </c>
      <c r="H305" s="71" t="s">
        <v>3222</v>
      </c>
      <c r="I305" s="79" t="s">
        <v>3089</v>
      </c>
    </row>
    <row r="306" customFormat="false" ht="21.75" hidden="false" customHeight="true" outlineLevel="0" collapsed="false">
      <c r="A306" s="70" t="n">
        <f aca="false">Data!A306</f>
        <v>305</v>
      </c>
      <c r="B306" s="70" t="str">
        <f aca="false">IFERROR(INDEX(対訳マスタ!$C$2:$C$136,MATCH(Data!B306,対訳マスタ!$B$2:$B$136,0)),Data!B306)</f>
        <v>コミュニケーション言語活動</v>
      </c>
      <c r="C306" s="70" t="str">
        <f aca="false">IF(Data!C306="—","—",IFERROR(INDEX(対訳マスタ!$C$2:$C$136,MATCH(Data!C306,対訳マスタ!$B$2:$B$136,0)),Data!C306))</f>
        <v>産出</v>
      </c>
      <c r="D306" s="70" t="str">
        <f aca="false">IF(Data!D306="—","—",IFERROR(INDEX(対訳マスタ!$C$2:$C$136,MATCH(Data!D306,対訳マスタ!$B$2:$B$136,0)),Data!D306))</f>
        <v>口頭産出（話すこと）</v>
      </c>
      <c r="E306" s="70" t="str">
        <f aca="false">IFERROR(INDEX(対訳マスタ!$C$2:$C$136,MATCH(Data!E306,対訳マスタ!$B$2:$B$136,0)),Data!E306)</f>
        <v>聴衆への発表（スピーチ）</v>
      </c>
      <c r="F306" s="70" t="str">
        <f aca="false">Data!F306</f>
        <v>B2</v>
      </c>
      <c r="G306" s="31" t="str">
        <f aca="false">Data!G306</f>
        <v>Can give a clear, prepared presentation, giving reasons in support of or against a particular point of view and giving the advantages and disadvantages of various options.</v>
      </c>
      <c r="H306" s="71" t="s">
        <v>3223</v>
      </c>
      <c r="I306" s="79" t="s">
        <v>3089</v>
      </c>
    </row>
    <row r="307" customFormat="false" ht="26.25" hidden="false" customHeight="true" outlineLevel="0" collapsed="false">
      <c r="A307" s="70" t="n">
        <f aca="false">Data!A307</f>
        <v>306</v>
      </c>
      <c r="B307" s="70" t="str">
        <f aca="false">IFERROR(INDEX(対訳マスタ!$C$2:$C$136,MATCH(Data!B307,対訳マスタ!$B$2:$B$136,0)),Data!B307)</f>
        <v>コミュニケーション言語活動</v>
      </c>
      <c r="C307" s="70" t="str">
        <f aca="false">IF(Data!C307="—","—",IFERROR(INDEX(対訳マスタ!$C$2:$C$136,MATCH(Data!C307,対訳マスタ!$B$2:$B$136,0)),Data!C307))</f>
        <v>産出</v>
      </c>
      <c r="D307" s="70" t="str">
        <f aca="false">IF(Data!D307="—","—",IFERROR(INDEX(対訳マスタ!$C$2:$C$136,MATCH(Data!D307,対訳マスタ!$B$2:$B$136,0)),Data!D307))</f>
        <v>口頭産出（話すこと）</v>
      </c>
      <c r="E307" s="70" t="str">
        <f aca="false">IFERROR(INDEX(対訳マスタ!$C$2:$C$136,MATCH(Data!E307,対訳マスタ!$B$2:$B$136,0)),Data!E307)</f>
        <v>聴衆への発表（スピーチ）</v>
      </c>
      <c r="F307" s="70" t="str">
        <f aca="false">Data!F307</f>
        <v>B2</v>
      </c>
      <c r="G307" s="31" t="str">
        <f aca="false">Data!G307</f>
        <v>Can take a series of follow-up questions with a degree of fluency and spontaneity which poses no strain for either themselves or the audience.</v>
      </c>
      <c r="H307" s="71" t="s">
        <v>2603</v>
      </c>
      <c r="I307" s="79" t="s">
        <v>3089</v>
      </c>
    </row>
    <row r="308" customFormat="false" ht="26.25" hidden="false" customHeight="true" outlineLevel="0" collapsed="false">
      <c r="A308" s="70" t="n">
        <f aca="false">Data!A308</f>
        <v>307</v>
      </c>
      <c r="B308" s="70" t="str">
        <f aca="false">IFERROR(INDEX(対訳マスタ!$C$2:$C$136,MATCH(Data!B308,対訳マスタ!$B$2:$B$136,0)),Data!B308)</f>
        <v>コミュニケーション言語活動</v>
      </c>
      <c r="C308" s="70" t="str">
        <f aca="false">IF(Data!C308="—","—",IFERROR(INDEX(対訳マスタ!$C$2:$C$136,MATCH(Data!C308,対訳マスタ!$B$2:$B$136,0)),Data!C308))</f>
        <v>産出</v>
      </c>
      <c r="D308" s="70" t="str">
        <f aca="false">IF(Data!D308="—","—",IFERROR(INDEX(対訳マスタ!$C$2:$C$136,MATCH(Data!D308,対訳マスタ!$B$2:$B$136,0)),Data!D308))</f>
        <v>口頭産出（話すこと）</v>
      </c>
      <c r="E308" s="70" t="str">
        <f aca="false">IFERROR(INDEX(対訳マスタ!$C$2:$C$136,MATCH(Data!E308,対訳マスタ!$B$2:$B$136,0)),Data!E308)</f>
        <v>聴衆への発表（スピーチ）</v>
      </c>
      <c r="F308" s="70" t="str">
        <f aca="false">Data!F308</f>
        <v>B1+</v>
      </c>
      <c r="G308" s="31" t="str">
        <f aca="false">Data!G308</f>
        <v>Can give a prepared presentation on a familiar topic within their field, outlining similarities and differences (e.g. between products, countries/regions, plans).</v>
      </c>
      <c r="H308" s="71" t="s">
        <v>2602</v>
      </c>
      <c r="I308" s="79" t="s">
        <v>3089</v>
      </c>
    </row>
    <row r="309" customFormat="false" ht="32.25" hidden="false" customHeight="true" outlineLevel="0" collapsed="false">
      <c r="A309" s="70" t="n">
        <f aca="false">Data!A309</f>
        <v>308</v>
      </c>
      <c r="B309" s="70" t="str">
        <f aca="false">IFERROR(INDEX(対訳マスタ!$C$2:$C$136,MATCH(Data!B309,対訳マスタ!$B$2:$B$136,0)),Data!B309)</f>
        <v>コミュニケーション言語活動</v>
      </c>
      <c r="C309" s="70" t="str">
        <f aca="false">IF(Data!C309="—","—",IFERROR(INDEX(対訳マスタ!$C$2:$C$136,MATCH(Data!C309,対訳マスタ!$B$2:$B$136,0)),Data!C309))</f>
        <v>産出</v>
      </c>
      <c r="D309" s="70" t="str">
        <f aca="false">IF(Data!D309="—","—",IFERROR(INDEX(対訳マスタ!$C$2:$C$136,MATCH(Data!D309,対訳マスタ!$B$2:$B$136,0)),Data!D309))</f>
        <v>口頭産出（話すこと）</v>
      </c>
      <c r="E309" s="70" t="str">
        <f aca="false">IFERROR(INDEX(対訳マスタ!$C$2:$C$136,MATCH(Data!E309,対訳マスタ!$B$2:$B$136,0)),Data!E309)</f>
        <v>聴衆への発表（スピーチ）</v>
      </c>
      <c r="F309" s="70" t="str">
        <f aca="false">Data!F309</f>
        <v>B1</v>
      </c>
      <c r="G309" s="31" t="str">
        <f aca="false">Data!G309</f>
        <v>Can give a prepared straightforward presentation on a familiar topic within their field which is clear enough to be followed without difficulty most of the time, and in which the main points are explained with reasonable precision.</v>
      </c>
      <c r="H309" s="71" t="s">
        <v>3224</v>
      </c>
      <c r="I309" s="79" t="s">
        <v>3089</v>
      </c>
    </row>
    <row r="310" customFormat="false" ht="15" hidden="false" customHeight="true" outlineLevel="0" collapsed="false">
      <c r="A310" s="70" t="n">
        <f aca="false">Data!A310</f>
        <v>309</v>
      </c>
      <c r="B310" s="70" t="str">
        <f aca="false">IFERROR(INDEX(対訳マスタ!$C$2:$C$136,MATCH(Data!B310,対訳マスタ!$B$2:$B$136,0)),Data!B310)</f>
        <v>コミュニケーション言語活動</v>
      </c>
      <c r="C310" s="70" t="str">
        <f aca="false">IF(Data!C310="—","—",IFERROR(INDEX(対訳マスタ!$C$2:$C$136,MATCH(Data!C310,対訳マスタ!$B$2:$B$136,0)),Data!C310))</f>
        <v>産出</v>
      </c>
      <c r="D310" s="70" t="str">
        <f aca="false">IF(Data!D310="—","—",IFERROR(INDEX(対訳マスタ!$C$2:$C$136,MATCH(Data!D310,対訳マスタ!$B$2:$B$136,0)),Data!D310))</f>
        <v>口頭産出（話すこと）</v>
      </c>
      <c r="E310" s="70" t="str">
        <f aca="false">IFERROR(INDEX(対訳マスタ!$C$2:$C$136,MATCH(Data!E310,対訳マスタ!$B$2:$B$136,0)),Data!E310)</f>
        <v>聴衆への発表（スピーチ）</v>
      </c>
      <c r="F310" s="70" t="str">
        <f aca="false">Data!F310</f>
        <v>B1</v>
      </c>
      <c r="G310" s="31" t="str">
        <f aca="false">Data!G310</f>
        <v>Can take follow-up questions, but may have to ask for repetition if the delivery is rapid.</v>
      </c>
      <c r="H310" s="71" t="s">
        <v>2601</v>
      </c>
      <c r="I310" s="79" t="s">
        <v>3089</v>
      </c>
    </row>
    <row r="311" customFormat="false" ht="21.75" hidden="false" customHeight="true" outlineLevel="0" collapsed="false">
      <c r="A311" s="70" t="n">
        <f aca="false">Data!A311</f>
        <v>310</v>
      </c>
      <c r="B311" s="70" t="str">
        <f aca="false">IFERROR(INDEX(対訳マスタ!$C$2:$C$136,MATCH(Data!B311,対訳マスタ!$B$2:$B$136,0)),Data!B311)</f>
        <v>コミュニケーション言語活動</v>
      </c>
      <c r="C311" s="70" t="str">
        <f aca="false">IF(Data!C311="—","—",IFERROR(INDEX(対訳マスタ!$C$2:$C$136,MATCH(Data!C311,対訳マスタ!$B$2:$B$136,0)),Data!C311))</f>
        <v>産出</v>
      </c>
      <c r="D311" s="70" t="str">
        <f aca="false">IF(Data!D311="—","—",IFERROR(INDEX(対訳マスタ!$C$2:$C$136,MATCH(Data!D311,対訳マスタ!$B$2:$B$136,0)),Data!D311))</f>
        <v>口頭産出（話すこと）</v>
      </c>
      <c r="E311" s="70" t="str">
        <f aca="false">IFERROR(INDEX(対訳マスタ!$C$2:$C$136,MATCH(Data!E311,対訳マスタ!$B$2:$B$136,0)),Data!E311)</f>
        <v>聴衆への発表（スピーチ）</v>
      </c>
      <c r="F311" s="70" t="str">
        <f aca="false">Data!F311</f>
        <v>A2+</v>
      </c>
      <c r="G311" s="31" t="str">
        <f aca="false">Data!G311</f>
        <v>Can give a short, rehearsed presentation on a topic pertinent to their everyday life, and briefly give reasons and explanations for opinions, plans and actions.</v>
      </c>
      <c r="H311" s="71" t="s">
        <v>3225</v>
      </c>
      <c r="I311" s="79" t="s">
        <v>3089</v>
      </c>
    </row>
    <row r="312" customFormat="false" ht="15" hidden="false" customHeight="true" outlineLevel="0" collapsed="false">
      <c r="A312" s="70" t="n">
        <f aca="false">Data!A312</f>
        <v>311</v>
      </c>
      <c r="B312" s="70" t="str">
        <f aca="false">IFERROR(INDEX(対訳マスタ!$C$2:$C$136,MATCH(Data!B312,対訳マスタ!$B$2:$B$136,0)),Data!B312)</f>
        <v>コミュニケーション言語活動</v>
      </c>
      <c r="C312" s="70" t="str">
        <f aca="false">IF(Data!C312="—","—",IFERROR(INDEX(対訳マスタ!$C$2:$C$136,MATCH(Data!C312,対訳マスタ!$B$2:$B$136,0)),Data!C312))</f>
        <v>産出</v>
      </c>
      <c r="D312" s="70" t="str">
        <f aca="false">IF(Data!D312="—","—",IFERROR(INDEX(対訳マスタ!$C$2:$C$136,MATCH(Data!D312,対訳マスタ!$B$2:$B$136,0)),Data!D312))</f>
        <v>口頭産出（話すこと）</v>
      </c>
      <c r="E312" s="70" t="str">
        <f aca="false">IFERROR(INDEX(対訳マスタ!$C$2:$C$136,MATCH(Data!E312,対訳マスタ!$B$2:$B$136,0)),Data!E312)</f>
        <v>聴衆への発表（スピーチ）</v>
      </c>
      <c r="F312" s="70" t="str">
        <f aca="false">Data!F312</f>
        <v>A2+</v>
      </c>
      <c r="G312" s="31" t="str">
        <f aca="false">Data!G312</f>
        <v>Can cope with a limited number of straightforward follow-up questions.</v>
      </c>
      <c r="H312" s="71" t="s">
        <v>2600</v>
      </c>
      <c r="I312" s="79" t="s">
        <v>3089</v>
      </c>
    </row>
    <row r="313" customFormat="false" ht="15" hidden="false" customHeight="true" outlineLevel="0" collapsed="false">
      <c r="A313" s="70" t="n">
        <f aca="false">Data!A313</f>
        <v>312</v>
      </c>
      <c r="B313" s="70" t="str">
        <f aca="false">IFERROR(INDEX(対訳マスタ!$C$2:$C$136,MATCH(Data!B313,対訳マスタ!$B$2:$B$136,0)),Data!B313)</f>
        <v>コミュニケーション言語活動</v>
      </c>
      <c r="C313" s="70" t="str">
        <f aca="false">IF(Data!C313="—","—",IFERROR(INDEX(対訳マスタ!$C$2:$C$136,MATCH(Data!C313,対訳マスタ!$B$2:$B$136,0)),Data!C313))</f>
        <v>産出</v>
      </c>
      <c r="D313" s="70" t="str">
        <f aca="false">IF(Data!D313="—","—",IFERROR(INDEX(対訳マスタ!$C$2:$C$136,MATCH(Data!D313,対訳マスタ!$B$2:$B$136,0)),Data!D313))</f>
        <v>口頭産出（話すこと）</v>
      </c>
      <c r="E313" s="70" t="str">
        <f aca="false">IFERROR(INDEX(対訳マスタ!$C$2:$C$136,MATCH(Data!E313,対訳マスタ!$B$2:$B$136,0)),Data!E313)</f>
        <v>聴衆への発表（スピーチ）</v>
      </c>
      <c r="F313" s="70" t="str">
        <f aca="false">Data!F313</f>
        <v>A2</v>
      </c>
      <c r="G313" s="31" t="str">
        <f aca="false">Data!G313</f>
        <v>Can give a short, rehearsed, basic presentation on a familiar subject.</v>
      </c>
      <c r="H313" s="71" t="s">
        <v>2599</v>
      </c>
      <c r="I313" s="79" t="s">
        <v>3089</v>
      </c>
    </row>
    <row r="314" customFormat="false" ht="21.75" hidden="false" customHeight="true" outlineLevel="0" collapsed="false">
      <c r="A314" s="70" t="n">
        <f aca="false">Data!A314</f>
        <v>313</v>
      </c>
      <c r="B314" s="70" t="str">
        <f aca="false">IFERROR(INDEX(対訳マスタ!$C$2:$C$136,MATCH(Data!B314,対訳マスタ!$B$2:$B$136,0)),Data!B314)</f>
        <v>コミュニケーション言語活動</v>
      </c>
      <c r="C314" s="70" t="str">
        <f aca="false">IF(Data!C314="—","—",IFERROR(INDEX(対訳マスタ!$C$2:$C$136,MATCH(Data!C314,対訳マスタ!$B$2:$B$136,0)),Data!C314))</f>
        <v>産出</v>
      </c>
      <c r="D314" s="70" t="str">
        <f aca="false">IF(Data!D314="—","—",IFERROR(INDEX(対訳マスタ!$C$2:$C$136,MATCH(Data!D314,対訳マスタ!$B$2:$B$136,0)),Data!D314))</f>
        <v>口頭産出（話すこと）</v>
      </c>
      <c r="E314" s="70" t="str">
        <f aca="false">IFERROR(INDEX(対訳マスタ!$C$2:$C$136,MATCH(Data!E314,対訳マスタ!$B$2:$B$136,0)),Data!E314)</f>
        <v>聴衆への発表（スピーチ）</v>
      </c>
      <c r="F314" s="70" t="str">
        <f aca="false">Data!F314</f>
        <v>A2</v>
      </c>
      <c r="G314" s="31" t="str">
        <f aca="false">Data!G314</f>
        <v>Can answer straightforward follow-up questions if they can ask for repetition and if some help with the formulation of their reply is possible.</v>
      </c>
      <c r="H314" s="71" t="s">
        <v>3226</v>
      </c>
      <c r="I314" s="79" t="s">
        <v>3089</v>
      </c>
    </row>
    <row r="315" customFormat="false" ht="26.25" hidden="false" customHeight="true" outlineLevel="0" collapsed="false">
      <c r="A315" s="70" t="n">
        <f aca="false">Data!A315</f>
        <v>314</v>
      </c>
      <c r="B315" s="70" t="str">
        <f aca="false">IFERROR(INDEX(対訳マスタ!$C$2:$C$136,MATCH(Data!B315,対訳マスタ!$B$2:$B$136,0)),Data!B315)</f>
        <v>コミュニケーション言語活動</v>
      </c>
      <c r="C315" s="70" t="str">
        <f aca="false">IF(Data!C315="—","—",IFERROR(INDEX(対訳マスタ!$C$2:$C$136,MATCH(Data!C315,対訳マスタ!$B$2:$B$136,0)),Data!C315))</f>
        <v>産出</v>
      </c>
      <c r="D315" s="70" t="str">
        <f aca="false">IF(Data!D315="—","—",IFERROR(INDEX(対訳マスタ!$C$2:$C$136,MATCH(Data!D315,対訳マスタ!$B$2:$B$136,0)),Data!D315))</f>
        <v>口頭産出（話すこと）</v>
      </c>
      <c r="E315" s="70" t="str">
        <f aca="false">IFERROR(INDEX(対訳マスタ!$C$2:$C$136,MATCH(Data!E315,対訳マスタ!$B$2:$B$136,0)),Data!E315)</f>
        <v>聴衆への発表（スピーチ）</v>
      </c>
      <c r="F315" s="70" t="str">
        <f aca="false">Data!F315</f>
        <v>A1</v>
      </c>
      <c r="G315" s="31" t="str">
        <f aca="false">Data!G315</f>
        <v>Can use a very short prepared text to deliver a rehearsed statement (e.g. to formally introduce someone, to propose a toast).</v>
      </c>
      <c r="H315" s="71" t="s">
        <v>2598</v>
      </c>
      <c r="I315" s="79" t="s">
        <v>3089</v>
      </c>
    </row>
    <row r="316" customFormat="false" ht="15" hidden="false" customHeight="true" outlineLevel="0" collapsed="false">
      <c r="A316" s="80" t="n">
        <f aca="false">Data!A316</f>
        <v>315</v>
      </c>
      <c r="B316" s="80" t="str">
        <f aca="false">IFERROR(INDEX(対訳マスタ!$C$2:$C$136,MATCH(Data!B316,対訳マスタ!$B$2:$B$136,0)),Data!B316)</f>
        <v>コミュニケーション言語活動</v>
      </c>
      <c r="C316" s="80" t="str">
        <f aca="false">IF(Data!C316="—","—",IFERROR(INDEX(対訳マスタ!$C$2:$C$136,MATCH(Data!C316,対訳マスタ!$B$2:$B$136,0)),Data!C316))</f>
        <v>産出</v>
      </c>
      <c r="D316" s="80" t="str">
        <f aca="false">IF(Data!D316="—","—",IFERROR(INDEX(対訳マスタ!$C$2:$C$136,MATCH(Data!D316,対訳マスタ!$B$2:$B$136,0)),Data!D316))</f>
        <v>口頭産出（話すこと）</v>
      </c>
      <c r="E316" s="80" t="str">
        <f aca="false">IFERROR(INDEX(対訳マスタ!$C$2:$C$136,MATCH(Data!E316,対訳マスタ!$B$2:$B$136,0)),Data!E316)</f>
        <v>聴衆への発表（スピーチ）</v>
      </c>
      <c r="F316" s="80" t="str">
        <f aca="false">Data!F316</f>
        <v>Pre-A1</v>
      </c>
      <c r="G316" s="81" t="str">
        <f aca="false">Data!G316</f>
        <v>No descriptors available</v>
      </c>
      <c r="H316" s="81" t="s">
        <v>624</v>
      </c>
      <c r="I316" s="80" t="s">
        <v>624</v>
      </c>
    </row>
    <row r="317" customFormat="false" ht="26.25" hidden="false" customHeight="true" outlineLevel="0" collapsed="false">
      <c r="A317" s="70" t="n">
        <f aca="false">Data!A317</f>
        <v>316</v>
      </c>
      <c r="B317" s="70" t="str">
        <f aca="false">IFERROR(INDEX(対訳マスタ!$C$2:$C$136,MATCH(Data!B317,対訳マスタ!$B$2:$B$136,0)),Data!B317)</f>
        <v>コミュニケーション言語活動</v>
      </c>
      <c r="C317" s="70" t="str">
        <f aca="false">IF(Data!C317="—","—",IFERROR(INDEX(対訳マスタ!$C$2:$C$136,MATCH(Data!C317,対訳マスタ!$B$2:$B$136,0)),Data!C317))</f>
        <v>産出</v>
      </c>
      <c r="D317" s="70" t="str">
        <f aca="false">IF(Data!D317="—","—",IFERROR(INDEX(対訳マスタ!$C$2:$C$136,MATCH(Data!D317,対訳マスタ!$B$2:$B$136,0)),Data!D317))</f>
        <v>記述産出（書くこと）</v>
      </c>
      <c r="E317" s="70" t="str">
        <f aca="false">IFERROR(INDEX(対訳マスタ!$C$2:$C$136,MATCH(Data!E317,対訳マスタ!$B$2:$B$136,0)),Data!E317)</f>
        <v>記述産出（総合）</v>
      </c>
      <c r="F317" s="70" t="str">
        <f aca="false">Data!F317</f>
        <v>C2</v>
      </c>
      <c r="G317" s="31" t="str">
        <f aca="false">Data!G317</f>
        <v>Can produce clear, smoothly flowing, complex texts in an appropriate and effective style and a logical structure which helps the reader identify significant points.</v>
      </c>
      <c r="H317" s="71" t="s">
        <v>2613</v>
      </c>
      <c r="I317" s="79" t="s">
        <v>3089</v>
      </c>
    </row>
    <row r="318" customFormat="false" ht="32.25" hidden="false" customHeight="true" outlineLevel="0" collapsed="false">
      <c r="A318" s="70" t="n">
        <f aca="false">Data!A318</f>
        <v>317</v>
      </c>
      <c r="B318" s="70" t="str">
        <f aca="false">IFERROR(INDEX(対訳マスタ!$C$2:$C$136,MATCH(Data!B318,対訳マスタ!$B$2:$B$136,0)),Data!B318)</f>
        <v>コミュニケーション言語活動</v>
      </c>
      <c r="C318" s="70" t="str">
        <f aca="false">IF(Data!C318="—","—",IFERROR(INDEX(対訳マスタ!$C$2:$C$136,MATCH(Data!C318,対訳マスタ!$B$2:$B$136,0)),Data!C318))</f>
        <v>産出</v>
      </c>
      <c r="D318" s="70" t="str">
        <f aca="false">IF(Data!D318="—","—",IFERROR(INDEX(対訳マスタ!$C$2:$C$136,MATCH(Data!D318,対訳マスタ!$B$2:$B$136,0)),Data!D318))</f>
        <v>記述産出（書くこと）</v>
      </c>
      <c r="E318" s="70" t="str">
        <f aca="false">IFERROR(INDEX(対訳マスタ!$C$2:$C$136,MATCH(Data!E318,対訳マスタ!$B$2:$B$136,0)),Data!E318)</f>
        <v>記述産出（総合）</v>
      </c>
      <c r="F318" s="70" t="str">
        <f aca="false">Data!F318</f>
        <v>C1</v>
      </c>
      <c r="G318" s="31" t="str">
        <f aca="false">Data!G318</f>
        <v>Can produce clear, well-structured texts of complex subjects, underlining the relevant salient issues, expanding and supporting points of view at some length with subsidiary points, reasons and relevant examples, and rounding off with an appropriate conclusion.</v>
      </c>
      <c r="H318" s="71" t="s">
        <v>3227</v>
      </c>
      <c r="I318" s="79" t="s">
        <v>3089</v>
      </c>
    </row>
    <row r="319" customFormat="false" ht="26.25" hidden="false" customHeight="true" outlineLevel="0" collapsed="false">
      <c r="A319" s="70" t="n">
        <f aca="false">Data!A319</f>
        <v>318</v>
      </c>
      <c r="B319" s="70" t="str">
        <f aca="false">IFERROR(INDEX(対訳マスタ!$C$2:$C$136,MATCH(Data!B319,対訳マスタ!$B$2:$B$136,0)),Data!B319)</f>
        <v>コミュニケーション言語活動</v>
      </c>
      <c r="C319" s="70" t="str">
        <f aca="false">IF(Data!C319="—","—",IFERROR(INDEX(対訳マスタ!$C$2:$C$136,MATCH(Data!C319,対訳マスタ!$B$2:$B$136,0)),Data!C319))</f>
        <v>産出</v>
      </c>
      <c r="D319" s="70" t="str">
        <f aca="false">IF(Data!D319="—","—",IFERROR(INDEX(対訳マスタ!$C$2:$C$136,MATCH(Data!D319,対訳マスタ!$B$2:$B$136,0)),Data!D319))</f>
        <v>記述産出（書くこと）</v>
      </c>
      <c r="E319" s="70" t="str">
        <f aca="false">IFERROR(INDEX(対訳マスタ!$C$2:$C$136,MATCH(Data!E319,対訳マスタ!$B$2:$B$136,0)),Data!E319)</f>
        <v>記述産出（総合）</v>
      </c>
      <c r="F319" s="70" t="str">
        <f aca="false">Data!F319</f>
        <v>C1</v>
      </c>
      <c r="G319" s="31" t="str">
        <f aca="false">Data!G319</f>
        <v>Can employ the structure and conventions of a variety of genres, varying the tone, style and register according to addressee, text type and theme.</v>
      </c>
      <c r="H319" s="71" t="s">
        <v>2612</v>
      </c>
      <c r="I319" s="79" t="s">
        <v>3089</v>
      </c>
    </row>
    <row r="320" customFormat="false" ht="26.25" hidden="false" customHeight="true" outlineLevel="0" collapsed="false">
      <c r="A320" s="70" t="n">
        <f aca="false">Data!A320</f>
        <v>319</v>
      </c>
      <c r="B320" s="70" t="str">
        <f aca="false">IFERROR(INDEX(対訳マスタ!$C$2:$C$136,MATCH(Data!B320,対訳マスタ!$B$2:$B$136,0)),Data!B320)</f>
        <v>コミュニケーション言語活動</v>
      </c>
      <c r="C320" s="70" t="str">
        <f aca="false">IF(Data!C320="—","—",IFERROR(INDEX(対訳マスタ!$C$2:$C$136,MATCH(Data!C320,対訳マスタ!$B$2:$B$136,0)),Data!C320))</f>
        <v>産出</v>
      </c>
      <c r="D320" s="70" t="str">
        <f aca="false">IF(Data!D320="—","—",IFERROR(INDEX(対訳マスタ!$C$2:$C$136,MATCH(Data!D320,対訳マスタ!$B$2:$B$136,0)),Data!D320))</f>
        <v>記述産出（書くこと）</v>
      </c>
      <c r="E320" s="70" t="str">
        <f aca="false">IFERROR(INDEX(対訳マスタ!$C$2:$C$136,MATCH(Data!E320,対訳マスタ!$B$2:$B$136,0)),Data!E320)</f>
        <v>記述産出（総合）</v>
      </c>
      <c r="F320" s="70" t="str">
        <f aca="false">Data!F320</f>
        <v>B2</v>
      </c>
      <c r="G320" s="31" t="str">
        <f aca="false">Data!G320</f>
        <v>Can produce clear, detailed texts on a variety of subjects related to their field of interest, synthesising and evaluating information and arguments from a number of sources.</v>
      </c>
      <c r="H320" s="71" t="s">
        <v>2611</v>
      </c>
      <c r="I320" s="79" t="s">
        <v>3089</v>
      </c>
    </row>
    <row r="321" customFormat="false" ht="26.25" hidden="false" customHeight="true" outlineLevel="0" collapsed="false">
      <c r="A321" s="70" t="n">
        <f aca="false">Data!A321</f>
        <v>320</v>
      </c>
      <c r="B321" s="70" t="str">
        <f aca="false">IFERROR(INDEX(対訳マスタ!$C$2:$C$136,MATCH(Data!B321,対訳マスタ!$B$2:$B$136,0)),Data!B321)</f>
        <v>コミュニケーション言語活動</v>
      </c>
      <c r="C321" s="70" t="str">
        <f aca="false">IF(Data!C321="—","—",IFERROR(INDEX(対訳マスタ!$C$2:$C$136,MATCH(Data!C321,対訳マスタ!$B$2:$B$136,0)),Data!C321))</f>
        <v>産出</v>
      </c>
      <c r="D321" s="70" t="str">
        <f aca="false">IF(Data!D321="—","—",IFERROR(INDEX(対訳マスタ!$C$2:$C$136,MATCH(Data!D321,対訳マスタ!$B$2:$B$136,0)),Data!D321))</f>
        <v>記述産出（書くこと）</v>
      </c>
      <c r="E321" s="70" t="str">
        <f aca="false">IFERROR(INDEX(対訳マスタ!$C$2:$C$136,MATCH(Data!E321,対訳マスタ!$B$2:$B$136,0)),Data!E321)</f>
        <v>記述産出（総合）</v>
      </c>
      <c r="F321" s="70" t="str">
        <f aca="false">Data!F321</f>
        <v>B1</v>
      </c>
      <c r="G321" s="31" t="str">
        <f aca="false">Data!G321</f>
        <v>Can produce straightforward connected texts on a range of familiar subjects within their field of interest, by linking a series of shorter discrete elements into a linear sequence.</v>
      </c>
      <c r="H321" s="71" t="s">
        <v>2610</v>
      </c>
      <c r="I321" s="79" t="s">
        <v>3089</v>
      </c>
    </row>
    <row r="322" customFormat="false" ht="26.25" hidden="false" customHeight="true" outlineLevel="0" collapsed="false">
      <c r="A322" s="70" t="n">
        <f aca="false">Data!A322</f>
        <v>321</v>
      </c>
      <c r="B322" s="70" t="str">
        <f aca="false">IFERROR(INDEX(対訳マスタ!$C$2:$C$136,MATCH(Data!B322,対訳マスタ!$B$2:$B$136,0)),Data!B322)</f>
        <v>コミュニケーション言語活動</v>
      </c>
      <c r="C322" s="70" t="str">
        <f aca="false">IF(Data!C322="—","—",IFERROR(INDEX(対訳マスタ!$C$2:$C$136,MATCH(Data!C322,対訳マスタ!$B$2:$B$136,0)),Data!C322))</f>
        <v>産出</v>
      </c>
      <c r="D322" s="70" t="str">
        <f aca="false">IF(Data!D322="—","—",IFERROR(INDEX(対訳マスタ!$C$2:$C$136,MATCH(Data!D322,対訳マスタ!$B$2:$B$136,0)),Data!D322))</f>
        <v>記述産出（書くこと）</v>
      </c>
      <c r="E322" s="70" t="str">
        <f aca="false">IFERROR(INDEX(対訳マスタ!$C$2:$C$136,MATCH(Data!E322,対訳マスタ!$B$2:$B$136,0)),Data!E322)</f>
        <v>記述産出（総合）</v>
      </c>
      <c r="F322" s="70" t="str">
        <f aca="false">Data!F322</f>
        <v>A2</v>
      </c>
      <c r="G322" s="31" t="str">
        <f aca="false">Data!G322</f>
        <v>Can produce a series of simple phrases and sentences linked with simple connectors like “and”, “but” and “because”.</v>
      </c>
      <c r="H322" s="71" t="s">
        <v>2609</v>
      </c>
      <c r="I322" s="79" t="s">
        <v>3089</v>
      </c>
    </row>
    <row r="323" customFormat="false" ht="21.75" hidden="false" customHeight="true" outlineLevel="0" collapsed="false">
      <c r="A323" s="70" t="n">
        <f aca="false">Data!A323</f>
        <v>322</v>
      </c>
      <c r="B323" s="70" t="str">
        <f aca="false">IFERROR(INDEX(対訳マスタ!$C$2:$C$136,MATCH(Data!B323,対訳マスタ!$B$2:$B$136,0)),Data!B323)</f>
        <v>コミュニケーション言語活動</v>
      </c>
      <c r="C323" s="70" t="str">
        <f aca="false">IF(Data!C323="—","—",IFERROR(INDEX(対訳マスタ!$C$2:$C$136,MATCH(Data!C323,対訳マスタ!$B$2:$B$136,0)),Data!C323))</f>
        <v>産出</v>
      </c>
      <c r="D323" s="70" t="str">
        <f aca="false">IF(Data!D323="—","—",IFERROR(INDEX(対訳マスタ!$C$2:$C$136,MATCH(Data!D323,対訳マスタ!$B$2:$B$136,0)),Data!D323))</f>
        <v>記述産出（書くこと）</v>
      </c>
      <c r="E323" s="70" t="str">
        <f aca="false">IFERROR(INDEX(対訳マスタ!$C$2:$C$136,MATCH(Data!E323,対訳マスタ!$B$2:$B$136,0)),Data!E323)</f>
        <v>記述産出（総合）</v>
      </c>
      <c r="F323" s="70" t="str">
        <f aca="false">Data!F323</f>
        <v>A1</v>
      </c>
      <c r="G323" s="31" t="str">
        <f aca="false">Data!G323</f>
        <v>Can give information about matters of personal relevance (e.g. likes and dislikes, family, pets) using simple words/signs and basic expressions.</v>
      </c>
      <c r="H323" s="71" t="s">
        <v>3228</v>
      </c>
      <c r="I323" s="79" t="s">
        <v>3089</v>
      </c>
    </row>
    <row r="324" customFormat="false" ht="15" hidden="false" customHeight="true" outlineLevel="0" collapsed="false">
      <c r="A324" s="70" t="n">
        <f aca="false">Data!A324</f>
        <v>323</v>
      </c>
      <c r="B324" s="70" t="str">
        <f aca="false">IFERROR(INDEX(対訳マスタ!$C$2:$C$136,MATCH(Data!B324,対訳マスタ!$B$2:$B$136,0)),Data!B324)</f>
        <v>コミュニケーション言語活動</v>
      </c>
      <c r="C324" s="70" t="str">
        <f aca="false">IF(Data!C324="—","—",IFERROR(INDEX(対訳マスタ!$C$2:$C$136,MATCH(Data!C324,対訳マスタ!$B$2:$B$136,0)),Data!C324))</f>
        <v>産出</v>
      </c>
      <c r="D324" s="70" t="str">
        <f aca="false">IF(Data!D324="—","—",IFERROR(INDEX(対訳マスタ!$C$2:$C$136,MATCH(Data!D324,対訳マスタ!$B$2:$B$136,0)),Data!D324))</f>
        <v>記述産出（書くこと）</v>
      </c>
      <c r="E324" s="70" t="str">
        <f aca="false">IFERROR(INDEX(対訳マスタ!$C$2:$C$136,MATCH(Data!E324,対訳マスタ!$B$2:$B$136,0)),Data!E324)</f>
        <v>記述産出（総合）</v>
      </c>
      <c r="F324" s="70" t="str">
        <f aca="false">Data!F324</f>
        <v>A1</v>
      </c>
      <c r="G324" s="31" t="str">
        <f aca="false">Data!G324</f>
        <v>Can produce simple isolated phrases and sentences.</v>
      </c>
      <c r="H324" s="71" t="s">
        <v>2608</v>
      </c>
      <c r="I324" s="79" t="s">
        <v>3089</v>
      </c>
    </row>
    <row r="325" customFormat="false" ht="21.75" hidden="false" customHeight="true" outlineLevel="0" collapsed="false">
      <c r="A325" s="70" t="n">
        <f aca="false">Data!A325</f>
        <v>324</v>
      </c>
      <c r="B325" s="70" t="str">
        <f aca="false">IFERROR(INDEX(対訳マスタ!$C$2:$C$136,MATCH(Data!B325,対訳マスタ!$B$2:$B$136,0)),Data!B325)</f>
        <v>コミュニケーション言語活動</v>
      </c>
      <c r="C325" s="70" t="str">
        <f aca="false">IF(Data!C325="—","—",IFERROR(INDEX(対訳マスタ!$C$2:$C$136,MATCH(Data!C325,対訳マスタ!$B$2:$B$136,0)),Data!C325))</f>
        <v>産出</v>
      </c>
      <c r="D325" s="70" t="str">
        <f aca="false">IF(Data!D325="—","—",IFERROR(INDEX(対訳マスタ!$C$2:$C$136,MATCH(Data!D325,対訳マスタ!$B$2:$B$136,0)),Data!D325))</f>
        <v>記述産出（書くこと）</v>
      </c>
      <c r="E325" s="70" t="str">
        <f aca="false">IFERROR(INDEX(対訳マスタ!$C$2:$C$136,MATCH(Data!E325,対訳マスタ!$B$2:$B$136,0)),Data!E325)</f>
        <v>記述産出（総合）</v>
      </c>
      <c r="F325" s="70" t="str">
        <f aca="false">Data!F325</f>
        <v>Pre-A1</v>
      </c>
      <c r="G325" s="31" t="str">
        <f aca="false">Data!G325</f>
        <v>Can give basic personal information (e.g. name, address, nationality), perhaps with the use of a dictionary.</v>
      </c>
      <c r="H325" s="71" t="s">
        <v>2607</v>
      </c>
      <c r="I325" s="79" t="s">
        <v>3089</v>
      </c>
    </row>
    <row r="326" customFormat="false" ht="21.75" hidden="false" customHeight="true" outlineLevel="0" collapsed="false">
      <c r="A326" s="70" t="n">
        <f aca="false">Data!A326</f>
        <v>325</v>
      </c>
      <c r="B326" s="70" t="str">
        <f aca="false">IFERROR(INDEX(対訳マスタ!$C$2:$C$136,MATCH(Data!B326,対訳マスタ!$B$2:$B$136,0)),Data!B326)</f>
        <v>コミュニケーション言語活動</v>
      </c>
      <c r="C326" s="70" t="str">
        <f aca="false">IF(Data!C326="—","—",IFERROR(INDEX(対訳マスタ!$C$2:$C$136,MATCH(Data!C326,対訳マスタ!$B$2:$B$136,0)),Data!C326))</f>
        <v>産出</v>
      </c>
      <c r="D326" s="70" t="str">
        <f aca="false">IF(Data!D326="—","—",IFERROR(INDEX(対訳マスタ!$C$2:$C$136,MATCH(Data!D326,対訳マスタ!$B$2:$B$136,0)),Data!D326))</f>
        <v>記述産出（書くこと）</v>
      </c>
      <c r="E326" s="70" t="str">
        <f aca="false">IFERROR(INDEX(対訳マスタ!$C$2:$C$136,MATCH(Data!E326,対訳マスタ!$B$2:$B$136,0)),Data!E326)</f>
        <v>創作の文章</v>
      </c>
      <c r="F326" s="70" t="str">
        <f aca="false">Data!F326</f>
        <v>C2</v>
      </c>
      <c r="G326" s="31" t="str">
        <f aca="false">Data!G326</f>
        <v>Can relate clear, smoothly flowing and engaging stories and descriptions of experience in a style appropriate to the genre adopted.</v>
      </c>
      <c r="H326" s="71" t="s">
        <v>3229</v>
      </c>
      <c r="I326" s="79" t="s">
        <v>3089</v>
      </c>
    </row>
    <row r="327" customFormat="false" ht="15" hidden="false" customHeight="true" outlineLevel="0" collapsed="false">
      <c r="A327" s="70" t="n">
        <f aca="false">Data!A327</f>
        <v>326</v>
      </c>
      <c r="B327" s="70" t="str">
        <f aca="false">IFERROR(INDEX(対訳マスタ!$C$2:$C$136,MATCH(Data!B327,対訳マスタ!$B$2:$B$136,0)),Data!B327)</f>
        <v>コミュニケーション言語活動</v>
      </c>
      <c r="C327" s="70" t="str">
        <f aca="false">IF(Data!C327="—","—",IFERROR(INDEX(対訳マスタ!$C$2:$C$136,MATCH(Data!C327,対訳マスタ!$B$2:$B$136,0)),Data!C327))</f>
        <v>産出</v>
      </c>
      <c r="D327" s="70" t="str">
        <f aca="false">IF(Data!D327="—","—",IFERROR(INDEX(対訳マスタ!$C$2:$C$136,MATCH(Data!D327,対訳マスタ!$B$2:$B$136,0)),Data!D327))</f>
        <v>記述産出（書くこと）</v>
      </c>
      <c r="E327" s="70" t="str">
        <f aca="false">IFERROR(INDEX(対訳マスタ!$C$2:$C$136,MATCH(Data!E327,対訳マスタ!$B$2:$B$136,0)),Data!E327)</f>
        <v>創作の文章</v>
      </c>
      <c r="F327" s="70" t="str">
        <f aca="false">Data!F327</f>
        <v>C2</v>
      </c>
      <c r="G327" s="31" t="str">
        <f aca="false">Data!G327</f>
        <v>Can exploit idiom and humour appropriately to enhance the impact of the text.</v>
      </c>
      <c r="H327" s="71" t="s">
        <v>2622</v>
      </c>
      <c r="I327" s="79" t="s">
        <v>3089</v>
      </c>
    </row>
    <row r="328" customFormat="false" ht="21.75" hidden="false" customHeight="true" outlineLevel="0" collapsed="false">
      <c r="A328" s="70" t="n">
        <f aca="false">Data!A328</f>
        <v>327</v>
      </c>
      <c r="B328" s="70" t="str">
        <f aca="false">IFERROR(INDEX(対訳マスタ!$C$2:$C$136,MATCH(Data!B328,対訳マスタ!$B$2:$B$136,0)),Data!B328)</f>
        <v>コミュニケーション言語活動</v>
      </c>
      <c r="C328" s="70" t="str">
        <f aca="false">IF(Data!C328="—","—",IFERROR(INDEX(対訳マスタ!$C$2:$C$136,MATCH(Data!C328,対訳マスタ!$B$2:$B$136,0)),Data!C328))</f>
        <v>産出</v>
      </c>
      <c r="D328" s="70" t="str">
        <f aca="false">IF(Data!D328="—","—",IFERROR(INDEX(対訳マスタ!$C$2:$C$136,MATCH(Data!D328,対訳マスタ!$B$2:$B$136,0)),Data!D328))</f>
        <v>記述産出（書くこと）</v>
      </c>
      <c r="E328" s="70" t="str">
        <f aca="false">IFERROR(INDEX(対訳マスタ!$C$2:$C$136,MATCH(Data!E328,対訳マスタ!$B$2:$B$136,0)),Data!E328)</f>
        <v>創作の文章</v>
      </c>
      <c r="F328" s="70" t="str">
        <f aca="false">Data!F328</f>
        <v>C1</v>
      </c>
      <c r="G328" s="31" t="str">
        <f aca="false">Data!G328</f>
        <v>Can produce clear, detailed, well-structured and developed descriptions and imaginative texts in an assured, personal, natural style appropriate to the reader in mind.</v>
      </c>
      <c r="H328" s="71" t="s">
        <v>3230</v>
      </c>
      <c r="I328" s="79" t="s">
        <v>3089</v>
      </c>
    </row>
    <row r="329" customFormat="false" ht="15" hidden="false" customHeight="true" outlineLevel="0" collapsed="false">
      <c r="A329" s="70" t="n">
        <f aca="false">Data!A329</f>
        <v>328</v>
      </c>
      <c r="B329" s="70" t="str">
        <f aca="false">IFERROR(INDEX(対訳マスタ!$C$2:$C$136,MATCH(Data!B329,対訳マスタ!$B$2:$B$136,0)),Data!B329)</f>
        <v>コミュニケーション言語活動</v>
      </c>
      <c r="C329" s="70" t="str">
        <f aca="false">IF(Data!C329="—","—",IFERROR(INDEX(対訳マスタ!$C$2:$C$136,MATCH(Data!C329,対訳マスタ!$B$2:$B$136,0)),Data!C329))</f>
        <v>産出</v>
      </c>
      <c r="D329" s="70" t="str">
        <f aca="false">IF(Data!D329="—","—",IFERROR(INDEX(対訳マスタ!$C$2:$C$136,MATCH(Data!D329,対訳マスタ!$B$2:$B$136,0)),Data!D329))</f>
        <v>記述産出（書くこと）</v>
      </c>
      <c r="E329" s="70" t="str">
        <f aca="false">IFERROR(INDEX(対訳マスタ!$C$2:$C$136,MATCH(Data!E329,対訳マスタ!$B$2:$B$136,0)),Data!E329)</f>
        <v>創作の文章</v>
      </c>
      <c r="F329" s="70" t="str">
        <f aca="false">Data!F329</f>
        <v>C1</v>
      </c>
      <c r="G329" s="31" t="str">
        <f aca="false">Data!G329</f>
        <v>Can incorporate idiom and humour, though use of the latter is not always appropriate.</v>
      </c>
      <c r="H329" s="71" t="s">
        <v>2621</v>
      </c>
      <c r="I329" s="79" t="s">
        <v>3089</v>
      </c>
    </row>
    <row r="330" customFormat="false" ht="21.75" hidden="false" customHeight="true" outlineLevel="0" collapsed="false">
      <c r="A330" s="70" t="n">
        <f aca="false">Data!A330</f>
        <v>329</v>
      </c>
      <c r="B330" s="70" t="str">
        <f aca="false">IFERROR(INDEX(対訳マスタ!$C$2:$C$136,MATCH(Data!B330,対訳マスタ!$B$2:$B$136,0)),Data!B330)</f>
        <v>コミュニケーション言語活動</v>
      </c>
      <c r="C330" s="70" t="str">
        <f aca="false">IF(Data!C330="—","—",IFERROR(INDEX(対訳マスタ!$C$2:$C$136,MATCH(Data!C330,対訳マスタ!$B$2:$B$136,0)),Data!C330))</f>
        <v>産出</v>
      </c>
      <c r="D330" s="70" t="str">
        <f aca="false">IF(Data!D330="—","—",IFERROR(INDEX(対訳マスタ!$C$2:$C$136,MATCH(Data!D330,対訳マスタ!$B$2:$B$136,0)),Data!D330))</f>
        <v>記述産出（書くこと）</v>
      </c>
      <c r="E330" s="70" t="str">
        <f aca="false">IFERROR(INDEX(対訳マスタ!$C$2:$C$136,MATCH(Data!E330,対訳マスタ!$B$2:$B$136,0)),Data!E330)</f>
        <v>創作の文章</v>
      </c>
      <c r="F330" s="70" t="str">
        <f aca="false">Data!F330</f>
        <v>C1</v>
      </c>
      <c r="G330" s="31" t="str">
        <f aca="false">Data!G330</f>
        <v>Can give a detailed critical review of cultural events (e.g. plays, films, concerts) or literary works.</v>
      </c>
      <c r="H330" s="71" t="s">
        <v>3231</v>
      </c>
      <c r="I330" s="79" t="s">
        <v>3089</v>
      </c>
    </row>
    <row r="331" customFormat="false" ht="39" hidden="false" customHeight="true" outlineLevel="0" collapsed="false">
      <c r="A331" s="70" t="n">
        <f aca="false">Data!A331</f>
        <v>330</v>
      </c>
      <c r="B331" s="70" t="str">
        <f aca="false">IFERROR(INDEX(対訳マスタ!$C$2:$C$136,MATCH(Data!B331,対訳マスタ!$B$2:$B$136,0)),Data!B331)</f>
        <v>コミュニケーション言語活動</v>
      </c>
      <c r="C331" s="70" t="str">
        <f aca="false">IF(Data!C331="—","—",IFERROR(INDEX(対訳マスタ!$C$2:$C$136,MATCH(Data!C331,対訳マスタ!$B$2:$B$136,0)),Data!C331))</f>
        <v>産出</v>
      </c>
      <c r="D331" s="70" t="str">
        <f aca="false">IF(Data!D331="—","—",IFERROR(INDEX(対訳マスタ!$C$2:$C$136,MATCH(Data!D331,対訳マスタ!$B$2:$B$136,0)),Data!D331))</f>
        <v>記述産出（書くこと）</v>
      </c>
      <c r="E331" s="70" t="str">
        <f aca="false">IFERROR(INDEX(対訳マスタ!$C$2:$C$136,MATCH(Data!E331,対訳マスタ!$B$2:$B$136,0)),Data!E331)</f>
        <v>創作の文章</v>
      </c>
      <c r="F331" s="70" t="str">
        <f aca="false">Data!F331</f>
        <v>B2+</v>
      </c>
      <c r="G331" s="31" t="str">
        <f aca="false">Data!G331</f>
        <v>Can give clear, detailed descriptions of real or imaginary events and experiences marking the relationship between ideas in clear connected text, and following established conventions of the genre concerned.</v>
      </c>
      <c r="H331" s="71" t="s">
        <v>2620</v>
      </c>
      <c r="I331" s="79" t="s">
        <v>3089</v>
      </c>
    </row>
    <row r="332" customFormat="false" ht="21.75" hidden="false" customHeight="true" outlineLevel="0" collapsed="false">
      <c r="A332" s="70" t="n">
        <f aca="false">Data!A332</f>
        <v>331</v>
      </c>
      <c r="B332" s="70" t="str">
        <f aca="false">IFERROR(INDEX(対訳マスタ!$C$2:$C$136,MATCH(Data!B332,対訳マスタ!$B$2:$B$136,0)),Data!B332)</f>
        <v>コミュニケーション言語活動</v>
      </c>
      <c r="C332" s="70" t="str">
        <f aca="false">IF(Data!C332="—","—",IFERROR(INDEX(対訳マスタ!$C$2:$C$136,MATCH(Data!C332,対訳マスタ!$B$2:$B$136,0)),Data!C332))</f>
        <v>産出</v>
      </c>
      <c r="D332" s="70" t="str">
        <f aca="false">IF(Data!D332="—","—",IFERROR(INDEX(対訳マスタ!$C$2:$C$136,MATCH(Data!D332,対訳マスタ!$B$2:$B$136,0)),Data!D332))</f>
        <v>記述産出（書くこと）</v>
      </c>
      <c r="E332" s="70" t="str">
        <f aca="false">IFERROR(INDEX(対訳マスタ!$C$2:$C$136,MATCH(Data!E332,対訳マスタ!$B$2:$B$136,0)),Data!E332)</f>
        <v>創作の文章</v>
      </c>
      <c r="F332" s="70" t="str">
        <f aca="false">Data!F332</f>
        <v>B2</v>
      </c>
      <c r="G332" s="31" t="str">
        <f aca="false">Data!G332</f>
        <v>Can give clear, detailed descriptions on a variety of subjects related to their field of interest.</v>
      </c>
      <c r="H332" s="71" t="s">
        <v>3232</v>
      </c>
      <c r="I332" s="79" t="s">
        <v>3089</v>
      </c>
    </row>
    <row r="333" customFormat="false" ht="15" hidden="false" customHeight="true" outlineLevel="0" collapsed="false">
      <c r="A333" s="70" t="n">
        <f aca="false">Data!A333</f>
        <v>332</v>
      </c>
      <c r="B333" s="70" t="str">
        <f aca="false">IFERROR(INDEX(対訳マスタ!$C$2:$C$136,MATCH(Data!B333,対訳マスタ!$B$2:$B$136,0)),Data!B333)</f>
        <v>コミュニケーション言語活動</v>
      </c>
      <c r="C333" s="70" t="str">
        <f aca="false">IF(Data!C333="—","—",IFERROR(INDEX(対訳マスタ!$C$2:$C$136,MATCH(Data!C333,対訳マスタ!$B$2:$B$136,0)),Data!C333))</f>
        <v>産出</v>
      </c>
      <c r="D333" s="70" t="str">
        <f aca="false">IF(Data!D333="—","—",IFERROR(INDEX(対訳マスタ!$C$2:$C$136,MATCH(Data!D333,対訳マスタ!$B$2:$B$136,0)),Data!D333))</f>
        <v>記述産出（書くこと）</v>
      </c>
      <c r="E333" s="70" t="str">
        <f aca="false">IFERROR(INDEX(対訳マスタ!$C$2:$C$136,MATCH(Data!E333,対訳マスタ!$B$2:$B$136,0)),Data!E333)</f>
        <v>創作の文章</v>
      </c>
      <c r="F333" s="70" t="str">
        <f aca="false">Data!F333</f>
        <v>B2</v>
      </c>
      <c r="G333" s="31" t="str">
        <f aca="false">Data!G333</f>
        <v>Can give a review of a film, book or play.</v>
      </c>
      <c r="H333" s="71" t="s">
        <v>2619</v>
      </c>
      <c r="I333" s="79" t="s">
        <v>3089</v>
      </c>
    </row>
    <row r="334" customFormat="false" ht="15" hidden="false" customHeight="true" outlineLevel="0" collapsed="false">
      <c r="A334" s="70" t="n">
        <f aca="false">Data!A334</f>
        <v>333</v>
      </c>
      <c r="B334" s="70" t="str">
        <f aca="false">IFERROR(INDEX(対訳マスタ!$C$2:$C$136,MATCH(Data!B334,対訳マスタ!$B$2:$B$136,0)),Data!B334)</f>
        <v>コミュニケーション言語活動</v>
      </c>
      <c r="C334" s="70" t="str">
        <f aca="false">IF(Data!C334="—","—",IFERROR(INDEX(対訳マスタ!$C$2:$C$136,MATCH(Data!C334,対訳マスタ!$B$2:$B$136,0)),Data!C334))</f>
        <v>産出</v>
      </c>
      <c r="D334" s="70" t="str">
        <f aca="false">IF(Data!D334="—","—",IFERROR(INDEX(対訳マスタ!$C$2:$C$136,MATCH(Data!D334,対訳マスタ!$B$2:$B$136,0)),Data!D334))</f>
        <v>記述産出（書くこと）</v>
      </c>
      <c r="E334" s="70" t="str">
        <f aca="false">IFERROR(INDEX(対訳マスタ!$C$2:$C$136,MATCH(Data!E334,対訳マスタ!$B$2:$B$136,0)),Data!E334)</f>
        <v>創作の文章</v>
      </c>
      <c r="F334" s="70" t="str">
        <f aca="false">Data!F334</f>
        <v>B1+</v>
      </c>
      <c r="G334" s="31" t="str">
        <f aca="false">Data!G334</f>
        <v>Can clearly signal chronological sequence in narrative text.</v>
      </c>
      <c r="H334" s="71" t="s">
        <v>2618</v>
      </c>
      <c r="I334" s="79" t="s">
        <v>3089</v>
      </c>
    </row>
    <row r="335" customFormat="false" ht="21.75" hidden="false" customHeight="true" outlineLevel="0" collapsed="false">
      <c r="A335" s="70" t="n">
        <f aca="false">Data!A335</f>
        <v>334</v>
      </c>
      <c r="B335" s="70" t="str">
        <f aca="false">IFERROR(INDEX(対訳マスタ!$C$2:$C$136,MATCH(Data!B335,対訳マスタ!$B$2:$B$136,0)),Data!B335)</f>
        <v>コミュニケーション言語活動</v>
      </c>
      <c r="C335" s="70" t="str">
        <f aca="false">IF(Data!C335="—","—",IFERROR(INDEX(対訳マスタ!$C$2:$C$136,MATCH(Data!C335,対訳マスタ!$B$2:$B$136,0)),Data!C335))</f>
        <v>産出</v>
      </c>
      <c r="D335" s="70" t="str">
        <f aca="false">IF(Data!D335="—","—",IFERROR(INDEX(対訳マスタ!$C$2:$C$136,MATCH(Data!D335,対訳マスタ!$B$2:$B$136,0)),Data!D335))</f>
        <v>記述産出（書くこと）</v>
      </c>
      <c r="E335" s="70" t="str">
        <f aca="false">IFERROR(INDEX(対訳マスタ!$C$2:$C$136,MATCH(Data!E335,対訳マスタ!$B$2:$B$136,0)),Data!E335)</f>
        <v>創作の文章</v>
      </c>
      <c r="F335" s="70" t="str">
        <f aca="false">Data!F335</f>
        <v>B1+</v>
      </c>
      <c r="G335" s="31" t="str">
        <f aca="false">Data!G335</f>
        <v>Can give a simple review of a film, book or TV programme using a limited range of language.</v>
      </c>
      <c r="H335" s="71" t="s">
        <v>3233</v>
      </c>
      <c r="I335" s="79" t="s">
        <v>3089</v>
      </c>
    </row>
    <row r="336" customFormat="false" ht="21.75" hidden="false" customHeight="true" outlineLevel="0" collapsed="false">
      <c r="A336" s="70" t="n">
        <f aca="false">Data!A336</f>
        <v>335</v>
      </c>
      <c r="B336" s="70" t="str">
        <f aca="false">IFERROR(INDEX(対訳マスタ!$C$2:$C$136,MATCH(Data!B336,対訳マスタ!$B$2:$B$136,0)),Data!B336)</f>
        <v>コミュニケーション言語活動</v>
      </c>
      <c r="C336" s="70" t="str">
        <f aca="false">IF(Data!C336="—","—",IFERROR(INDEX(対訳マスタ!$C$2:$C$136,MATCH(Data!C336,対訳マスタ!$B$2:$B$136,0)),Data!C336))</f>
        <v>産出</v>
      </c>
      <c r="D336" s="70" t="str">
        <f aca="false">IF(Data!D336="—","—",IFERROR(INDEX(対訳マスタ!$C$2:$C$136,MATCH(Data!D336,対訳マスタ!$B$2:$B$136,0)),Data!D336))</f>
        <v>記述産出（書くこと）</v>
      </c>
      <c r="E336" s="70" t="str">
        <f aca="false">IFERROR(INDEX(対訳マスタ!$C$2:$C$136,MATCH(Data!E336,対訳マスタ!$B$2:$B$136,0)),Data!E336)</f>
        <v>創作の文章</v>
      </c>
      <c r="F336" s="70" t="str">
        <f aca="false">Data!F336</f>
        <v>B1</v>
      </c>
      <c r="G336" s="31" t="str">
        <f aca="false">Data!G336</f>
        <v>Can give straightforward, detailed descriptions on a range of familiar subjects within their field of interest.</v>
      </c>
      <c r="H336" s="71" t="s">
        <v>3234</v>
      </c>
      <c r="I336" s="79" t="s">
        <v>3089</v>
      </c>
    </row>
    <row r="337" customFormat="false" ht="21.75" hidden="false" customHeight="true" outlineLevel="0" collapsed="false">
      <c r="A337" s="70" t="n">
        <f aca="false">Data!A337</f>
        <v>336</v>
      </c>
      <c r="B337" s="70" t="str">
        <f aca="false">IFERROR(INDEX(対訳マスタ!$C$2:$C$136,MATCH(Data!B337,対訳マスタ!$B$2:$B$136,0)),Data!B337)</f>
        <v>コミュニケーション言語活動</v>
      </c>
      <c r="C337" s="70" t="str">
        <f aca="false">IF(Data!C337="—","—",IFERROR(INDEX(対訳マスタ!$C$2:$C$136,MATCH(Data!C337,対訳マスタ!$B$2:$B$136,0)),Data!C337))</f>
        <v>産出</v>
      </c>
      <c r="D337" s="70" t="str">
        <f aca="false">IF(Data!D337="—","—",IFERROR(INDEX(対訳マスタ!$C$2:$C$136,MATCH(Data!D337,対訳マスタ!$B$2:$B$136,0)),Data!D337))</f>
        <v>記述産出（書くこと）</v>
      </c>
      <c r="E337" s="70" t="str">
        <f aca="false">IFERROR(INDEX(対訳マスタ!$C$2:$C$136,MATCH(Data!E337,対訳マスタ!$B$2:$B$136,0)),Data!E337)</f>
        <v>創作の文章</v>
      </c>
      <c r="F337" s="70" t="str">
        <f aca="false">Data!F337</f>
        <v>B1</v>
      </c>
      <c r="G337" s="31" t="str">
        <f aca="false">Data!G337</f>
        <v>Can give accounts of experiences, describing feelings and reactions in simple, connected text.</v>
      </c>
      <c r="H337" s="71" t="s">
        <v>3235</v>
      </c>
      <c r="I337" s="79" t="s">
        <v>3089</v>
      </c>
    </row>
    <row r="338" customFormat="false" ht="15" hidden="false" customHeight="true" outlineLevel="0" collapsed="false">
      <c r="A338" s="70" t="n">
        <f aca="false">Data!A338</f>
        <v>337</v>
      </c>
      <c r="B338" s="70" t="str">
        <f aca="false">IFERROR(INDEX(対訳マスタ!$C$2:$C$136,MATCH(Data!B338,対訳マスタ!$B$2:$B$136,0)),Data!B338)</f>
        <v>コミュニケーション言語活動</v>
      </c>
      <c r="C338" s="70" t="str">
        <f aca="false">IF(Data!C338="—","—",IFERROR(INDEX(対訳マスタ!$C$2:$C$136,MATCH(Data!C338,対訳マスタ!$B$2:$B$136,0)),Data!C338))</f>
        <v>産出</v>
      </c>
      <c r="D338" s="70" t="str">
        <f aca="false">IF(Data!D338="—","—",IFERROR(INDEX(対訳マスタ!$C$2:$C$136,MATCH(Data!D338,対訳マスタ!$B$2:$B$136,0)),Data!D338))</f>
        <v>記述産出（書くこと）</v>
      </c>
      <c r="E338" s="70" t="str">
        <f aca="false">IFERROR(INDEX(対訳マスタ!$C$2:$C$136,MATCH(Data!E338,対訳マスタ!$B$2:$B$136,0)),Data!E338)</f>
        <v>創作の文章</v>
      </c>
      <c r="F338" s="70" t="str">
        <f aca="false">Data!F338</f>
        <v>B1</v>
      </c>
      <c r="G338" s="31" t="str">
        <f aca="false">Data!G338</f>
        <v>Can give a description of an event, a recent trip – real or imagined.</v>
      </c>
      <c r="H338" s="71" t="s">
        <v>3236</v>
      </c>
      <c r="I338" s="79" t="s">
        <v>3089</v>
      </c>
    </row>
    <row r="339" customFormat="false" ht="15" hidden="false" customHeight="true" outlineLevel="0" collapsed="false">
      <c r="A339" s="70" t="n">
        <f aca="false">Data!A339</f>
        <v>338</v>
      </c>
      <c r="B339" s="70" t="str">
        <f aca="false">IFERROR(INDEX(対訳マスタ!$C$2:$C$136,MATCH(Data!B339,対訳マスタ!$B$2:$B$136,0)),Data!B339)</f>
        <v>コミュニケーション言語活動</v>
      </c>
      <c r="C339" s="70" t="str">
        <f aca="false">IF(Data!C339="—","—",IFERROR(INDEX(対訳マスタ!$C$2:$C$136,MATCH(Data!C339,対訳マスタ!$B$2:$B$136,0)),Data!C339))</f>
        <v>産出</v>
      </c>
      <c r="D339" s="70" t="str">
        <f aca="false">IF(Data!D339="—","—",IFERROR(INDEX(対訳マスタ!$C$2:$C$136,MATCH(Data!D339,対訳マスタ!$B$2:$B$136,0)),Data!D339))</f>
        <v>記述産出（書くこと）</v>
      </c>
      <c r="E339" s="70" t="str">
        <f aca="false">IFERROR(INDEX(対訳マスタ!$C$2:$C$136,MATCH(Data!E339,対訳マスタ!$B$2:$B$136,0)),Data!E339)</f>
        <v>創作の文章</v>
      </c>
      <c r="F339" s="70" t="str">
        <f aca="false">Data!F339</f>
        <v>B1</v>
      </c>
      <c r="G339" s="31" t="str">
        <f aca="false">Data!G339</f>
        <v>Can narrate a story.</v>
      </c>
      <c r="H339" s="71" t="s">
        <v>2617</v>
      </c>
      <c r="I339" s="79" t="s">
        <v>3089</v>
      </c>
    </row>
    <row r="340" customFormat="false" ht="21.75" hidden="false" customHeight="true" outlineLevel="0" collapsed="false">
      <c r="A340" s="70" t="n">
        <f aca="false">Data!A340</f>
        <v>339</v>
      </c>
      <c r="B340" s="70" t="str">
        <f aca="false">IFERROR(INDEX(対訳マスタ!$C$2:$C$136,MATCH(Data!B340,対訳マスタ!$B$2:$B$136,0)),Data!B340)</f>
        <v>コミュニケーション言語活動</v>
      </c>
      <c r="C340" s="70" t="str">
        <f aca="false">IF(Data!C340="—","—",IFERROR(INDEX(対訳マスタ!$C$2:$C$136,MATCH(Data!C340,対訳マスタ!$B$2:$B$136,0)),Data!C340))</f>
        <v>産出</v>
      </c>
      <c r="D340" s="70" t="str">
        <f aca="false">IF(Data!D340="—","—",IFERROR(INDEX(対訳マスタ!$C$2:$C$136,MATCH(Data!D340,対訳マスタ!$B$2:$B$136,0)),Data!D340))</f>
        <v>記述産出（書くこと）</v>
      </c>
      <c r="E340" s="70" t="str">
        <f aca="false">IFERROR(INDEX(対訳マスタ!$C$2:$C$136,MATCH(Data!E340,対訳マスタ!$B$2:$B$136,0)),Data!E340)</f>
        <v>創作の文章</v>
      </c>
      <c r="F340" s="70" t="str">
        <f aca="false">Data!F340</f>
        <v>A2+</v>
      </c>
      <c r="G340" s="31" t="str">
        <f aca="false">Data!G340</f>
        <v>Can describe everyday aspects of their environment e.g. people, places, a job or study experience in linked sentences.</v>
      </c>
      <c r="H340" s="71" t="s">
        <v>3237</v>
      </c>
      <c r="I340" s="79" t="s">
        <v>3089</v>
      </c>
    </row>
    <row r="341" customFormat="false" ht="21.75" hidden="false" customHeight="true" outlineLevel="0" collapsed="false">
      <c r="A341" s="70" t="n">
        <f aca="false">Data!A341</f>
        <v>340</v>
      </c>
      <c r="B341" s="70" t="str">
        <f aca="false">IFERROR(INDEX(対訳マスタ!$C$2:$C$136,MATCH(Data!B341,対訳マスタ!$B$2:$B$136,0)),Data!B341)</f>
        <v>コミュニケーション言語活動</v>
      </c>
      <c r="C341" s="70" t="str">
        <f aca="false">IF(Data!C341="—","—",IFERROR(INDEX(対訳マスタ!$C$2:$C$136,MATCH(Data!C341,対訳マスタ!$B$2:$B$136,0)),Data!C341))</f>
        <v>産出</v>
      </c>
      <c r="D341" s="70" t="str">
        <f aca="false">IF(Data!D341="—","—",IFERROR(INDEX(対訳マスタ!$C$2:$C$136,MATCH(Data!D341,対訳マスタ!$B$2:$B$136,0)),Data!D341))</f>
        <v>記述産出（書くこと）</v>
      </c>
      <c r="E341" s="70" t="str">
        <f aca="false">IFERROR(INDEX(対訳マスタ!$C$2:$C$136,MATCH(Data!E341,対訳マスタ!$B$2:$B$136,0)),Data!E341)</f>
        <v>創作の文章</v>
      </c>
      <c r="F341" s="70" t="str">
        <f aca="false">Data!F341</f>
        <v>A2+</v>
      </c>
      <c r="G341" s="31" t="str">
        <f aca="false">Data!G341</f>
        <v>Can give very short, basic descriptions of events, past activities and personal experiences.</v>
      </c>
      <c r="H341" s="71" t="s">
        <v>2616</v>
      </c>
      <c r="I341" s="79" t="s">
        <v>3089</v>
      </c>
    </row>
    <row r="342" customFormat="false" ht="15" hidden="false" customHeight="true" outlineLevel="0" collapsed="false">
      <c r="A342" s="70" t="n">
        <f aca="false">Data!A342</f>
        <v>341</v>
      </c>
      <c r="B342" s="70" t="str">
        <f aca="false">IFERROR(INDEX(対訳マスタ!$C$2:$C$136,MATCH(Data!B342,対訳マスタ!$B$2:$B$136,0)),Data!B342)</f>
        <v>コミュニケーション言語活動</v>
      </c>
      <c r="C342" s="70" t="str">
        <f aca="false">IF(Data!C342="—","—",IFERROR(INDEX(対訳マスタ!$C$2:$C$136,MATCH(Data!C342,対訳マスタ!$B$2:$B$136,0)),Data!C342))</f>
        <v>産出</v>
      </c>
      <c r="D342" s="70" t="str">
        <f aca="false">IF(Data!D342="—","—",IFERROR(INDEX(対訳マスタ!$C$2:$C$136,MATCH(Data!D342,対訳マスタ!$B$2:$B$136,0)),Data!D342))</f>
        <v>記述産出（書くこと）</v>
      </c>
      <c r="E342" s="70" t="str">
        <f aca="false">IFERROR(INDEX(対訳マスタ!$C$2:$C$136,MATCH(Data!E342,対訳マスタ!$B$2:$B$136,0)),Data!E342)</f>
        <v>創作の文章</v>
      </c>
      <c r="F342" s="70" t="str">
        <f aca="false">Data!F342</f>
        <v>A2+</v>
      </c>
      <c r="G342" s="31" t="str">
        <f aca="false">Data!G342</f>
        <v>Can tell a simple story (e.g. about events on a holiday or about life in the distant future).</v>
      </c>
      <c r="H342" s="71" t="s">
        <v>3238</v>
      </c>
      <c r="I342" s="79" t="s">
        <v>3089</v>
      </c>
    </row>
    <row r="343" customFormat="false" ht="21.75" hidden="false" customHeight="true" outlineLevel="0" collapsed="false">
      <c r="A343" s="70" t="n">
        <f aca="false">Data!A343</f>
        <v>342</v>
      </c>
      <c r="B343" s="70" t="str">
        <f aca="false">IFERROR(INDEX(対訳マスタ!$C$2:$C$136,MATCH(Data!B343,対訳マスタ!$B$2:$B$136,0)),Data!B343)</f>
        <v>コミュニケーション言語活動</v>
      </c>
      <c r="C343" s="70" t="str">
        <f aca="false">IF(Data!C343="—","—",IFERROR(INDEX(対訳マスタ!$C$2:$C$136,MATCH(Data!C343,対訳マスタ!$B$2:$B$136,0)),Data!C343))</f>
        <v>産出</v>
      </c>
      <c r="D343" s="70" t="str">
        <f aca="false">IF(Data!D343="—","—",IFERROR(INDEX(対訳マスタ!$C$2:$C$136,MATCH(Data!D343,対訳マスタ!$B$2:$B$136,0)),Data!D343))</f>
        <v>記述産出（書くこと）</v>
      </c>
      <c r="E343" s="70" t="str">
        <f aca="false">IFERROR(INDEX(対訳マスタ!$C$2:$C$136,MATCH(Data!E343,対訳マスタ!$B$2:$B$136,0)),Data!E343)</f>
        <v>創作の文章</v>
      </c>
      <c r="F343" s="70" t="str">
        <f aca="false">Data!F343</f>
        <v>A2</v>
      </c>
      <c r="G343" s="31" t="str">
        <f aca="false">Data!G343</f>
        <v>Can produce a series of simple phrases and sentences about their family, living conditions, educational background, or present or most recent job.</v>
      </c>
      <c r="H343" s="71" t="s">
        <v>3239</v>
      </c>
      <c r="I343" s="79" t="s">
        <v>3089</v>
      </c>
    </row>
    <row r="344" customFormat="false" ht="15" hidden="false" customHeight="true" outlineLevel="0" collapsed="false">
      <c r="A344" s="70" t="n">
        <f aca="false">Data!A344</f>
        <v>343</v>
      </c>
      <c r="B344" s="70" t="str">
        <f aca="false">IFERROR(INDEX(対訳マスタ!$C$2:$C$136,MATCH(Data!B344,対訳マスタ!$B$2:$B$136,0)),Data!B344)</f>
        <v>コミュニケーション言語活動</v>
      </c>
      <c r="C344" s="70" t="str">
        <f aca="false">IF(Data!C344="—","—",IFERROR(INDEX(対訳マスタ!$C$2:$C$136,MATCH(Data!C344,対訳マスタ!$B$2:$B$136,0)),Data!C344))</f>
        <v>産出</v>
      </c>
      <c r="D344" s="70" t="str">
        <f aca="false">IF(Data!D344="—","—",IFERROR(INDEX(対訳マスタ!$C$2:$C$136,MATCH(Data!D344,対訳マスタ!$B$2:$B$136,0)),Data!D344))</f>
        <v>記述産出（書くこと）</v>
      </c>
      <c r="E344" s="70" t="str">
        <f aca="false">IFERROR(INDEX(対訳マスタ!$C$2:$C$136,MATCH(Data!E344,対訳マスタ!$B$2:$B$136,0)),Data!E344)</f>
        <v>創作の文章</v>
      </c>
      <c r="F344" s="70" t="str">
        <f aca="false">Data!F344</f>
        <v>A2</v>
      </c>
      <c r="G344" s="31" t="str">
        <f aca="false">Data!G344</f>
        <v>Can create short, simple imaginary biographies and simple poems about people.</v>
      </c>
      <c r="H344" s="71" t="s">
        <v>2615</v>
      </c>
      <c r="I344" s="79" t="s">
        <v>3089</v>
      </c>
    </row>
    <row r="345" customFormat="false" ht="32.25" hidden="false" customHeight="true" outlineLevel="0" collapsed="false">
      <c r="A345" s="70" t="n">
        <f aca="false">Data!A345</f>
        <v>344</v>
      </c>
      <c r="B345" s="70" t="str">
        <f aca="false">IFERROR(INDEX(対訳マスタ!$C$2:$C$136,MATCH(Data!B345,対訳マスタ!$B$2:$B$136,0)),Data!B345)</f>
        <v>コミュニケーション言語活動</v>
      </c>
      <c r="C345" s="70" t="str">
        <f aca="false">IF(Data!C345="—","—",IFERROR(INDEX(対訳マスタ!$C$2:$C$136,MATCH(Data!C345,対訳マスタ!$B$2:$B$136,0)),Data!C345))</f>
        <v>産出</v>
      </c>
      <c r="D345" s="70" t="str">
        <f aca="false">IF(Data!D345="—","—",IFERROR(INDEX(対訳マスタ!$C$2:$C$136,MATCH(Data!D345,対訳マスタ!$B$2:$B$136,0)),Data!D345))</f>
        <v>記述産出（書くこと）</v>
      </c>
      <c r="E345" s="70" t="str">
        <f aca="false">IFERROR(INDEX(対訳マスタ!$C$2:$C$136,MATCH(Data!E345,対訳マスタ!$B$2:$B$136,0)),Data!E345)</f>
        <v>創作の文章</v>
      </c>
      <c r="F345" s="70" t="str">
        <f aca="false">Data!F345</f>
        <v>A2</v>
      </c>
      <c r="G345" s="31" t="str">
        <f aca="false">Data!G345</f>
        <v>Can create diary entries that describe activities (e.g. daily routine, outings, sports, hobbies), people and places, using basic, concrete vocabulary and simple phrases and sentences with simple connectives like “and”, “but” and “because”.</v>
      </c>
      <c r="H345" s="71" t="s">
        <v>3240</v>
      </c>
      <c r="I345" s="79" t="s">
        <v>3089</v>
      </c>
    </row>
    <row r="346" customFormat="false" ht="21.75" hidden="false" customHeight="true" outlineLevel="0" collapsed="false">
      <c r="A346" s="70" t="n">
        <f aca="false">Data!A346</f>
        <v>345</v>
      </c>
      <c r="B346" s="70" t="str">
        <f aca="false">IFERROR(INDEX(対訳マスタ!$C$2:$C$136,MATCH(Data!B346,対訳マスタ!$B$2:$B$136,0)),Data!B346)</f>
        <v>コミュニケーション言語活動</v>
      </c>
      <c r="C346" s="70" t="str">
        <f aca="false">IF(Data!C346="—","—",IFERROR(INDEX(対訳マスタ!$C$2:$C$136,MATCH(Data!C346,対訳マスタ!$B$2:$B$136,0)),Data!C346))</f>
        <v>産出</v>
      </c>
      <c r="D346" s="70" t="str">
        <f aca="false">IF(Data!D346="—","—",IFERROR(INDEX(対訳マスタ!$C$2:$C$136,MATCH(Data!D346,対訳マスタ!$B$2:$B$136,0)),Data!D346))</f>
        <v>記述産出（書くこと）</v>
      </c>
      <c r="E346" s="70" t="str">
        <f aca="false">IFERROR(INDEX(対訳マスタ!$C$2:$C$136,MATCH(Data!E346,対訳マスタ!$B$2:$B$136,0)),Data!E346)</f>
        <v>創作の文章</v>
      </c>
      <c r="F346" s="70" t="str">
        <f aca="false">Data!F346</f>
        <v>A2</v>
      </c>
      <c r="G346" s="31" t="str">
        <f aca="false">Data!G346</f>
        <v>Can compose an introduction to a story or continue a story, provided they can consult a dictionary and references (e.g. tables of verb tenses in a course book).</v>
      </c>
      <c r="H346" s="71" t="s">
        <v>3241</v>
      </c>
      <c r="I346" s="79" t="s">
        <v>3089</v>
      </c>
    </row>
    <row r="347" customFormat="false" ht="21.75" hidden="false" customHeight="true" outlineLevel="0" collapsed="false">
      <c r="A347" s="70" t="n">
        <f aca="false">Data!A347</f>
        <v>346</v>
      </c>
      <c r="B347" s="70" t="str">
        <f aca="false">IFERROR(INDEX(対訳マスタ!$C$2:$C$136,MATCH(Data!B347,対訳マスタ!$B$2:$B$136,0)),Data!B347)</f>
        <v>コミュニケーション言語活動</v>
      </c>
      <c r="C347" s="70" t="str">
        <f aca="false">IF(Data!C347="—","—",IFERROR(INDEX(対訳マスタ!$C$2:$C$136,MATCH(Data!C347,対訳マスタ!$B$2:$B$136,0)),Data!C347))</f>
        <v>産出</v>
      </c>
      <c r="D347" s="70" t="str">
        <f aca="false">IF(Data!D347="—","—",IFERROR(INDEX(対訳マスタ!$C$2:$C$136,MATCH(Data!D347,対訳マスタ!$B$2:$B$136,0)),Data!D347))</f>
        <v>記述産出（書くこと）</v>
      </c>
      <c r="E347" s="70" t="str">
        <f aca="false">IFERROR(INDEX(対訳マスタ!$C$2:$C$136,MATCH(Data!E347,対訳マスタ!$B$2:$B$136,0)),Data!E347)</f>
        <v>創作の文章</v>
      </c>
      <c r="F347" s="70" t="str">
        <f aca="false">Data!F347</f>
        <v>A1</v>
      </c>
      <c r="G347" s="31" t="str">
        <f aca="false">Data!G347</f>
        <v>Can produce simple phrases and sentences about themselves and imaginary people, where they live and what they do.</v>
      </c>
      <c r="H347" s="71" t="s">
        <v>3242</v>
      </c>
      <c r="I347" s="79" t="s">
        <v>3089</v>
      </c>
    </row>
    <row r="348" customFormat="false" ht="15" hidden="false" customHeight="true" outlineLevel="0" collapsed="false">
      <c r="A348" s="70" t="n">
        <f aca="false">Data!A348</f>
        <v>347</v>
      </c>
      <c r="B348" s="70" t="str">
        <f aca="false">IFERROR(INDEX(対訳マスタ!$C$2:$C$136,MATCH(Data!B348,対訳マスタ!$B$2:$B$136,0)),Data!B348)</f>
        <v>コミュニケーション言語活動</v>
      </c>
      <c r="C348" s="70" t="str">
        <f aca="false">IF(Data!C348="—","—",IFERROR(INDEX(対訳マスタ!$C$2:$C$136,MATCH(Data!C348,対訳マスタ!$B$2:$B$136,0)),Data!C348))</f>
        <v>産出</v>
      </c>
      <c r="D348" s="70" t="str">
        <f aca="false">IF(Data!D348="—","—",IFERROR(INDEX(対訳マスタ!$C$2:$C$136,MATCH(Data!D348,対訳マスタ!$B$2:$B$136,0)),Data!D348))</f>
        <v>記述産出（書くこと）</v>
      </c>
      <c r="E348" s="70" t="str">
        <f aca="false">IFERROR(INDEX(対訳マスタ!$C$2:$C$136,MATCH(Data!E348,対訳マスタ!$B$2:$B$136,0)),Data!E348)</f>
        <v>創作の文章</v>
      </c>
      <c r="F348" s="70" t="str">
        <f aca="false">Data!F348</f>
        <v>A1</v>
      </c>
      <c r="G348" s="31" t="str">
        <f aca="false">Data!G348</f>
        <v>Can describe in very simple language what a room looks like.</v>
      </c>
      <c r="H348" s="71" t="s">
        <v>2614</v>
      </c>
      <c r="I348" s="79" t="s">
        <v>3089</v>
      </c>
    </row>
    <row r="349" customFormat="false" ht="21.75" hidden="false" customHeight="true" outlineLevel="0" collapsed="false">
      <c r="A349" s="70" t="n">
        <f aca="false">Data!A349</f>
        <v>348</v>
      </c>
      <c r="B349" s="70" t="str">
        <f aca="false">IFERROR(INDEX(対訳マスタ!$C$2:$C$136,MATCH(Data!B349,対訳マスタ!$B$2:$B$136,0)),Data!B349)</f>
        <v>コミュニケーション言語活動</v>
      </c>
      <c r="C349" s="70" t="str">
        <f aca="false">IF(Data!C349="—","—",IFERROR(INDEX(対訳マスタ!$C$2:$C$136,MATCH(Data!C349,対訳マスタ!$B$2:$B$136,0)),Data!C349))</f>
        <v>産出</v>
      </c>
      <c r="D349" s="70" t="str">
        <f aca="false">IF(Data!D349="—","—",IFERROR(INDEX(対訳マスタ!$C$2:$C$136,MATCH(Data!D349,対訳マスタ!$B$2:$B$136,0)),Data!D349))</f>
        <v>記述産出（書くこと）</v>
      </c>
      <c r="E349" s="70" t="str">
        <f aca="false">IFERROR(INDEX(対訳マスタ!$C$2:$C$136,MATCH(Data!E349,対訳マスタ!$B$2:$B$136,0)),Data!E349)</f>
        <v>創作の文章</v>
      </c>
      <c r="F349" s="70" t="str">
        <f aca="false">Data!F349</f>
        <v>A1</v>
      </c>
      <c r="G349" s="31" t="str">
        <f aca="false">Data!G349</f>
        <v>Can use simple words/signs and phrases to describe certain everyday objects (e.g. the colour of a car, whether it is big or small).</v>
      </c>
      <c r="H349" s="71" t="s">
        <v>3243</v>
      </c>
      <c r="I349" s="79" t="s">
        <v>3089</v>
      </c>
    </row>
    <row r="350" customFormat="false" ht="15" hidden="false" customHeight="true" outlineLevel="0" collapsed="false">
      <c r="A350" s="80" t="n">
        <f aca="false">Data!A350</f>
        <v>349</v>
      </c>
      <c r="B350" s="80" t="str">
        <f aca="false">IFERROR(INDEX(対訳マスタ!$C$2:$C$136,MATCH(Data!B350,対訳マスタ!$B$2:$B$136,0)),Data!B350)</f>
        <v>コミュニケーション言語活動</v>
      </c>
      <c r="C350" s="80" t="str">
        <f aca="false">IF(Data!C350="—","—",IFERROR(INDEX(対訳マスタ!$C$2:$C$136,MATCH(Data!C350,対訳マスタ!$B$2:$B$136,0)),Data!C350))</f>
        <v>産出</v>
      </c>
      <c r="D350" s="80" t="str">
        <f aca="false">IF(Data!D350="—","—",IFERROR(INDEX(対訳マスタ!$C$2:$C$136,MATCH(Data!D350,対訳マスタ!$B$2:$B$136,0)),Data!D350))</f>
        <v>記述産出（書くこと）</v>
      </c>
      <c r="E350" s="80" t="str">
        <f aca="false">IFERROR(INDEX(対訳マスタ!$C$2:$C$136,MATCH(Data!E350,対訳マスタ!$B$2:$B$136,0)),Data!E350)</f>
        <v>創作の文章</v>
      </c>
      <c r="F350" s="80" t="str">
        <f aca="false">Data!F350</f>
        <v>Pre-A1</v>
      </c>
      <c r="G350" s="81" t="str">
        <f aca="false">Data!G350</f>
        <v>No descriptors available</v>
      </c>
      <c r="H350" s="81" t="s">
        <v>624</v>
      </c>
      <c r="I350" s="80" t="s">
        <v>624</v>
      </c>
    </row>
    <row r="351" customFormat="false" ht="21.75" hidden="false" customHeight="true" outlineLevel="0" collapsed="false">
      <c r="A351" s="70" t="n">
        <f aca="false">Data!A351</f>
        <v>350</v>
      </c>
      <c r="B351" s="70" t="str">
        <f aca="false">IFERROR(INDEX(対訳マスタ!$C$2:$C$136,MATCH(Data!B351,対訳マスタ!$B$2:$B$136,0)),Data!B351)</f>
        <v>コミュニケーション言語活動</v>
      </c>
      <c r="C351" s="70" t="str">
        <f aca="false">IF(Data!C351="—","—",IFERROR(INDEX(対訳マスタ!$C$2:$C$136,MATCH(Data!C351,対訳マスタ!$B$2:$B$136,0)),Data!C351))</f>
        <v>産出</v>
      </c>
      <c r="D351" s="70" t="str">
        <f aca="false">IF(Data!D351="—","—",IFERROR(INDEX(対訳マスタ!$C$2:$C$136,MATCH(Data!D351,対訳マスタ!$B$2:$B$136,0)),Data!D351))</f>
        <v>記述産出（書くこと）</v>
      </c>
      <c r="E351" s="70" t="str">
        <f aca="false">IFERROR(INDEX(対訳マスタ!$C$2:$C$136,MATCH(Data!E351,対訳マスタ!$B$2:$B$136,0)),Data!E351)</f>
        <v>レポート・小論文</v>
      </c>
      <c r="F351" s="70" t="str">
        <f aca="false">Data!F351</f>
        <v>C2</v>
      </c>
      <c r="G351" s="31" t="str">
        <f aca="false">Data!G351</f>
        <v>Can produce clear, smoothly flowing, complex reports, articles or essays which present a case, or give critical appreciation of proposals or literary works.</v>
      </c>
      <c r="H351" s="71" t="s">
        <v>3244</v>
      </c>
      <c r="I351" s="79" t="s">
        <v>3089</v>
      </c>
    </row>
    <row r="352" customFormat="false" ht="21.75" hidden="false" customHeight="true" outlineLevel="0" collapsed="false">
      <c r="A352" s="70" t="n">
        <f aca="false">Data!A352</f>
        <v>351</v>
      </c>
      <c r="B352" s="70" t="str">
        <f aca="false">IFERROR(INDEX(対訳マスタ!$C$2:$C$136,MATCH(Data!B352,対訳マスタ!$B$2:$B$136,0)),Data!B352)</f>
        <v>コミュニケーション言語活動</v>
      </c>
      <c r="C352" s="70" t="str">
        <f aca="false">IF(Data!C352="—","—",IFERROR(INDEX(対訳マスタ!$C$2:$C$136,MATCH(Data!C352,対訳マスタ!$B$2:$B$136,0)),Data!C352))</f>
        <v>産出</v>
      </c>
      <c r="D352" s="70" t="str">
        <f aca="false">IF(Data!D352="—","—",IFERROR(INDEX(対訳マスタ!$C$2:$C$136,MATCH(Data!D352,対訳マスタ!$B$2:$B$136,0)),Data!D352))</f>
        <v>記述産出（書くこと）</v>
      </c>
      <c r="E352" s="70" t="str">
        <f aca="false">IFERROR(INDEX(対訳マスタ!$C$2:$C$136,MATCH(Data!E352,対訳マスタ!$B$2:$B$136,0)),Data!E352)</f>
        <v>レポート・小論文</v>
      </c>
      <c r="F352" s="70" t="str">
        <f aca="false">Data!F352</f>
        <v>C2</v>
      </c>
      <c r="G352" s="31" t="str">
        <f aca="false">Data!G352</f>
        <v>Can provide an appropriate and effective logical structure which helps the reader identify significant points.</v>
      </c>
      <c r="H352" s="71" t="s">
        <v>2629</v>
      </c>
      <c r="I352" s="79" t="s">
        <v>3089</v>
      </c>
    </row>
    <row r="353" customFormat="false" ht="21.75" hidden="false" customHeight="true" outlineLevel="0" collapsed="false">
      <c r="A353" s="70" t="n">
        <f aca="false">Data!A353</f>
        <v>352</v>
      </c>
      <c r="B353" s="70" t="str">
        <f aca="false">IFERROR(INDEX(対訳マスタ!$C$2:$C$136,MATCH(Data!B353,対訳マスタ!$B$2:$B$136,0)),Data!B353)</f>
        <v>コミュニケーション言語活動</v>
      </c>
      <c r="C353" s="70" t="str">
        <f aca="false">IF(Data!C353="—","—",IFERROR(INDEX(対訳マスタ!$C$2:$C$136,MATCH(Data!C353,対訳マスタ!$B$2:$B$136,0)),Data!C353))</f>
        <v>産出</v>
      </c>
      <c r="D353" s="70" t="str">
        <f aca="false">IF(Data!D353="—","—",IFERROR(INDEX(対訳マスタ!$C$2:$C$136,MATCH(Data!D353,対訳マスタ!$B$2:$B$136,0)),Data!D353))</f>
        <v>記述産出（書くこと）</v>
      </c>
      <c r="E353" s="70" t="str">
        <f aca="false">IFERROR(INDEX(対訳マスタ!$C$2:$C$136,MATCH(Data!E353,対訳マスタ!$B$2:$B$136,0)),Data!E353)</f>
        <v>レポート・小論文</v>
      </c>
      <c r="F353" s="70" t="str">
        <f aca="false">Data!F353</f>
        <v>C2</v>
      </c>
      <c r="G353" s="31" t="str">
        <f aca="false">Data!G353</f>
        <v>Can set out multiple perspectives on complex academic or professional topics, clearly distinguishing their own ideas and opinions from those in the sources.</v>
      </c>
      <c r="H353" s="71" t="s">
        <v>3245</v>
      </c>
      <c r="I353" s="79" t="s">
        <v>3089</v>
      </c>
    </row>
    <row r="354" customFormat="false" ht="21.75" hidden="false" customHeight="true" outlineLevel="0" collapsed="false">
      <c r="A354" s="70" t="n">
        <f aca="false">Data!A354</f>
        <v>353</v>
      </c>
      <c r="B354" s="70" t="str">
        <f aca="false">IFERROR(INDEX(対訳マスタ!$C$2:$C$136,MATCH(Data!B354,対訳マスタ!$B$2:$B$136,0)),Data!B354)</f>
        <v>コミュニケーション言語活動</v>
      </c>
      <c r="C354" s="70" t="str">
        <f aca="false">IF(Data!C354="—","—",IFERROR(INDEX(対訳マスタ!$C$2:$C$136,MATCH(Data!C354,対訳マスタ!$B$2:$B$136,0)),Data!C354))</f>
        <v>産出</v>
      </c>
      <c r="D354" s="70" t="str">
        <f aca="false">IF(Data!D354="—","—",IFERROR(INDEX(対訳マスタ!$C$2:$C$136,MATCH(Data!D354,対訳マスタ!$B$2:$B$136,0)),Data!D354))</f>
        <v>記述産出（書くこと）</v>
      </c>
      <c r="E354" s="70" t="str">
        <f aca="false">IFERROR(INDEX(対訳マスタ!$C$2:$C$136,MATCH(Data!E354,対訳マスタ!$B$2:$B$136,0)),Data!E354)</f>
        <v>レポート・小論文</v>
      </c>
      <c r="F354" s="70" t="str">
        <f aca="false">Data!F354</f>
        <v>C1</v>
      </c>
      <c r="G354" s="31" t="str">
        <f aca="false">Data!G354</f>
        <v>Can produce clear, well-structured expositions of complex subjects, underlining the relevant salient issues.</v>
      </c>
      <c r="H354" s="71" t="s">
        <v>3246</v>
      </c>
      <c r="I354" s="79" t="s">
        <v>3089</v>
      </c>
    </row>
    <row r="355" customFormat="false" ht="26.25" hidden="false" customHeight="true" outlineLevel="0" collapsed="false">
      <c r="A355" s="70" t="n">
        <f aca="false">Data!A355</f>
        <v>354</v>
      </c>
      <c r="B355" s="70" t="str">
        <f aca="false">IFERROR(INDEX(対訳マスタ!$C$2:$C$136,MATCH(Data!B355,対訳マスタ!$B$2:$B$136,0)),Data!B355)</f>
        <v>コミュニケーション言語活動</v>
      </c>
      <c r="C355" s="70" t="str">
        <f aca="false">IF(Data!C355="—","—",IFERROR(INDEX(対訳マスタ!$C$2:$C$136,MATCH(Data!C355,対訳マスタ!$B$2:$B$136,0)),Data!C355))</f>
        <v>産出</v>
      </c>
      <c r="D355" s="70" t="str">
        <f aca="false">IF(Data!D355="—","—",IFERROR(INDEX(対訳マスタ!$C$2:$C$136,MATCH(Data!D355,対訳マスタ!$B$2:$B$136,0)),Data!D355))</f>
        <v>記述産出（書くこと）</v>
      </c>
      <c r="E355" s="70" t="str">
        <f aca="false">IFERROR(INDEX(対訳マスタ!$C$2:$C$136,MATCH(Data!E355,対訳マスタ!$B$2:$B$136,0)),Data!E355)</f>
        <v>レポート・小論文</v>
      </c>
      <c r="F355" s="70" t="str">
        <f aca="false">Data!F355</f>
        <v>C1</v>
      </c>
      <c r="G355" s="31" t="str">
        <f aca="false">Data!G355</f>
        <v>Can expand and support points of view at some length with subsidiary points, reasons and relevant examples.</v>
      </c>
      <c r="H355" s="71" t="s">
        <v>2628</v>
      </c>
      <c r="I355" s="79" t="s">
        <v>3089</v>
      </c>
    </row>
    <row r="356" customFormat="false" ht="32.25" hidden="false" customHeight="true" outlineLevel="0" collapsed="false">
      <c r="A356" s="70" t="n">
        <f aca="false">Data!A356</f>
        <v>355</v>
      </c>
      <c r="B356" s="70" t="str">
        <f aca="false">IFERROR(INDEX(対訳マスタ!$C$2:$C$136,MATCH(Data!B356,対訳マスタ!$B$2:$B$136,0)),Data!B356)</f>
        <v>コミュニケーション言語活動</v>
      </c>
      <c r="C356" s="70" t="str">
        <f aca="false">IF(Data!C356="—","—",IFERROR(INDEX(対訳マスタ!$C$2:$C$136,MATCH(Data!C356,対訳マスタ!$B$2:$B$136,0)),Data!C356))</f>
        <v>産出</v>
      </c>
      <c r="D356" s="70" t="str">
        <f aca="false">IF(Data!D356="—","—",IFERROR(INDEX(対訳マスタ!$C$2:$C$136,MATCH(Data!D356,対訳マスタ!$B$2:$B$136,0)),Data!D356))</f>
        <v>記述産出（書くこと）</v>
      </c>
      <c r="E356" s="70" t="str">
        <f aca="false">IFERROR(INDEX(対訳マスタ!$C$2:$C$136,MATCH(Data!E356,対訳マスタ!$B$2:$B$136,0)),Data!E356)</f>
        <v>レポート・小論文</v>
      </c>
      <c r="F356" s="70" t="str">
        <f aca="false">Data!F356</f>
        <v>C1</v>
      </c>
      <c r="G356" s="31" t="str">
        <f aca="false">Data!G356</f>
        <v>Can produce a suitable introduction and conclusion to a longer report, article or dissertation on a complex academic or professional topic provided the topic is within their field of interest and there are opportunities for redrafting and revision.</v>
      </c>
      <c r="H356" s="71" t="s">
        <v>3247</v>
      </c>
      <c r="I356" s="79" t="s">
        <v>3089</v>
      </c>
    </row>
    <row r="357" customFormat="false" ht="21.75" hidden="false" customHeight="true" outlineLevel="0" collapsed="false">
      <c r="A357" s="70" t="n">
        <f aca="false">Data!A357</f>
        <v>356</v>
      </c>
      <c r="B357" s="70" t="str">
        <f aca="false">IFERROR(INDEX(対訳マスタ!$C$2:$C$136,MATCH(Data!B357,対訳マスタ!$B$2:$B$136,0)),Data!B357)</f>
        <v>コミュニケーション言語活動</v>
      </c>
      <c r="C357" s="70" t="str">
        <f aca="false">IF(Data!C357="—","—",IFERROR(INDEX(対訳マスタ!$C$2:$C$136,MATCH(Data!C357,対訳マスタ!$B$2:$B$136,0)),Data!C357))</f>
        <v>産出</v>
      </c>
      <c r="D357" s="70" t="str">
        <f aca="false">IF(Data!D357="—","—",IFERROR(INDEX(対訳マスタ!$C$2:$C$136,MATCH(Data!D357,対訳マスタ!$B$2:$B$136,0)),Data!D357))</f>
        <v>記述産出（書くこと）</v>
      </c>
      <c r="E357" s="70" t="str">
        <f aca="false">IFERROR(INDEX(対訳マスタ!$C$2:$C$136,MATCH(Data!E357,対訳マスタ!$B$2:$B$136,0)),Data!E357)</f>
        <v>レポート・小論文</v>
      </c>
      <c r="F357" s="70" t="str">
        <f aca="false">Data!F357</f>
        <v>B2+</v>
      </c>
      <c r="G357" s="31" t="str">
        <f aca="false">Data!G357</f>
        <v>Can produce an essay or report which develops an argument systematically with appropriate highlighting of significant points and relevant supporting detail.</v>
      </c>
      <c r="H357" s="71" t="s">
        <v>3248</v>
      </c>
      <c r="I357" s="79" t="s">
        <v>3089</v>
      </c>
    </row>
    <row r="358" customFormat="false" ht="15" hidden="false" customHeight="true" outlineLevel="0" collapsed="false">
      <c r="A358" s="70" t="n">
        <f aca="false">Data!A358</f>
        <v>357</v>
      </c>
      <c r="B358" s="70" t="str">
        <f aca="false">IFERROR(INDEX(対訳マスタ!$C$2:$C$136,MATCH(Data!B358,対訳マスタ!$B$2:$B$136,0)),Data!B358)</f>
        <v>コミュニケーション言語活動</v>
      </c>
      <c r="C358" s="70" t="str">
        <f aca="false">IF(Data!C358="—","—",IFERROR(INDEX(対訳マスタ!$C$2:$C$136,MATCH(Data!C358,対訳マスタ!$B$2:$B$136,0)),Data!C358))</f>
        <v>産出</v>
      </c>
      <c r="D358" s="70" t="str">
        <f aca="false">IF(Data!D358="—","—",IFERROR(INDEX(対訳マスタ!$C$2:$C$136,MATCH(Data!D358,対訳マスタ!$B$2:$B$136,0)),Data!D358))</f>
        <v>記述産出（書くこと）</v>
      </c>
      <c r="E358" s="70" t="str">
        <f aca="false">IFERROR(INDEX(対訳マスタ!$C$2:$C$136,MATCH(Data!E358,対訳マスタ!$B$2:$B$136,0)),Data!E358)</f>
        <v>レポート・小論文</v>
      </c>
      <c r="F358" s="70" t="str">
        <f aca="false">Data!F358</f>
        <v>B2+</v>
      </c>
      <c r="G358" s="31" t="str">
        <f aca="false">Data!G358</f>
        <v>Can produce a detailed description of a complex process.</v>
      </c>
      <c r="H358" s="71" t="s">
        <v>3249</v>
      </c>
      <c r="I358" s="79" t="s">
        <v>3089</v>
      </c>
    </row>
    <row r="359" customFormat="false" ht="15" hidden="false" customHeight="true" outlineLevel="0" collapsed="false">
      <c r="A359" s="70" t="n">
        <f aca="false">Data!A359</f>
        <v>358</v>
      </c>
      <c r="B359" s="70" t="str">
        <f aca="false">IFERROR(INDEX(対訳マスタ!$C$2:$C$136,MATCH(Data!B359,対訳マスタ!$B$2:$B$136,0)),Data!B359)</f>
        <v>コミュニケーション言語活動</v>
      </c>
      <c r="C359" s="70" t="str">
        <f aca="false">IF(Data!C359="—","—",IFERROR(INDEX(対訳マスタ!$C$2:$C$136,MATCH(Data!C359,対訳マスタ!$B$2:$B$136,0)),Data!C359))</f>
        <v>産出</v>
      </c>
      <c r="D359" s="70" t="str">
        <f aca="false">IF(Data!D359="—","—",IFERROR(INDEX(対訳マスタ!$C$2:$C$136,MATCH(Data!D359,対訳マスタ!$B$2:$B$136,0)),Data!D359))</f>
        <v>記述産出（書くこと）</v>
      </c>
      <c r="E359" s="70" t="str">
        <f aca="false">IFERROR(INDEX(対訳マスタ!$C$2:$C$136,MATCH(Data!E359,対訳マスタ!$B$2:$B$136,0)),Data!E359)</f>
        <v>レポート・小論文</v>
      </c>
      <c r="F359" s="70" t="str">
        <f aca="false">Data!F359</f>
        <v>B2+</v>
      </c>
      <c r="G359" s="31" t="str">
        <f aca="false">Data!G359</f>
        <v>Can evaluate different ideas or solutions to a problem.</v>
      </c>
      <c r="H359" s="71" t="s">
        <v>2627</v>
      </c>
      <c r="I359" s="79" t="s">
        <v>3089</v>
      </c>
    </row>
    <row r="360" customFormat="false" ht="32.25" hidden="false" customHeight="true" outlineLevel="0" collapsed="false">
      <c r="A360" s="70" t="n">
        <f aca="false">Data!A360</f>
        <v>359</v>
      </c>
      <c r="B360" s="70" t="str">
        <f aca="false">IFERROR(INDEX(対訳マスタ!$C$2:$C$136,MATCH(Data!B360,対訳マスタ!$B$2:$B$136,0)),Data!B360)</f>
        <v>コミュニケーション言語活動</v>
      </c>
      <c r="C360" s="70" t="str">
        <f aca="false">IF(Data!C360="—","—",IFERROR(INDEX(対訳マスタ!$C$2:$C$136,MATCH(Data!C360,対訳マスタ!$B$2:$B$136,0)),Data!C360))</f>
        <v>産出</v>
      </c>
      <c r="D360" s="70" t="str">
        <f aca="false">IF(Data!D360="—","—",IFERROR(INDEX(対訳マスタ!$C$2:$C$136,MATCH(Data!D360,対訳マスタ!$B$2:$B$136,0)),Data!D360))</f>
        <v>記述産出（書くこと）</v>
      </c>
      <c r="E360" s="70" t="str">
        <f aca="false">IFERROR(INDEX(対訳マスタ!$C$2:$C$136,MATCH(Data!E360,対訳マスタ!$B$2:$B$136,0)),Data!E360)</f>
        <v>レポート・小論文</v>
      </c>
      <c r="F360" s="70" t="str">
        <f aca="false">Data!F360</f>
        <v>B2</v>
      </c>
      <c r="G360" s="31" t="str">
        <f aca="false">Data!G360</f>
        <v>Can produce an essay or report which develops an argument, giving reasons in support of or against a particular point of view and explaining the advantages and disadvantages of various options.</v>
      </c>
      <c r="H360" s="71" t="s">
        <v>3250</v>
      </c>
      <c r="I360" s="79" t="s">
        <v>3089</v>
      </c>
    </row>
    <row r="361" customFormat="false" ht="15" hidden="false" customHeight="true" outlineLevel="0" collapsed="false">
      <c r="A361" s="70" t="n">
        <f aca="false">Data!A361</f>
        <v>360</v>
      </c>
      <c r="B361" s="70" t="str">
        <f aca="false">IFERROR(INDEX(対訳マスタ!$C$2:$C$136,MATCH(Data!B361,対訳マスタ!$B$2:$B$136,0)),Data!B361)</f>
        <v>コミュニケーション言語活動</v>
      </c>
      <c r="C361" s="70" t="str">
        <f aca="false">IF(Data!C361="—","—",IFERROR(INDEX(対訳マスタ!$C$2:$C$136,MATCH(Data!C361,対訳マスタ!$B$2:$B$136,0)),Data!C361))</f>
        <v>産出</v>
      </c>
      <c r="D361" s="70" t="str">
        <f aca="false">IF(Data!D361="—","—",IFERROR(INDEX(対訳マスタ!$C$2:$C$136,MATCH(Data!D361,対訳マスタ!$B$2:$B$136,0)),Data!D361))</f>
        <v>記述産出（書くこと）</v>
      </c>
      <c r="E361" s="70" t="str">
        <f aca="false">IFERROR(INDEX(対訳マスタ!$C$2:$C$136,MATCH(Data!E361,対訳マスタ!$B$2:$B$136,0)),Data!E361)</f>
        <v>レポート・小論文</v>
      </c>
      <c r="F361" s="70" t="str">
        <f aca="false">Data!F361</f>
        <v>B2</v>
      </c>
      <c r="G361" s="31" t="str">
        <f aca="false">Data!G361</f>
        <v>Can synthesise information and arguments from a number of sources.</v>
      </c>
      <c r="H361" s="71" t="s">
        <v>2626</v>
      </c>
      <c r="I361" s="79" t="s">
        <v>3089</v>
      </c>
    </row>
    <row r="362" customFormat="false" ht="15" hidden="false" customHeight="true" outlineLevel="0" collapsed="false">
      <c r="A362" s="70" t="n">
        <f aca="false">Data!A362</f>
        <v>361</v>
      </c>
      <c r="B362" s="70" t="str">
        <f aca="false">IFERROR(INDEX(対訳マスタ!$C$2:$C$136,MATCH(Data!B362,対訳マスタ!$B$2:$B$136,0)),Data!B362)</f>
        <v>コミュニケーション言語活動</v>
      </c>
      <c r="C362" s="70" t="str">
        <f aca="false">IF(Data!C362="—","—",IFERROR(INDEX(対訳マスタ!$C$2:$C$136,MATCH(Data!C362,対訳マスタ!$B$2:$B$136,0)),Data!C362))</f>
        <v>産出</v>
      </c>
      <c r="D362" s="70" t="str">
        <f aca="false">IF(Data!D362="—","—",IFERROR(INDEX(対訳マスタ!$C$2:$C$136,MATCH(Data!D362,対訳マスタ!$B$2:$B$136,0)),Data!D362))</f>
        <v>記述産出（書くこと）</v>
      </c>
      <c r="E362" s="70" t="str">
        <f aca="false">IFERROR(INDEX(対訳マスタ!$C$2:$C$136,MATCH(Data!E362,対訳マスタ!$B$2:$B$136,0)),Data!E362)</f>
        <v>レポート・小論文</v>
      </c>
      <c r="F362" s="70" t="str">
        <f aca="false">Data!F362</f>
        <v>B1+</v>
      </c>
      <c r="G362" s="31" t="str">
        <f aca="false">Data!G362</f>
        <v>Can produce short, simple essays on topics of interest.</v>
      </c>
      <c r="H362" s="71" t="s">
        <v>2625</v>
      </c>
      <c r="I362" s="79" t="s">
        <v>3089</v>
      </c>
    </row>
    <row r="363" customFormat="false" ht="21.75" hidden="false" customHeight="true" outlineLevel="0" collapsed="false">
      <c r="A363" s="70" t="n">
        <f aca="false">Data!A363</f>
        <v>362</v>
      </c>
      <c r="B363" s="70" t="str">
        <f aca="false">IFERROR(INDEX(対訳マスタ!$C$2:$C$136,MATCH(Data!B363,対訳マスタ!$B$2:$B$136,0)),Data!B363)</f>
        <v>コミュニケーション言語活動</v>
      </c>
      <c r="C363" s="70" t="str">
        <f aca="false">IF(Data!C363="—","—",IFERROR(INDEX(対訳マスタ!$C$2:$C$136,MATCH(Data!C363,対訳マスタ!$B$2:$B$136,0)),Data!C363))</f>
        <v>産出</v>
      </c>
      <c r="D363" s="70" t="str">
        <f aca="false">IF(Data!D363="—","—",IFERROR(INDEX(対訳マスタ!$C$2:$C$136,MATCH(Data!D363,対訳マスタ!$B$2:$B$136,0)),Data!D363))</f>
        <v>記述産出（書くこと）</v>
      </c>
      <c r="E363" s="70" t="str">
        <f aca="false">IFERROR(INDEX(対訳マスタ!$C$2:$C$136,MATCH(Data!E363,対訳マスタ!$B$2:$B$136,0)),Data!E363)</f>
        <v>レポート・小論文</v>
      </c>
      <c r="F363" s="70" t="str">
        <f aca="false">Data!F363</f>
        <v>B1+</v>
      </c>
      <c r="G363" s="31" t="str">
        <f aca="false">Data!G363</f>
        <v>Can produce a text on a topical subject of personal interest, using simple language to list advantages and disadvantages, and give and justify their opinion.</v>
      </c>
      <c r="H363" s="71" t="s">
        <v>3251</v>
      </c>
      <c r="I363" s="79" t="s">
        <v>3089</v>
      </c>
    </row>
    <row r="364" customFormat="false" ht="21.75" hidden="false" customHeight="true" outlineLevel="0" collapsed="false">
      <c r="A364" s="70" t="n">
        <f aca="false">Data!A364</f>
        <v>363</v>
      </c>
      <c r="B364" s="70" t="str">
        <f aca="false">IFERROR(INDEX(対訳マスタ!$C$2:$C$136,MATCH(Data!B364,対訳マスタ!$B$2:$B$136,0)),Data!B364)</f>
        <v>コミュニケーション言語活動</v>
      </c>
      <c r="C364" s="70" t="str">
        <f aca="false">IF(Data!C364="—","—",IFERROR(INDEX(対訳マスタ!$C$2:$C$136,MATCH(Data!C364,対訳マスタ!$B$2:$B$136,0)),Data!C364))</f>
        <v>産出</v>
      </c>
      <c r="D364" s="70" t="str">
        <f aca="false">IF(Data!D364="—","—",IFERROR(INDEX(対訳マスタ!$C$2:$C$136,MATCH(Data!D364,対訳マスタ!$B$2:$B$136,0)),Data!D364))</f>
        <v>記述産出（書くこと）</v>
      </c>
      <c r="E364" s="70" t="str">
        <f aca="false">IFERROR(INDEX(対訳マスタ!$C$2:$C$136,MATCH(Data!E364,対訳マスタ!$B$2:$B$136,0)),Data!E364)</f>
        <v>レポート・小論文</v>
      </c>
      <c r="F364" s="70" t="str">
        <f aca="false">Data!F364</f>
        <v>B1+</v>
      </c>
      <c r="G364" s="31" t="str">
        <f aca="false">Data!G364</f>
        <v>Can summarise, report and give their opinion about accumulated factual information on familiar routine and non-routine matters within their field with some confidence.</v>
      </c>
      <c r="H364" s="71" t="s">
        <v>3252</v>
      </c>
      <c r="I364" s="79" t="s">
        <v>3089</v>
      </c>
    </row>
    <row r="365" customFormat="false" ht="21.75" hidden="false" customHeight="true" outlineLevel="0" collapsed="false">
      <c r="A365" s="70" t="n">
        <f aca="false">Data!A365</f>
        <v>364</v>
      </c>
      <c r="B365" s="70" t="str">
        <f aca="false">IFERROR(INDEX(対訳マスタ!$C$2:$C$136,MATCH(Data!B365,対訳マスタ!$B$2:$B$136,0)),Data!B365)</f>
        <v>コミュニケーション言語活動</v>
      </c>
      <c r="C365" s="70" t="str">
        <f aca="false">IF(Data!C365="—","—",IFERROR(INDEX(対訳マスタ!$C$2:$C$136,MATCH(Data!C365,対訳マスタ!$B$2:$B$136,0)),Data!C365))</f>
        <v>産出</v>
      </c>
      <c r="D365" s="70" t="str">
        <f aca="false">IF(Data!D365="—","—",IFERROR(INDEX(対訳マスタ!$C$2:$C$136,MATCH(Data!D365,対訳マスタ!$B$2:$B$136,0)),Data!D365))</f>
        <v>記述産出（書くこと）</v>
      </c>
      <c r="E365" s="70" t="str">
        <f aca="false">IFERROR(INDEX(対訳マスタ!$C$2:$C$136,MATCH(Data!E365,対訳マスタ!$B$2:$B$136,0)),Data!E365)</f>
        <v>レポート・小論文</v>
      </c>
      <c r="F365" s="70" t="str">
        <f aca="false">Data!F365</f>
        <v>B1</v>
      </c>
      <c r="G365" s="31" t="str">
        <f aca="false">Data!G365</f>
        <v>Can produce very brief reports in a standard conventionalised format, which pass on routine factual information and state reasons for actions.</v>
      </c>
      <c r="H365" s="71" t="s">
        <v>3253</v>
      </c>
      <c r="I365" s="79" t="s">
        <v>3089</v>
      </c>
    </row>
    <row r="366" customFormat="false" ht="21.75" hidden="false" customHeight="true" outlineLevel="0" collapsed="false">
      <c r="A366" s="70" t="n">
        <f aca="false">Data!A366</f>
        <v>365</v>
      </c>
      <c r="B366" s="70" t="str">
        <f aca="false">IFERROR(INDEX(対訳マスタ!$C$2:$C$136,MATCH(Data!B366,対訳マスタ!$B$2:$B$136,0)),Data!B366)</f>
        <v>コミュニケーション言語活動</v>
      </c>
      <c r="C366" s="70" t="str">
        <f aca="false">IF(Data!C366="—","—",IFERROR(INDEX(対訳マスタ!$C$2:$C$136,MATCH(Data!C366,対訳マスタ!$B$2:$B$136,0)),Data!C366))</f>
        <v>産出</v>
      </c>
      <c r="D366" s="70" t="str">
        <f aca="false">IF(Data!D366="—","—",IFERROR(INDEX(対訳マスタ!$C$2:$C$136,MATCH(Data!D366,対訳マスタ!$B$2:$B$136,0)),Data!D366))</f>
        <v>記述産出（書くこと）</v>
      </c>
      <c r="E366" s="70" t="str">
        <f aca="false">IFERROR(INDEX(対訳マスタ!$C$2:$C$136,MATCH(Data!E366,対訳マスタ!$B$2:$B$136,0)),Data!E366)</f>
        <v>レポート・小論文</v>
      </c>
      <c r="F366" s="70" t="str">
        <f aca="false">Data!F366</f>
        <v>B1</v>
      </c>
      <c r="G366" s="31" t="str">
        <f aca="false">Data!G366</f>
        <v>Can present a topic in a short report or poster, using photographs and short blocks of text.</v>
      </c>
      <c r="H366" s="71" t="s">
        <v>2624</v>
      </c>
      <c r="I366" s="79" t="s">
        <v>3089</v>
      </c>
    </row>
    <row r="367" customFormat="false" ht="26.25" hidden="false" customHeight="true" outlineLevel="0" collapsed="false">
      <c r="A367" s="70" t="n">
        <f aca="false">Data!A367</f>
        <v>366</v>
      </c>
      <c r="B367" s="70" t="str">
        <f aca="false">IFERROR(INDEX(対訳マスタ!$C$2:$C$136,MATCH(Data!B367,対訳マスタ!$B$2:$B$136,0)),Data!B367)</f>
        <v>コミュニケーション言語活動</v>
      </c>
      <c r="C367" s="70" t="str">
        <f aca="false">IF(Data!C367="—","—",IFERROR(INDEX(対訳マスタ!$C$2:$C$136,MATCH(Data!C367,対訳マスタ!$B$2:$B$136,0)),Data!C367))</f>
        <v>産出</v>
      </c>
      <c r="D367" s="70" t="str">
        <f aca="false">IF(Data!D367="—","—",IFERROR(INDEX(対訳マスタ!$C$2:$C$136,MATCH(Data!D367,対訳マスタ!$B$2:$B$136,0)),Data!D367))</f>
        <v>記述産出（書くこと）</v>
      </c>
      <c r="E367" s="70" t="str">
        <f aca="false">IFERROR(INDEX(対訳マスタ!$C$2:$C$136,MATCH(Data!E367,対訳マスタ!$B$2:$B$136,0)),Data!E367)</f>
        <v>レポート・小論文</v>
      </c>
      <c r="F367" s="70" t="str">
        <f aca="false">Data!F367</f>
        <v>A2</v>
      </c>
      <c r="G367" s="31" t="str">
        <f aca="false">Data!G367</f>
        <v>Can produce simple texts on familiar subjects of interest, linking sentences with connectors like “and”, “because” or “then”.</v>
      </c>
      <c r="H367" s="71" t="s">
        <v>2623</v>
      </c>
      <c r="I367" s="79" t="s">
        <v>3089</v>
      </c>
    </row>
    <row r="368" customFormat="false" ht="21.75" hidden="false" customHeight="true" outlineLevel="0" collapsed="false">
      <c r="A368" s="70" t="n">
        <f aca="false">Data!A368</f>
        <v>367</v>
      </c>
      <c r="B368" s="70" t="str">
        <f aca="false">IFERROR(INDEX(対訳マスタ!$C$2:$C$136,MATCH(Data!B368,対訳マスタ!$B$2:$B$136,0)),Data!B368)</f>
        <v>コミュニケーション言語活動</v>
      </c>
      <c r="C368" s="70" t="str">
        <f aca="false">IF(Data!C368="—","—",IFERROR(INDEX(対訳マスタ!$C$2:$C$136,MATCH(Data!C368,対訳マスタ!$B$2:$B$136,0)),Data!C368))</f>
        <v>産出</v>
      </c>
      <c r="D368" s="70" t="str">
        <f aca="false">IF(Data!D368="—","—",IFERROR(INDEX(対訳マスタ!$C$2:$C$136,MATCH(Data!D368,対訳マスタ!$B$2:$B$136,0)),Data!D368))</f>
        <v>記述産出（書くこと）</v>
      </c>
      <c r="E368" s="70" t="str">
        <f aca="false">IFERROR(INDEX(対訳マスタ!$C$2:$C$136,MATCH(Data!E368,対訳マスタ!$B$2:$B$136,0)),Data!E368)</f>
        <v>レポート・小論文</v>
      </c>
      <c r="F368" s="70" t="str">
        <f aca="false">Data!F368</f>
        <v>A2</v>
      </c>
      <c r="G368" s="31" t="str">
        <f aca="false">Data!G368</f>
        <v>Can give their impressions and opinions about topics of personal interest (e.g. lifestyles and culture, stories), using basic everyday vocabulary and expressions.</v>
      </c>
      <c r="H368" s="71" t="s">
        <v>3254</v>
      </c>
      <c r="I368" s="79" t="s">
        <v>3089</v>
      </c>
    </row>
    <row r="369" customFormat="false" ht="15" hidden="false" customHeight="true" outlineLevel="0" collapsed="false">
      <c r="A369" s="80" t="n">
        <f aca="false">Data!A369</f>
        <v>368</v>
      </c>
      <c r="B369" s="80" t="str">
        <f aca="false">IFERROR(INDEX(対訳マスタ!$C$2:$C$136,MATCH(Data!B369,対訳マスタ!$B$2:$B$136,0)),Data!B369)</f>
        <v>コミュニケーション言語活動</v>
      </c>
      <c r="C369" s="80" t="str">
        <f aca="false">IF(Data!C369="—","—",IFERROR(INDEX(対訳マスタ!$C$2:$C$136,MATCH(Data!C369,対訳マスタ!$B$2:$B$136,0)),Data!C369))</f>
        <v>産出</v>
      </c>
      <c r="D369" s="80" t="str">
        <f aca="false">IF(Data!D369="—","—",IFERROR(INDEX(対訳マスタ!$C$2:$C$136,MATCH(Data!D369,対訳マスタ!$B$2:$B$136,0)),Data!D369))</f>
        <v>記述産出（書くこと）</v>
      </c>
      <c r="E369" s="80" t="str">
        <f aca="false">IFERROR(INDEX(対訳マスタ!$C$2:$C$136,MATCH(Data!E369,対訳マスタ!$B$2:$B$136,0)),Data!E369)</f>
        <v>レポート・小論文</v>
      </c>
      <c r="F369" s="80" t="str">
        <f aca="false">Data!F369</f>
        <v>A1</v>
      </c>
      <c r="G369" s="81" t="str">
        <f aca="false">Data!G369</f>
        <v>No descriptors available</v>
      </c>
      <c r="H369" s="81" t="s">
        <v>624</v>
      </c>
      <c r="I369" s="80" t="s">
        <v>624</v>
      </c>
    </row>
    <row r="370" customFormat="false" ht="15" hidden="false" customHeight="true" outlineLevel="0" collapsed="false">
      <c r="A370" s="80" t="n">
        <f aca="false">Data!A370</f>
        <v>369</v>
      </c>
      <c r="B370" s="80" t="str">
        <f aca="false">IFERROR(INDEX(対訳マスタ!$C$2:$C$136,MATCH(Data!B370,対訳マスタ!$B$2:$B$136,0)),Data!B370)</f>
        <v>コミュニケーション言語活動</v>
      </c>
      <c r="C370" s="80" t="str">
        <f aca="false">IF(Data!C370="—","—",IFERROR(INDEX(対訳マスタ!$C$2:$C$136,MATCH(Data!C370,対訳マスタ!$B$2:$B$136,0)),Data!C370))</f>
        <v>産出</v>
      </c>
      <c r="D370" s="80" t="str">
        <f aca="false">IF(Data!D370="—","—",IFERROR(INDEX(対訳マスタ!$C$2:$C$136,MATCH(Data!D370,対訳マスタ!$B$2:$B$136,0)),Data!D370))</f>
        <v>記述産出（書くこと）</v>
      </c>
      <c r="E370" s="80" t="str">
        <f aca="false">IFERROR(INDEX(対訳マスタ!$C$2:$C$136,MATCH(Data!E370,対訳マスタ!$B$2:$B$136,0)),Data!E370)</f>
        <v>レポート・小論文</v>
      </c>
      <c r="F370" s="80" t="str">
        <f aca="false">Data!F370</f>
        <v>Pre-A1</v>
      </c>
      <c r="G370" s="81" t="str">
        <f aca="false">Data!G370</f>
        <v>No descriptors available</v>
      </c>
      <c r="H370" s="81" t="s">
        <v>624</v>
      </c>
      <c r="I370" s="80" t="s">
        <v>624</v>
      </c>
    </row>
    <row r="371" customFormat="false" ht="15" hidden="false" customHeight="true" outlineLevel="0" collapsed="false">
      <c r="A371" s="80" t="n">
        <f aca="false">Data!A371</f>
        <v>370</v>
      </c>
      <c r="B371" s="80" t="str">
        <f aca="false">IFERROR(INDEX(対訳マスタ!$C$2:$C$136,MATCH(Data!B371,対訳マスタ!$B$2:$B$136,0)),Data!B371)</f>
        <v>コミュニケーション言語方略</v>
      </c>
      <c r="C371" s="80" t="str">
        <f aca="false">IF(Data!C371="—","—",IFERROR(INDEX(対訳マスタ!$C$2:$C$136,MATCH(Data!C371,対訳マスタ!$B$2:$B$136,0)),Data!C371))</f>
        <v>産出</v>
      </c>
      <c r="D371" s="80" t="str">
        <f aca="false">IF(Data!D371="—","—",IFERROR(INDEX(対訳マスタ!$C$2:$C$136,MATCH(Data!D371,対訳マスタ!$B$2:$B$136,0)),Data!D371))</f>
        <v>—</v>
      </c>
      <c r="E371" s="80" t="str">
        <f aca="false">IFERROR(INDEX(対訳マスタ!$C$2:$C$136,MATCH(Data!E371,対訳マスタ!$B$2:$B$136,0)),Data!E371)</f>
        <v>計画（発話の設計）</v>
      </c>
      <c r="F371" s="80" t="str">
        <f aca="false">Data!F371</f>
        <v>C2</v>
      </c>
      <c r="G371" s="81" t="str">
        <f aca="false">Data!G371</f>
        <v>No descriptors available; see C1</v>
      </c>
      <c r="H371" s="81" t="s">
        <v>624</v>
      </c>
      <c r="I371" s="80" t="s">
        <v>624</v>
      </c>
    </row>
    <row r="372" customFormat="false" ht="26.25" hidden="false" customHeight="true" outlineLevel="0" collapsed="false">
      <c r="A372" s="70" t="n">
        <f aca="false">Data!A372</f>
        <v>371</v>
      </c>
      <c r="B372" s="70" t="str">
        <f aca="false">IFERROR(INDEX(対訳マスタ!$C$2:$C$136,MATCH(Data!B372,対訳マスタ!$B$2:$B$136,0)),Data!B372)</f>
        <v>コミュニケーション言語方略</v>
      </c>
      <c r="C372" s="70" t="str">
        <f aca="false">IF(Data!C372="—","—",IFERROR(INDEX(対訳マスタ!$C$2:$C$136,MATCH(Data!C372,対訳マスタ!$B$2:$B$136,0)),Data!C372))</f>
        <v>産出</v>
      </c>
      <c r="D372" s="70" t="str">
        <f aca="false">IF(Data!D372="—","—",IFERROR(INDEX(対訳マスタ!$C$2:$C$136,MATCH(Data!D372,対訳マスタ!$B$2:$B$136,0)),Data!D372))</f>
        <v>—</v>
      </c>
      <c r="E372" s="70" t="str">
        <f aca="false">IFERROR(INDEX(対訳マスタ!$C$2:$C$136,MATCH(Data!E372,対訳マスタ!$B$2:$B$136,0)),Data!E372)</f>
        <v>計画（発話の設計）</v>
      </c>
      <c r="F372" s="70" t="str">
        <f aca="false">Data!F372</f>
        <v>C1</v>
      </c>
      <c r="G372" s="31" t="str">
        <f aca="false">Data!G372</f>
        <v>Can, when preparing a more formal text, consciously adopt the conventions linked to the particular type of text concerned (e.g. structure, level of formality).</v>
      </c>
      <c r="H372" s="71" t="s">
        <v>2635</v>
      </c>
      <c r="I372" s="79" t="s">
        <v>3089</v>
      </c>
    </row>
    <row r="373" customFormat="false" ht="26.25" hidden="false" customHeight="true" outlineLevel="0" collapsed="false">
      <c r="A373" s="70" t="n">
        <f aca="false">Data!A373</f>
        <v>372</v>
      </c>
      <c r="B373" s="70" t="str">
        <f aca="false">IFERROR(INDEX(対訳マスタ!$C$2:$C$136,MATCH(Data!B373,対訳マスタ!$B$2:$B$136,0)),Data!B373)</f>
        <v>コミュニケーション言語方略</v>
      </c>
      <c r="C373" s="70" t="str">
        <f aca="false">IF(Data!C373="—","—",IFERROR(INDEX(対訳マスタ!$C$2:$C$136,MATCH(Data!C373,対訳マスタ!$B$2:$B$136,0)),Data!C373))</f>
        <v>産出</v>
      </c>
      <c r="D373" s="70" t="str">
        <f aca="false">IF(Data!D373="—","—",IFERROR(INDEX(対訳マスタ!$C$2:$C$136,MATCH(Data!D373,対訳マスタ!$B$2:$B$136,0)),Data!D373))</f>
        <v>—</v>
      </c>
      <c r="E373" s="70" t="str">
        <f aca="false">IFERROR(INDEX(対訳マスタ!$C$2:$C$136,MATCH(Data!E373,対訳マスタ!$B$2:$B$136,0)),Data!E373)</f>
        <v>計画（発話の設計）</v>
      </c>
      <c r="F373" s="70" t="str">
        <f aca="false">Data!F373</f>
        <v>B2+</v>
      </c>
      <c r="G373" s="31" t="str">
        <f aca="false">Data!G373</f>
        <v>Can, in preparing for a potentially complicated or awkward situation, plan what to say in the event of different reactions, reflecting on what expression would be appropriate.</v>
      </c>
      <c r="H373" s="71" t="s">
        <v>2634</v>
      </c>
      <c r="I373" s="79" t="s">
        <v>3089</v>
      </c>
    </row>
    <row r="374" customFormat="false" ht="21.75" hidden="false" customHeight="true" outlineLevel="0" collapsed="false">
      <c r="A374" s="70" t="n">
        <f aca="false">Data!A374</f>
        <v>373</v>
      </c>
      <c r="B374" s="70" t="str">
        <f aca="false">IFERROR(INDEX(対訳マスタ!$C$2:$C$136,MATCH(Data!B374,対訳マスタ!$B$2:$B$136,0)),Data!B374)</f>
        <v>コミュニケーション言語方略</v>
      </c>
      <c r="C374" s="70" t="str">
        <f aca="false">IF(Data!C374="—","—",IFERROR(INDEX(対訳マスタ!$C$2:$C$136,MATCH(Data!C374,対訳マスタ!$B$2:$B$136,0)),Data!C374))</f>
        <v>産出</v>
      </c>
      <c r="D374" s="70" t="str">
        <f aca="false">IF(Data!D374="—","—",IFERROR(INDEX(対訳マスタ!$C$2:$C$136,MATCH(Data!D374,対訳マスタ!$B$2:$B$136,0)),Data!D374))</f>
        <v>—</v>
      </c>
      <c r="E374" s="70" t="str">
        <f aca="false">IFERROR(INDEX(対訳マスタ!$C$2:$C$136,MATCH(Data!E374,対訳マスタ!$B$2:$B$136,0)),Data!E374)</f>
        <v>計画（発話の設計）</v>
      </c>
      <c r="F374" s="70" t="str">
        <f aca="false">Data!F374</f>
        <v>B2</v>
      </c>
      <c r="G374" s="31" t="str">
        <f aca="false">Data!G374</f>
        <v>Can plan what is to be said and the means to say it, considering the effect on the recipient(s).</v>
      </c>
      <c r="H374" s="71" t="s">
        <v>2633</v>
      </c>
      <c r="I374" s="79" t="s">
        <v>3089</v>
      </c>
    </row>
    <row r="375" customFormat="false" ht="15" hidden="false" customHeight="true" outlineLevel="0" collapsed="false">
      <c r="A375" s="70" t="n">
        <f aca="false">Data!A375</f>
        <v>374</v>
      </c>
      <c r="B375" s="70" t="str">
        <f aca="false">IFERROR(INDEX(対訳マスタ!$C$2:$C$136,MATCH(Data!B375,対訳マスタ!$B$2:$B$136,0)),Data!B375)</f>
        <v>コミュニケーション言語方略</v>
      </c>
      <c r="C375" s="70" t="str">
        <f aca="false">IF(Data!C375="—","—",IFERROR(INDEX(対訳マスタ!$C$2:$C$136,MATCH(Data!C375,対訳マスタ!$B$2:$B$136,0)),Data!C375))</f>
        <v>産出</v>
      </c>
      <c r="D375" s="70" t="str">
        <f aca="false">IF(Data!D375="—","—",IFERROR(INDEX(対訳マスタ!$C$2:$C$136,MATCH(Data!D375,対訳マスタ!$B$2:$B$136,0)),Data!D375))</f>
        <v>—</v>
      </c>
      <c r="E375" s="70" t="str">
        <f aca="false">IFERROR(INDEX(対訳マスタ!$C$2:$C$136,MATCH(Data!E375,対訳マスタ!$B$2:$B$136,0)),Data!E375)</f>
        <v>計画（発話の設計）</v>
      </c>
      <c r="F375" s="70" t="str">
        <f aca="false">Data!F375</f>
        <v>B1+</v>
      </c>
      <c r="G375" s="31" t="str">
        <f aca="false">Data!G375</f>
        <v>Can rehearse and try out new combinations and expressions, inviting feedback.</v>
      </c>
      <c r="H375" s="71" t="s">
        <v>2632</v>
      </c>
      <c r="I375" s="79" t="s">
        <v>3089</v>
      </c>
    </row>
    <row r="376" customFormat="false" ht="32.25" hidden="false" customHeight="true" outlineLevel="0" collapsed="false">
      <c r="A376" s="70" t="n">
        <f aca="false">Data!A376</f>
        <v>375</v>
      </c>
      <c r="B376" s="70" t="str">
        <f aca="false">IFERROR(INDEX(対訳マスタ!$C$2:$C$136,MATCH(Data!B376,対訳マスタ!$B$2:$B$136,0)),Data!B376)</f>
        <v>コミュニケーション言語方略</v>
      </c>
      <c r="C376" s="70" t="str">
        <f aca="false">IF(Data!C376="—","—",IFERROR(INDEX(対訳マスタ!$C$2:$C$136,MATCH(Data!C376,対訳マスタ!$B$2:$B$136,0)),Data!C376))</f>
        <v>産出</v>
      </c>
      <c r="D376" s="70" t="str">
        <f aca="false">IF(Data!D376="—","—",IFERROR(INDEX(対訳マスタ!$C$2:$C$136,MATCH(Data!D376,対訳マスタ!$B$2:$B$136,0)),Data!D376))</f>
        <v>—</v>
      </c>
      <c r="E376" s="70" t="str">
        <f aca="false">IFERROR(INDEX(対訳マスタ!$C$2:$C$136,MATCH(Data!E376,対訳マスタ!$B$2:$B$136,0)),Data!E376)</f>
        <v>計画（発話の設計）</v>
      </c>
      <c r="F376" s="70" t="str">
        <f aca="false">Data!F376</f>
        <v>B1</v>
      </c>
      <c r="G376" s="31" t="str">
        <f aca="false">Data!G376</f>
        <v>Can work out how to communicate the main point(s) they want to get across, exploiting any resources available and limiting the message to what they can recall or find the means to express.</v>
      </c>
      <c r="H376" s="71" t="s">
        <v>2631</v>
      </c>
      <c r="I376" s="79" t="s">
        <v>3089</v>
      </c>
    </row>
    <row r="377" customFormat="false" ht="15" hidden="false" customHeight="true" outlineLevel="0" collapsed="false">
      <c r="A377" s="70" t="n">
        <f aca="false">Data!A377</f>
        <v>376</v>
      </c>
      <c r="B377" s="70" t="str">
        <f aca="false">IFERROR(INDEX(対訳マスタ!$C$2:$C$136,MATCH(Data!B377,対訳マスタ!$B$2:$B$136,0)),Data!B377)</f>
        <v>コミュニケーション言語方略</v>
      </c>
      <c r="C377" s="70" t="str">
        <f aca="false">IF(Data!C377="—","—",IFERROR(INDEX(対訳マスタ!$C$2:$C$136,MATCH(Data!C377,対訳マスタ!$B$2:$B$136,0)),Data!C377))</f>
        <v>産出</v>
      </c>
      <c r="D377" s="70" t="str">
        <f aca="false">IF(Data!D377="—","—",IFERROR(INDEX(対訳マスタ!$C$2:$C$136,MATCH(Data!D377,対訳マスタ!$B$2:$B$136,0)),Data!D377))</f>
        <v>—</v>
      </c>
      <c r="E377" s="70" t="str">
        <f aca="false">IFERROR(INDEX(対訳マスタ!$C$2:$C$136,MATCH(Data!E377,対訳マスタ!$B$2:$B$136,0)),Data!E377)</f>
        <v>計画（発話の設計）</v>
      </c>
      <c r="F377" s="70" t="str">
        <f aca="false">Data!F377</f>
        <v>A2</v>
      </c>
      <c r="G377" s="31" t="str">
        <f aca="false">Data!G377</f>
        <v>Can recall and rehearse an appropriate set of phrases from their repertoire.</v>
      </c>
      <c r="H377" s="71" t="s">
        <v>2630</v>
      </c>
      <c r="I377" s="79" t="s">
        <v>3089</v>
      </c>
    </row>
    <row r="378" customFormat="false" ht="15" hidden="false" customHeight="true" outlineLevel="0" collapsed="false">
      <c r="A378" s="80" t="n">
        <f aca="false">Data!A378</f>
        <v>377</v>
      </c>
      <c r="B378" s="80" t="str">
        <f aca="false">IFERROR(INDEX(対訳マスタ!$C$2:$C$136,MATCH(Data!B378,対訳マスタ!$B$2:$B$136,0)),Data!B378)</f>
        <v>コミュニケーション言語方略</v>
      </c>
      <c r="C378" s="80" t="str">
        <f aca="false">IF(Data!C378="—","—",IFERROR(INDEX(対訳マスタ!$C$2:$C$136,MATCH(Data!C378,対訳マスタ!$B$2:$B$136,0)),Data!C378))</f>
        <v>産出</v>
      </c>
      <c r="D378" s="80" t="str">
        <f aca="false">IF(Data!D378="—","—",IFERROR(INDEX(対訳マスタ!$C$2:$C$136,MATCH(Data!D378,対訳マスタ!$B$2:$B$136,0)),Data!D378))</f>
        <v>—</v>
      </c>
      <c r="E378" s="80" t="str">
        <f aca="false">IFERROR(INDEX(対訳マスタ!$C$2:$C$136,MATCH(Data!E378,対訳マスタ!$B$2:$B$136,0)),Data!E378)</f>
        <v>計画（発話の設計）</v>
      </c>
      <c r="F378" s="80" t="str">
        <f aca="false">Data!F378</f>
        <v>A1</v>
      </c>
      <c r="G378" s="81" t="str">
        <f aca="false">Data!G378</f>
        <v>No descriptors available</v>
      </c>
      <c r="H378" s="81" t="s">
        <v>624</v>
      </c>
      <c r="I378" s="80" t="s">
        <v>624</v>
      </c>
    </row>
    <row r="379" customFormat="false" ht="15" hidden="false" customHeight="true" outlineLevel="0" collapsed="false">
      <c r="A379" s="80" t="n">
        <f aca="false">Data!A379</f>
        <v>378</v>
      </c>
      <c r="B379" s="80" t="str">
        <f aca="false">IFERROR(INDEX(対訳マスタ!$C$2:$C$136,MATCH(Data!B379,対訳マスタ!$B$2:$B$136,0)),Data!B379)</f>
        <v>コミュニケーション言語方略</v>
      </c>
      <c r="C379" s="80" t="str">
        <f aca="false">IF(Data!C379="—","—",IFERROR(INDEX(対訳マスタ!$C$2:$C$136,MATCH(Data!C379,対訳マスタ!$B$2:$B$136,0)),Data!C379))</f>
        <v>産出</v>
      </c>
      <c r="D379" s="80" t="str">
        <f aca="false">IF(Data!D379="—","—",IFERROR(INDEX(対訳マスタ!$C$2:$C$136,MATCH(Data!D379,対訳マスタ!$B$2:$B$136,0)),Data!D379))</f>
        <v>—</v>
      </c>
      <c r="E379" s="80" t="str">
        <f aca="false">IFERROR(INDEX(対訳マスタ!$C$2:$C$136,MATCH(Data!E379,対訳マスタ!$B$2:$B$136,0)),Data!E379)</f>
        <v>計画（発話の設計）</v>
      </c>
      <c r="F379" s="80" t="str">
        <f aca="false">Data!F379</f>
        <v>Pre-A1</v>
      </c>
      <c r="G379" s="81" t="str">
        <f aca="false">Data!G379</f>
        <v>No descriptors available</v>
      </c>
      <c r="H379" s="81" t="s">
        <v>624</v>
      </c>
      <c r="I379" s="80" t="s">
        <v>624</v>
      </c>
    </row>
    <row r="380" customFormat="false" ht="21.75" hidden="false" customHeight="true" outlineLevel="0" collapsed="false">
      <c r="A380" s="70" t="n">
        <f aca="false">Data!A380</f>
        <v>379</v>
      </c>
      <c r="B380" s="70" t="str">
        <f aca="false">IFERROR(INDEX(対訳マスタ!$C$2:$C$136,MATCH(Data!B380,対訳マスタ!$B$2:$B$136,0)),Data!B380)</f>
        <v>コミュニケーション言語方略</v>
      </c>
      <c r="C380" s="70" t="str">
        <f aca="false">IF(Data!C380="—","—",IFERROR(INDEX(対訳マスタ!$C$2:$C$136,MATCH(Data!C380,対訳マスタ!$B$2:$B$136,0)),Data!C380))</f>
        <v>産出</v>
      </c>
      <c r="D380" s="70" t="str">
        <f aca="false">IF(Data!D380="—","—",IFERROR(INDEX(対訳マスタ!$C$2:$C$136,MATCH(Data!D380,対訳マスタ!$B$2:$B$136,0)),Data!D380))</f>
        <v>—</v>
      </c>
      <c r="E380" s="70" t="str">
        <f aca="false">IFERROR(INDEX(対訳マスタ!$C$2:$C$136,MATCH(Data!E380,対訳マスタ!$B$2:$B$136,0)),Data!E380)</f>
        <v>補償（言い換え等で補う）</v>
      </c>
      <c r="F380" s="70" t="str">
        <f aca="false">Data!F380</f>
        <v>C2</v>
      </c>
      <c r="G380" s="31" t="str">
        <f aca="false">Data!G380</f>
        <v>Can substitute an equivalent term for a word/sign they can’t recall, so smoothly that it is scarcely noticeable.</v>
      </c>
      <c r="H380" s="71" t="s">
        <v>2645</v>
      </c>
      <c r="I380" s="79" t="s">
        <v>3089</v>
      </c>
    </row>
    <row r="381" customFormat="false" ht="21.75" hidden="false" customHeight="true" outlineLevel="0" collapsed="false">
      <c r="A381" s="70" t="n">
        <f aca="false">Data!A381</f>
        <v>380</v>
      </c>
      <c r="B381" s="70" t="str">
        <f aca="false">IFERROR(INDEX(対訳マスタ!$C$2:$C$136,MATCH(Data!B381,対訳マスタ!$B$2:$B$136,0)),Data!B381)</f>
        <v>コミュニケーション言語方略</v>
      </c>
      <c r="C381" s="70" t="str">
        <f aca="false">IF(Data!C381="—","—",IFERROR(INDEX(対訳マスタ!$C$2:$C$136,MATCH(Data!C381,対訳マスタ!$B$2:$B$136,0)),Data!C381))</f>
        <v>産出</v>
      </c>
      <c r="D381" s="70" t="str">
        <f aca="false">IF(Data!D381="—","—",IFERROR(INDEX(対訳マスタ!$C$2:$C$136,MATCH(Data!D381,対訳マスタ!$B$2:$B$136,0)),Data!D381))</f>
        <v>—</v>
      </c>
      <c r="E381" s="70" t="str">
        <f aca="false">IFERROR(INDEX(対訳マスタ!$C$2:$C$136,MATCH(Data!E381,対訳マスタ!$B$2:$B$136,0)),Data!E381)</f>
        <v>補償（言い換え等で補う）</v>
      </c>
      <c r="F381" s="70" t="str">
        <f aca="false">Data!F381</f>
        <v>C1</v>
      </c>
      <c r="G381" s="31" t="str">
        <f aca="false">Data!G381</f>
        <v>Can exploit their range of vocabulary options creatively so as to readily and effectively use circumlocution in almost all situations.</v>
      </c>
      <c r="H381" s="71" t="s">
        <v>2644</v>
      </c>
      <c r="I381" s="79" t="s">
        <v>3089</v>
      </c>
    </row>
    <row r="382" customFormat="false" ht="15" hidden="false" customHeight="true" outlineLevel="0" collapsed="false">
      <c r="A382" s="70" t="n">
        <f aca="false">Data!A382</f>
        <v>381</v>
      </c>
      <c r="B382" s="70" t="str">
        <f aca="false">IFERROR(INDEX(対訳マスタ!$C$2:$C$136,MATCH(Data!B382,対訳マスタ!$B$2:$B$136,0)),Data!B382)</f>
        <v>コミュニケーション言語方略</v>
      </c>
      <c r="C382" s="70" t="str">
        <f aca="false">IF(Data!C382="—","—",IFERROR(INDEX(対訳マスタ!$C$2:$C$136,MATCH(Data!C382,対訳マスタ!$B$2:$B$136,0)),Data!C382))</f>
        <v>産出</v>
      </c>
      <c r="D382" s="70" t="str">
        <f aca="false">IF(Data!D382="—","—",IFERROR(INDEX(対訳マスタ!$C$2:$C$136,MATCH(Data!D382,対訳マスタ!$B$2:$B$136,0)),Data!D382))</f>
        <v>—</v>
      </c>
      <c r="E382" s="70" t="str">
        <f aca="false">IFERROR(INDEX(対訳マスタ!$C$2:$C$136,MATCH(Data!E382,対訳マスタ!$B$2:$B$136,0)),Data!E382)</f>
        <v>補償（言い換え等で補う）</v>
      </c>
      <c r="F382" s="70" t="str">
        <f aca="false">Data!F382</f>
        <v>B2+</v>
      </c>
      <c r="G382" s="31" t="str">
        <f aca="false">Data!G382</f>
        <v>Can use circumlocution and paraphrase to cover gaps in vocabulary and structure.</v>
      </c>
      <c r="H382" s="71" t="s">
        <v>2643</v>
      </c>
      <c r="I382" s="79" t="s">
        <v>3089</v>
      </c>
    </row>
    <row r="383" customFormat="false" ht="26.25" hidden="false" customHeight="true" outlineLevel="0" collapsed="false">
      <c r="A383" s="70" t="n">
        <f aca="false">Data!A383</f>
        <v>382</v>
      </c>
      <c r="B383" s="70" t="str">
        <f aca="false">IFERROR(INDEX(対訳マスタ!$C$2:$C$136,MATCH(Data!B383,対訳マスタ!$B$2:$B$136,0)),Data!B383)</f>
        <v>コミュニケーション言語方略</v>
      </c>
      <c r="C383" s="70" t="str">
        <f aca="false">IF(Data!C383="—","—",IFERROR(INDEX(対訳マスタ!$C$2:$C$136,MATCH(Data!C383,対訳マスタ!$B$2:$B$136,0)),Data!C383))</f>
        <v>産出</v>
      </c>
      <c r="D383" s="70" t="str">
        <f aca="false">IF(Data!D383="—","—",IFERROR(INDEX(対訳マスタ!$C$2:$C$136,MATCH(Data!D383,対訳マスタ!$B$2:$B$136,0)),Data!D383))</f>
        <v>—</v>
      </c>
      <c r="E383" s="70" t="str">
        <f aca="false">IFERROR(INDEX(対訳マスタ!$C$2:$C$136,MATCH(Data!E383,対訳マスタ!$B$2:$B$136,0)),Data!E383)</f>
        <v>補償（言い換え等で補う）</v>
      </c>
      <c r="F383" s="70" t="str">
        <f aca="false">Data!F383</f>
        <v>B2</v>
      </c>
      <c r="G383" s="31" t="str">
        <f aca="false">Data!G383</f>
        <v>Can address most communication problems by using circumlocution, or by avoiding difficult expressions.</v>
      </c>
      <c r="H383" s="71" t="s">
        <v>2642</v>
      </c>
      <c r="I383" s="79" t="s">
        <v>3089</v>
      </c>
    </row>
    <row r="384" customFormat="false" ht="21.75" hidden="false" customHeight="true" outlineLevel="0" collapsed="false">
      <c r="A384" s="70" t="n">
        <f aca="false">Data!A384</f>
        <v>383</v>
      </c>
      <c r="B384" s="70" t="str">
        <f aca="false">IFERROR(INDEX(対訳マスタ!$C$2:$C$136,MATCH(Data!B384,対訳マスタ!$B$2:$B$136,0)),Data!B384)</f>
        <v>コミュニケーション言語方略</v>
      </c>
      <c r="C384" s="70" t="str">
        <f aca="false">IF(Data!C384="—","—",IFERROR(INDEX(対訳マスタ!$C$2:$C$136,MATCH(Data!C384,対訳マスタ!$B$2:$B$136,0)),Data!C384))</f>
        <v>産出</v>
      </c>
      <c r="D384" s="70" t="str">
        <f aca="false">IF(Data!D384="—","—",IFERROR(INDEX(対訳マスタ!$C$2:$C$136,MATCH(Data!D384,対訳マスタ!$B$2:$B$136,0)),Data!D384))</f>
        <v>—</v>
      </c>
      <c r="E384" s="70" t="str">
        <f aca="false">IFERROR(INDEX(対訳マスタ!$C$2:$C$136,MATCH(Data!E384,対訳マスタ!$B$2:$B$136,0)),Data!E384)</f>
        <v>補償（言い換え等で補う）</v>
      </c>
      <c r="F384" s="70" t="str">
        <f aca="false">Data!F384</f>
        <v>B1+</v>
      </c>
      <c r="G384" s="31" t="str">
        <f aca="false">Data!G384</f>
        <v>Can define the features of something concrete for which they can’t remember the word/sign.</v>
      </c>
      <c r="H384" s="71" t="s">
        <v>2641</v>
      </c>
      <c r="I384" s="79" t="s">
        <v>3089</v>
      </c>
    </row>
    <row r="385" customFormat="false" ht="21.75" hidden="false" customHeight="true" outlineLevel="0" collapsed="false">
      <c r="A385" s="70" t="n">
        <f aca="false">Data!A385</f>
        <v>384</v>
      </c>
      <c r="B385" s="70" t="str">
        <f aca="false">IFERROR(INDEX(対訳マスタ!$C$2:$C$136,MATCH(Data!B385,対訳マスタ!$B$2:$B$136,0)),Data!B385)</f>
        <v>コミュニケーション言語方略</v>
      </c>
      <c r="C385" s="70" t="str">
        <f aca="false">IF(Data!C385="—","—",IFERROR(INDEX(対訳マスタ!$C$2:$C$136,MATCH(Data!C385,対訳マスタ!$B$2:$B$136,0)),Data!C385))</f>
        <v>産出</v>
      </c>
      <c r="D385" s="70" t="str">
        <f aca="false">IF(Data!D385="—","—",IFERROR(INDEX(対訳マスタ!$C$2:$C$136,MATCH(Data!D385,対訳マスタ!$B$2:$B$136,0)),Data!D385))</f>
        <v>—</v>
      </c>
      <c r="E385" s="70" t="str">
        <f aca="false">IFERROR(INDEX(対訳マスタ!$C$2:$C$136,MATCH(Data!E385,対訳マスタ!$B$2:$B$136,0)),Data!E385)</f>
        <v>補償（言い換え等で補う）</v>
      </c>
      <c r="F385" s="70" t="str">
        <f aca="false">Data!F385</f>
        <v>B1+</v>
      </c>
      <c r="G385" s="31" t="str">
        <f aca="false">Data!G385</f>
        <v>Can convey meaning by qualifying a word/sign meaning something similar (e.g. a truck for people = bus).</v>
      </c>
      <c r="H385" s="71" t="s">
        <v>3255</v>
      </c>
      <c r="I385" s="79" t="s">
        <v>3089</v>
      </c>
    </row>
    <row r="386" customFormat="false" ht="21.75" hidden="false" customHeight="true" outlineLevel="0" collapsed="false">
      <c r="A386" s="70" t="n">
        <f aca="false">Data!A386</f>
        <v>385</v>
      </c>
      <c r="B386" s="70" t="str">
        <f aca="false">IFERROR(INDEX(対訳マスタ!$C$2:$C$136,MATCH(Data!B386,対訳マスタ!$B$2:$B$136,0)),Data!B386)</f>
        <v>コミュニケーション言語方略</v>
      </c>
      <c r="C386" s="70" t="str">
        <f aca="false">IF(Data!C386="—","—",IFERROR(INDEX(対訳マスタ!$C$2:$C$136,MATCH(Data!C386,対訳マスタ!$B$2:$B$136,0)),Data!C386))</f>
        <v>産出</v>
      </c>
      <c r="D386" s="70" t="str">
        <f aca="false">IF(Data!D386="—","—",IFERROR(INDEX(対訳マスタ!$C$2:$C$136,MATCH(Data!D386,対訳マスタ!$B$2:$B$136,0)),Data!D386))</f>
        <v>—</v>
      </c>
      <c r="E386" s="70" t="str">
        <f aca="false">IFERROR(INDEX(対訳マスタ!$C$2:$C$136,MATCH(Data!E386,対訳マスタ!$B$2:$B$136,0)),Data!E386)</f>
        <v>補償（言い換え等で補う）</v>
      </c>
      <c r="F386" s="70" t="str">
        <f aca="false">Data!F386</f>
        <v>B1</v>
      </c>
      <c r="G386" s="31" t="str">
        <f aca="false">Data!G386</f>
        <v>Can use a simple word/sign meaning something similar to the concept they want to convey and invite “correction”.</v>
      </c>
      <c r="H386" s="71" t="s">
        <v>3256</v>
      </c>
      <c r="I386" s="79" t="s">
        <v>3089</v>
      </c>
    </row>
    <row r="387" customFormat="false" ht="15" hidden="false" customHeight="true" outlineLevel="0" collapsed="false">
      <c r="A387" s="70" t="n">
        <f aca="false">Data!A387</f>
        <v>386</v>
      </c>
      <c r="B387" s="70" t="str">
        <f aca="false">IFERROR(INDEX(対訳マスタ!$C$2:$C$136,MATCH(Data!B387,対訳マスタ!$B$2:$B$136,0)),Data!B387)</f>
        <v>コミュニケーション言語方略</v>
      </c>
      <c r="C387" s="70" t="str">
        <f aca="false">IF(Data!C387="—","—",IFERROR(INDEX(対訳マスタ!$C$2:$C$136,MATCH(Data!C387,対訳マスタ!$B$2:$B$136,0)),Data!C387))</f>
        <v>産出</v>
      </c>
      <c r="D387" s="70" t="str">
        <f aca="false">IF(Data!D387="—","—",IFERROR(INDEX(対訳マスタ!$C$2:$C$136,MATCH(Data!D387,対訳マスタ!$B$2:$B$136,0)),Data!D387))</f>
        <v>—</v>
      </c>
      <c r="E387" s="70" t="str">
        <f aca="false">IFERROR(INDEX(対訳マスタ!$C$2:$C$136,MATCH(Data!E387,対訳マスタ!$B$2:$B$136,0)),Data!E387)</f>
        <v>補償（言い換え等で補う）</v>
      </c>
      <c r="F387" s="70" t="str">
        <f aca="false">Data!F387</f>
        <v>B1</v>
      </c>
      <c r="G387" s="31" t="str">
        <f aca="false">Data!G387</f>
        <v>Can “foreignise” word/signs in their first language and ask for confirmation.</v>
      </c>
      <c r="H387" s="71" t="s">
        <v>2640</v>
      </c>
      <c r="I387" s="79" t="s">
        <v>3089</v>
      </c>
    </row>
    <row r="388" customFormat="false" ht="21.75" hidden="false" customHeight="true" outlineLevel="0" collapsed="false">
      <c r="A388" s="70" t="n">
        <f aca="false">Data!A388</f>
        <v>387</v>
      </c>
      <c r="B388" s="70" t="str">
        <f aca="false">IFERROR(INDEX(対訳マスタ!$C$2:$C$136,MATCH(Data!B388,対訳マスタ!$B$2:$B$136,0)),Data!B388)</f>
        <v>コミュニケーション言語方略</v>
      </c>
      <c r="C388" s="70" t="str">
        <f aca="false">IF(Data!C388="—","—",IFERROR(INDEX(対訳マスタ!$C$2:$C$136,MATCH(Data!C388,対訳マスタ!$B$2:$B$136,0)),Data!C388))</f>
        <v>産出</v>
      </c>
      <c r="D388" s="70" t="str">
        <f aca="false">IF(Data!D388="—","—",IFERROR(INDEX(対訳マスタ!$C$2:$C$136,MATCH(Data!D388,対訳マスタ!$B$2:$B$136,0)),Data!D388))</f>
        <v>—</v>
      </c>
      <c r="E388" s="70" t="str">
        <f aca="false">IFERROR(INDEX(対訳マスタ!$C$2:$C$136,MATCH(Data!E388,対訳マスタ!$B$2:$B$136,0)),Data!E388)</f>
        <v>補償（言い換え等で補う）</v>
      </c>
      <c r="F388" s="70" t="str">
        <f aca="false">Data!F388</f>
        <v>A2+</v>
      </c>
      <c r="G388" s="31" t="str">
        <f aca="false">Data!G388</f>
        <v>Can use an inadequate word/sign from their repertoire and use gestures to clarify what they mean.</v>
      </c>
      <c r="H388" s="71" t="s">
        <v>2639</v>
      </c>
      <c r="I388" s="79" t="s">
        <v>3089</v>
      </c>
    </row>
    <row r="389" customFormat="false" ht="15" hidden="false" customHeight="true" outlineLevel="0" collapsed="false">
      <c r="A389" s="70" t="n">
        <f aca="false">Data!A389</f>
        <v>388</v>
      </c>
      <c r="B389" s="70" t="str">
        <f aca="false">IFERROR(INDEX(対訳マスタ!$C$2:$C$136,MATCH(Data!B389,対訳マスタ!$B$2:$B$136,0)),Data!B389)</f>
        <v>コミュニケーション言語方略</v>
      </c>
      <c r="C389" s="70" t="str">
        <f aca="false">IF(Data!C389="—","—",IFERROR(INDEX(対訳マスタ!$C$2:$C$136,MATCH(Data!C389,対訳マスタ!$B$2:$B$136,0)),Data!C389))</f>
        <v>産出</v>
      </c>
      <c r="D389" s="70" t="str">
        <f aca="false">IF(Data!D389="—","—",IFERROR(INDEX(対訳マスタ!$C$2:$C$136,MATCH(Data!D389,対訳マスタ!$B$2:$B$136,0)),Data!D389))</f>
        <v>—</v>
      </c>
      <c r="E389" s="70" t="str">
        <f aca="false">IFERROR(INDEX(対訳マスタ!$C$2:$C$136,MATCH(Data!E389,対訳マスタ!$B$2:$B$136,0)),Data!E389)</f>
        <v>補償（言い換え等で補う）</v>
      </c>
      <c r="F389" s="70" t="str">
        <f aca="false">Data!F389</f>
        <v>A2</v>
      </c>
      <c r="G389" s="31" t="str">
        <f aca="false">Data!G389</f>
        <v>Can identify what they mean by pointing to it (e.g. “I’d like this, please”).</v>
      </c>
      <c r="H389" s="71" t="s">
        <v>2638</v>
      </c>
      <c r="I389" s="79" t="s">
        <v>3089</v>
      </c>
    </row>
    <row r="390" customFormat="false" ht="15" hidden="false" customHeight="true" outlineLevel="0" collapsed="false">
      <c r="A390" s="70" t="n">
        <f aca="false">Data!A390</f>
        <v>389</v>
      </c>
      <c r="B390" s="70" t="str">
        <f aca="false">IFERROR(INDEX(対訳マスタ!$C$2:$C$136,MATCH(Data!B390,対訳マスタ!$B$2:$B$136,0)),Data!B390)</f>
        <v>コミュニケーション言語方略</v>
      </c>
      <c r="C390" s="70" t="str">
        <f aca="false">IF(Data!C390="—","—",IFERROR(INDEX(対訳マスタ!$C$2:$C$136,MATCH(Data!C390,対訳マスタ!$B$2:$B$136,0)),Data!C390))</f>
        <v>産出</v>
      </c>
      <c r="D390" s="70" t="str">
        <f aca="false">IF(Data!D390="—","—",IFERROR(INDEX(対訳マスタ!$C$2:$C$136,MATCH(Data!D390,対訳マスタ!$B$2:$B$136,0)),Data!D390))</f>
        <v>—</v>
      </c>
      <c r="E390" s="70" t="str">
        <f aca="false">IFERROR(INDEX(対訳マスタ!$C$2:$C$136,MATCH(Data!E390,対訳マスタ!$B$2:$B$136,0)),Data!E390)</f>
        <v>補償（言い換え等で補う）</v>
      </c>
      <c r="F390" s="70" t="str">
        <f aca="false">Data!F390</f>
        <v>A1</v>
      </c>
      <c r="G390" s="31" t="str">
        <f aca="false">Data!G390</f>
        <v>Can use gestures to support simple words/signs in expressing a need.</v>
      </c>
      <c r="H390" s="71" t="s">
        <v>2637</v>
      </c>
      <c r="I390" s="79" t="s">
        <v>3089</v>
      </c>
    </row>
    <row r="391" customFormat="false" ht="15" hidden="false" customHeight="true" outlineLevel="0" collapsed="false">
      <c r="A391" s="70" t="n">
        <f aca="false">Data!A391</f>
        <v>390</v>
      </c>
      <c r="B391" s="70" t="str">
        <f aca="false">IFERROR(INDEX(対訳マスタ!$C$2:$C$136,MATCH(Data!B391,対訳マスタ!$B$2:$B$136,0)),Data!B391)</f>
        <v>コミュニケーション言語方略</v>
      </c>
      <c r="C391" s="70" t="str">
        <f aca="false">IF(Data!C391="—","—",IFERROR(INDEX(対訳マスタ!$C$2:$C$136,MATCH(Data!C391,対訳マスタ!$B$2:$B$136,0)),Data!C391))</f>
        <v>産出</v>
      </c>
      <c r="D391" s="70" t="str">
        <f aca="false">IF(Data!D391="—","—",IFERROR(INDEX(対訳マスタ!$C$2:$C$136,MATCH(Data!D391,対訳マスタ!$B$2:$B$136,0)),Data!D391))</f>
        <v>—</v>
      </c>
      <c r="E391" s="70" t="str">
        <f aca="false">IFERROR(INDEX(対訳マスタ!$C$2:$C$136,MATCH(Data!E391,対訳マスタ!$B$2:$B$136,0)),Data!E391)</f>
        <v>補償（言い換え等で補う）</v>
      </c>
      <c r="F391" s="70" t="str">
        <f aca="false">Data!F391</f>
        <v>Pre-A1</v>
      </c>
      <c r="G391" s="31" t="str">
        <f aca="false">Data!G391</f>
        <v>Can point to something and ask what it is.</v>
      </c>
      <c r="H391" s="71" t="s">
        <v>2636</v>
      </c>
      <c r="I391" s="79" t="s">
        <v>3089</v>
      </c>
    </row>
    <row r="392" customFormat="false" ht="21.75" hidden="false" customHeight="true" outlineLevel="0" collapsed="false">
      <c r="A392" s="70" t="n">
        <f aca="false">Data!A392</f>
        <v>391</v>
      </c>
      <c r="B392" s="70" t="str">
        <f aca="false">IFERROR(INDEX(対訳マスタ!$C$2:$C$136,MATCH(Data!B392,対訳マスタ!$B$2:$B$136,0)),Data!B392)</f>
        <v>コミュニケーション言語方略</v>
      </c>
      <c r="C392" s="70" t="str">
        <f aca="false">IF(Data!C392="—","—",IFERROR(INDEX(対訳マスタ!$C$2:$C$136,MATCH(Data!C392,対訳マスタ!$B$2:$B$136,0)),Data!C392))</f>
        <v>産出</v>
      </c>
      <c r="D392" s="70" t="str">
        <f aca="false">IF(Data!D392="—","—",IFERROR(INDEX(対訳マスタ!$C$2:$C$136,MATCH(Data!D392,対訳マスタ!$B$2:$B$136,0)),Data!D392))</f>
        <v>—</v>
      </c>
      <c r="E392" s="70" t="str">
        <f aca="false">IFERROR(INDEX(対訳マスタ!$C$2:$C$136,MATCH(Data!E392,対訳マスタ!$B$2:$B$136,0)),Data!E392)</f>
        <v>モニタリングと修復（言い直し）</v>
      </c>
      <c r="F392" s="70" t="str">
        <f aca="false">Data!F392</f>
        <v>C2</v>
      </c>
      <c r="G392" s="31" t="str">
        <f aca="false">Data!G392</f>
        <v>Can backtrack and restructure around a difficulty so smoothly that the interlocutor is hardly aware of it.</v>
      </c>
      <c r="H392" s="71" t="s">
        <v>2651</v>
      </c>
      <c r="I392" s="79" t="s">
        <v>3089</v>
      </c>
    </row>
    <row r="393" customFormat="false" ht="21.75" hidden="false" customHeight="true" outlineLevel="0" collapsed="false">
      <c r="A393" s="70" t="n">
        <f aca="false">Data!A393</f>
        <v>392</v>
      </c>
      <c r="B393" s="70" t="str">
        <f aca="false">IFERROR(INDEX(対訳マスタ!$C$2:$C$136,MATCH(Data!B393,対訳マスタ!$B$2:$B$136,0)),Data!B393)</f>
        <v>コミュニケーション言語方略</v>
      </c>
      <c r="C393" s="70" t="str">
        <f aca="false">IF(Data!C393="—","—",IFERROR(INDEX(対訳マスタ!$C$2:$C$136,MATCH(Data!C393,対訳マスタ!$B$2:$B$136,0)),Data!C393))</f>
        <v>産出</v>
      </c>
      <c r="D393" s="70" t="str">
        <f aca="false">IF(Data!D393="—","—",IFERROR(INDEX(対訳マスタ!$C$2:$C$136,MATCH(Data!D393,対訳マスタ!$B$2:$B$136,0)),Data!D393))</f>
        <v>—</v>
      </c>
      <c r="E393" s="70" t="str">
        <f aca="false">IFERROR(INDEX(対訳マスタ!$C$2:$C$136,MATCH(Data!E393,対訳マスタ!$B$2:$B$136,0)),Data!E393)</f>
        <v>モニタリングと修復（言い直し）</v>
      </c>
      <c r="F393" s="70" t="str">
        <f aca="false">Data!F393</f>
        <v>C1</v>
      </c>
      <c r="G393" s="31" t="str">
        <f aca="false">Data!G393</f>
        <v>Can backtrack when they encounter a difficulty and reformulate what they want to say without fully interrupting the flow of language.</v>
      </c>
      <c r="H393" s="71" t="s">
        <v>3257</v>
      </c>
      <c r="I393" s="79" t="s">
        <v>3089</v>
      </c>
    </row>
    <row r="394" customFormat="false" ht="15" hidden="false" customHeight="true" outlineLevel="0" collapsed="false">
      <c r="A394" s="70" t="n">
        <f aca="false">Data!A394</f>
        <v>393</v>
      </c>
      <c r="B394" s="70" t="str">
        <f aca="false">IFERROR(INDEX(対訳マスタ!$C$2:$C$136,MATCH(Data!B394,対訳マスタ!$B$2:$B$136,0)),Data!B394)</f>
        <v>コミュニケーション言語方略</v>
      </c>
      <c r="C394" s="70" t="str">
        <f aca="false">IF(Data!C394="—","—",IFERROR(INDEX(対訳マスタ!$C$2:$C$136,MATCH(Data!C394,対訳マスタ!$B$2:$B$136,0)),Data!C394))</f>
        <v>産出</v>
      </c>
      <c r="D394" s="70" t="str">
        <f aca="false">IF(Data!D394="—","—",IFERROR(INDEX(対訳マスタ!$C$2:$C$136,MATCH(Data!D394,対訳マスタ!$B$2:$B$136,0)),Data!D394))</f>
        <v>—</v>
      </c>
      <c r="E394" s="70" t="str">
        <f aca="false">IFERROR(INDEX(対訳マスタ!$C$2:$C$136,MATCH(Data!E394,対訳マスタ!$B$2:$B$136,0)),Data!E394)</f>
        <v>モニタリングと修復（言い直し）</v>
      </c>
      <c r="F394" s="70" t="str">
        <f aca="false">Data!F394</f>
        <v>C1</v>
      </c>
      <c r="G394" s="31" t="str">
        <f aca="false">Data!G394</f>
        <v>Can self-correct with a high degree of effectiveness.</v>
      </c>
      <c r="H394" s="71" t="s">
        <v>2650</v>
      </c>
      <c r="I394" s="79" t="s">
        <v>3089</v>
      </c>
    </row>
    <row r="395" customFormat="false" ht="26.25" hidden="false" customHeight="true" outlineLevel="0" collapsed="false">
      <c r="A395" s="70" t="n">
        <f aca="false">Data!A395</f>
        <v>394</v>
      </c>
      <c r="B395" s="70" t="str">
        <f aca="false">IFERROR(INDEX(対訳マスタ!$C$2:$C$136,MATCH(Data!B395,対訳マスタ!$B$2:$B$136,0)),Data!B395)</f>
        <v>コミュニケーション言語方略</v>
      </c>
      <c r="C395" s="70" t="str">
        <f aca="false">IF(Data!C395="—","—",IFERROR(INDEX(対訳マスタ!$C$2:$C$136,MATCH(Data!C395,対訳マスタ!$B$2:$B$136,0)),Data!C395))</f>
        <v>産出</v>
      </c>
      <c r="D395" s="70" t="str">
        <f aca="false">IF(Data!D395="—","—",IFERROR(INDEX(対訳マスタ!$C$2:$C$136,MATCH(Data!D395,対訳マスタ!$B$2:$B$136,0)),Data!D395))</f>
        <v>—</v>
      </c>
      <c r="E395" s="70" t="str">
        <f aca="false">IFERROR(INDEX(対訳マスタ!$C$2:$C$136,MATCH(Data!E395,対訳マスタ!$B$2:$B$136,0)),Data!E395)</f>
        <v>モニタリングと修復（言い直し）</v>
      </c>
      <c r="F395" s="70" t="str">
        <f aca="false">Data!F395</f>
        <v>B2+</v>
      </c>
      <c r="G395" s="31" t="str">
        <f aca="false">Data!G395</f>
        <v>Can often retrospectively self-correct their occasional “slips” or non-systematic errors and minor flaws in sentence structure.</v>
      </c>
      <c r="H395" s="71" t="s">
        <v>2649</v>
      </c>
      <c r="I395" s="79" t="s">
        <v>3089</v>
      </c>
    </row>
    <row r="396" customFormat="false" ht="21.75" hidden="false" customHeight="true" outlineLevel="0" collapsed="false">
      <c r="A396" s="70" t="n">
        <f aca="false">Data!A396</f>
        <v>395</v>
      </c>
      <c r="B396" s="70" t="str">
        <f aca="false">IFERROR(INDEX(対訳マスタ!$C$2:$C$136,MATCH(Data!B396,対訳マスタ!$B$2:$B$136,0)),Data!B396)</f>
        <v>コミュニケーション言語方略</v>
      </c>
      <c r="C396" s="70" t="str">
        <f aca="false">IF(Data!C396="—","—",IFERROR(INDEX(対訳マスタ!$C$2:$C$136,MATCH(Data!C396,対訳マスタ!$B$2:$B$136,0)),Data!C396))</f>
        <v>産出</v>
      </c>
      <c r="D396" s="70" t="str">
        <f aca="false">IF(Data!D396="—","—",IFERROR(INDEX(対訳マスタ!$C$2:$C$136,MATCH(Data!D396,対訳マスタ!$B$2:$B$136,0)),Data!D396))</f>
        <v>—</v>
      </c>
      <c r="E396" s="70" t="str">
        <f aca="false">IFERROR(INDEX(対訳マスタ!$C$2:$C$136,MATCH(Data!E396,対訳マスタ!$B$2:$B$136,0)),Data!E396)</f>
        <v>モニタリングと修復（言い直し）</v>
      </c>
      <c r="F396" s="70" t="str">
        <f aca="false">Data!F396</f>
        <v>B2</v>
      </c>
      <c r="G396" s="31" t="str">
        <f aca="false">Data!G396</f>
        <v>Can correct slips and errors that they become conscious of, or that have led to misunderstandings.</v>
      </c>
      <c r="H396" s="71" t="s">
        <v>3258</v>
      </c>
      <c r="I396" s="79" t="s">
        <v>3089</v>
      </c>
    </row>
    <row r="397" customFormat="false" ht="15" hidden="false" customHeight="true" outlineLevel="0" collapsed="false">
      <c r="A397" s="70" t="n">
        <f aca="false">Data!A397</f>
        <v>396</v>
      </c>
      <c r="B397" s="70" t="str">
        <f aca="false">IFERROR(INDEX(対訳マスタ!$C$2:$C$136,MATCH(Data!B397,対訳マスタ!$B$2:$B$136,0)),Data!B397)</f>
        <v>コミュニケーション言語方略</v>
      </c>
      <c r="C397" s="70" t="str">
        <f aca="false">IF(Data!C397="—","—",IFERROR(INDEX(対訳マスタ!$C$2:$C$136,MATCH(Data!C397,対訳マスタ!$B$2:$B$136,0)),Data!C397))</f>
        <v>産出</v>
      </c>
      <c r="D397" s="70" t="str">
        <f aca="false">IF(Data!D397="—","—",IFERROR(INDEX(対訳マスタ!$C$2:$C$136,MATCH(Data!D397,対訳マスタ!$B$2:$B$136,0)),Data!D397))</f>
        <v>—</v>
      </c>
      <c r="E397" s="70" t="str">
        <f aca="false">IFERROR(INDEX(対訳マスタ!$C$2:$C$136,MATCH(Data!E397,対訳マスタ!$B$2:$B$136,0)),Data!E397)</f>
        <v>モニタリングと修復（言い直し）</v>
      </c>
      <c r="F397" s="70" t="str">
        <f aca="false">Data!F397</f>
        <v>B2</v>
      </c>
      <c r="G397" s="31" t="str">
        <f aca="false">Data!G397</f>
        <v>Can make a note of their recurring mistakes and consciously monitor for them.</v>
      </c>
      <c r="H397" s="71" t="s">
        <v>2648</v>
      </c>
      <c r="I397" s="79" t="s">
        <v>3089</v>
      </c>
    </row>
    <row r="398" customFormat="false" ht="21.75" hidden="false" customHeight="true" outlineLevel="0" collapsed="false">
      <c r="A398" s="70" t="n">
        <f aca="false">Data!A398</f>
        <v>397</v>
      </c>
      <c r="B398" s="70" t="str">
        <f aca="false">IFERROR(INDEX(対訳マスタ!$C$2:$C$136,MATCH(Data!B398,対訳マスタ!$B$2:$B$136,0)),Data!B398)</f>
        <v>コミュニケーション言語方略</v>
      </c>
      <c r="C398" s="70" t="str">
        <f aca="false">IF(Data!C398="—","—",IFERROR(INDEX(対訳マスタ!$C$2:$C$136,MATCH(Data!C398,対訳マスタ!$B$2:$B$136,0)),Data!C398))</f>
        <v>産出</v>
      </c>
      <c r="D398" s="70" t="str">
        <f aca="false">IF(Data!D398="—","—",IFERROR(INDEX(対訳マスタ!$C$2:$C$136,MATCH(Data!D398,対訳マスタ!$B$2:$B$136,0)),Data!D398))</f>
        <v>—</v>
      </c>
      <c r="E398" s="70" t="str">
        <f aca="false">IFERROR(INDEX(対訳マスタ!$C$2:$C$136,MATCH(Data!E398,対訳マスタ!$B$2:$B$136,0)),Data!E398)</f>
        <v>モニタリングと修復（言い直し）</v>
      </c>
      <c r="F398" s="70" t="str">
        <f aca="false">Data!F398</f>
        <v>B1+</v>
      </c>
      <c r="G398" s="31" t="str">
        <f aca="false">Data!G398</f>
        <v>Can correct mix-ups with the marking of time or expressions that lead to misunderstandings, provided the interlocutor indicates there is a problem.</v>
      </c>
      <c r="H398" s="71" t="s">
        <v>2647</v>
      </c>
      <c r="I398" s="79" t="s">
        <v>3089</v>
      </c>
    </row>
    <row r="399" customFormat="false" ht="15" hidden="false" customHeight="true" outlineLevel="0" collapsed="false">
      <c r="A399" s="70" t="n">
        <f aca="false">Data!A399</f>
        <v>398</v>
      </c>
      <c r="B399" s="70" t="str">
        <f aca="false">IFERROR(INDEX(対訳マスタ!$C$2:$C$136,MATCH(Data!B399,対訳マスタ!$B$2:$B$136,0)),Data!B399)</f>
        <v>コミュニケーション言語方略</v>
      </c>
      <c r="C399" s="70" t="str">
        <f aca="false">IF(Data!C399="—","—",IFERROR(INDEX(対訳マスタ!$C$2:$C$136,MATCH(Data!C399,対訳マスタ!$B$2:$B$136,0)),Data!C399))</f>
        <v>産出</v>
      </c>
      <c r="D399" s="70" t="str">
        <f aca="false">IF(Data!D399="—","—",IFERROR(INDEX(対訳マスタ!$C$2:$C$136,MATCH(Data!D399,対訳マスタ!$B$2:$B$136,0)),Data!D399))</f>
        <v>—</v>
      </c>
      <c r="E399" s="70" t="str">
        <f aca="false">IFERROR(INDEX(対訳マスタ!$C$2:$C$136,MATCH(Data!E399,対訳マスタ!$B$2:$B$136,0)),Data!E399)</f>
        <v>モニタリングと修復（言い直し）</v>
      </c>
      <c r="F399" s="70" t="str">
        <f aca="false">Data!F399</f>
        <v>B1</v>
      </c>
      <c r="G399" s="31" t="str">
        <f aca="false">Data!G399</f>
        <v>Can ask for confirmation that a form used is correct.</v>
      </c>
      <c r="H399" s="71" t="s">
        <v>2646</v>
      </c>
      <c r="I399" s="79" t="s">
        <v>3089</v>
      </c>
    </row>
    <row r="400" customFormat="false" ht="15" hidden="false" customHeight="true" outlineLevel="0" collapsed="false">
      <c r="A400" s="70" t="n">
        <f aca="false">Data!A400</f>
        <v>399</v>
      </c>
      <c r="B400" s="70" t="str">
        <f aca="false">IFERROR(INDEX(対訳マスタ!$C$2:$C$136,MATCH(Data!B400,対訳マスタ!$B$2:$B$136,0)),Data!B400)</f>
        <v>コミュニケーション言語方略</v>
      </c>
      <c r="C400" s="70" t="str">
        <f aca="false">IF(Data!C400="—","—",IFERROR(INDEX(対訳マスタ!$C$2:$C$136,MATCH(Data!C400,対訳マスタ!$B$2:$B$136,0)),Data!C400))</f>
        <v>産出</v>
      </c>
      <c r="D400" s="70" t="str">
        <f aca="false">IF(Data!D400="—","—",IFERROR(INDEX(対訳マスタ!$C$2:$C$136,MATCH(Data!D400,対訳マスタ!$B$2:$B$136,0)),Data!D400))</f>
        <v>—</v>
      </c>
      <c r="E400" s="70" t="str">
        <f aca="false">IFERROR(INDEX(対訳マスタ!$C$2:$C$136,MATCH(Data!E400,対訳マスタ!$B$2:$B$136,0)),Data!E400)</f>
        <v>モニタリングと修復（言い直し）</v>
      </c>
      <c r="F400" s="70" t="str">
        <f aca="false">Data!F400</f>
        <v>B1</v>
      </c>
      <c r="G400" s="31" t="str">
        <f aca="false">Data!G400</f>
        <v>Can start again using a different tactic when communication breaks down.</v>
      </c>
      <c r="H400" s="71" t="s">
        <v>3259</v>
      </c>
      <c r="I400" s="79" t="s">
        <v>3089</v>
      </c>
    </row>
    <row r="401" customFormat="false" ht="15" hidden="false" customHeight="true" outlineLevel="0" collapsed="false">
      <c r="A401" s="80" t="n">
        <f aca="false">Data!A401</f>
        <v>400</v>
      </c>
      <c r="B401" s="80" t="str">
        <f aca="false">IFERROR(INDEX(対訳マスタ!$C$2:$C$136,MATCH(Data!B401,対訳マスタ!$B$2:$B$136,0)),Data!B401)</f>
        <v>コミュニケーション言語方略</v>
      </c>
      <c r="C401" s="80" t="str">
        <f aca="false">IF(Data!C401="—","—",IFERROR(INDEX(対訳マスタ!$C$2:$C$136,MATCH(Data!C401,対訳マスタ!$B$2:$B$136,0)),Data!C401))</f>
        <v>産出</v>
      </c>
      <c r="D401" s="80" t="str">
        <f aca="false">IF(Data!D401="—","—",IFERROR(INDEX(対訳マスタ!$C$2:$C$136,MATCH(Data!D401,対訳マスタ!$B$2:$B$136,0)),Data!D401))</f>
        <v>—</v>
      </c>
      <c r="E401" s="80" t="str">
        <f aca="false">IFERROR(INDEX(対訳マスタ!$C$2:$C$136,MATCH(Data!E401,対訳マスタ!$B$2:$B$136,0)),Data!E401)</f>
        <v>モニタリングと修復（言い直し）</v>
      </c>
      <c r="F401" s="80" t="str">
        <f aca="false">Data!F401</f>
        <v>A2</v>
      </c>
      <c r="G401" s="81" t="str">
        <f aca="false">Data!G401</f>
        <v>No descriptors available</v>
      </c>
      <c r="H401" s="81" t="s">
        <v>624</v>
      </c>
      <c r="I401" s="80" t="s">
        <v>624</v>
      </c>
    </row>
    <row r="402" customFormat="false" ht="15" hidden="false" customHeight="true" outlineLevel="0" collapsed="false">
      <c r="A402" s="80" t="n">
        <f aca="false">Data!A402</f>
        <v>401</v>
      </c>
      <c r="B402" s="80" t="str">
        <f aca="false">IFERROR(INDEX(対訳マスタ!$C$2:$C$136,MATCH(Data!B402,対訳マスタ!$B$2:$B$136,0)),Data!B402)</f>
        <v>コミュニケーション言語方略</v>
      </c>
      <c r="C402" s="80" t="str">
        <f aca="false">IF(Data!C402="—","—",IFERROR(INDEX(対訳マスタ!$C$2:$C$136,MATCH(Data!C402,対訳マスタ!$B$2:$B$136,0)),Data!C402))</f>
        <v>産出</v>
      </c>
      <c r="D402" s="80" t="str">
        <f aca="false">IF(Data!D402="—","—",IFERROR(INDEX(対訳マスタ!$C$2:$C$136,MATCH(Data!D402,対訳マスタ!$B$2:$B$136,0)),Data!D402))</f>
        <v>—</v>
      </c>
      <c r="E402" s="80" t="str">
        <f aca="false">IFERROR(INDEX(対訳マスタ!$C$2:$C$136,MATCH(Data!E402,対訳マスタ!$B$2:$B$136,0)),Data!E402)</f>
        <v>モニタリングと修復（言い直し）</v>
      </c>
      <c r="F402" s="80" t="str">
        <f aca="false">Data!F402</f>
        <v>A1</v>
      </c>
      <c r="G402" s="81" t="str">
        <f aca="false">Data!G402</f>
        <v>No descriptors available</v>
      </c>
      <c r="H402" s="81" t="s">
        <v>624</v>
      </c>
      <c r="I402" s="80" t="s">
        <v>624</v>
      </c>
    </row>
    <row r="403" customFormat="false" ht="15" hidden="false" customHeight="true" outlineLevel="0" collapsed="false">
      <c r="A403" s="80" t="n">
        <f aca="false">Data!A403</f>
        <v>402</v>
      </c>
      <c r="B403" s="80" t="str">
        <f aca="false">IFERROR(INDEX(対訳マスタ!$C$2:$C$136,MATCH(Data!B403,対訳マスタ!$B$2:$B$136,0)),Data!B403)</f>
        <v>コミュニケーション言語方略</v>
      </c>
      <c r="C403" s="80" t="str">
        <f aca="false">IF(Data!C403="—","—",IFERROR(INDEX(対訳マスタ!$C$2:$C$136,MATCH(Data!C403,対訳マスタ!$B$2:$B$136,0)),Data!C403))</f>
        <v>産出</v>
      </c>
      <c r="D403" s="80" t="str">
        <f aca="false">IF(Data!D403="—","—",IFERROR(INDEX(対訳マスタ!$C$2:$C$136,MATCH(Data!D403,対訳マスタ!$B$2:$B$136,0)),Data!D403))</f>
        <v>—</v>
      </c>
      <c r="E403" s="80" t="str">
        <f aca="false">IFERROR(INDEX(対訳マスタ!$C$2:$C$136,MATCH(Data!E403,対訳マスタ!$B$2:$B$136,0)),Data!E403)</f>
        <v>モニタリングと修復（言い直し）</v>
      </c>
      <c r="F403" s="80" t="str">
        <f aca="false">Data!F403</f>
        <v>Pre-A1</v>
      </c>
      <c r="G403" s="81" t="str">
        <f aca="false">Data!G403</f>
        <v>No descriptors available</v>
      </c>
      <c r="H403" s="81" t="s">
        <v>624</v>
      </c>
      <c r="I403" s="80" t="s">
        <v>624</v>
      </c>
    </row>
    <row r="404" customFormat="false" ht="42.75" hidden="false" customHeight="true" outlineLevel="0" collapsed="false">
      <c r="A404" s="70" t="n">
        <f aca="false">Data!A404</f>
        <v>403</v>
      </c>
      <c r="B404" s="70" t="str">
        <f aca="false">IFERROR(INDEX(対訳マスタ!$C$2:$C$136,MATCH(Data!B404,対訳マスタ!$B$2:$B$136,0)),Data!B404)</f>
        <v>コミュニケーション言語活動</v>
      </c>
      <c r="C404" s="70" t="str">
        <f aca="false">IF(Data!C404="—","—",IFERROR(INDEX(対訳マスタ!$C$2:$C$136,MATCH(Data!C404,対訳マスタ!$B$2:$B$136,0)),Data!C404))</f>
        <v>相互行為</v>
      </c>
      <c r="D404" s="70" t="str">
        <f aca="false">IF(Data!D404="—","—",IFERROR(INDEX(対訳マスタ!$C$2:$C$136,MATCH(Data!D404,対訳マスタ!$B$2:$B$136,0)),Data!D404))</f>
        <v>口頭の相互行為</v>
      </c>
      <c r="E404" s="70" t="str">
        <f aca="false">IFERROR(INDEX(対訳マスタ!$C$2:$C$136,MATCH(Data!E404,対訳マスタ!$B$2:$B$136,0)),Data!E404)</f>
        <v>口頭相互行為（総合）</v>
      </c>
      <c r="F404" s="70" t="str">
        <f aca="false">Data!F404</f>
        <v>C2</v>
      </c>
      <c r="G404" s="31" t="str">
        <f aca="false">Data!G404</f>
        <v>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v>
      </c>
      <c r="H404" s="71" t="s">
        <v>2661</v>
      </c>
      <c r="I404" s="79" t="s">
        <v>3089</v>
      </c>
    </row>
    <row r="405" customFormat="false" ht="53.25" hidden="false" customHeight="true" outlineLevel="0" collapsed="false">
      <c r="A405" s="70" t="n">
        <f aca="false">Data!A405</f>
        <v>404</v>
      </c>
      <c r="B405" s="70" t="str">
        <f aca="false">IFERROR(INDEX(対訳マスタ!$C$2:$C$136,MATCH(Data!B405,対訳マスタ!$B$2:$B$136,0)),Data!B405)</f>
        <v>コミュニケーション言語活動</v>
      </c>
      <c r="C405" s="70" t="str">
        <f aca="false">IF(Data!C405="—","—",IFERROR(INDEX(対訳マスタ!$C$2:$C$136,MATCH(Data!C405,対訳マスタ!$B$2:$B$136,0)),Data!C405))</f>
        <v>相互行為</v>
      </c>
      <c r="D405" s="70" t="str">
        <f aca="false">IF(Data!D405="—","—",IFERROR(INDEX(対訳マスタ!$C$2:$C$136,MATCH(Data!D405,対訳マスタ!$B$2:$B$136,0)),Data!D405))</f>
        <v>口頭の相互行為</v>
      </c>
      <c r="E405" s="70" t="str">
        <f aca="false">IFERROR(INDEX(対訳マスタ!$C$2:$C$136,MATCH(Data!E405,対訳マスタ!$B$2:$B$136,0)),Data!E405)</f>
        <v>口頭相互行為（総合）</v>
      </c>
      <c r="F405" s="70" t="str">
        <f aca="false">Data!F405</f>
        <v>C1</v>
      </c>
      <c r="G405" s="31" t="str">
        <f aca="false">Data!G405</f>
        <v>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v>
      </c>
      <c r="H405" s="71" t="s">
        <v>2660</v>
      </c>
      <c r="I405" s="79" t="s">
        <v>3089</v>
      </c>
    </row>
    <row r="406" customFormat="false" ht="53.25" hidden="false" customHeight="true" outlineLevel="0" collapsed="false">
      <c r="A406" s="70" t="n">
        <f aca="false">Data!A406</f>
        <v>405</v>
      </c>
      <c r="B406" s="70" t="str">
        <f aca="false">IFERROR(INDEX(対訳マスタ!$C$2:$C$136,MATCH(Data!B406,対訳マスタ!$B$2:$B$136,0)),Data!B406)</f>
        <v>コミュニケーション言語活動</v>
      </c>
      <c r="C406" s="70" t="str">
        <f aca="false">IF(Data!C406="—","—",IFERROR(INDEX(対訳マスタ!$C$2:$C$136,MATCH(Data!C406,対訳マスタ!$B$2:$B$136,0)),Data!C406))</f>
        <v>相互行為</v>
      </c>
      <c r="D406" s="70" t="str">
        <f aca="false">IF(Data!D406="—","—",IFERROR(INDEX(対訳マスタ!$C$2:$C$136,MATCH(Data!D406,対訳マスタ!$B$2:$B$136,0)),Data!D406))</f>
        <v>口頭の相互行為</v>
      </c>
      <c r="E406" s="70" t="str">
        <f aca="false">IFERROR(INDEX(対訳マスタ!$C$2:$C$136,MATCH(Data!E406,対訳マスタ!$B$2:$B$136,0)),Data!E406)</f>
        <v>口頭相互行為（総合）</v>
      </c>
      <c r="F406" s="70" t="str">
        <f aca="false">Data!F406</f>
        <v>B2+</v>
      </c>
      <c r="G406" s="31" t="str">
        <f aca="false">Data!G406</f>
        <v>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v>
      </c>
      <c r="H406" s="71" t="s">
        <v>2659</v>
      </c>
      <c r="I406" s="79" t="s">
        <v>3089</v>
      </c>
    </row>
    <row r="407" customFormat="false" ht="53.25" hidden="false" customHeight="true" outlineLevel="0" collapsed="false">
      <c r="A407" s="70" t="n">
        <f aca="false">Data!A407</f>
        <v>406</v>
      </c>
      <c r="B407" s="70" t="str">
        <f aca="false">IFERROR(INDEX(対訳マスタ!$C$2:$C$136,MATCH(Data!B407,対訳マスタ!$B$2:$B$136,0)),Data!B407)</f>
        <v>コミュニケーション言語活動</v>
      </c>
      <c r="C407" s="70" t="str">
        <f aca="false">IF(Data!C407="—","—",IFERROR(INDEX(対訳マスタ!$C$2:$C$136,MATCH(Data!C407,対訳マスタ!$B$2:$B$136,0)),Data!C407))</f>
        <v>相互行為</v>
      </c>
      <c r="D407" s="70" t="str">
        <f aca="false">IF(Data!D407="—","—",IFERROR(INDEX(対訳マスタ!$C$2:$C$136,MATCH(Data!D407,対訳マスタ!$B$2:$B$136,0)),Data!D407))</f>
        <v>口頭の相互行為</v>
      </c>
      <c r="E407" s="70" t="str">
        <f aca="false">IFERROR(INDEX(対訳マスタ!$C$2:$C$136,MATCH(Data!E407,対訳マスタ!$B$2:$B$136,0)),Data!E407)</f>
        <v>口頭相互行為（総合）</v>
      </c>
      <c r="F407" s="70" t="str">
        <f aca="false">Data!F407</f>
        <v>B2</v>
      </c>
      <c r="G407" s="31" t="str">
        <f aca="false">Data!G407</f>
        <v>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v>
      </c>
      <c r="H407" s="71" t="s">
        <v>2658</v>
      </c>
      <c r="I407" s="79" t="s">
        <v>3089</v>
      </c>
    </row>
    <row r="408" customFormat="false" ht="51.75" hidden="false" customHeight="true" outlineLevel="0" collapsed="false">
      <c r="A408" s="70" t="n">
        <f aca="false">Data!A408</f>
        <v>407</v>
      </c>
      <c r="B408" s="70" t="str">
        <f aca="false">IFERROR(INDEX(対訳マスタ!$C$2:$C$136,MATCH(Data!B408,対訳マスタ!$B$2:$B$136,0)),Data!B408)</f>
        <v>コミュニケーション言語活動</v>
      </c>
      <c r="C408" s="70" t="str">
        <f aca="false">IF(Data!C408="—","—",IFERROR(INDEX(対訳マスタ!$C$2:$C$136,MATCH(Data!C408,対訳マスタ!$B$2:$B$136,0)),Data!C408))</f>
        <v>相互行為</v>
      </c>
      <c r="D408" s="70" t="str">
        <f aca="false">IF(Data!D408="—","—",IFERROR(INDEX(対訳マスタ!$C$2:$C$136,MATCH(Data!D408,対訳マスタ!$B$2:$B$136,0)),Data!D408))</f>
        <v>口頭の相互行為</v>
      </c>
      <c r="E408" s="70" t="str">
        <f aca="false">IFERROR(INDEX(対訳マスタ!$C$2:$C$136,MATCH(Data!E408,対訳マスタ!$B$2:$B$136,0)),Data!E408)</f>
        <v>口頭相互行為（総合）</v>
      </c>
      <c r="F408" s="70" t="str">
        <f aca="false">Data!F408</f>
        <v>B1+</v>
      </c>
      <c r="G408" s="31" t="str">
        <f aca="false">Data!G408</f>
        <v>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v>
      </c>
      <c r="H408" s="71" t="s">
        <v>2657</v>
      </c>
      <c r="I408" s="79" t="s">
        <v>3089</v>
      </c>
    </row>
    <row r="409" customFormat="false" ht="53.25" hidden="false" customHeight="true" outlineLevel="0" collapsed="false">
      <c r="A409" s="70" t="n">
        <f aca="false">Data!A409</f>
        <v>408</v>
      </c>
      <c r="B409" s="70" t="str">
        <f aca="false">IFERROR(INDEX(対訳マスタ!$C$2:$C$136,MATCH(Data!B409,対訳マスタ!$B$2:$B$136,0)),Data!B409)</f>
        <v>コミュニケーション言語活動</v>
      </c>
      <c r="C409" s="70" t="str">
        <f aca="false">IF(Data!C409="—","—",IFERROR(INDEX(対訳マスタ!$C$2:$C$136,MATCH(Data!C409,対訳マスタ!$B$2:$B$136,0)),Data!C409))</f>
        <v>相互行為</v>
      </c>
      <c r="D409" s="70" t="str">
        <f aca="false">IF(Data!D409="—","—",IFERROR(INDEX(対訳マスタ!$C$2:$C$136,MATCH(Data!D409,対訳マスタ!$B$2:$B$136,0)),Data!D409))</f>
        <v>口頭の相互行為</v>
      </c>
      <c r="E409" s="70" t="str">
        <f aca="false">IFERROR(INDEX(対訳マスタ!$C$2:$C$136,MATCH(Data!E409,対訳マスタ!$B$2:$B$136,0)),Data!E409)</f>
        <v>口頭相互行為（総合）</v>
      </c>
      <c r="F409" s="70" t="str">
        <f aca="false">Data!F409</f>
        <v>B1</v>
      </c>
      <c r="G409" s="31" t="str">
        <f aca="false">Data!G409</f>
        <v>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v>
      </c>
      <c r="H409" s="71" t="s">
        <v>2656</v>
      </c>
      <c r="I409" s="79" t="s">
        <v>3089</v>
      </c>
    </row>
    <row r="410" customFormat="false" ht="42.75" hidden="false" customHeight="true" outlineLevel="0" collapsed="false">
      <c r="A410" s="70" t="n">
        <f aca="false">Data!A410</f>
        <v>409</v>
      </c>
      <c r="B410" s="70" t="str">
        <f aca="false">IFERROR(INDEX(対訳マスタ!$C$2:$C$136,MATCH(Data!B410,対訳マスタ!$B$2:$B$136,0)),Data!B410)</f>
        <v>コミュニケーション言語活動</v>
      </c>
      <c r="C410" s="70" t="str">
        <f aca="false">IF(Data!C410="—","—",IFERROR(INDEX(対訳マスタ!$C$2:$C$136,MATCH(Data!C410,対訳マスタ!$B$2:$B$136,0)),Data!C410))</f>
        <v>相互行為</v>
      </c>
      <c r="D410" s="70" t="str">
        <f aca="false">IF(Data!D410="—","—",IFERROR(INDEX(対訳マスタ!$C$2:$C$136,MATCH(Data!D410,対訳マスタ!$B$2:$B$136,0)),Data!D410))</f>
        <v>口頭の相互行為</v>
      </c>
      <c r="E410" s="70" t="str">
        <f aca="false">IFERROR(INDEX(対訳マスタ!$C$2:$C$136,MATCH(Data!E410,対訳マスタ!$B$2:$B$136,0)),Data!E410)</f>
        <v>口頭相互行為（総合）</v>
      </c>
      <c r="F410" s="70" t="str">
        <f aca="false">Data!F410</f>
        <v>A2+</v>
      </c>
      <c r="G410" s="31" t="str">
        <f aca="false">Data!G410</f>
        <v>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v>
      </c>
      <c r="H410" s="71" t="s">
        <v>2655</v>
      </c>
      <c r="I410" s="79" t="s">
        <v>3089</v>
      </c>
    </row>
    <row r="411" customFormat="false" ht="42.75" hidden="false" customHeight="true" outlineLevel="0" collapsed="false">
      <c r="A411" s="70" t="n">
        <f aca="false">Data!A411</f>
        <v>410</v>
      </c>
      <c r="B411" s="70" t="str">
        <f aca="false">IFERROR(INDEX(対訳マスタ!$C$2:$C$136,MATCH(Data!B411,対訳マスタ!$B$2:$B$136,0)),Data!B411)</f>
        <v>コミュニケーション言語活動</v>
      </c>
      <c r="C411" s="70" t="str">
        <f aca="false">IF(Data!C411="—","—",IFERROR(INDEX(対訳マスタ!$C$2:$C$136,MATCH(Data!C411,対訳マスタ!$B$2:$B$136,0)),Data!C411))</f>
        <v>相互行為</v>
      </c>
      <c r="D411" s="70" t="str">
        <f aca="false">IF(Data!D411="—","—",IFERROR(INDEX(対訳マスタ!$C$2:$C$136,MATCH(Data!D411,対訳マスタ!$B$2:$B$136,0)),Data!D411))</f>
        <v>口頭の相互行為</v>
      </c>
      <c r="E411" s="70" t="str">
        <f aca="false">IFERROR(INDEX(対訳マスタ!$C$2:$C$136,MATCH(Data!E411,対訳マスタ!$B$2:$B$136,0)),Data!E411)</f>
        <v>口頭相互行為（総合）</v>
      </c>
      <c r="F411" s="70" t="str">
        <f aca="false">Data!F411</f>
        <v>A2</v>
      </c>
      <c r="G411" s="31" t="str">
        <f aca="false">Data!G411</f>
        <v>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v>
      </c>
      <c r="H411" s="71" t="s">
        <v>2654</v>
      </c>
      <c r="I411" s="79" t="s">
        <v>3089</v>
      </c>
    </row>
    <row r="412" customFormat="false" ht="39" hidden="false" customHeight="true" outlineLevel="0" collapsed="false">
      <c r="A412" s="70" t="n">
        <f aca="false">Data!A412</f>
        <v>411</v>
      </c>
      <c r="B412" s="70" t="str">
        <f aca="false">IFERROR(INDEX(対訳マスタ!$C$2:$C$136,MATCH(Data!B412,対訳マスタ!$B$2:$B$136,0)),Data!B412)</f>
        <v>コミュニケーション言語活動</v>
      </c>
      <c r="C412" s="70" t="str">
        <f aca="false">IF(Data!C412="—","—",IFERROR(INDEX(対訳マスタ!$C$2:$C$136,MATCH(Data!C412,対訳マスタ!$B$2:$B$136,0)),Data!C412))</f>
        <v>相互行為</v>
      </c>
      <c r="D412" s="70" t="str">
        <f aca="false">IF(Data!D412="—","—",IFERROR(INDEX(対訳マスタ!$C$2:$C$136,MATCH(Data!D412,対訳マスタ!$B$2:$B$136,0)),Data!D412))</f>
        <v>口頭の相互行為</v>
      </c>
      <c r="E412" s="70" t="str">
        <f aca="false">IFERROR(INDEX(対訳マスタ!$C$2:$C$136,MATCH(Data!E412,対訳マスタ!$B$2:$B$136,0)),Data!E412)</f>
        <v>口頭相互行為（総合）</v>
      </c>
      <c r="F412" s="70" t="str">
        <f aca="false">Data!F412</f>
        <v>A1</v>
      </c>
      <c r="G412" s="31" t="str">
        <f aca="false">Data!G412</f>
        <v>Can interact in a simple way but communication is totally dependent on repetition at a slower rate, rephrasing and repair. Can ask and answer simple questions, initiate and respond to simple statements in areas of immediate need or on very familiar topics.</v>
      </c>
      <c r="H412" s="71" t="s">
        <v>2653</v>
      </c>
      <c r="I412" s="79" t="s">
        <v>3089</v>
      </c>
    </row>
    <row r="413" customFormat="false" ht="26.25" hidden="false" customHeight="true" outlineLevel="0" collapsed="false">
      <c r="A413" s="70" t="n">
        <f aca="false">Data!A413</f>
        <v>412</v>
      </c>
      <c r="B413" s="70" t="str">
        <f aca="false">IFERROR(INDEX(対訳マスタ!$C$2:$C$136,MATCH(Data!B413,対訳マスタ!$B$2:$B$136,0)),Data!B413)</f>
        <v>コミュニケーション言語活動</v>
      </c>
      <c r="C413" s="70" t="str">
        <f aca="false">IF(Data!C413="—","—",IFERROR(INDEX(対訳マスタ!$C$2:$C$136,MATCH(Data!C413,対訳マスタ!$B$2:$B$136,0)),Data!C413))</f>
        <v>相互行為</v>
      </c>
      <c r="D413" s="70" t="str">
        <f aca="false">IF(Data!D413="—","—",IFERROR(INDEX(対訳マスタ!$C$2:$C$136,MATCH(Data!D413,対訳マスタ!$B$2:$B$136,0)),Data!D413))</f>
        <v>口頭の相互行為</v>
      </c>
      <c r="E413" s="70" t="str">
        <f aca="false">IFERROR(INDEX(対訳マスタ!$C$2:$C$136,MATCH(Data!E413,対訳マスタ!$B$2:$B$136,0)),Data!E413)</f>
        <v>口頭相互行為（総合）</v>
      </c>
      <c r="F413" s="70" t="str">
        <f aca="false">Data!F413</f>
        <v>Pre-A1</v>
      </c>
      <c r="G413" s="31" t="str">
        <f aca="false">Data!G413</f>
        <v>Can ask and answer questions about themselves and daily routines, using short, formulaic expressions and relying on gestures to reinforce the information.</v>
      </c>
      <c r="H413" s="71" t="s">
        <v>2652</v>
      </c>
      <c r="I413" s="79" t="s">
        <v>3089</v>
      </c>
    </row>
    <row r="414" customFormat="false" ht="26.25" hidden="false" customHeight="true" outlineLevel="0" collapsed="false">
      <c r="A414" s="70" t="n">
        <f aca="false">Data!A414</f>
        <v>413</v>
      </c>
      <c r="B414" s="70" t="str">
        <f aca="false">IFERROR(INDEX(対訳マスタ!$C$2:$C$136,MATCH(Data!B414,対訳マスタ!$B$2:$B$136,0)),Data!B414)</f>
        <v>コミュニケーション言語活動</v>
      </c>
      <c r="C414" s="70" t="str">
        <f aca="false">IF(Data!C414="—","—",IFERROR(INDEX(対訳マスタ!$C$2:$C$136,MATCH(Data!C414,対訳マスタ!$B$2:$B$136,0)),Data!C414))</f>
        <v>相互行為</v>
      </c>
      <c r="D414" s="70" t="str">
        <f aca="false">IF(Data!D414="—","—",IFERROR(INDEX(対訳マスタ!$C$2:$C$136,MATCH(Data!D414,対訳マスタ!$B$2:$B$136,0)),Data!D414))</f>
        <v>口頭の相互行為</v>
      </c>
      <c r="E414" s="70" t="str">
        <f aca="false">IFERROR(INDEX(対訳マスタ!$C$2:$C$136,MATCH(Data!E414,対訳マスタ!$B$2:$B$136,0)),Data!E414)</f>
        <v>対話相手の理解</v>
      </c>
      <c r="F414" s="70" t="str">
        <f aca="false">Data!F414</f>
        <v>C2</v>
      </c>
      <c r="G414" s="31" t="str">
        <f aca="false">Data!G414</f>
        <v>Can understand any interlocutor, even on abstract and complex topics of a specialist nature beyond their own field, given an opportunity to adjust to a less familiar variety.</v>
      </c>
      <c r="H414" s="71" t="s">
        <v>2669</v>
      </c>
      <c r="I414" s="79" t="s">
        <v>3089</v>
      </c>
    </row>
    <row r="415" customFormat="false" ht="32.25" hidden="false" customHeight="true" outlineLevel="0" collapsed="false">
      <c r="A415" s="70" t="n">
        <f aca="false">Data!A415</f>
        <v>414</v>
      </c>
      <c r="B415" s="70" t="str">
        <f aca="false">IFERROR(INDEX(対訳マスタ!$C$2:$C$136,MATCH(Data!B415,対訳マスタ!$B$2:$B$136,0)),Data!B415)</f>
        <v>コミュニケーション言語活動</v>
      </c>
      <c r="C415" s="70" t="str">
        <f aca="false">IF(Data!C415="—","—",IFERROR(INDEX(対訳マスタ!$C$2:$C$136,MATCH(Data!C415,対訳マスタ!$B$2:$B$136,0)),Data!C415))</f>
        <v>相互行為</v>
      </c>
      <c r="D415" s="70" t="str">
        <f aca="false">IF(Data!D415="—","—",IFERROR(INDEX(対訳マスタ!$C$2:$C$136,MATCH(Data!D415,対訳マスタ!$B$2:$B$136,0)),Data!D415))</f>
        <v>口頭の相互行為</v>
      </c>
      <c r="E415" s="70" t="str">
        <f aca="false">IFERROR(INDEX(対訳マスタ!$C$2:$C$136,MATCH(Data!E415,対訳マスタ!$B$2:$B$136,0)),Data!E415)</f>
        <v>対話相手の理解</v>
      </c>
      <c r="F415" s="70" t="str">
        <f aca="false">Data!F415</f>
        <v>C1</v>
      </c>
      <c r="G415" s="31" t="str">
        <f aca="false">Data!G415</f>
        <v>Can understand an interlocutor in detail on abstract and complex topics of a specialist nature beyond their own field, though they may need to confirm occasional details, especially if the variety is unfamiliar.</v>
      </c>
      <c r="H415" s="71" t="s">
        <v>2668</v>
      </c>
      <c r="I415" s="79" t="s">
        <v>3089</v>
      </c>
    </row>
    <row r="416" customFormat="false" ht="26.25" hidden="false" customHeight="true" outlineLevel="0" collapsed="false">
      <c r="A416" s="70" t="n">
        <f aca="false">Data!A416</f>
        <v>415</v>
      </c>
      <c r="B416" s="70" t="str">
        <f aca="false">IFERROR(INDEX(対訳マスタ!$C$2:$C$136,MATCH(Data!B416,対訳マスタ!$B$2:$B$136,0)),Data!B416)</f>
        <v>コミュニケーション言語活動</v>
      </c>
      <c r="C416" s="70" t="str">
        <f aca="false">IF(Data!C416="—","—",IFERROR(INDEX(対訳マスタ!$C$2:$C$136,MATCH(Data!C416,対訳マスタ!$B$2:$B$136,0)),Data!C416))</f>
        <v>相互行為</v>
      </c>
      <c r="D416" s="70" t="str">
        <f aca="false">IF(Data!D416="—","—",IFERROR(INDEX(対訳マスタ!$C$2:$C$136,MATCH(Data!D416,対訳マスタ!$B$2:$B$136,0)),Data!D416))</f>
        <v>口頭の相互行為</v>
      </c>
      <c r="E416" s="70" t="str">
        <f aca="false">IFERROR(INDEX(対訳マスタ!$C$2:$C$136,MATCH(Data!E416,対訳マスタ!$B$2:$B$136,0)),Data!E416)</f>
        <v>対話相手の理解</v>
      </c>
      <c r="F416" s="70" t="str">
        <f aca="false">Data!F416</f>
        <v>B2</v>
      </c>
      <c r="G416" s="31" t="str">
        <f aca="false">Data!G416</f>
        <v>Can understand in detail what is said to them in the standard language or a familiar variety even in a [audially/visually] noisy environment.</v>
      </c>
      <c r="H416" s="71" t="s">
        <v>2667</v>
      </c>
      <c r="I416" s="79" t="s">
        <v>3089</v>
      </c>
    </row>
    <row r="417" customFormat="false" ht="26.25" hidden="false" customHeight="true" outlineLevel="0" collapsed="false">
      <c r="A417" s="70" t="n">
        <f aca="false">Data!A417</f>
        <v>416</v>
      </c>
      <c r="B417" s="70" t="str">
        <f aca="false">IFERROR(INDEX(対訳マスタ!$C$2:$C$136,MATCH(Data!B417,対訳マスタ!$B$2:$B$136,0)),Data!B417)</f>
        <v>コミュニケーション言語活動</v>
      </c>
      <c r="C417" s="70" t="str">
        <f aca="false">IF(Data!C417="—","—",IFERROR(INDEX(対訳マスタ!$C$2:$C$136,MATCH(Data!C417,対訳マスタ!$B$2:$B$136,0)),Data!C417))</f>
        <v>相互行為</v>
      </c>
      <c r="D417" s="70" t="str">
        <f aca="false">IF(Data!D417="—","—",IFERROR(INDEX(対訳マスタ!$C$2:$C$136,MATCH(Data!D417,対訳マスタ!$B$2:$B$136,0)),Data!D417))</f>
        <v>口頭の相互行為</v>
      </c>
      <c r="E417" s="70" t="str">
        <f aca="false">IFERROR(INDEX(対訳マスタ!$C$2:$C$136,MATCH(Data!E417,対訳マスタ!$B$2:$B$136,0)),Data!E417)</f>
        <v>対話相手の理解</v>
      </c>
      <c r="F417" s="70" t="str">
        <f aca="false">Data!F417</f>
        <v>B1</v>
      </c>
      <c r="G417" s="31" t="str">
        <f aca="false">Data!G417</f>
        <v>Can follow clearly articulated speech/sign directed at them in everyday conversation, though will sometimes have to ask for repetition of particular words/signs and phrases.</v>
      </c>
      <c r="H417" s="71" t="s">
        <v>2666</v>
      </c>
      <c r="I417" s="79" t="s">
        <v>3089</v>
      </c>
    </row>
    <row r="418" customFormat="false" ht="15" hidden="false" customHeight="true" outlineLevel="0" collapsed="false">
      <c r="A418" s="70" t="n">
        <f aca="false">Data!A418</f>
        <v>417</v>
      </c>
      <c r="B418" s="70" t="str">
        <f aca="false">IFERROR(INDEX(対訳マスタ!$C$2:$C$136,MATCH(Data!B418,対訳マスタ!$B$2:$B$136,0)),Data!B418)</f>
        <v>コミュニケーション言語活動</v>
      </c>
      <c r="C418" s="70" t="str">
        <f aca="false">IF(Data!C418="—","—",IFERROR(INDEX(対訳マスタ!$C$2:$C$136,MATCH(Data!C418,対訳マスタ!$B$2:$B$136,0)),Data!C418))</f>
        <v>相互行為</v>
      </c>
      <c r="D418" s="70" t="str">
        <f aca="false">IF(Data!D418="—","—",IFERROR(INDEX(対訳マスタ!$C$2:$C$136,MATCH(Data!D418,対訳マスタ!$B$2:$B$136,0)),Data!D418))</f>
        <v>口頭の相互行為</v>
      </c>
      <c r="E418" s="70" t="str">
        <f aca="false">IFERROR(INDEX(対訳マスタ!$C$2:$C$136,MATCH(Data!E418,対訳マスタ!$B$2:$B$136,0)),Data!E418)</f>
        <v>対話相手の理解</v>
      </c>
      <c r="F418" s="70" t="str">
        <f aca="false">Data!F418</f>
        <v>A2+</v>
      </c>
      <c r="G418" s="31" t="str">
        <f aca="false">Data!G418</f>
        <v>Can understand enough to manage simple, routine exchanges without undue effort.</v>
      </c>
      <c r="H418" s="71" t="s">
        <v>2665</v>
      </c>
      <c r="I418" s="79" t="s">
        <v>3089</v>
      </c>
    </row>
    <row r="419" customFormat="false" ht="21.75" hidden="false" customHeight="true" outlineLevel="0" collapsed="false">
      <c r="A419" s="70" t="n">
        <f aca="false">Data!A419</f>
        <v>418</v>
      </c>
      <c r="B419" s="70" t="str">
        <f aca="false">IFERROR(INDEX(対訳マスタ!$C$2:$C$136,MATCH(Data!B419,対訳マスタ!$B$2:$B$136,0)),Data!B419)</f>
        <v>コミュニケーション言語活動</v>
      </c>
      <c r="C419" s="70" t="str">
        <f aca="false">IF(Data!C419="—","—",IFERROR(INDEX(対訳マスタ!$C$2:$C$136,MATCH(Data!C419,対訳マスタ!$B$2:$B$136,0)),Data!C419))</f>
        <v>相互行為</v>
      </c>
      <c r="D419" s="70" t="str">
        <f aca="false">IF(Data!D419="—","—",IFERROR(INDEX(対訳マスタ!$C$2:$C$136,MATCH(Data!D419,対訳マスタ!$B$2:$B$136,0)),Data!D419))</f>
        <v>口頭の相互行為</v>
      </c>
      <c r="E419" s="70" t="str">
        <f aca="false">IFERROR(INDEX(対訳マスタ!$C$2:$C$136,MATCH(Data!E419,対訳マスタ!$B$2:$B$136,0)),Data!E419)</f>
        <v>対話相手の理解</v>
      </c>
      <c r="F419" s="70" t="str">
        <f aca="false">Data!F419</f>
        <v>A2+</v>
      </c>
      <c r="G419" s="31" t="str">
        <f aca="false">Data!G419</f>
        <v>Can generally understand clear, standard speech/sign on familiar matters directed at them, provided they can ask for repetition or reformulation from time to time.</v>
      </c>
      <c r="H419" s="71" t="s">
        <v>3260</v>
      </c>
      <c r="I419" s="79" t="s">
        <v>3089</v>
      </c>
    </row>
    <row r="420" customFormat="false" ht="26.25" hidden="false" customHeight="true" outlineLevel="0" collapsed="false">
      <c r="A420" s="70" t="n">
        <f aca="false">Data!A420</f>
        <v>419</v>
      </c>
      <c r="B420" s="70" t="str">
        <f aca="false">IFERROR(INDEX(対訳マスタ!$C$2:$C$136,MATCH(Data!B420,対訳マスタ!$B$2:$B$136,0)),Data!B420)</f>
        <v>コミュニケーション言語活動</v>
      </c>
      <c r="C420" s="70" t="str">
        <f aca="false">IF(Data!C420="—","—",IFERROR(INDEX(対訳マスタ!$C$2:$C$136,MATCH(Data!C420,対訳マスタ!$B$2:$B$136,0)),Data!C420))</f>
        <v>相互行為</v>
      </c>
      <c r="D420" s="70" t="str">
        <f aca="false">IF(Data!D420="—","—",IFERROR(INDEX(対訳マスタ!$C$2:$C$136,MATCH(Data!D420,対訳マスタ!$B$2:$B$136,0)),Data!D420))</f>
        <v>口頭の相互行為</v>
      </c>
      <c r="E420" s="70" t="str">
        <f aca="false">IFERROR(INDEX(対訳マスタ!$C$2:$C$136,MATCH(Data!E420,対訳マスタ!$B$2:$B$136,0)),Data!E420)</f>
        <v>対話相手の理解</v>
      </c>
      <c r="F420" s="70" t="str">
        <f aca="false">Data!F420</f>
        <v>A2</v>
      </c>
      <c r="G420" s="31" t="str">
        <f aca="false">Data!G420</f>
        <v>Can understand what is said clearly, slowly and directly to them in simple everyday conversation; can be made to understand, if the interlocutor can take the trouble.</v>
      </c>
      <c r="H420" s="71" t="s">
        <v>2664</v>
      </c>
      <c r="I420" s="79" t="s">
        <v>3089</v>
      </c>
    </row>
    <row r="421" customFormat="false" ht="32.25" hidden="false" customHeight="true" outlineLevel="0" collapsed="false">
      <c r="A421" s="70" t="n">
        <f aca="false">Data!A421</f>
        <v>420</v>
      </c>
      <c r="B421" s="70" t="str">
        <f aca="false">IFERROR(INDEX(対訳マスタ!$C$2:$C$136,MATCH(Data!B421,対訳マスタ!$B$2:$B$136,0)),Data!B421)</f>
        <v>コミュニケーション言語活動</v>
      </c>
      <c r="C421" s="70" t="str">
        <f aca="false">IF(Data!C421="—","—",IFERROR(INDEX(対訳マスタ!$C$2:$C$136,MATCH(Data!C421,対訳マスタ!$B$2:$B$136,0)),Data!C421))</f>
        <v>相互行為</v>
      </c>
      <c r="D421" s="70" t="str">
        <f aca="false">IF(Data!D421="—","—",IFERROR(INDEX(対訳マスタ!$C$2:$C$136,MATCH(Data!D421,対訳マスタ!$B$2:$B$136,0)),Data!D421))</f>
        <v>口頭の相互行為</v>
      </c>
      <c r="E421" s="70" t="str">
        <f aca="false">IFERROR(INDEX(対訳マスタ!$C$2:$C$136,MATCH(Data!E421,対訳マスタ!$B$2:$B$136,0)),Data!E421)</f>
        <v>対話相手の理解</v>
      </c>
      <c r="F421" s="70" t="str">
        <f aca="false">Data!F421</f>
        <v>A1</v>
      </c>
      <c r="G421" s="31" t="str">
        <f aca="false">Data!G421</f>
        <v>Can understand everyday expressions aimed at the satisfaction of simple needs of a concrete type, delivered directly to them clearly and slowly, with repetition, by a sympathetic interlocutor.</v>
      </c>
      <c r="H421" s="71" t="s">
        <v>3261</v>
      </c>
      <c r="I421" s="79" t="s">
        <v>3089</v>
      </c>
    </row>
    <row r="422" customFormat="false" ht="26.25" hidden="false" customHeight="true" outlineLevel="0" collapsed="false">
      <c r="A422" s="70" t="n">
        <f aca="false">Data!A422</f>
        <v>421</v>
      </c>
      <c r="B422" s="70" t="str">
        <f aca="false">IFERROR(INDEX(対訳マスタ!$C$2:$C$136,MATCH(Data!B422,対訳マスタ!$B$2:$B$136,0)),Data!B422)</f>
        <v>コミュニケーション言語活動</v>
      </c>
      <c r="C422" s="70" t="str">
        <f aca="false">IF(Data!C422="—","—",IFERROR(INDEX(対訳マスタ!$C$2:$C$136,MATCH(Data!C422,対訳マスタ!$B$2:$B$136,0)),Data!C422))</f>
        <v>相互行為</v>
      </c>
      <c r="D422" s="70" t="str">
        <f aca="false">IF(Data!D422="—","—",IFERROR(INDEX(対訳マスタ!$C$2:$C$136,MATCH(Data!D422,対訳マスタ!$B$2:$B$136,0)),Data!D422))</f>
        <v>口頭の相互行為</v>
      </c>
      <c r="E422" s="70" t="str">
        <f aca="false">IFERROR(INDEX(対訳マスタ!$C$2:$C$136,MATCH(Data!E422,対訳マスタ!$B$2:$B$136,0)),Data!E422)</f>
        <v>対話相手の理解</v>
      </c>
      <c r="F422" s="70" t="str">
        <f aca="false">Data!F422</f>
        <v>A1</v>
      </c>
      <c r="G422" s="31" t="str">
        <f aca="false">Data!G422</f>
        <v>Can understand questions and instructions addressed carefully and slowly to them and follow short, simple directions.</v>
      </c>
      <c r="H422" s="71" t="s">
        <v>2663</v>
      </c>
      <c r="I422" s="79" t="s">
        <v>3089</v>
      </c>
    </row>
    <row r="423" customFormat="false" ht="26.25" hidden="false" customHeight="true" outlineLevel="0" collapsed="false">
      <c r="A423" s="70" t="n">
        <f aca="false">Data!A423</f>
        <v>422</v>
      </c>
      <c r="B423" s="70" t="str">
        <f aca="false">IFERROR(INDEX(対訳マスタ!$C$2:$C$136,MATCH(Data!B423,対訳マスタ!$B$2:$B$136,0)),Data!B423)</f>
        <v>コミュニケーション言語活動</v>
      </c>
      <c r="C423" s="70" t="str">
        <f aca="false">IF(Data!C423="—","—",IFERROR(INDEX(対訳マスタ!$C$2:$C$136,MATCH(Data!C423,対訳マスタ!$B$2:$B$136,0)),Data!C423))</f>
        <v>相互行為</v>
      </c>
      <c r="D423" s="70" t="str">
        <f aca="false">IF(Data!D423="—","—",IFERROR(INDEX(対訳マスタ!$C$2:$C$136,MATCH(Data!D423,対訳マスタ!$B$2:$B$136,0)),Data!D423))</f>
        <v>口頭の相互行為</v>
      </c>
      <c r="E423" s="70" t="str">
        <f aca="false">IFERROR(INDEX(対訳マスタ!$C$2:$C$136,MATCH(Data!E423,対訳マスタ!$B$2:$B$136,0)),Data!E423)</f>
        <v>対話相手の理解</v>
      </c>
      <c r="F423" s="70" t="str">
        <f aca="false">Data!F423</f>
        <v>Pre-A1</v>
      </c>
      <c r="G423" s="31" t="str">
        <f aca="false">Data!G423</f>
        <v>Can understand simple questions that directly concern them (e.g. name, age and address), if the person is asking slowly and clearly.</v>
      </c>
      <c r="H423" s="71" t="s">
        <v>2662</v>
      </c>
      <c r="I423" s="79" t="s">
        <v>3089</v>
      </c>
    </row>
    <row r="424" customFormat="false" ht="42.75" hidden="false" customHeight="true" outlineLevel="0" collapsed="false">
      <c r="A424" s="70" t="n">
        <f aca="false">Data!A424</f>
        <v>423</v>
      </c>
      <c r="B424" s="70" t="str">
        <f aca="false">IFERROR(INDEX(対訳マスタ!$C$2:$C$136,MATCH(Data!B424,対訳マスタ!$B$2:$B$136,0)),Data!B424)</f>
        <v>コミュニケーション言語活動</v>
      </c>
      <c r="C424" s="70" t="str">
        <f aca="false">IF(Data!C424="—","—",IFERROR(INDEX(対訳マスタ!$C$2:$C$136,MATCH(Data!C424,対訳マスタ!$B$2:$B$136,0)),Data!C424))</f>
        <v>相互行為</v>
      </c>
      <c r="D424" s="70" t="str">
        <f aca="false">IF(Data!D424="—","—",IFERROR(INDEX(対訳マスタ!$C$2:$C$136,MATCH(Data!D424,対訳マスタ!$B$2:$B$136,0)),Data!D424))</f>
        <v>口頭の相互行為</v>
      </c>
      <c r="E424" s="70" t="str">
        <f aca="false">IFERROR(INDEX(対訳マスタ!$C$2:$C$136,MATCH(Data!E424,対訳マスタ!$B$2:$B$136,0)),Data!E424)</f>
        <v>対話相手の理解</v>
      </c>
      <c r="F424" s="70" t="str">
        <f aca="false">Data!F424</f>
        <v>Pre-A1</v>
      </c>
      <c r="G424" s="31" t="str">
        <f aca="false">Data!G424</f>
        <v>Can understand simple personal information (e.g. name, age, place of residence, origin) when other people introduce themselves slowly and clearly, directly to them, and can understand questions on this theme addressed to them, though the questions may need to be repeated.</v>
      </c>
      <c r="H424" s="71" t="s">
        <v>3262</v>
      </c>
      <c r="I424" s="79" t="s">
        <v>3089</v>
      </c>
    </row>
    <row r="425" customFormat="false" ht="32.25" hidden="false" customHeight="true" outlineLevel="0" collapsed="false">
      <c r="A425" s="70" t="n">
        <f aca="false">Data!A425</f>
        <v>424</v>
      </c>
      <c r="B425" s="70" t="str">
        <f aca="false">IFERROR(INDEX(対訳マスタ!$C$2:$C$136,MATCH(Data!B425,対訳マスタ!$B$2:$B$136,0)),Data!B425)</f>
        <v>コミュニケーション言語活動</v>
      </c>
      <c r="C425" s="70" t="str">
        <f aca="false">IF(Data!C425="—","—",IFERROR(INDEX(対訳マスタ!$C$2:$C$136,MATCH(Data!C425,対訳マスタ!$B$2:$B$136,0)),Data!C425))</f>
        <v>相互行為</v>
      </c>
      <c r="D425" s="70" t="str">
        <f aca="false">IF(Data!D425="—","—",IFERROR(INDEX(対訳マスタ!$C$2:$C$136,MATCH(Data!D425,対訳マスタ!$B$2:$B$136,0)),Data!D425))</f>
        <v>口頭の相互行為</v>
      </c>
      <c r="E425" s="70" t="str">
        <f aca="false">IFERROR(INDEX(対訳マスタ!$C$2:$C$136,MATCH(Data!E425,対訳マスタ!$B$2:$B$136,0)),Data!E425)</f>
        <v>対話相手の理解</v>
      </c>
      <c r="F425" s="70" t="str">
        <f aca="false">Data!F425</f>
        <v>Pre-A1</v>
      </c>
      <c r="G425" s="31" t="str">
        <f aca="false">Data!G425</f>
        <v>Can understand a number of familiar words/signs and recognise key information (e.g. numbers, prices, dates and days of the week), provided the delivery is very slow, with repetition if necessary.</v>
      </c>
      <c r="H425" s="71" t="s">
        <v>3263</v>
      </c>
      <c r="I425" s="79" t="s">
        <v>3089</v>
      </c>
    </row>
    <row r="426" customFormat="false" ht="21.75" hidden="false" customHeight="true" outlineLevel="0" collapsed="false">
      <c r="A426" s="70" t="n">
        <f aca="false">Data!A426</f>
        <v>425</v>
      </c>
      <c r="B426" s="70" t="str">
        <f aca="false">IFERROR(INDEX(対訳マスタ!$C$2:$C$136,MATCH(Data!B426,対訳マスタ!$B$2:$B$136,0)),Data!B426)</f>
        <v>コミュニケーション言語活動</v>
      </c>
      <c r="C426" s="70" t="str">
        <f aca="false">IF(Data!C426="—","—",IFERROR(INDEX(対訳マスタ!$C$2:$C$136,MATCH(Data!C426,対訳マスタ!$B$2:$B$136,0)),Data!C426))</f>
        <v>相互行為</v>
      </c>
      <c r="D426" s="70" t="str">
        <f aca="false">IF(Data!D426="—","—",IFERROR(INDEX(対訳マスタ!$C$2:$C$136,MATCH(Data!D426,対訳マスタ!$B$2:$B$136,0)),Data!D426))</f>
        <v>口頭の相互行為</v>
      </c>
      <c r="E426" s="70" t="str">
        <f aca="false">IFERROR(INDEX(対訳マスタ!$C$2:$C$136,MATCH(Data!E426,対訳マスタ!$B$2:$B$136,0)),Data!E426)</f>
        <v>会話（社交的な会話）</v>
      </c>
      <c r="F426" s="70" t="str">
        <f aca="false">Data!F426</f>
        <v>C2</v>
      </c>
      <c r="G426" s="31" t="str">
        <f aca="false">Data!G426</f>
        <v>Can converse comfortably and appropriately, unhampered by any linguistic limitations in conducting a full social and personal life.</v>
      </c>
      <c r="H426" s="71" t="s">
        <v>2678</v>
      </c>
      <c r="I426" s="79" t="s">
        <v>3089</v>
      </c>
    </row>
    <row r="427" customFormat="false" ht="21.75" hidden="false" customHeight="true" outlineLevel="0" collapsed="false">
      <c r="A427" s="70" t="n">
        <f aca="false">Data!A427</f>
        <v>426</v>
      </c>
      <c r="B427" s="70" t="str">
        <f aca="false">IFERROR(INDEX(対訳マスタ!$C$2:$C$136,MATCH(Data!B427,対訳マスタ!$B$2:$B$136,0)),Data!B427)</f>
        <v>コミュニケーション言語活動</v>
      </c>
      <c r="C427" s="70" t="str">
        <f aca="false">IF(Data!C427="—","—",IFERROR(INDEX(対訳マスタ!$C$2:$C$136,MATCH(Data!C427,対訳マスタ!$B$2:$B$136,0)),Data!C427))</f>
        <v>相互行為</v>
      </c>
      <c r="D427" s="70" t="str">
        <f aca="false">IF(Data!D427="—","—",IFERROR(INDEX(対訳マスタ!$C$2:$C$136,MATCH(Data!D427,対訳マスタ!$B$2:$B$136,0)),Data!D427))</f>
        <v>口頭の相互行為</v>
      </c>
      <c r="E427" s="70" t="str">
        <f aca="false">IFERROR(INDEX(対訳マスタ!$C$2:$C$136,MATCH(Data!E427,対訳マスタ!$B$2:$B$136,0)),Data!E427)</f>
        <v>会話（社交的な会話）</v>
      </c>
      <c r="F427" s="70" t="str">
        <f aca="false">Data!F427</f>
        <v>C1</v>
      </c>
      <c r="G427" s="31" t="str">
        <f aca="false">Data!G427</f>
        <v>Can use language flexibly and effectively for social purposes, including emotional, allusive and joking usage.</v>
      </c>
      <c r="H427" s="71" t="s">
        <v>2677</v>
      </c>
      <c r="I427" s="79" t="s">
        <v>3089</v>
      </c>
    </row>
    <row r="428" customFormat="false" ht="32.25" hidden="false" customHeight="true" outlineLevel="0" collapsed="false">
      <c r="A428" s="70" t="n">
        <f aca="false">Data!A428</f>
        <v>427</v>
      </c>
      <c r="B428" s="70" t="str">
        <f aca="false">IFERROR(INDEX(対訳マスタ!$C$2:$C$136,MATCH(Data!B428,対訳マスタ!$B$2:$B$136,0)),Data!B428)</f>
        <v>コミュニケーション言語活動</v>
      </c>
      <c r="C428" s="70" t="str">
        <f aca="false">IF(Data!C428="—","—",IFERROR(INDEX(対訳マスタ!$C$2:$C$136,MATCH(Data!C428,対訳マスタ!$B$2:$B$136,0)),Data!C428))</f>
        <v>相互行為</v>
      </c>
      <c r="D428" s="70" t="str">
        <f aca="false">IF(Data!D428="—","—",IFERROR(INDEX(対訳マスタ!$C$2:$C$136,MATCH(Data!D428,対訳マスタ!$B$2:$B$136,0)),Data!D428))</f>
        <v>口頭の相互行為</v>
      </c>
      <c r="E428" s="70" t="str">
        <f aca="false">IFERROR(INDEX(対訳マスタ!$C$2:$C$136,MATCH(Data!E428,対訳マスタ!$B$2:$B$136,0)),Data!E428)</f>
        <v>会話（社交的な会話）</v>
      </c>
      <c r="F428" s="70" t="str">
        <f aca="false">Data!F428</f>
        <v>B2+</v>
      </c>
      <c r="G428" s="31" t="str">
        <f aca="false">Data!G428</f>
        <v>Can establish a relationship with interlocutors through sympathetic questioning and expressions of agreement plus, if appropriate, comments about third parties or shared conditions.</v>
      </c>
      <c r="H428" s="71" t="s">
        <v>3264</v>
      </c>
      <c r="I428" s="79" t="s">
        <v>3089</v>
      </c>
    </row>
    <row r="429" customFormat="false" ht="26.25" hidden="false" customHeight="true" outlineLevel="0" collapsed="false">
      <c r="A429" s="70" t="n">
        <f aca="false">Data!A429</f>
        <v>428</v>
      </c>
      <c r="B429" s="70" t="str">
        <f aca="false">IFERROR(INDEX(対訳マスタ!$C$2:$C$136,MATCH(Data!B429,対訳マスタ!$B$2:$B$136,0)),Data!B429)</f>
        <v>コミュニケーション言語活動</v>
      </c>
      <c r="C429" s="70" t="str">
        <f aca="false">IF(Data!C429="—","—",IFERROR(INDEX(対訳マスタ!$C$2:$C$136,MATCH(Data!C429,対訳マスタ!$B$2:$B$136,0)),Data!C429))</f>
        <v>相互行為</v>
      </c>
      <c r="D429" s="70" t="str">
        <f aca="false">IF(Data!D429="—","—",IFERROR(INDEX(対訳マスタ!$C$2:$C$136,MATCH(Data!D429,対訳マスタ!$B$2:$B$136,0)),Data!D429))</f>
        <v>口頭の相互行為</v>
      </c>
      <c r="E429" s="70" t="str">
        <f aca="false">IFERROR(INDEX(対訳マスタ!$C$2:$C$136,MATCH(Data!E429,対訳マスタ!$B$2:$B$136,0)),Data!E429)</f>
        <v>会話（社交的な会話）</v>
      </c>
      <c r="F429" s="70" t="str">
        <f aca="false">Data!F429</f>
        <v>B2+</v>
      </c>
      <c r="G429" s="31" t="str">
        <f aca="false">Data!G429</f>
        <v>Can indicate reservations and reluctance, state conditions when agreeing to requests or granting permission, and ask for understanding of their own position.</v>
      </c>
      <c r="H429" s="71" t="s">
        <v>2676</v>
      </c>
      <c r="I429" s="79" t="s">
        <v>3089</v>
      </c>
    </row>
    <row r="430" customFormat="false" ht="21.75" hidden="false" customHeight="true" outlineLevel="0" collapsed="false">
      <c r="A430" s="70" t="n">
        <f aca="false">Data!A430</f>
        <v>429</v>
      </c>
      <c r="B430" s="70" t="str">
        <f aca="false">IFERROR(INDEX(対訳マスタ!$C$2:$C$136,MATCH(Data!B430,対訳マスタ!$B$2:$B$136,0)),Data!B430)</f>
        <v>コミュニケーション言語活動</v>
      </c>
      <c r="C430" s="70" t="str">
        <f aca="false">IF(Data!C430="—","—",IFERROR(INDEX(対訳マスタ!$C$2:$C$136,MATCH(Data!C430,対訳マスタ!$B$2:$B$136,0)),Data!C430))</f>
        <v>相互行為</v>
      </c>
      <c r="D430" s="70" t="str">
        <f aca="false">IF(Data!D430="—","—",IFERROR(INDEX(対訳マスタ!$C$2:$C$136,MATCH(Data!D430,対訳マスタ!$B$2:$B$136,0)),Data!D430))</f>
        <v>口頭の相互行為</v>
      </c>
      <c r="E430" s="70" t="str">
        <f aca="false">IFERROR(INDEX(対訳マスタ!$C$2:$C$136,MATCH(Data!E430,対訳マスタ!$B$2:$B$136,0)),Data!E430)</f>
        <v>会話（社交的な会話）</v>
      </c>
      <c r="F430" s="70" t="str">
        <f aca="false">Data!F430</f>
        <v>B2</v>
      </c>
      <c r="G430" s="31" t="str">
        <f aca="false">Data!G430</f>
        <v>Can engage in extended conversation on most general topics in a clearly participatory fashion, even in a [audially/visually] noisy environment.</v>
      </c>
      <c r="H430" s="71" t="s">
        <v>3265</v>
      </c>
      <c r="I430" s="79" t="s">
        <v>3089</v>
      </c>
    </row>
    <row r="431" customFormat="false" ht="32.25" hidden="false" customHeight="true" outlineLevel="0" collapsed="false">
      <c r="A431" s="70" t="n">
        <f aca="false">Data!A431</f>
        <v>430</v>
      </c>
      <c r="B431" s="70" t="str">
        <f aca="false">IFERROR(INDEX(対訳マスタ!$C$2:$C$136,MATCH(Data!B431,対訳マスタ!$B$2:$B$136,0)),Data!B431)</f>
        <v>コミュニケーション言語活動</v>
      </c>
      <c r="C431" s="70" t="str">
        <f aca="false">IF(Data!C431="—","—",IFERROR(INDEX(対訳マスタ!$C$2:$C$136,MATCH(Data!C431,対訳マスタ!$B$2:$B$136,0)),Data!C431))</f>
        <v>相互行為</v>
      </c>
      <c r="D431" s="70" t="str">
        <f aca="false">IF(Data!D431="—","—",IFERROR(INDEX(対訳マスタ!$C$2:$C$136,MATCH(Data!D431,対訳マスタ!$B$2:$B$136,0)),Data!D431))</f>
        <v>口頭の相互行為</v>
      </c>
      <c r="E431" s="70" t="str">
        <f aca="false">IFERROR(INDEX(対訳マスタ!$C$2:$C$136,MATCH(Data!E431,対訳マスタ!$B$2:$B$136,0)),Data!E431)</f>
        <v>会話（社交的な会話）</v>
      </c>
      <c r="F431" s="70" t="str">
        <f aca="false">Data!F431</f>
        <v>B2</v>
      </c>
      <c r="G431" s="31" t="str">
        <f aca="false">Data!G431</f>
        <v>Can sustain relationships with users of the target language without unintentionally amusing or irritating them or requiring them to behave other than they would with another proficient language user.</v>
      </c>
      <c r="H431" s="71" t="s">
        <v>3266</v>
      </c>
      <c r="I431" s="79" t="s">
        <v>3089</v>
      </c>
    </row>
    <row r="432" customFormat="false" ht="21.75" hidden="false" customHeight="true" outlineLevel="0" collapsed="false">
      <c r="A432" s="70" t="n">
        <f aca="false">Data!A432</f>
        <v>431</v>
      </c>
      <c r="B432" s="70" t="str">
        <f aca="false">IFERROR(INDEX(対訳マスタ!$C$2:$C$136,MATCH(Data!B432,対訳マスタ!$B$2:$B$136,0)),Data!B432)</f>
        <v>コミュニケーション言語活動</v>
      </c>
      <c r="C432" s="70" t="str">
        <f aca="false">IF(Data!C432="—","—",IFERROR(INDEX(対訳マスタ!$C$2:$C$136,MATCH(Data!C432,対訳マスタ!$B$2:$B$136,0)),Data!C432))</f>
        <v>相互行為</v>
      </c>
      <c r="D432" s="70" t="str">
        <f aca="false">IF(Data!D432="—","—",IFERROR(INDEX(対訳マスタ!$C$2:$C$136,MATCH(Data!D432,対訳マスタ!$B$2:$B$136,0)),Data!D432))</f>
        <v>口頭の相互行為</v>
      </c>
      <c r="E432" s="70" t="str">
        <f aca="false">IFERROR(INDEX(対訳マスタ!$C$2:$C$136,MATCH(Data!E432,対訳マスタ!$B$2:$B$136,0)),Data!E432)</f>
        <v>会話（社交的な会話）</v>
      </c>
      <c r="F432" s="70" t="str">
        <f aca="false">Data!F432</f>
        <v>B2</v>
      </c>
      <c r="G432" s="31" t="str">
        <f aca="false">Data!G432</f>
        <v>Can convey degrees of emotion and highlight the personal significance of events and experiences.</v>
      </c>
      <c r="H432" s="71" t="s">
        <v>2675</v>
      </c>
      <c r="I432" s="79" t="s">
        <v>3089</v>
      </c>
    </row>
    <row r="433" customFormat="false" ht="32.25" hidden="false" customHeight="true" outlineLevel="0" collapsed="false">
      <c r="A433" s="70" t="n">
        <f aca="false">Data!A433</f>
        <v>432</v>
      </c>
      <c r="B433" s="70" t="str">
        <f aca="false">IFERROR(INDEX(対訳マスタ!$C$2:$C$136,MATCH(Data!B433,対訳マスタ!$B$2:$B$136,0)),Data!B433)</f>
        <v>コミュニケーション言語活動</v>
      </c>
      <c r="C433" s="70" t="str">
        <f aca="false">IF(Data!C433="—","—",IFERROR(INDEX(対訳マスタ!$C$2:$C$136,MATCH(Data!C433,対訳マスタ!$B$2:$B$136,0)),Data!C433))</f>
        <v>相互行為</v>
      </c>
      <c r="D433" s="70" t="str">
        <f aca="false">IF(Data!D433="—","—",IFERROR(INDEX(対訳マスタ!$C$2:$C$136,MATCH(Data!D433,対訳マスタ!$B$2:$B$136,0)),Data!D433))</f>
        <v>口頭の相互行為</v>
      </c>
      <c r="E433" s="70" t="str">
        <f aca="false">IFERROR(INDEX(対訳マスタ!$C$2:$C$136,MATCH(Data!E433,対訳マスタ!$B$2:$B$136,0)),Data!E433)</f>
        <v>会話（社交的な会話）</v>
      </c>
      <c r="F433" s="70" t="str">
        <f aca="false">Data!F433</f>
        <v>B1+</v>
      </c>
      <c r="G433" s="31" t="str">
        <f aca="false">Data!G433</f>
        <v>Can start up a conversation and help keep it going by asking people relatively spontaneous questions about a special experience or event, expressing reactions and opinions on familiar subjects.</v>
      </c>
      <c r="H433" s="71" t="s">
        <v>3267</v>
      </c>
      <c r="I433" s="79" t="s">
        <v>3089</v>
      </c>
    </row>
    <row r="434" customFormat="false" ht="26.25" hidden="false" customHeight="true" outlineLevel="0" collapsed="false">
      <c r="A434" s="70" t="n">
        <f aca="false">Data!A434</f>
        <v>433</v>
      </c>
      <c r="B434" s="70" t="str">
        <f aca="false">IFERROR(INDEX(対訳マスタ!$C$2:$C$136,MATCH(Data!B434,対訳マスタ!$B$2:$B$136,0)),Data!B434)</f>
        <v>コミュニケーション言語活動</v>
      </c>
      <c r="C434" s="70" t="str">
        <f aca="false">IF(Data!C434="—","—",IFERROR(INDEX(対訳マスタ!$C$2:$C$136,MATCH(Data!C434,対訳マスタ!$B$2:$B$136,0)),Data!C434))</f>
        <v>相互行為</v>
      </c>
      <c r="D434" s="70" t="str">
        <f aca="false">IF(Data!D434="—","—",IFERROR(INDEX(対訳マスタ!$C$2:$C$136,MATCH(Data!D434,対訳マスタ!$B$2:$B$136,0)),Data!D434))</f>
        <v>口頭の相互行為</v>
      </c>
      <c r="E434" s="70" t="str">
        <f aca="false">IFERROR(INDEX(対訳マスタ!$C$2:$C$136,MATCH(Data!E434,対訳マスタ!$B$2:$B$136,0)),Data!E434)</f>
        <v>会話（社交的な会話）</v>
      </c>
      <c r="F434" s="70" t="str">
        <f aca="false">Data!F434</f>
        <v>B1+</v>
      </c>
      <c r="G434" s="31" t="str">
        <f aca="false">Data!G434</f>
        <v>Can have relatively long conversations on subjects of common interest, provided the interlocutor makes an effort to support understanding.</v>
      </c>
      <c r="H434" s="71" t="s">
        <v>2674</v>
      </c>
      <c r="I434" s="79" t="s">
        <v>3089</v>
      </c>
    </row>
    <row r="435" customFormat="false" ht="15" hidden="false" customHeight="true" outlineLevel="0" collapsed="false">
      <c r="A435" s="70" t="n">
        <f aca="false">Data!A435</f>
        <v>434</v>
      </c>
      <c r="B435" s="70" t="str">
        <f aca="false">IFERROR(INDEX(対訳マスタ!$C$2:$C$136,MATCH(Data!B435,対訳マスタ!$B$2:$B$136,0)),Data!B435)</f>
        <v>コミュニケーション言語活動</v>
      </c>
      <c r="C435" s="70" t="str">
        <f aca="false">IF(Data!C435="—","—",IFERROR(INDEX(対訳マスタ!$C$2:$C$136,MATCH(Data!C435,対訳マスタ!$B$2:$B$136,0)),Data!C435))</f>
        <v>相互行為</v>
      </c>
      <c r="D435" s="70" t="str">
        <f aca="false">IF(Data!D435="—","—",IFERROR(INDEX(対訳マスタ!$C$2:$C$136,MATCH(Data!D435,対訳マスタ!$B$2:$B$136,0)),Data!D435))</f>
        <v>口頭の相互行為</v>
      </c>
      <c r="E435" s="70" t="str">
        <f aca="false">IFERROR(INDEX(対訳マスタ!$C$2:$C$136,MATCH(Data!E435,対訳マスタ!$B$2:$B$136,0)),Data!E435)</f>
        <v>会話（社交的な会話）</v>
      </c>
      <c r="F435" s="70" t="str">
        <f aca="false">Data!F435</f>
        <v>B1</v>
      </c>
      <c r="G435" s="31" t="str">
        <f aca="false">Data!G435</f>
        <v>Can enter unprepared into conversations on familiar topics.</v>
      </c>
      <c r="H435" s="71" t="s">
        <v>2673</v>
      </c>
      <c r="I435" s="79" t="s">
        <v>3089</v>
      </c>
    </row>
    <row r="436" customFormat="false" ht="21.75" hidden="false" customHeight="true" outlineLevel="0" collapsed="false">
      <c r="A436" s="70" t="n">
        <f aca="false">Data!A436</f>
        <v>435</v>
      </c>
      <c r="B436" s="70" t="str">
        <f aca="false">IFERROR(INDEX(対訳マスタ!$C$2:$C$136,MATCH(Data!B436,対訳マスタ!$B$2:$B$136,0)),Data!B436)</f>
        <v>コミュニケーション言語活動</v>
      </c>
      <c r="C436" s="70" t="str">
        <f aca="false">IF(Data!C436="—","—",IFERROR(INDEX(対訳マスタ!$C$2:$C$136,MATCH(Data!C436,対訳マスタ!$B$2:$B$136,0)),Data!C436))</f>
        <v>相互行為</v>
      </c>
      <c r="D436" s="70" t="str">
        <f aca="false">IF(Data!D436="—","—",IFERROR(INDEX(対訳マスタ!$C$2:$C$136,MATCH(Data!D436,対訳マスタ!$B$2:$B$136,0)),Data!D436))</f>
        <v>口頭の相互行為</v>
      </c>
      <c r="E436" s="70" t="str">
        <f aca="false">IFERROR(INDEX(対訳マスタ!$C$2:$C$136,MATCH(Data!E436,対訳マスタ!$B$2:$B$136,0)),Data!E436)</f>
        <v>会話（社交的な会話）</v>
      </c>
      <c r="F436" s="70" t="str">
        <f aca="false">Data!F436</f>
        <v>B1</v>
      </c>
      <c r="G436" s="31" t="str">
        <f aca="false">Data!G436</f>
        <v>Can follow clearly articulated language directed at them in everyday conversation, though will sometimes have to ask for repetition of particular words/signs.</v>
      </c>
      <c r="H436" s="71" t="s">
        <v>3268</v>
      </c>
      <c r="I436" s="79" t="s">
        <v>3089</v>
      </c>
    </row>
    <row r="437" customFormat="false" ht="21.75" hidden="false" customHeight="true" outlineLevel="0" collapsed="false">
      <c r="A437" s="70" t="n">
        <f aca="false">Data!A437</f>
        <v>436</v>
      </c>
      <c r="B437" s="70" t="str">
        <f aca="false">IFERROR(INDEX(対訳マスタ!$C$2:$C$136,MATCH(Data!B437,対訳マスタ!$B$2:$B$136,0)),Data!B437)</f>
        <v>コミュニケーション言語活動</v>
      </c>
      <c r="C437" s="70" t="str">
        <f aca="false">IF(Data!C437="—","—",IFERROR(INDEX(対訳マスタ!$C$2:$C$136,MATCH(Data!C437,対訳マスタ!$B$2:$B$136,0)),Data!C437))</f>
        <v>相互行為</v>
      </c>
      <c r="D437" s="70" t="str">
        <f aca="false">IF(Data!D437="—","—",IFERROR(INDEX(対訳マスタ!$C$2:$C$136,MATCH(Data!D437,対訳マスタ!$B$2:$B$136,0)),Data!D437))</f>
        <v>口頭の相互行為</v>
      </c>
      <c r="E437" s="70" t="str">
        <f aca="false">IFERROR(INDEX(対訳マスタ!$C$2:$C$136,MATCH(Data!E437,対訳マスタ!$B$2:$B$136,0)),Data!E437)</f>
        <v>会話（社交的な会話）</v>
      </c>
      <c r="F437" s="70" t="str">
        <f aca="false">Data!F437</f>
        <v>B1</v>
      </c>
      <c r="G437" s="31" t="str">
        <f aca="false">Data!G437</f>
        <v>Can maintain a conversation or discussion but may sometimes be difficult to follow when trying to express exactly what they would like to.</v>
      </c>
      <c r="H437" s="71" t="s">
        <v>3269</v>
      </c>
      <c r="I437" s="79" t="s">
        <v>3089</v>
      </c>
    </row>
    <row r="438" customFormat="false" ht="21.75" hidden="false" customHeight="true" outlineLevel="0" collapsed="false">
      <c r="A438" s="70" t="n">
        <f aca="false">Data!A438</f>
        <v>437</v>
      </c>
      <c r="B438" s="70" t="str">
        <f aca="false">IFERROR(INDEX(対訳マスタ!$C$2:$C$136,MATCH(Data!B438,対訳マスタ!$B$2:$B$136,0)),Data!B438)</f>
        <v>コミュニケーション言語活動</v>
      </c>
      <c r="C438" s="70" t="str">
        <f aca="false">IF(Data!C438="—","—",IFERROR(INDEX(対訳マスタ!$C$2:$C$136,MATCH(Data!C438,対訳マスタ!$B$2:$B$136,0)),Data!C438))</f>
        <v>相互行為</v>
      </c>
      <c r="D438" s="70" t="str">
        <f aca="false">IF(Data!D438="—","—",IFERROR(INDEX(対訳マスタ!$C$2:$C$136,MATCH(Data!D438,対訳マスタ!$B$2:$B$136,0)),Data!D438))</f>
        <v>口頭の相互行為</v>
      </c>
      <c r="E438" s="70" t="str">
        <f aca="false">IFERROR(INDEX(対訳マスタ!$C$2:$C$136,MATCH(Data!E438,対訳マスタ!$B$2:$B$136,0)),Data!E438)</f>
        <v>会話（社交的な会話）</v>
      </c>
      <c r="F438" s="70" t="str">
        <f aca="false">Data!F438</f>
        <v>B1</v>
      </c>
      <c r="G438" s="31" t="str">
        <f aca="false">Data!G438</f>
        <v>Can express and respond to feelings such as surprise, happiness, sadness, interest and indifference.</v>
      </c>
      <c r="H438" s="71" t="s">
        <v>3270</v>
      </c>
      <c r="I438" s="79" t="s">
        <v>3089</v>
      </c>
    </row>
    <row r="439" customFormat="false" ht="15" hidden="false" customHeight="true" outlineLevel="0" collapsed="false">
      <c r="A439" s="70" t="n">
        <f aca="false">Data!A439</f>
        <v>438</v>
      </c>
      <c r="B439" s="70" t="str">
        <f aca="false">IFERROR(INDEX(対訳マスタ!$C$2:$C$136,MATCH(Data!B439,対訳マスタ!$B$2:$B$136,0)),Data!B439)</f>
        <v>コミュニケーション言語活動</v>
      </c>
      <c r="C439" s="70" t="str">
        <f aca="false">IF(Data!C439="—","—",IFERROR(INDEX(対訳マスタ!$C$2:$C$136,MATCH(Data!C439,対訳マスタ!$B$2:$B$136,0)),Data!C439))</f>
        <v>相互行為</v>
      </c>
      <c r="D439" s="70" t="str">
        <f aca="false">IF(Data!D439="—","—",IFERROR(INDEX(対訳マスタ!$C$2:$C$136,MATCH(Data!D439,対訳マスタ!$B$2:$B$136,0)),Data!D439))</f>
        <v>口頭の相互行為</v>
      </c>
      <c r="E439" s="70" t="str">
        <f aca="false">IFERROR(INDEX(対訳マスタ!$C$2:$C$136,MATCH(Data!E439,対訳マスタ!$B$2:$B$136,0)),Data!E439)</f>
        <v>会話（社交的な会話）</v>
      </c>
      <c r="F439" s="70" t="str">
        <f aca="false">Data!F439</f>
        <v>A2+</v>
      </c>
      <c r="G439" s="31" t="str">
        <f aca="false">Data!G439</f>
        <v>Can establish social contact (e.g. greetings and farewells, introductions, giving thanks).</v>
      </c>
      <c r="H439" s="71" t="s">
        <v>125</v>
      </c>
      <c r="I439" s="79" t="s">
        <v>3089</v>
      </c>
    </row>
    <row r="440" customFormat="false" ht="21.75" hidden="false" customHeight="true" outlineLevel="0" collapsed="false">
      <c r="A440" s="70" t="n">
        <f aca="false">Data!A440</f>
        <v>439</v>
      </c>
      <c r="B440" s="70" t="str">
        <f aca="false">IFERROR(INDEX(対訳マスタ!$C$2:$C$136,MATCH(Data!B440,対訳マスタ!$B$2:$B$136,0)),Data!B440)</f>
        <v>コミュニケーション言語活動</v>
      </c>
      <c r="C440" s="70" t="str">
        <f aca="false">IF(Data!C440="—","—",IFERROR(INDEX(対訳マスタ!$C$2:$C$136,MATCH(Data!C440,対訳マスタ!$B$2:$B$136,0)),Data!C440))</f>
        <v>相互行為</v>
      </c>
      <c r="D440" s="70" t="str">
        <f aca="false">IF(Data!D440="—","—",IFERROR(INDEX(対訳マスタ!$C$2:$C$136,MATCH(Data!D440,対訳マスタ!$B$2:$B$136,0)),Data!D440))</f>
        <v>口頭の相互行為</v>
      </c>
      <c r="E440" s="70" t="str">
        <f aca="false">IFERROR(INDEX(対訳マスタ!$C$2:$C$136,MATCH(Data!E440,対訳マスタ!$B$2:$B$136,0)),Data!E440)</f>
        <v>会話（社交的な会話）</v>
      </c>
      <c r="F440" s="70" t="str">
        <f aca="false">Data!F440</f>
        <v>A2+</v>
      </c>
      <c r="G440" s="31" t="str">
        <f aca="false">Data!G440</f>
        <v>Can generally understand clear, standard language on familiar matters directed at them, provided they can ask for repetition or reformulation from time to time.</v>
      </c>
      <c r="H440" s="71" t="s">
        <v>3271</v>
      </c>
      <c r="I440" s="79" t="s">
        <v>3089</v>
      </c>
    </row>
    <row r="441" customFormat="false" ht="15" hidden="false" customHeight="true" outlineLevel="0" collapsed="false">
      <c r="A441" s="70" t="n">
        <f aca="false">Data!A441</f>
        <v>440</v>
      </c>
      <c r="B441" s="70" t="str">
        <f aca="false">IFERROR(INDEX(対訳マスタ!$C$2:$C$136,MATCH(Data!B441,対訳マスタ!$B$2:$B$136,0)),Data!B441)</f>
        <v>コミュニケーション言語活動</v>
      </c>
      <c r="C441" s="70" t="str">
        <f aca="false">IF(Data!C441="—","—",IFERROR(INDEX(対訳マスタ!$C$2:$C$136,MATCH(Data!C441,対訳マスタ!$B$2:$B$136,0)),Data!C441))</f>
        <v>相互行為</v>
      </c>
      <c r="D441" s="70" t="str">
        <f aca="false">IF(Data!D441="—","—",IFERROR(INDEX(対訳マスタ!$C$2:$C$136,MATCH(Data!D441,対訳マスタ!$B$2:$B$136,0)),Data!D441))</f>
        <v>口頭の相互行為</v>
      </c>
      <c r="E441" s="70" t="str">
        <f aca="false">IFERROR(INDEX(対訳マスタ!$C$2:$C$136,MATCH(Data!E441,対訳マスタ!$B$2:$B$136,0)),Data!E441)</f>
        <v>会話（社交的な会話）</v>
      </c>
      <c r="F441" s="70" t="str">
        <f aca="false">Data!F441</f>
        <v>A2+</v>
      </c>
      <c r="G441" s="31" t="str">
        <f aca="false">Data!G441</f>
        <v>Can participate in short conversations in routine contexts on topics of interest.</v>
      </c>
      <c r="H441" s="71" t="s">
        <v>3272</v>
      </c>
      <c r="I441" s="79" t="s">
        <v>3089</v>
      </c>
    </row>
    <row r="442" customFormat="false" ht="15" hidden="false" customHeight="true" outlineLevel="0" collapsed="false">
      <c r="A442" s="70" t="n">
        <f aca="false">Data!A442</f>
        <v>441</v>
      </c>
      <c r="B442" s="70" t="str">
        <f aca="false">IFERROR(INDEX(対訳マスタ!$C$2:$C$136,MATCH(Data!B442,対訳マスタ!$B$2:$B$136,0)),Data!B442)</f>
        <v>コミュニケーション言語活動</v>
      </c>
      <c r="C442" s="70" t="str">
        <f aca="false">IF(Data!C442="—","—",IFERROR(INDEX(対訳マスタ!$C$2:$C$136,MATCH(Data!C442,対訳マスタ!$B$2:$B$136,0)),Data!C442))</f>
        <v>相互行為</v>
      </c>
      <c r="D442" s="70" t="str">
        <f aca="false">IF(Data!D442="—","—",IFERROR(INDEX(対訳マスタ!$C$2:$C$136,MATCH(Data!D442,対訳マスタ!$B$2:$B$136,0)),Data!D442))</f>
        <v>口頭の相互行為</v>
      </c>
      <c r="E442" s="70" t="str">
        <f aca="false">IFERROR(INDEX(対訳マスタ!$C$2:$C$136,MATCH(Data!E442,対訳マスタ!$B$2:$B$136,0)),Data!E442)</f>
        <v>会話（社交的な会話）</v>
      </c>
      <c r="F442" s="70" t="str">
        <f aca="false">Data!F442</f>
        <v>A2+</v>
      </c>
      <c r="G442" s="31" t="str">
        <f aca="false">Data!G442</f>
        <v>Can express how they feel in simple terms, and express thanks.</v>
      </c>
      <c r="H442" s="71" t="s">
        <v>2672</v>
      </c>
      <c r="I442" s="79" t="s">
        <v>3089</v>
      </c>
    </row>
    <row r="443" customFormat="false" ht="21.75" hidden="false" customHeight="true" outlineLevel="0" collapsed="false">
      <c r="A443" s="70" t="n">
        <f aca="false">Data!A443</f>
        <v>442</v>
      </c>
      <c r="B443" s="70" t="str">
        <f aca="false">IFERROR(INDEX(対訳マスタ!$C$2:$C$136,MATCH(Data!B443,対訳マスタ!$B$2:$B$136,0)),Data!B443)</f>
        <v>コミュニケーション言語活動</v>
      </c>
      <c r="C443" s="70" t="str">
        <f aca="false">IF(Data!C443="—","—",IFERROR(INDEX(対訳マスタ!$C$2:$C$136,MATCH(Data!C443,対訳マスタ!$B$2:$B$136,0)),Data!C443))</f>
        <v>相互行為</v>
      </c>
      <c r="D443" s="70" t="str">
        <f aca="false">IF(Data!D443="—","—",IFERROR(INDEX(対訳マスタ!$C$2:$C$136,MATCH(Data!D443,対訳マスタ!$B$2:$B$136,0)),Data!D443))</f>
        <v>口頭の相互行為</v>
      </c>
      <c r="E443" s="70" t="str">
        <f aca="false">IFERROR(INDEX(対訳マスタ!$C$2:$C$136,MATCH(Data!E443,対訳マスタ!$B$2:$B$136,0)),Data!E443)</f>
        <v>会話（社交的な会話）</v>
      </c>
      <c r="F443" s="70" t="str">
        <f aca="false">Data!F443</f>
        <v>A2+</v>
      </c>
      <c r="G443" s="31" t="str">
        <f aca="false">Data!G443</f>
        <v>Can ask for a favour (e.g. to borrow something), can offer a favour, and can respond if someone asks them to do a favour for them.</v>
      </c>
      <c r="H443" s="71" t="s">
        <v>3273</v>
      </c>
      <c r="I443" s="79" t="s">
        <v>3089</v>
      </c>
    </row>
    <row r="444" customFormat="false" ht="32.25" hidden="false" customHeight="true" outlineLevel="0" collapsed="false">
      <c r="A444" s="70" t="n">
        <f aca="false">Data!A444</f>
        <v>443</v>
      </c>
      <c r="B444" s="70" t="str">
        <f aca="false">IFERROR(INDEX(対訳マスタ!$C$2:$C$136,MATCH(Data!B444,対訳マスタ!$B$2:$B$136,0)),Data!B444)</f>
        <v>コミュニケーション言語活動</v>
      </c>
      <c r="C444" s="70" t="str">
        <f aca="false">IF(Data!C444="—","—",IFERROR(INDEX(対訳マスタ!$C$2:$C$136,MATCH(Data!C444,対訳マスタ!$B$2:$B$136,0)),Data!C444))</f>
        <v>相互行為</v>
      </c>
      <c r="D444" s="70" t="str">
        <f aca="false">IF(Data!D444="—","—",IFERROR(INDEX(対訳マスタ!$C$2:$C$136,MATCH(Data!D444,対訳マスタ!$B$2:$B$136,0)),Data!D444))</f>
        <v>口頭の相互行為</v>
      </c>
      <c r="E444" s="70" t="str">
        <f aca="false">IFERROR(INDEX(対訳マスタ!$C$2:$C$136,MATCH(Data!E444,対訳マスタ!$B$2:$B$136,0)),Data!E444)</f>
        <v>会話（社交的な会話）</v>
      </c>
      <c r="F444" s="70" t="str">
        <f aca="false">Data!F444</f>
        <v>A2</v>
      </c>
      <c r="G444" s="31" t="str">
        <f aca="false">Data!G444</f>
        <v>Can handle very short social exchanges but is rarely able to understand enough to keep conversation going of their own accord, though they can be made to understand if the interlocutor will take the trouble.</v>
      </c>
      <c r="H444" s="71" t="s">
        <v>3274</v>
      </c>
      <c r="I444" s="79" t="s">
        <v>3089</v>
      </c>
    </row>
    <row r="445" customFormat="false" ht="15" hidden="false" customHeight="true" outlineLevel="0" collapsed="false">
      <c r="A445" s="70" t="n">
        <f aca="false">Data!A445</f>
        <v>444</v>
      </c>
      <c r="B445" s="70" t="str">
        <f aca="false">IFERROR(INDEX(対訳マスタ!$C$2:$C$136,MATCH(Data!B445,対訳マスタ!$B$2:$B$136,0)),Data!B445)</f>
        <v>コミュニケーション言語活動</v>
      </c>
      <c r="C445" s="70" t="str">
        <f aca="false">IF(Data!C445="—","—",IFERROR(INDEX(対訳マスタ!$C$2:$C$136,MATCH(Data!C445,対訳マスタ!$B$2:$B$136,0)),Data!C445))</f>
        <v>相互行為</v>
      </c>
      <c r="D445" s="70" t="str">
        <f aca="false">IF(Data!D445="—","—",IFERROR(INDEX(対訳マスタ!$C$2:$C$136,MATCH(Data!D445,対訳マスタ!$B$2:$B$136,0)),Data!D445))</f>
        <v>口頭の相互行為</v>
      </c>
      <c r="E445" s="70" t="str">
        <f aca="false">IFERROR(INDEX(対訳マスタ!$C$2:$C$136,MATCH(Data!E445,対訳マスタ!$B$2:$B$136,0)),Data!E445)</f>
        <v>会話（社交的な会話）</v>
      </c>
      <c r="F445" s="70" t="str">
        <f aca="false">Data!F445</f>
        <v>A2</v>
      </c>
      <c r="G445" s="31" t="str">
        <f aca="false">Data!G445</f>
        <v>Can use simple, everyday, polite forms of greeting and address.</v>
      </c>
      <c r="H445" s="71" t="s">
        <v>117</v>
      </c>
      <c r="I445" s="79" t="s">
        <v>3089</v>
      </c>
    </row>
    <row r="446" customFormat="false" ht="21.75" hidden="false" customHeight="true" outlineLevel="0" collapsed="false">
      <c r="A446" s="70" t="n">
        <f aca="false">Data!A446</f>
        <v>445</v>
      </c>
      <c r="B446" s="70" t="str">
        <f aca="false">IFERROR(INDEX(対訳マスタ!$C$2:$C$136,MATCH(Data!B446,対訳マスタ!$B$2:$B$136,0)),Data!B446)</f>
        <v>コミュニケーション言語活動</v>
      </c>
      <c r="C446" s="70" t="str">
        <f aca="false">IF(Data!C446="—","—",IFERROR(INDEX(対訳マスタ!$C$2:$C$136,MATCH(Data!C446,対訳マスタ!$B$2:$B$136,0)),Data!C446))</f>
        <v>相互行為</v>
      </c>
      <c r="D446" s="70" t="str">
        <f aca="false">IF(Data!D446="—","—",IFERROR(INDEX(対訳マスタ!$C$2:$C$136,MATCH(Data!D446,対訳マスタ!$B$2:$B$136,0)),Data!D446))</f>
        <v>口頭の相互行為</v>
      </c>
      <c r="E446" s="70" t="str">
        <f aca="false">IFERROR(INDEX(対訳マスタ!$C$2:$C$136,MATCH(Data!E446,対訳マスタ!$B$2:$B$136,0)),Data!E446)</f>
        <v>会話（社交的な会話）</v>
      </c>
      <c r="F446" s="70" t="str">
        <f aca="false">Data!F446</f>
        <v>A2</v>
      </c>
      <c r="G446" s="31" t="str">
        <f aca="false">Data!G446</f>
        <v>Can converse in simple language with peers, colleagues or members of a host family, asking questions and understanding answers relating to most routine matters.</v>
      </c>
      <c r="H446" s="71" t="s">
        <v>3275</v>
      </c>
      <c r="I446" s="79" t="s">
        <v>3089</v>
      </c>
    </row>
    <row r="447" customFormat="false" ht="15" hidden="false" customHeight="true" outlineLevel="0" collapsed="false">
      <c r="A447" s="70" t="n">
        <f aca="false">Data!A447</f>
        <v>446</v>
      </c>
      <c r="B447" s="70" t="str">
        <f aca="false">IFERROR(INDEX(対訳マスタ!$C$2:$C$136,MATCH(Data!B447,対訳マスタ!$B$2:$B$136,0)),Data!B447)</f>
        <v>コミュニケーション言語活動</v>
      </c>
      <c r="C447" s="70" t="str">
        <f aca="false">IF(Data!C447="—","—",IFERROR(INDEX(対訳マスタ!$C$2:$C$136,MATCH(Data!C447,対訳マスタ!$B$2:$B$136,0)),Data!C447))</f>
        <v>相互行為</v>
      </c>
      <c r="D447" s="70" t="str">
        <f aca="false">IF(Data!D447="—","—",IFERROR(INDEX(対訳マスタ!$C$2:$C$136,MATCH(Data!D447,対訳マスタ!$B$2:$B$136,0)),Data!D447))</f>
        <v>口頭の相互行為</v>
      </c>
      <c r="E447" s="70" t="str">
        <f aca="false">IFERROR(INDEX(対訳マスタ!$C$2:$C$136,MATCH(Data!E447,対訳マスタ!$B$2:$B$136,0)),Data!E447)</f>
        <v>会話（社交的な会話）</v>
      </c>
      <c r="F447" s="70" t="str">
        <f aca="false">Data!F447</f>
        <v>A2</v>
      </c>
      <c r="G447" s="31" t="str">
        <f aca="false">Data!G447</f>
        <v>Can make and respond to invitations, suggestions and apologies.</v>
      </c>
      <c r="H447" s="71" t="s">
        <v>3276</v>
      </c>
      <c r="I447" s="79" t="s">
        <v>3089</v>
      </c>
    </row>
    <row r="448" customFormat="false" ht="15" hidden="false" customHeight="true" outlineLevel="0" collapsed="false">
      <c r="A448" s="70" t="n">
        <f aca="false">Data!A448</f>
        <v>447</v>
      </c>
      <c r="B448" s="70" t="str">
        <f aca="false">IFERROR(INDEX(対訳マスタ!$C$2:$C$136,MATCH(Data!B448,対訳マスタ!$B$2:$B$136,0)),Data!B448)</f>
        <v>コミュニケーション言語活動</v>
      </c>
      <c r="C448" s="70" t="str">
        <f aca="false">IF(Data!C448="—","—",IFERROR(INDEX(対訳マスタ!$C$2:$C$136,MATCH(Data!C448,対訳マスタ!$B$2:$B$136,0)),Data!C448))</f>
        <v>相互行為</v>
      </c>
      <c r="D448" s="70" t="str">
        <f aca="false">IF(Data!D448="—","—",IFERROR(INDEX(対訳マスタ!$C$2:$C$136,MATCH(Data!D448,対訳マスタ!$B$2:$B$136,0)),Data!D448))</f>
        <v>口頭の相互行為</v>
      </c>
      <c r="E448" s="70" t="str">
        <f aca="false">IFERROR(INDEX(対訳マスタ!$C$2:$C$136,MATCH(Data!E448,対訳マスタ!$B$2:$B$136,0)),Data!E448)</f>
        <v>会話（社交的な会話）</v>
      </c>
      <c r="F448" s="70" t="str">
        <f aca="false">Data!F448</f>
        <v>A2</v>
      </c>
      <c r="G448" s="31" t="str">
        <f aca="false">Data!G448</f>
        <v>Can express how they are feeling, using very basic stock expressions.</v>
      </c>
      <c r="H448" s="71" t="s">
        <v>3277</v>
      </c>
      <c r="I448" s="79" t="s">
        <v>3089</v>
      </c>
    </row>
    <row r="449" customFormat="false" ht="15" hidden="false" customHeight="true" outlineLevel="0" collapsed="false">
      <c r="A449" s="70" t="n">
        <f aca="false">Data!A449</f>
        <v>448</v>
      </c>
      <c r="B449" s="70" t="str">
        <f aca="false">IFERROR(INDEX(対訳マスタ!$C$2:$C$136,MATCH(Data!B449,対訳マスタ!$B$2:$B$136,0)),Data!B449)</f>
        <v>コミュニケーション言語活動</v>
      </c>
      <c r="C449" s="70" t="str">
        <f aca="false">IF(Data!C449="—","—",IFERROR(INDEX(対訳マスタ!$C$2:$C$136,MATCH(Data!C449,対訳マスタ!$B$2:$B$136,0)),Data!C449))</f>
        <v>相互行為</v>
      </c>
      <c r="D449" s="70" t="str">
        <f aca="false">IF(Data!D449="—","—",IFERROR(INDEX(対訳マスタ!$C$2:$C$136,MATCH(Data!D449,対訳マスタ!$B$2:$B$136,0)),Data!D449))</f>
        <v>口頭の相互行為</v>
      </c>
      <c r="E449" s="70" t="str">
        <f aca="false">IFERROR(INDEX(対訳マスタ!$C$2:$C$136,MATCH(Data!E449,対訳マスタ!$B$2:$B$136,0)),Data!E449)</f>
        <v>会話（社交的な会話）</v>
      </c>
      <c r="F449" s="70" t="str">
        <f aca="false">Data!F449</f>
        <v>A2</v>
      </c>
      <c r="G449" s="31" t="str">
        <f aca="false">Data!G449</f>
        <v>Can state what they like and dislike.</v>
      </c>
      <c r="H449" s="71" t="s">
        <v>2671</v>
      </c>
      <c r="I449" s="79" t="s">
        <v>3089</v>
      </c>
    </row>
    <row r="450" customFormat="false" ht="32.25" hidden="false" customHeight="true" outlineLevel="0" collapsed="false">
      <c r="A450" s="70" t="n">
        <f aca="false">Data!A450</f>
        <v>449</v>
      </c>
      <c r="B450" s="70" t="str">
        <f aca="false">IFERROR(INDEX(対訳マスタ!$C$2:$C$136,MATCH(Data!B450,対訳マスタ!$B$2:$B$136,0)),Data!B450)</f>
        <v>コミュニケーション言語活動</v>
      </c>
      <c r="C450" s="70" t="str">
        <f aca="false">IF(Data!C450="—","—",IFERROR(INDEX(対訳マスタ!$C$2:$C$136,MATCH(Data!C450,対訳マスタ!$B$2:$B$136,0)),Data!C450))</f>
        <v>相互行為</v>
      </c>
      <c r="D450" s="70" t="str">
        <f aca="false">IF(Data!D450="—","—",IFERROR(INDEX(対訳マスタ!$C$2:$C$136,MATCH(Data!D450,対訳マスタ!$B$2:$B$136,0)),Data!D450))</f>
        <v>口頭の相互行為</v>
      </c>
      <c r="E450" s="70" t="str">
        <f aca="false">IFERROR(INDEX(対訳マスタ!$C$2:$C$136,MATCH(Data!E450,対訳マスタ!$B$2:$B$136,0)),Data!E450)</f>
        <v>会話（社交的な会話）</v>
      </c>
      <c r="F450" s="70" t="str">
        <f aca="false">Data!F450</f>
        <v>A1</v>
      </c>
      <c r="G450" s="31" t="str">
        <f aca="false">Data!G450</f>
        <v>Can understand everyday expressions aimed at the satisfaction of simple needs of a concrete type, delivered directly to them in clear, slow and repeated language by a sympathetic interlocutor.</v>
      </c>
      <c r="H450" s="71" t="s">
        <v>3278</v>
      </c>
      <c r="I450" s="79" t="s">
        <v>3089</v>
      </c>
    </row>
    <row r="451" customFormat="false" ht="21.75" hidden="false" customHeight="true" outlineLevel="0" collapsed="false">
      <c r="A451" s="70" t="n">
        <f aca="false">Data!A451</f>
        <v>450</v>
      </c>
      <c r="B451" s="70" t="str">
        <f aca="false">IFERROR(INDEX(対訳マスタ!$C$2:$C$136,MATCH(Data!B451,対訳マスタ!$B$2:$B$136,0)),Data!B451)</f>
        <v>コミュニケーション言語活動</v>
      </c>
      <c r="C451" s="70" t="str">
        <f aca="false">IF(Data!C451="—","—",IFERROR(INDEX(対訳マスタ!$C$2:$C$136,MATCH(Data!C451,対訳マスタ!$B$2:$B$136,0)),Data!C451))</f>
        <v>相互行為</v>
      </c>
      <c r="D451" s="70" t="str">
        <f aca="false">IF(Data!D451="—","—",IFERROR(INDEX(対訳マスタ!$C$2:$C$136,MATCH(Data!D451,対訳マスタ!$B$2:$B$136,0)),Data!D451))</f>
        <v>口頭の相互行為</v>
      </c>
      <c r="E451" s="70" t="str">
        <f aca="false">IFERROR(INDEX(対訳マスタ!$C$2:$C$136,MATCH(Data!E451,対訳マスタ!$B$2:$B$136,0)),Data!E451)</f>
        <v>会話（社交的な会話）</v>
      </c>
      <c r="F451" s="70" t="str">
        <f aca="false">Data!F451</f>
        <v>A1</v>
      </c>
      <c r="G451" s="31" t="str">
        <f aca="false">Data!G451</f>
        <v>Can take part in a simple conversation of a basic factual nature on a predictable topic (e.g. their home country, family, school).</v>
      </c>
      <c r="H451" s="71" t="s">
        <v>3279</v>
      </c>
      <c r="I451" s="79" t="s">
        <v>3089</v>
      </c>
    </row>
    <row r="452" customFormat="false" ht="15" hidden="false" customHeight="true" outlineLevel="0" collapsed="false">
      <c r="A452" s="70" t="n">
        <f aca="false">Data!A452</f>
        <v>451</v>
      </c>
      <c r="B452" s="70" t="str">
        <f aca="false">IFERROR(INDEX(対訳マスタ!$C$2:$C$136,MATCH(Data!B452,対訳マスタ!$B$2:$B$136,0)),Data!B452)</f>
        <v>コミュニケーション言語活動</v>
      </c>
      <c r="C452" s="70" t="str">
        <f aca="false">IF(Data!C452="—","—",IFERROR(INDEX(対訳マスタ!$C$2:$C$136,MATCH(Data!C452,対訳マスタ!$B$2:$B$136,0)),Data!C452))</f>
        <v>相互行為</v>
      </c>
      <c r="D452" s="70" t="str">
        <f aca="false">IF(Data!D452="—","—",IFERROR(INDEX(対訳マスタ!$C$2:$C$136,MATCH(Data!D452,対訳マスタ!$B$2:$B$136,0)),Data!D452))</f>
        <v>口頭の相互行為</v>
      </c>
      <c r="E452" s="70" t="str">
        <f aca="false">IFERROR(INDEX(対訳マスタ!$C$2:$C$136,MATCH(Data!E452,対訳マスタ!$B$2:$B$136,0)),Data!E452)</f>
        <v>会話（社交的な会話）</v>
      </c>
      <c r="F452" s="70" t="str">
        <f aca="false">Data!F452</f>
        <v>A1</v>
      </c>
      <c r="G452" s="31" t="str">
        <f aca="false">Data!G452</f>
        <v>Can make an introduction and use basic greeting and leave-taking expressions.</v>
      </c>
      <c r="H452" s="71" t="s">
        <v>103</v>
      </c>
      <c r="I452" s="79" t="s">
        <v>3089</v>
      </c>
    </row>
    <row r="453" customFormat="false" ht="15" hidden="false" customHeight="true" outlineLevel="0" collapsed="false">
      <c r="A453" s="70" t="n">
        <f aca="false">Data!A453</f>
        <v>452</v>
      </c>
      <c r="B453" s="70" t="str">
        <f aca="false">IFERROR(INDEX(対訳マスタ!$C$2:$C$136,MATCH(Data!B453,対訳マスタ!$B$2:$B$136,0)),Data!B453)</f>
        <v>コミュニケーション言語活動</v>
      </c>
      <c r="C453" s="70" t="str">
        <f aca="false">IF(Data!C453="—","—",IFERROR(INDEX(対訳マスタ!$C$2:$C$136,MATCH(Data!C453,対訳マスタ!$B$2:$B$136,0)),Data!C453))</f>
        <v>相互行為</v>
      </c>
      <c r="D453" s="70" t="str">
        <f aca="false">IF(Data!D453="—","—",IFERROR(INDEX(対訳マスタ!$C$2:$C$136,MATCH(Data!D453,対訳マスタ!$B$2:$B$136,0)),Data!D453))</f>
        <v>口頭の相互行為</v>
      </c>
      <c r="E453" s="70" t="str">
        <f aca="false">IFERROR(INDEX(対訳マスタ!$C$2:$C$136,MATCH(Data!E453,対訳マスタ!$B$2:$B$136,0)),Data!E453)</f>
        <v>会話（社交的な会話）</v>
      </c>
      <c r="F453" s="70" t="str">
        <f aca="false">Data!F453</f>
        <v>A1</v>
      </c>
      <c r="G453" s="31" t="str">
        <f aca="false">Data!G453</f>
        <v>Can ask how people are and react to news.</v>
      </c>
      <c r="H453" s="71" t="s">
        <v>110</v>
      </c>
      <c r="I453" s="79" t="s">
        <v>3089</v>
      </c>
    </row>
    <row r="454" customFormat="false" ht="21.75" hidden="false" customHeight="true" outlineLevel="0" collapsed="false">
      <c r="A454" s="70" t="n">
        <f aca="false">Data!A454</f>
        <v>453</v>
      </c>
      <c r="B454" s="70" t="str">
        <f aca="false">IFERROR(INDEX(対訳マスタ!$C$2:$C$136,MATCH(Data!B454,対訳マスタ!$B$2:$B$136,0)),Data!B454)</f>
        <v>コミュニケーション言語活動</v>
      </c>
      <c r="C454" s="70" t="str">
        <f aca="false">IF(Data!C454="—","—",IFERROR(INDEX(対訳マスタ!$C$2:$C$136,MATCH(Data!C454,対訳マスタ!$B$2:$B$136,0)),Data!C454))</f>
        <v>相互行為</v>
      </c>
      <c r="D454" s="70" t="str">
        <f aca="false">IF(Data!D454="—","—",IFERROR(INDEX(対訳マスタ!$C$2:$C$136,MATCH(Data!D454,対訳マスタ!$B$2:$B$136,0)),Data!D454))</f>
        <v>口頭の相互行為</v>
      </c>
      <c r="E454" s="70" t="str">
        <f aca="false">IFERROR(INDEX(対訳マスタ!$C$2:$C$136,MATCH(Data!E454,対訳マスタ!$B$2:$B$136,0)),Data!E454)</f>
        <v>会話（社交的な会話）</v>
      </c>
      <c r="F454" s="70" t="str">
        <f aca="false">Data!F454</f>
        <v>Pre-A1</v>
      </c>
      <c r="G454" s="31" t="str">
        <f aca="false">Data!G454</f>
        <v>Can understand and use basic, formulaic expressions such as “Yes”, “No”, “Excuse me”, “Please”, “Thank you”, “No thank you”, “Sorry”.</v>
      </c>
      <c r="H454" s="71" t="s">
        <v>88</v>
      </c>
      <c r="I454" s="79" t="s">
        <v>3089</v>
      </c>
    </row>
    <row r="455" customFormat="false" ht="15" hidden="false" customHeight="true" outlineLevel="0" collapsed="false">
      <c r="A455" s="70" t="n">
        <f aca="false">Data!A455</f>
        <v>454</v>
      </c>
      <c r="B455" s="70" t="str">
        <f aca="false">IFERROR(INDEX(対訳マスタ!$C$2:$C$136,MATCH(Data!B455,対訳マスタ!$B$2:$B$136,0)),Data!B455)</f>
        <v>コミュニケーション言語活動</v>
      </c>
      <c r="C455" s="70" t="str">
        <f aca="false">IF(Data!C455="—","—",IFERROR(INDEX(対訳マスタ!$C$2:$C$136,MATCH(Data!C455,対訳マスタ!$B$2:$B$136,0)),Data!C455))</f>
        <v>相互行為</v>
      </c>
      <c r="D455" s="70" t="str">
        <f aca="false">IF(Data!D455="—","—",IFERROR(INDEX(対訳マスタ!$C$2:$C$136,MATCH(Data!D455,対訳マスタ!$B$2:$B$136,0)),Data!D455))</f>
        <v>口頭の相互行為</v>
      </c>
      <c r="E455" s="70" t="str">
        <f aca="false">IFERROR(INDEX(対訳マスタ!$C$2:$C$136,MATCH(Data!E455,対訳マスタ!$B$2:$B$136,0)),Data!E455)</f>
        <v>会話（社交的な会話）</v>
      </c>
      <c r="F455" s="70" t="str">
        <f aca="false">Data!F455</f>
        <v>Pre-A1</v>
      </c>
      <c r="G455" s="31" t="str">
        <f aca="false">Data!G455</f>
        <v>Can recognise simple greetings.</v>
      </c>
      <c r="H455" s="71" t="s">
        <v>2670</v>
      </c>
      <c r="I455" s="79" t="s">
        <v>3089</v>
      </c>
    </row>
    <row r="456" customFormat="false" ht="15" hidden="false" customHeight="true" outlineLevel="0" collapsed="false">
      <c r="A456" s="70" t="n">
        <f aca="false">Data!A456</f>
        <v>455</v>
      </c>
      <c r="B456" s="70" t="str">
        <f aca="false">IFERROR(INDEX(対訳マスタ!$C$2:$C$136,MATCH(Data!B456,対訳マスタ!$B$2:$B$136,0)),Data!B456)</f>
        <v>コミュニケーション言語活動</v>
      </c>
      <c r="C456" s="70" t="str">
        <f aca="false">IF(Data!C456="—","—",IFERROR(INDEX(対訳マスタ!$C$2:$C$136,MATCH(Data!C456,対訳マスタ!$B$2:$B$136,0)),Data!C456))</f>
        <v>相互行為</v>
      </c>
      <c r="D456" s="70" t="str">
        <f aca="false">IF(Data!D456="—","—",IFERROR(INDEX(対訳マスタ!$C$2:$C$136,MATCH(Data!D456,対訳マスタ!$B$2:$B$136,0)),Data!D456))</f>
        <v>口頭の相互行為</v>
      </c>
      <c r="E456" s="70" t="str">
        <f aca="false">IFERROR(INDEX(対訳マスタ!$C$2:$C$136,MATCH(Data!E456,対訳マスタ!$B$2:$B$136,0)),Data!E456)</f>
        <v>会話（社交的な会話）</v>
      </c>
      <c r="F456" s="70" t="str">
        <f aca="false">Data!F456</f>
        <v>Pre-A1</v>
      </c>
      <c r="G456" s="31" t="str">
        <f aca="false">Data!G456</f>
        <v>Can greet people, state their name and take leave in a simple way.</v>
      </c>
      <c r="H456" s="71" t="s">
        <v>95</v>
      </c>
      <c r="I456" s="79" t="s">
        <v>3089</v>
      </c>
    </row>
    <row r="457" customFormat="false" ht="26.25" hidden="false" customHeight="true" outlineLevel="0" collapsed="false">
      <c r="A457" s="70" t="n">
        <f aca="false">Data!A457</f>
        <v>456</v>
      </c>
      <c r="B457" s="70" t="str">
        <f aca="false">IFERROR(INDEX(対訳マスタ!$C$2:$C$136,MATCH(Data!B457,対訳マスタ!$B$2:$B$136,0)),Data!B457)</f>
        <v>コミュニケーション言語活動</v>
      </c>
      <c r="C457" s="70" t="str">
        <f aca="false">IF(Data!C457="—","—",IFERROR(INDEX(対訳マスタ!$C$2:$C$136,MATCH(Data!C457,対訳マスタ!$B$2:$B$136,0)),Data!C457))</f>
        <v>相互行為</v>
      </c>
      <c r="D457" s="70" t="str">
        <f aca="false">IF(Data!D457="—","—",IFERROR(INDEX(対訳マスタ!$C$2:$C$136,MATCH(Data!D457,対訳マスタ!$B$2:$B$136,0)),Data!D457))</f>
        <v>口頭の相互行為</v>
      </c>
      <c r="E457" s="70" t="str">
        <f aca="false">IFERROR(INDEX(対訳マスタ!$C$2:$C$136,MATCH(Data!E457,対訳マスタ!$B$2:$B$136,0)),Data!E457)</f>
        <v>インフォーマルな議論（友人と）</v>
      </c>
      <c r="F457" s="70" t="str">
        <f aca="false">Data!F457</f>
        <v>C2</v>
      </c>
      <c r="G457" s="31" t="str">
        <f aca="false">Data!G457</f>
        <v>Can advise on or discuss sensitive issues without awkwardness, understanding colloquial references and dealing diplomatically with disagreement and criticism.</v>
      </c>
      <c r="H457" s="71" t="s">
        <v>2686</v>
      </c>
      <c r="I457" s="79" t="s">
        <v>3089</v>
      </c>
    </row>
    <row r="458" customFormat="false" ht="26.25" hidden="false" customHeight="true" outlineLevel="0" collapsed="false">
      <c r="A458" s="70" t="n">
        <f aca="false">Data!A458</f>
        <v>457</v>
      </c>
      <c r="B458" s="70" t="str">
        <f aca="false">IFERROR(INDEX(対訳マスタ!$C$2:$C$136,MATCH(Data!B458,対訳マスタ!$B$2:$B$136,0)),Data!B458)</f>
        <v>コミュニケーション言語活動</v>
      </c>
      <c r="C458" s="70" t="str">
        <f aca="false">IF(Data!C458="—","—",IFERROR(INDEX(対訳マスタ!$C$2:$C$136,MATCH(Data!C458,対訳マスタ!$B$2:$B$136,0)),Data!C458))</f>
        <v>相互行為</v>
      </c>
      <c r="D458" s="70" t="str">
        <f aca="false">IF(Data!D458="—","—",IFERROR(INDEX(対訳マスタ!$C$2:$C$136,MATCH(Data!D458,対訳マスタ!$B$2:$B$136,0)),Data!D458))</f>
        <v>口頭の相互行為</v>
      </c>
      <c r="E458" s="70" t="str">
        <f aca="false">IFERROR(INDEX(対訳マスタ!$C$2:$C$136,MATCH(Data!E458,対訳マスタ!$B$2:$B$136,0)),Data!E458)</f>
        <v>インフォーマルな議論（友人と）</v>
      </c>
      <c r="F458" s="70" t="str">
        <f aca="false">Data!F458</f>
        <v>C1</v>
      </c>
      <c r="G458" s="31" t="str">
        <f aca="false">Data!G458</f>
        <v>Can easily follow and contribute to complex interactions between third parties in group discussion even on abstract, complex unfamiliar topics.</v>
      </c>
      <c r="H458" s="71" t="s">
        <v>2685</v>
      </c>
      <c r="I458" s="79" t="s">
        <v>3089</v>
      </c>
    </row>
    <row r="459" customFormat="false" ht="21.75" hidden="false" customHeight="true" outlineLevel="0" collapsed="false">
      <c r="A459" s="70" t="n">
        <f aca="false">Data!A459</f>
        <v>458</v>
      </c>
      <c r="B459" s="70" t="str">
        <f aca="false">IFERROR(INDEX(対訳マスタ!$C$2:$C$136,MATCH(Data!B459,対訳マスタ!$B$2:$B$136,0)),Data!B459)</f>
        <v>コミュニケーション言語活動</v>
      </c>
      <c r="C459" s="70" t="str">
        <f aca="false">IF(Data!C459="—","—",IFERROR(INDEX(対訳マスタ!$C$2:$C$136,MATCH(Data!C459,対訳マスタ!$B$2:$B$136,0)),Data!C459))</f>
        <v>相互行為</v>
      </c>
      <c r="D459" s="70" t="str">
        <f aca="false">IF(Data!D459="—","—",IFERROR(INDEX(対訳マスタ!$C$2:$C$136,MATCH(Data!D459,対訳マスタ!$B$2:$B$136,0)),Data!D459))</f>
        <v>口頭の相互行為</v>
      </c>
      <c r="E459" s="70" t="str">
        <f aca="false">IFERROR(INDEX(対訳マスタ!$C$2:$C$136,MATCH(Data!E459,対訳マスタ!$B$2:$B$136,0)),Data!E459)</f>
        <v>インフォーマルな議論（友人と）</v>
      </c>
      <c r="F459" s="70" t="str">
        <f aca="false">Data!F459</f>
        <v>B2+</v>
      </c>
      <c r="G459" s="31" t="str">
        <f aca="false">Data!G459</f>
        <v>Can keep up with an animated discussion between proficient users of the target language.</v>
      </c>
      <c r="H459" s="71" t="s">
        <v>2684</v>
      </c>
      <c r="I459" s="79" t="s">
        <v>3089</v>
      </c>
    </row>
    <row r="460" customFormat="false" ht="21.75" hidden="false" customHeight="true" outlineLevel="0" collapsed="false">
      <c r="A460" s="70" t="n">
        <f aca="false">Data!A460</f>
        <v>459</v>
      </c>
      <c r="B460" s="70" t="str">
        <f aca="false">IFERROR(INDEX(対訳マスタ!$C$2:$C$136,MATCH(Data!B460,対訳マスタ!$B$2:$B$136,0)),Data!B460)</f>
        <v>コミュニケーション言語活動</v>
      </c>
      <c r="C460" s="70" t="str">
        <f aca="false">IF(Data!C460="—","—",IFERROR(INDEX(対訳マスタ!$C$2:$C$136,MATCH(Data!C460,対訳マスタ!$B$2:$B$136,0)),Data!C460))</f>
        <v>相互行為</v>
      </c>
      <c r="D460" s="70" t="str">
        <f aca="false">IF(Data!D460="—","—",IFERROR(INDEX(対訳マスタ!$C$2:$C$136,MATCH(Data!D460,対訳マスタ!$B$2:$B$136,0)),Data!D460))</f>
        <v>口頭の相互行為</v>
      </c>
      <c r="E460" s="70" t="str">
        <f aca="false">IFERROR(INDEX(対訳マスタ!$C$2:$C$136,MATCH(Data!E460,対訳マスタ!$B$2:$B$136,0)),Data!E460)</f>
        <v>インフォーマルな議論（友人と）</v>
      </c>
      <c r="F460" s="70" t="str">
        <f aca="false">Data!F460</f>
        <v>B2+</v>
      </c>
      <c r="G460" s="31" t="str">
        <f aca="false">Data!G460</f>
        <v>Can express their ideas and opinions with precision, and present and respond to complex lines of argument convincingly.</v>
      </c>
      <c r="H460" s="71" t="s">
        <v>3280</v>
      </c>
      <c r="I460" s="79" t="s">
        <v>3089</v>
      </c>
    </row>
    <row r="461" customFormat="false" ht="32.25" hidden="false" customHeight="true" outlineLevel="0" collapsed="false">
      <c r="A461" s="70" t="n">
        <f aca="false">Data!A461</f>
        <v>460</v>
      </c>
      <c r="B461" s="70" t="str">
        <f aca="false">IFERROR(INDEX(対訳マスタ!$C$2:$C$136,MATCH(Data!B461,対訳マスタ!$B$2:$B$136,0)),Data!B461)</f>
        <v>コミュニケーション言語活動</v>
      </c>
      <c r="C461" s="70" t="str">
        <f aca="false">IF(Data!C461="—","—",IFERROR(INDEX(対訳マスタ!$C$2:$C$136,MATCH(Data!C461,対訳マスタ!$B$2:$B$136,0)),Data!C461))</f>
        <v>相互行為</v>
      </c>
      <c r="D461" s="70" t="str">
        <f aca="false">IF(Data!D461="—","—",IFERROR(INDEX(対訳マスタ!$C$2:$C$136,MATCH(Data!D461,対訳マスタ!$B$2:$B$136,0)),Data!D461))</f>
        <v>口頭の相互行為</v>
      </c>
      <c r="E461" s="70" t="str">
        <f aca="false">IFERROR(INDEX(対訳マスタ!$C$2:$C$136,MATCH(Data!E461,対訳マスタ!$B$2:$B$136,0)),Data!E461)</f>
        <v>インフォーマルな議論（友人と）</v>
      </c>
      <c r="F461" s="70" t="str">
        <f aca="false">Data!F461</f>
        <v>B2</v>
      </c>
      <c r="G461" s="31" t="str">
        <f aca="false">Data!G461</f>
        <v>Can take an active part in informal discussion in familiar contexts, commenting, putting a point of view clearly, evaluating alternative proposals and making and responding to hypotheses.</v>
      </c>
      <c r="H461" s="71" t="s">
        <v>3281</v>
      </c>
      <c r="I461" s="79" t="s">
        <v>3089</v>
      </c>
    </row>
    <row r="462" customFormat="false" ht="32.25" hidden="false" customHeight="true" outlineLevel="0" collapsed="false">
      <c r="A462" s="70" t="n">
        <f aca="false">Data!A462</f>
        <v>461</v>
      </c>
      <c r="B462" s="70" t="str">
        <f aca="false">IFERROR(INDEX(対訳マスタ!$C$2:$C$136,MATCH(Data!B462,対訳マスタ!$B$2:$B$136,0)),Data!B462)</f>
        <v>コミュニケーション言語活動</v>
      </c>
      <c r="C462" s="70" t="str">
        <f aca="false">IF(Data!C462="—","—",IFERROR(INDEX(対訳マスタ!$C$2:$C$136,MATCH(Data!C462,対訳マスタ!$B$2:$B$136,0)),Data!C462))</f>
        <v>相互行為</v>
      </c>
      <c r="D462" s="70" t="str">
        <f aca="false">IF(Data!D462="—","—",IFERROR(INDEX(対訳マスタ!$C$2:$C$136,MATCH(Data!D462,対訳マスタ!$B$2:$B$136,0)),Data!D462))</f>
        <v>口頭の相互行為</v>
      </c>
      <c r="E462" s="70" t="str">
        <f aca="false">IFERROR(INDEX(対訳マスタ!$C$2:$C$136,MATCH(Data!E462,対訳マスタ!$B$2:$B$136,0)),Data!E462)</f>
        <v>インフォーマルな議論（友人と）</v>
      </c>
      <c r="F462" s="70" t="str">
        <f aca="false">Data!F462</f>
        <v>B2</v>
      </c>
      <c r="G462" s="31" t="str">
        <f aca="false">Data!G462</f>
        <v>Can with some effort catch much of what is said around them in discussion, but may find it difficult to participate effectively in discussion with several users of the target language who do not modify their language in any way.</v>
      </c>
      <c r="H462" s="71" t="s">
        <v>3282</v>
      </c>
      <c r="I462" s="79" t="s">
        <v>3089</v>
      </c>
    </row>
    <row r="463" customFormat="false" ht="21.75" hidden="false" customHeight="true" outlineLevel="0" collapsed="false">
      <c r="A463" s="70" t="n">
        <f aca="false">Data!A463</f>
        <v>462</v>
      </c>
      <c r="B463" s="70" t="str">
        <f aca="false">IFERROR(INDEX(対訳マスタ!$C$2:$C$136,MATCH(Data!B463,対訳マスタ!$B$2:$B$136,0)),Data!B463)</f>
        <v>コミュニケーション言語活動</v>
      </c>
      <c r="C463" s="70" t="str">
        <f aca="false">IF(Data!C463="—","—",IFERROR(INDEX(対訳マスタ!$C$2:$C$136,MATCH(Data!C463,対訳マスタ!$B$2:$B$136,0)),Data!C463))</f>
        <v>相互行為</v>
      </c>
      <c r="D463" s="70" t="str">
        <f aca="false">IF(Data!D463="—","—",IFERROR(INDEX(対訳マスタ!$C$2:$C$136,MATCH(Data!D463,対訳マスタ!$B$2:$B$136,0)),Data!D463))</f>
        <v>口頭の相互行為</v>
      </c>
      <c r="E463" s="70" t="str">
        <f aca="false">IFERROR(INDEX(対訳マスタ!$C$2:$C$136,MATCH(Data!E463,対訳マスタ!$B$2:$B$136,0)),Data!E463)</f>
        <v>インフォーマルな議論（友人と）</v>
      </c>
      <c r="F463" s="70" t="str">
        <f aca="false">Data!F463</f>
        <v>B2</v>
      </c>
      <c r="G463" s="31" t="str">
        <f aca="false">Data!G463</f>
        <v>Can account for and sustain their opinions in discussion by providing relevant explanations, arguments and comments.</v>
      </c>
      <c r="H463" s="71" t="s">
        <v>261</v>
      </c>
      <c r="I463" s="79" t="s">
        <v>3089</v>
      </c>
    </row>
    <row r="464" customFormat="false" ht="21.75" hidden="false" customHeight="true" outlineLevel="0" collapsed="false">
      <c r="A464" s="70" t="n">
        <f aca="false">Data!A464</f>
        <v>463</v>
      </c>
      <c r="B464" s="70" t="str">
        <f aca="false">IFERROR(INDEX(対訳マスタ!$C$2:$C$136,MATCH(Data!B464,対訳マスタ!$B$2:$B$136,0)),Data!B464)</f>
        <v>コミュニケーション言語活動</v>
      </c>
      <c r="C464" s="70" t="str">
        <f aca="false">IF(Data!C464="—","—",IFERROR(INDEX(対訳マスタ!$C$2:$C$136,MATCH(Data!C464,対訳マスタ!$B$2:$B$136,0)),Data!C464))</f>
        <v>相互行為</v>
      </c>
      <c r="D464" s="70" t="str">
        <f aca="false">IF(Data!D464="—","—",IFERROR(INDEX(対訳マスタ!$C$2:$C$136,MATCH(Data!D464,対訳マスタ!$B$2:$B$136,0)),Data!D464))</f>
        <v>口頭の相互行為</v>
      </c>
      <c r="E464" s="70" t="str">
        <f aca="false">IFERROR(INDEX(対訳マスタ!$C$2:$C$136,MATCH(Data!E464,対訳マスタ!$B$2:$B$136,0)),Data!E464)</f>
        <v>インフォーマルな議論（友人と）</v>
      </c>
      <c r="F464" s="70" t="str">
        <f aca="false">Data!F464</f>
        <v>B1+</v>
      </c>
      <c r="G464" s="31" t="str">
        <f aca="false">Data!G464</f>
        <v>Can follow much of what is said around them on general topics, provided interlocutors avoid very idiomatic usage and articulate clearly.</v>
      </c>
      <c r="H464" s="71" t="s">
        <v>3283</v>
      </c>
      <c r="I464" s="79" t="s">
        <v>3089</v>
      </c>
    </row>
    <row r="465" customFormat="false" ht="15" hidden="false" customHeight="true" outlineLevel="0" collapsed="false">
      <c r="A465" s="70" t="n">
        <f aca="false">Data!A465</f>
        <v>464</v>
      </c>
      <c r="B465" s="70" t="str">
        <f aca="false">IFERROR(INDEX(対訳マスタ!$C$2:$C$136,MATCH(Data!B465,対訳マスタ!$B$2:$B$136,0)),Data!B465)</f>
        <v>コミュニケーション言語活動</v>
      </c>
      <c r="C465" s="70" t="str">
        <f aca="false">IF(Data!C465="—","—",IFERROR(INDEX(対訳マスタ!$C$2:$C$136,MATCH(Data!C465,対訳マスタ!$B$2:$B$136,0)),Data!C465))</f>
        <v>相互行為</v>
      </c>
      <c r="D465" s="70" t="str">
        <f aca="false">IF(Data!D465="—","—",IFERROR(INDEX(対訳マスタ!$C$2:$C$136,MATCH(Data!D465,対訳マスタ!$B$2:$B$136,0)),Data!D465))</f>
        <v>口頭の相互行為</v>
      </c>
      <c r="E465" s="70" t="str">
        <f aca="false">IFERROR(INDEX(対訳マスタ!$C$2:$C$136,MATCH(Data!E465,対訳マスタ!$B$2:$B$136,0)),Data!E465)</f>
        <v>インフォーマルな議論（友人と）</v>
      </c>
      <c r="F465" s="70" t="str">
        <f aca="false">Data!F465</f>
        <v>B1+</v>
      </c>
      <c r="G465" s="31" t="str">
        <f aca="false">Data!G465</f>
        <v>Can express their thoughts about abstract or cultural topics such as music or films.</v>
      </c>
      <c r="H465" s="71" t="s">
        <v>253</v>
      </c>
      <c r="I465" s="79" t="s">
        <v>3089</v>
      </c>
    </row>
    <row r="466" customFormat="false" ht="15" hidden="false" customHeight="true" outlineLevel="0" collapsed="false">
      <c r="A466" s="70" t="n">
        <f aca="false">Data!A466</f>
        <v>465</v>
      </c>
      <c r="B466" s="70" t="str">
        <f aca="false">IFERROR(INDEX(対訳マスタ!$C$2:$C$136,MATCH(Data!B466,対訳マスタ!$B$2:$B$136,0)),Data!B466)</f>
        <v>コミュニケーション言語活動</v>
      </c>
      <c r="C466" s="70" t="str">
        <f aca="false">IF(Data!C466="—","—",IFERROR(INDEX(対訳マスタ!$C$2:$C$136,MATCH(Data!C466,対訳マスタ!$B$2:$B$136,0)),Data!C466))</f>
        <v>相互行為</v>
      </c>
      <c r="D466" s="70" t="str">
        <f aca="false">IF(Data!D466="—","—",IFERROR(INDEX(対訳マスタ!$C$2:$C$136,MATCH(Data!D466,対訳マスタ!$B$2:$B$136,0)),Data!D466))</f>
        <v>口頭の相互行為</v>
      </c>
      <c r="E466" s="70" t="str">
        <f aca="false">IFERROR(INDEX(対訳マスタ!$C$2:$C$136,MATCH(Data!E466,対訳マスタ!$B$2:$B$136,0)),Data!E466)</f>
        <v>インフォーマルな議論（友人と）</v>
      </c>
      <c r="F466" s="70" t="str">
        <f aca="false">Data!F466</f>
        <v>B1+</v>
      </c>
      <c r="G466" s="31" t="str">
        <f aca="false">Data!G466</f>
        <v>Can explain why something is a problem.</v>
      </c>
      <c r="H466" s="71" t="s">
        <v>2683</v>
      </c>
      <c r="I466" s="79" t="s">
        <v>3089</v>
      </c>
    </row>
    <row r="467" customFormat="false" ht="15" hidden="false" customHeight="true" outlineLevel="0" collapsed="false">
      <c r="A467" s="70" t="n">
        <f aca="false">Data!A467</f>
        <v>466</v>
      </c>
      <c r="B467" s="70" t="str">
        <f aca="false">IFERROR(INDEX(対訳マスタ!$C$2:$C$136,MATCH(Data!B467,対訳マスタ!$B$2:$B$136,0)),Data!B467)</f>
        <v>コミュニケーション言語活動</v>
      </c>
      <c r="C467" s="70" t="str">
        <f aca="false">IF(Data!C467="—","—",IFERROR(INDEX(対訳マスタ!$C$2:$C$136,MATCH(Data!C467,対訳マスタ!$B$2:$B$136,0)),Data!C467))</f>
        <v>相互行為</v>
      </c>
      <c r="D467" s="70" t="str">
        <f aca="false">IF(Data!D467="—","—",IFERROR(INDEX(対訳マスタ!$C$2:$C$136,MATCH(Data!D467,対訳マスタ!$B$2:$B$136,0)),Data!D467))</f>
        <v>口頭の相互行為</v>
      </c>
      <c r="E467" s="70" t="str">
        <f aca="false">IFERROR(INDEX(対訳マスタ!$C$2:$C$136,MATCH(Data!E467,対訳マスタ!$B$2:$B$136,0)),Data!E467)</f>
        <v>インフォーマルな議論（友人と）</v>
      </c>
      <c r="F467" s="70" t="str">
        <f aca="false">Data!F467</f>
        <v>B1+</v>
      </c>
      <c r="G467" s="31" t="str">
        <f aca="false">Data!G467</f>
        <v>Can give brief comments on the views of others.</v>
      </c>
      <c r="H467" s="71" t="s">
        <v>2699</v>
      </c>
      <c r="I467" s="79" t="s">
        <v>3089</v>
      </c>
    </row>
    <row r="468" customFormat="false" ht="21.75" hidden="false" customHeight="true" outlineLevel="0" collapsed="false">
      <c r="A468" s="70" t="n">
        <f aca="false">Data!A468</f>
        <v>467</v>
      </c>
      <c r="B468" s="70" t="str">
        <f aca="false">IFERROR(INDEX(対訳マスタ!$C$2:$C$136,MATCH(Data!B468,対訳マスタ!$B$2:$B$136,0)),Data!B468)</f>
        <v>コミュニケーション言語活動</v>
      </c>
      <c r="C468" s="70" t="str">
        <f aca="false">IF(Data!C468="—","—",IFERROR(INDEX(対訳マスタ!$C$2:$C$136,MATCH(Data!C468,対訳マスタ!$B$2:$B$136,0)),Data!C468))</f>
        <v>相互行為</v>
      </c>
      <c r="D468" s="70" t="str">
        <f aca="false">IF(Data!D468="—","—",IFERROR(INDEX(対訳マスタ!$C$2:$C$136,MATCH(Data!D468,対訳マスタ!$B$2:$B$136,0)),Data!D468))</f>
        <v>口頭の相互行為</v>
      </c>
      <c r="E468" s="70" t="str">
        <f aca="false">IFERROR(INDEX(対訳マスタ!$C$2:$C$136,MATCH(Data!E468,対訳マスタ!$B$2:$B$136,0)),Data!E468)</f>
        <v>インフォーマルな議論（友人と）</v>
      </c>
      <c r="F468" s="70" t="str">
        <f aca="false">Data!F468</f>
        <v>B1+</v>
      </c>
      <c r="G468" s="31" t="str">
        <f aca="false">Data!G468</f>
        <v>Can compare and contrast alternatives, discussing what to do, where to go, who or which to choose, etc.</v>
      </c>
      <c r="H468" s="71" t="s">
        <v>3284</v>
      </c>
      <c r="I468" s="79" t="s">
        <v>3089</v>
      </c>
    </row>
    <row r="469" customFormat="false" ht="21.75" hidden="false" customHeight="true" outlineLevel="0" collapsed="false">
      <c r="A469" s="70" t="n">
        <f aca="false">Data!A469</f>
        <v>468</v>
      </c>
      <c r="B469" s="70" t="str">
        <f aca="false">IFERROR(INDEX(対訳マスタ!$C$2:$C$136,MATCH(Data!B469,対訳マスタ!$B$2:$B$136,0)),Data!B469)</f>
        <v>コミュニケーション言語活動</v>
      </c>
      <c r="C469" s="70" t="str">
        <f aca="false">IF(Data!C469="—","—",IFERROR(INDEX(対訳マスタ!$C$2:$C$136,MATCH(Data!C469,対訳マスタ!$B$2:$B$136,0)),Data!C469))</f>
        <v>相互行為</v>
      </c>
      <c r="D469" s="70" t="str">
        <f aca="false">IF(Data!D469="—","—",IFERROR(INDEX(対訳マスタ!$C$2:$C$136,MATCH(Data!D469,対訳マスタ!$B$2:$B$136,0)),Data!D469))</f>
        <v>口頭の相互行為</v>
      </c>
      <c r="E469" s="70" t="str">
        <f aca="false">IFERROR(INDEX(対訳マスタ!$C$2:$C$136,MATCH(Data!E469,対訳マスタ!$B$2:$B$136,0)),Data!E469)</f>
        <v>インフォーマルな議論（友人と）</v>
      </c>
      <c r="F469" s="70" t="str">
        <f aca="false">Data!F469</f>
        <v>B1</v>
      </c>
      <c r="G469" s="31" t="str">
        <f aca="false">Data!G469</f>
        <v>Can generally follow the main points in an informal discussion with friends provided they articulate clearly in standard language or a familiar variety.</v>
      </c>
      <c r="H469" s="71" t="s">
        <v>3285</v>
      </c>
      <c r="I469" s="79" t="s">
        <v>3089</v>
      </c>
    </row>
    <row r="470" customFormat="false" ht="15" hidden="false" customHeight="true" outlineLevel="0" collapsed="false">
      <c r="A470" s="70" t="n">
        <f aca="false">Data!A470</f>
        <v>469</v>
      </c>
      <c r="B470" s="70" t="str">
        <f aca="false">IFERROR(INDEX(対訳マスタ!$C$2:$C$136,MATCH(Data!B470,対訳マスタ!$B$2:$B$136,0)),Data!B470)</f>
        <v>コミュニケーション言語活動</v>
      </c>
      <c r="C470" s="70" t="str">
        <f aca="false">IF(Data!C470="—","—",IFERROR(INDEX(対訳マスタ!$C$2:$C$136,MATCH(Data!C470,対訳マスタ!$B$2:$B$136,0)),Data!C470))</f>
        <v>相互行為</v>
      </c>
      <c r="D470" s="70" t="str">
        <f aca="false">IF(Data!D470="—","—",IFERROR(INDEX(対訳マスタ!$C$2:$C$136,MATCH(Data!D470,対訳マスタ!$B$2:$B$136,0)),Data!D470))</f>
        <v>口頭の相互行為</v>
      </c>
      <c r="E470" s="70" t="str">
        <f aca="false">IFERROR(INDEX(対訳マスタ!$C$2:$C$136,MATCH(Data!E470,対訳マスタ!$B$2:$B$136,0)),Data!E470)</f>
        <v>インフォーマルな議論（友人と）</v>
      </c>
      <c r="F470" s="70" t="str">
        <f aca="false">Data!F470</f>
        <v>B1</v>
      </c>
      <c r="G470" s="31" t="str">
        <f aca="false">Data!G470</f>
        <v>Can give or seek personal views and opinions in discussing topics of interest.</v>
      </c>
      <c r="H470" s="71" t="s">
        <v>3286</v>
      </c>
      <c r="I470" s="79" t="s">
        <v>3089</v>
      </c>
    </row>
    <row r="471" customFormat="false" ht="32.25" hidden="false" customHeight="true" outlineLevel="0" collapsed="false">
      <c r="A471" s="70" t="n">
        <f aca="false">Data!A471</f>
        <v>470</v>
      </c>
      <c r="B471" s="70" t="str">
        <f aca="false">IFERROR(INDEX(対訳マスタ!$C$2:$C$136,MATCH(Data!B471,対訳マスタ!$B$2:$B$136,0)),Data!B471)</f>
        <v>コミュニケーション言語活動</v>
      </c>
      <c r="C471" s="70" t="str">
        <f aca="false">IF(Data!C471="—","—",IFERROR(INDEX(対訳マスタ!$C$2:$C$136,MATCH(Data!C471,対訳マスタ!$B$2:$B$136,0)),Data!C471))</f>
        <v>相互行為</v>
      </c>
      <c r="D471" s="70" t="str">
        <f aca="false">IF(Data!D471="—","—",IFERROR(INDEX(対訳マスタ!$C$2:$C$136,MATCH(Data!D471,対訳マスタ!$B$2:$B$136,0)),Data!D471))</f>
        <v>口頭の相互行為</v>
      </c>
      <c r="E471" s="70" t="str">
        <f aca="false">IFERROR(INDEX(対訳マスタ!$C$2:$C$136,MATCH(Data!E471,対訳マスタ!$B$2:$B$136,0)),Data!E471)</f>
        <v>インフォーマルな議論（友人と）</v>
      </c>
      <c r="F471" s="70" t="str">
        <f aca="false">Data!F471</f>
        <v>B1</v>
      </c>
      <c r="G471" s="31" t="str">
        <f aca="false">Data!G471</f>
        <v>Can make their opinions and reactions understood as regards solutions to problems or practical questions of where to go, what to do, or how to organise an event (e.g. an outing).</v>
      </c>
      <c r="H471" s="71" t="s">
        <v>3287</v>
      </c>
      <c r="I471" s="79" t="s">
        <v>3089</v>
      </c>
    </row>
    <row r="472" customFormat="false" ht="15" hidden="false" customHeight="true" outlineLevel="0" collapsed="false">
      <c r="A472" s="70" t="n">
        <f aca="false">Data!A472</f>
        <v>471</v>
      </c>
      <c r="B472" s="70" t="str">
        <f aca="false">IFERROR(INDEX(対訳マスタ!$C$2:$C$136,MATCH(Data!B472,対訳マスタ!$B$2:$B$136,0)),Data!B472)</f>
        <v>コミュニケーション言語活動</v>
      </c>
      <c r="C472" s="70" t="str">
        <f aca="false">IF(Data!C472="—","—",IFERROR(INDEX(対訳マスタ!$C$2:$C$136,MATCH(Data!C472,対訳マスタ!$B$2:$B$136,0)),Data!C472))</f>
        <v>相互行為</v>
      </c>
      <c r="D472" s="70" t="str">
        <f aca="false">IF(Data!D472="—","—",IFERROR(INDEX(対訳マスタ!$C$2:$C$136,MATCH(Data!D472,対訳マスタ!$B$2:$B$136,0)),Data!D472))</f>
        <v>口頭の相互行為</v>
      </c>
      <c r="E472" s="70" t="str">
        <f aca="false">IFERROR(INDEX(対訳マスタ!$C$2:$C$136,MATCH(Data!E472,対訳マスタ!$B$2:$B$136,0)),Data!E472)</f>
        <v>インフォーマルな議論（友人と）</v>
      </c>
      <c r="F472" s="70" t="str">
        <f aca="false">Data!F472</f>
        <v>B1</v>
      </c>
      <c r="G472" s="31" t="str">
        <f aca="false">Data!G472</f>
        <v>Can express beliefs, opinions and agreement and disagreement politely.</v>
      </c>
      <c r="H472" s="71" t="s">
        <v>2682</v>
      </c>
      <c r="I472" s="79" t="s">
        <v>3089</v>
      </c>
    </row>
    <row r="473" customFormat="false" ht="21.75" hidden="false" customHeight="true" outlineLevel="0" collapsed="false">
      <c r="A473" s="70" t="n">
        <f aca="false">Data!A473</f>
        <v>472</v>
      </c>
      <c r="B473" s="70" t="str">
        <f aca="false">IFERROR(INDEX(対訳マスタ!$C$2:$C$136,MATCH(Data!B473,対訳マスタ!$B$2:$B$136,0)),Data!B473)</f>
        <v>コミュニケーション言語活動</v>
      </c>
      <c r="C473" s="70" t="str">
        <f aca="false">IF(Data!C473="—","—",IFERROR(INDEX(対訳マスタ!$C$2:$C$136,MATCH(Data!C473,対訳マスタ!$B$2:$B$136,0)),Data!C473))</f>
        <v>相互行為</v>
      </c>
      <c r="D473" s="70" t="str">
        <f aca="false">IF(Data!D473="—","—",IFERROR(INDEX(対訳マスタ!$C$2:$C$136,MATCH(Data!D473,対訳マスタ!$B$2:$B$136,0)),Data!D473))</f>
        <v>口頭の相互行為</v>
      </c>
      <c r="E473" s="70" t="str">
        <f aca="false">IFERROR(INDEX(対訳マスタ!$C$2:$C$136,MATCH(Data!E473,対訳マスタ!$B$2:$B$136,0)),Data!E473)</f>
        <v>インフォーマルな議論（友人と）</v>
      </c>
      <c r="F473" s="70" t="str">
        <f aca="false">Data!F473</f>
        <v>A2+</v>
      </c>
      <c r="G473" s="31" t="str">
        <f aca="false">Data!G473</f>
        <v>Can generally identify the topic of discussion around them when it is conducted slowly and clearly.</v>
      </c>
      <c r="H473" s="71" t="s">
        <v>3099</v>
      </c>
      <c r="I473" s="79" t="s">
        <v>3089</v>
      </c>
    </row>
    <row r="474" customFormat="false" ht="15" hidden="false" customHeight="true" outlineLevel="0" collapsed="false">
      <c r="A474" s="70" t="n">
        <f aca="false">Data!A474</f>
        <v>473</v>
      </c>
      <c r="B474" s="70" t="str">
        <f aca="false">IFERROR(INDEX(対訳マスタ!$C$2:$C$136,MATCH(Data!B474,対訳マスタ!$B$2:$B$136,0)),Data!B474)</f>
        <v>コミュニケーション言語活動</v>
      </c>
      <c r="C474" s="70" t="str">
        <f aca="false">IF(Data!C474="—","—",IFERROR(INDEX(対訳マスタ!$C$2:$C$136,MATCH(Data!C474,対訳マスタ!$B$2:$B$136,0)),Data!C474))</f>
        <v>相互行為</v>
      </c>
      <c r="D474" s="70" t="str">
        <f aca="false">IF(Data!D474="—","—",IFERROR(INDEX(対訳マスタ!$C$2:$C$136,MATCH(Data!D474,対訳マスタ!$B$2:$B$136,0)),Data!D474))</f>
        <v>口頭の相互行為</v>
      </c>
      <c r="E474" s="70" t="str">
        <f aca="false">IFERROR(INDEX(対訳マスタ!$C$2:$C$136,MATCH(Data!E474,対訳マスタ!$B$2:$B$136,0)),Data!E474)</f>
        <v>インフォーマルな議論（友人と）</v>
      </c>
      <c r="F474" s="70" t="str">
        <f aca="false">Data!F474</f>
        <v>A2+</v>
      </c>
      <c r="G474" s="31" t="str">
        <f aca="false">Data!G474</f>
        <v>Can exchange opinions and compare things and people using simple language.</v>
      </c>
      <c r="H474" s="71" t="s">
        <v>239</v>
      </c>
      <c r="I474" s="79" t="s">
        <v>3089</v>
      </c>
    </row>
    <row r="475" customFormat="false" ht="15" hidden="false" customHeight="true" outlineLevel="0" collapsed="false">
      <c r="A475" s="70" t="n">
        <f aca="false">Data!A475</f>
        <v>474</v>
      </c>
      <c r="B475" s="70" t="str">
        <f aca="false">IFERROR(INDEX(対訳マスタ!$C$2:$C$136,MATCH(Data!B475,対訳マスタ!$B$2:$B$136,0)),Data!B475)</f>
        <v>コミュニケーション言語活動</v>
      </c>
      <c r="C475" s="70" t="str">
        <f aca="false">IF(Data!C475="—","—",IFERROR(INDEX(対訳マスタ!$C$2:$C$136,MATCH(Data!C475,対訳マスタ!$B$2:$B$136,0)),Data!C475))</f>
        <v>相互行為</v>
      </c>
      <c r="D475" s="70" t="str">
        <f aca="false">IF(Data!D475="—","—",IFERROR(INDEX(対訳マスタ!$C$2:$C$136,MATCH(Data!D475,対訳マスタ!$B$2:$B$136,0)),Data!D475))</f>
        <v>口頭の相互行為</v>
      </c>
      <c r="E475" s="70" t="str">
        <f aca="false">IFERROR(INDEX(対訳マスタ!$C$2:$C$136,MATCH(Data!E475,対訳マスタ!$B$2:$B$136,0)),Data!E475)</f>
        <v>インフォーマルな議論（友人と）</v>
      </c>
      <c r="F475" s="70" t="str">
        <f aca="false">Data!F475</f>
        <v>A2+</v>
      </c>
      <c r="G475" s="31" t="str">
        <f aca="false">Data!G475</f>
        <v>Can discuss what to do in the evening or at the weekend.</v>
      </c>
      <c r="H475" s="71" t="s">
        <v>3288</v>
      </c>
      <c r="I475" s="79" t="s">
        <v>3089</v>
      </c>
    </row>
    <row r="476" customFormat="false" ht="15" hidden="false" customHeight="true" outlineLevel="0" collapsed="false">
      <c r="A476" s="70" t="n">
        <f aca="false">Data!A476</f>
        <v>475</v>
      </c>
      <c r="B476" s="70" t="str">
        <f aca="false">IFERROR(INDEX(対訳マスタ!$C$2:$C$136,MATCH(Data!B476,対訳マスタ!$B$2:$B$136,0)),Data!B476)</f>
        <v>コミュニケーション言語活動</v>
      </c>
      <c r="C476" s="70" t="str">
        <f aca="false">IF(Data!C476="—","—",IFERROR(INDEX(対訳マスタ!$C$2:$C$136,MATCH(Data!C476,対訳マスタ!$B$2:$B$136,0)),Data!C476))</f>
        <v>相互行為</v>
      </c>
      <c r="D476" s="70" t="str">
        <f aca="false">IF(Data!D476="—","—",IFERROR(INDEX(対訳マスタ!$C$2:$C$136,MATCH(Data!D476,対訳マスタ!$B$2:$B$136,0)),Data!D476))</f>
        <v>口頭の相互行為</v>
      </c>
      <c r="E476" s="70" t="str">
        <f aca="false">IFERROR(INDEX(対訳マスタ!$C$2:$C$136,MATCH(Data!E476,対訳マスタ!$B$2:$B$136,0)),Data!E476)</f>
        <v>インフォーマルな議論（友人と）</v>
      </c>
      <c r="F476" s="70" t="str">
        <f aca="false">Data!F476</f>
        <v>A2+</v>
      </c>
      <c r="G476" s="31" t="str">
        <f aca="false">Data!G476</f>
        <v>Can make and respond to suggestions.</v>
      </c>
      <c r="H476" s="71" t="s">
        <v>3289</v>
      </c>
      <c r="I476" s="79" t="s">
        <v>3089</v>
      </c>
    </row>
    <row r="477" customFormat="false" ht="15" hidden="false" customHeight="true" outlineLevel="0" collapsed="false">
      <c r="A477" s="70" t="n">
        <f aca="false">Data!A477</f>
        <v>476</v>
      </c>
      <c r="B477" s="70" t="str">
        <f aca="false">IFERROR(INDEX(対訳マスタ!$C$2:$C$136,MATCH(Data!B477,対訳マスタ!$B$2:$B$136,0)),Data!B477)</f>
        <v>コミュニケーション言語活動</v>
      </c>
      <c r="C477" s="70" t="str">
        <f aca="false">IF(Data!C477="—","—",IFERROR(INDEX(対訳マスタ!$C$2:$C$136,MATCH(Data!C477,対訳マスタ!$B$2:$B$136,0)),Data!C477))</f>
        <v>相互行為</v>
      </c>
      <c r="D477" s="70" t="str">
        <f aca="false">IF(Data!D477="—","—",IFERROR(INDEX(対訳マスタ!$C$2:$C$136,MATCH(Data!D477,対訳マスタ!$B$2:$B$136,0)),Data!D477))</f>
        <v>口頭の相互行為</v>
      </c>
      <c r="E477" s="70" t="str">
        <f aca="false">IFERROR(INDEX(対訳マスタ!$C$2:$C$136,MATCH(Data!E477,対訳マスタ!$B$2:$B$136,0)),Data!E477)</f>
        <v>インフォーマルな議論（友人と）</v>
      </c>
      <c r="F477" s="70" t="str">
        <f aca="false">Data!F477</f>
        <v>A2+</v>
      </c>
      <c r="G477" s="31" t="str">
        <f aca="false">Data!G477</f>
        <v>Can agree and disagree with others.</v>
      </c>
      <c r="H477" s="71" t="s">
        <v>2681</v>
      </c>
      <c r="I477" s="79" t="s">
        <v>3089</v>
      </c>
    </row>
    <row r="478" customFormat="false" ht="21.75" hidden="false" customHeight="true" outlineLevel="0" collapsed="false">
      <c r="A478" s="70" t="n">
        <f aca="false">Data!A478</f>
        <v>477</v>
      </c>
      <c r="B478" s="70" t="str">
        <f aca="false">IFERROR(INDEX(対訳マスタ!$C$2:$C$136,MATCH(Data!B478,対訳マスタ!$B$2:$B$136,0)),Data!B478)</f>
        <v>コミュニケーション言語活動</v>
      </c>
      <c r="C478" s="70" t="str">
        <f aca="false">IF(Data!C478="—","—",IFERROR(INDEX(対訳マスタ!$C$2:$C$136,MATCH(Data!C478,対訳マスタ!$B$2:$B$136,0)),Data!C478))</f>
        <v>相互行為</v>
      </c>
      <c r="D478" s="70" t="str">
        <f aca="false">IF(Data!D478="—","—",IFERROR(INDEX(対訳マスタ!$C$2:$C$136,MATCH(Data!D478,対訳マスタ!$B$2:$B$136,0)),Data!D478))</f>
        <v>口頭の相互行為</v>
      </c>
      <c r="E478" s="70" t="str">
        <f aca="false">IFERROR(INDEX(対訳マスタ!$C$2:$C$136,MATCH(Data!E478,対訳マスタ!$B$2:$B$136,0)),Data!E478)</f>
        <v>インフォーマルな議論（友人と）</v>
      </c>
      <c r="F478" s="70" t="str">
        <f aca="false">Data!F478</f>
        <v>A2</v>
      </c>
      <c r="G478" s="31" t="str">
        <f aca="false">Data!G478</f>
        <v>Can discuss everyday practical issues in a simple way when addressed clearly, slowly and directly.</v>
      </c>
      <c r="H478" s="71" t="s">
        <v>3290</v>
      </c>
      <c r="I478" s="79" t="s">
        <v>3089</v>
      </c>
    </row>
    <row r="479" customFormat="false" ht="15" hidden="false" customHeight="true" outlineLevel="0" collapsed="false">
      <c r="A479" s="70" t="n">
        <f aca="false">Data!A479</f>
        <v>478</v>
      </c>
      <c r="B479" s="70" t="str">
        <f aca="false">IFERROR(INDEX(対訳マスタ!$C$2:$C$136,MATCH(Data!B479,対訳マスタ!$B$2:$B$136,0)),Data!B479)</f>
        <v>コミュニケーション言語活動</v>
      </c>
      <c r="C479" s="70" t="str">
        <f aca="false">IF(Data!C479="—","—",IFERROR(INDEX(対訳マスタ!$C$2:$C$136,MATCH(Data!C479,対訳マスタ!$B$2:$B$136,0)),Data!C479))</f>
        <v>相互行為</v>
      </c>
      <c r="D479" s="70" t="str">
        <f aca="false">IF(Data!D479="—","—",IFERROR(INDEX(対訳マスタ!$C$2:$C$136,MATCH(Data!D479,対訳マスタ!$B$2:$B$136,0)),Data!D479))</f>
        <v>口頭の相互行為</v>
      </c>
      <c r="E479" s="70" t="str">
        <f aca="false">IFERROR(INDEX(対訳マスタ!$C$2:$C$136,MATCH(Data!E479,対訳マスタ!$B$2:$B$136,0)),Data!E479)</f>
        <v>インフォーマルな議論（友人と）</v>
      </c>
      <c r="F479" s="70" t="str">
        <f aca="false">Data!F479</f>
        <v>A2</v>
      </c>
      <c r="G479" s="31" t="str">
        <f aca="false">Data!G479</f>
        <v>Can discuss what to do, where to go and make arrangements to meet.</v>
      </c>
      <c r="H479" s="71" t="s">
        <v>3291</v>
      </c>
      <c r="I479" s="79" t="s">
        <v>3089</v>
      </c>
    </row>
    <row r="480" customFormat="false" ht="15" hidden="false" customHeight="true" outlineLevel="0" collapsed="false">
      <c r="A480" s="70" t="n">
        <f aca="false">Data!A480</f>
        <v>479</v>
      </c>
      <c r="B480" s="70" t="str">
        <f aca="false">IFERROR(INDEX(対訳マスタ!$C$2:$C$136,MATCH(Data!B480,対訳マスタ!$B$2:$B$136,0)),Data!B480)</f>
        <v>コミュニケーション言語活動</v>
      </c>
      <c r="C480" s="70" t="str">
        <f aca="false">IF(Data!C480="—","—",IFERROR(INDEX(対訳マスタ!$C$2:$C$136,MATCH(Data!C480,対訳マスタ!$B$2:$B$136,0)),Data!C480))</f>
        <v>相互行為</v>
      </c>
      <c r="D480" s="70" t="str">
        <f aca="false">IF(Data!D480="—","—",IFERROR(INDEX(対訳マスタ!$C$2:$C$136,MATCH(Data!D480,対訳マスタ!$B$2:$B$136,0)),Data!D480))</f>
        <v>口頭の相互行為</v>
      </c>
      <c r="E480" s="70" t="str">
        <f aca="false">IFERROR(INDEX(対訳マスタ!$C$2:$C$136,MATCH(Data!E480,対訳マスタ!$B$2:$B$136,0)),Data!E480)</f>
        <v>インフォーマルな議論（友人と）</v>
      </c>
      <c r="F480" s="70" t="str">
        <f aca="false">Data!F480</f>
        <v>A2</v>
      </c>
      <c r="G480" s="31" t="str">
        <f aca="false">Data!G480</f>
        <v>Can express opinions in a limited way.</v>
      </c>
      <c r="H480" s="71" t="s">
        <v>2680</v>
      </c>
      <c r="I480" s="79" t="s">
        <v>3089</v>
      </c>
    </row>
    <row r="481" customFormat="false" ht="26.25" hidden="false" customHeight="true" outlineLevel="0" collapsed="false">
      <c r="A481" s="70" t="n">
        <f aca="false">Data!A481</f>
        <v>480</v>
      </c>
      <c r="B481" s="70" t="str">
        <f aca="false">IFERROR(INDEX(対訳マスタ!$C$2:$C$136,MATCH(Data!B481,対訳マスタ!$B$2:$B$136,0)),Data!B481)</f>
        <v>コミュニケーション言語活動</v>
      </c>
      <c r="C481" s="70" t="str">
        <f aca="false">IF(Data!C481="—","—",IFERROR(INDEX(対訳マスタ!$C$2:$C$136,MATCH(Data!C481,対訳マスタ!$B$2:$B$136,0)),Data!C481))</f>
        <v>相互行為</v>
      </c>
      <c r="D481" s="70" t="str">
        <f aca="false">IF(Data!D481="—","—",IFERROR(INDEX(対訳マスタ!$C$2:$C$136,MATCH(Data!D481,対訳マスタ!$B$2:$B$136,0)),Data!D481))</f>
        <v>口頭の相互行為</v>
      </c>
      <c r="E481" s="70" t="str">
        <f aca="false">IFERROR(INDEX(対訳マスタ!$C$2:$C$136,MATCH(Data!E481,対訳マスタ!$B$2:$B$136,0)),Data!E481)</f>
        <v>インフォーマルな議論（友人と）</v>
      </c>
      <c r="F481" s="70" t="str">
        <f aca="false">Data!F481</f>
        <v>A1</v>
      </c>
      <c r="G481" s="31" t="str">
        <f aca="false">Data!G481</f>
        <v>Can exchange likes and dislikes for sports, foods, etc., using a limited repertoire of expressions, when addressed clearly, slowly and directly.</v>
      </c>
      <c r="H481" s="71" t="s">
        <v>2679</v>
      </c>
      <c r="I481" s="79" t="s">
        <v>3089</v>
      </c>
    </row>
    <row r="482" customFormat="false" ht="15" hidden="false" customHeight="true" outlineLevel="0" collapsed="false">
      <c r="A482" s="80" t="n">
        <f aca="false">Data!A482</f>
        <v>481</v>
      </c>
      <c r="B482" s="80" t="str">
        <f aca="false">IFERROR(INDEX(対訳マスタ!$C$2:$C$136,MATCH(Data!B482,対訳マスタ!$B$2:$B$136,0)),Data!B482)</f>
        <v>コミュニケーション言語活動</v>
      </c>
      <c r="C482" s="80" t="str">
        <f aca="false">IF(Data!C482="—","—",IFERROR(INDEX(対訳マスタ!$C$2:$C$136,MATCH(Data!C482,対訳マスタ!$B$2:$B$136,0)),Data!C482))</f>
        <v>相互行為</v>
      </c>
      <c r="D482" s="80" t="str">
        <f aca="false">IF(Data!D482="—","—",IFERROR(INDEX(対訳マスタ!$C$2:$C$136,MATCH(Data!D482,対訳マスタ!$B$2:$B$136,0)),Data!D482))</f>
        <v>口頭の相互行為</v>
      </c>
      <c r="E482" s="80" t="str">
        <f aca="false">IFERROR(INDEX(対訳マスタ!$C$2:$C$136,MATCH(Data!E482,対訳マスタ!$B$2:$B$136,0)),Data!E482)</f>
        <v>インフォーマルな議論（友人と）</v>
      </c>
      <c r="F482" s="80" t="str">
        <f aca="false">Data!F482</f>
        <v>Pre-A1</v>
      </c>
      <c r="G482" s="81" t="str">
        <f aca="false">Data!G482</f>
        <v>No descriptors available</v>
      </c>
      <c r="H482" s="81" t="s">
        <v>624</v>
      </c>
      <c r="I482" s="80" t="s">
        <v>624</v>
      </c>
    </row>
    <row r="483" customFormat="false" ht="21.75" hidden="false" customHeight="true" outlineLevel="0" collapsed="false">
      <c r="A483" s="70" t="n">
        <f aca="false">Data!A483</f>
        <v>482</v>
      </c>
      <c r="B483" s="70" t="str">
        <f aca="false">IFERROR(INDEX(対訳マスタ!$C$2:$C$136,MATCH(Data!B483,対訳マスタ!$B$2:$B$136,0)),Data!B483)</f>
        <v>コミュニケーション言語活動</v>
      </c>
      <c r="C483" s="70" t="str">
        <f aca="false">IF(Data!C483="—","—",IFERROR(INDEX(対訳マスタ!$C$2:$C$136,MATCH(Data!C483,対訳マスタ!$B$2:$B$136,0)),Data!C483))</f>
        <v>相互行為</v>
      </c>
      <c r="D483" s="70" t="str">
        <f aca="false">IF(Data!D483="—","—",IFERROR(INDEX(対訳マスタ!$C$2:$C$136,MATCH(Data!D483,対訳マスタ!$B$2:$B$136,0)),Data!D483))</f>
        <v>口頭の相互行為</v>
      </c>
      <c r="E483" s="70" t="str">
        <f aca="false">IFERROR(INDEX(対訳マスタ!$C$2:$C$136,MATCH(Data!E483,対訳マスタ!$B$2:$B$136,0)),Data!E483)</f>
        <v>フォーマルな議論（会議）</v>
      </c>
      <c r="F483" s="70" t="str">
        <f aca="false">Data!F483</f>
        <v>C2</v>
      </c>
      <c r="G483" s="31" t="str">
        <f aca="false">Data!G483</f>
        <v>Can hold their own in formal discussion of complex issues, putting an articulate and persuasive argument, at no disadvantage to other participants.</v>
      </c>
      <c r="H483" s="71" t="s">
        <v>3292</v>
      </c>
      <c r="I483" s="79" t="s">
        <v>3089</v>
      </c>
    </row>
    <row r="484" customFormat="false" ht="21.75" hidden="false" customHeight="true" outlineLevel="0" collapsed="false">
      <c r="A484" s="70" t="n">
        <f aca="false">Data!A484</f>
        <v>483</v>
      </c>
      <c r="B484" s="70" t="str">
        <f aca="false">IFERROR(INDEX(対訳マスタ!$C$2:$C$136,MATCH(Data!B484,対訳マスタ!$B$2:$B$136,0)),Data!B484)</f>
        <v>コミュニケーション言語活動</v>
      </c>
      <c r="C484" s="70" t="str">
        <f aca="false">IF(Data!C484="—","—",IFERROR(INDEX(対訳マスタ!$C$2:$C$136,MATCH(Data!C484,対訳マスタ!$B$2:$B$136,0)),Data!C484))</f>
        <v>相互行為</v>
      </c>
      <c r="D484" s="70" t="str">
        <f aca="false">IF(Data!D484="—","—",IFERROR(INDEX(対訳マスタ!$C$2:$C$136,MATCH(Data!D484,対訳マスタ!$B$2:$B$136,0)),Data!D484))</f>
        <v>口頭の相互行為</v>
      </c>
      <c r="E484" s="70" t="str">
        <f aca="false">IFERROR(INDEX(対訳マスタ!$C$2:$C$136,MATCH(Data!E484,対訳マスタ!$B$2:$B$136,0)),Data!E484)</f>
        <v>フォーマルな議論（会議）</v>
      </c>
      <c r="F484" s="70" t="str">
        <f aca="false">Data!F484</f>
        <v>C2</v>
      </c>
      <c r="G484" s="31" t="str">
        <f aca="false">Data!G484</f>
        <v>Can advise on/handle complex, delicate or contentious issues, provided they have the necessary specialised knowledge.</v>
      </c>
      <c r="H484" s="71" t="s">
        <v>3293</v>
      </c>
      <c r="I484" s="79" t="s">
        <v>3089</v>
      </c>
    </row>
    <row r="485" customFormat="false" ht="21.75" hidden="false" customHeight="true" outlineLevel="0" collapsed="false">
      <c r="A485" s="70" t="n">
        <f aca="false">Data!A485</f>
        <v>484</v>
      </c>
      <c r="B485" s="70" t="str">
        <f aca="false">IFERROR(INDEX(対訳マスタ!$C$2:$C$136,MATCH(Data!B485,対訳マスタ!$B$2:$B$136,0)),Data!B485)</f>
        <v>コミュニケーション言語活動</v>
      </c>
      <c r="C485" s="70" t="str">
        <f aca="false">IF(Data!C485="—","—",IFERROR(INDEX(対訳マスタ!$C$2:$C$136,MATCH(Data!C485,対訳マスタ!$B$2:$B$136,0)),Data!C485))</f>
        <v>相互行為</v>
      </c>
      <c r="D485" s="70" t="str">
        <f aca="false">IF(Data!D485="—","—",IFERROR(INDEX(対訳マスタ!$C$2:$C$136,MATCH(Data!D485,対訳マスタ!$B$2:$B$136,0)),Data!D485))</f>
        <v>口頭の相互行為</v>
      </c>
      <c r="E485" s="70" t="str">
        <f aca="false">IFERROR(INDEX(対訳マスタ!$C$2:$C$136,MATCH(Data!E485,対訳マスタ!$B$2:$B$136,0)),Data!E485)</f>
        <v>フォーマルな議論（会議）</v>
      </c>
      <c r="F485" s="70" t="str">
        <f aca="false">Data!F485</f>
        <v>C2</v>
      </c>
      <c r="G485" s="31" t="str">
        <f aca="false">Data!G485</f>
        <v>Can deal with hostile questioning confidently, hold on to the turn and diplomatically rebut counter-arguments.</v>
      </c>
      <c r="H485" s="71" t="s">
        <v>2694</v>
      </c>
      <c r="I485" s="79" t="s">
        <v>3089</v>
      </c>
    </row>
    <row r="486" customFormat="false" ht="15" hidden="false" customHeight="true" outlineLevel="0" collapsed="false">
      <c r="A486" s="70" t="n">
        <f aca="false">Data!A486</f>
        <v>485</v>
      </c>
      <c r="B486" s="70" t="str">
        <f aca="false">IFERROR(INDEX(対訳マスタ!$C$2:$C$136,MATCH(Data!B486,対訳マスタ!$B$2:$B$136,0)),Data!B486)</f>
        <v>コミュニケーション言語活動</v>
      </c>
      <c r="C486" s="70" t="str">
        <f aca="false">IF(Data!C486="—","—",IFERROR(INDEX(対訳マスタ!$C$2:$C$136,MATCH(Data!C486,対訳マスタ!$B$2:$B$136,0)),Data!C486))</f>
        <v>相互行為</v>
      </c>
      <c r="D486" s="70" t="str">
        <f aca="false">IF(Data!D486="—","—",IFERROR(INDEX(対訳マスタ!$C$2:$C$136,MATCH(Data!D486,対訳マスタ!$B$2:$B$136,0)),Data!D486))</f>
        <v>口頭の相互行為</v>
      </c>
      <c r="E486" s="70" t="str">
        <f aca="false">IFERROR(INDEX(対訳マスタ!$C$2:$C$136,MATCH(Data!E486,対訳マスタ!$B$2:$B$136,0)),Data!E486)</f>
        <v>フォーマルな議論（会議）</v>
      </c>
      <c r="F486" s="70" t="str">
        <f aca="false">Data!F486</f>
        <v>C1</v>
      </c>
      <c r="G486" s="31" t="str">
        <f aca="false">Data!G486</f>
        <v>Can easily keep up with the debate, even on abstract, complex, unfamiliar topics.</v>
      </c>
      <c r="H486" s="71" t="s">
        <v>3294</v>
      </c>
      <c r="I486" s="79" t="s">
        <v>3089</v>
      </c>
    </row>
    <row r="487" customFormat="false" ht="21.75" hidden="false" customHeight="true" outlineLevel="0" collapsed="false">
      <c r="A487" s="70" t="n">
        <f aca="false">Data!A487</f>
        <v>486</v>
      </c>
      <c r="B487" s="70" t="str">
        <f aca="false">IFERROR(INDEX(対訳マスタ!$C$2:$C$136,MATCH(Data!B487,対訳マスタ!$B$2:$B$136,0)),Data!B487)</f>
        <v>コミュニケーション言語活動</v>
      </c>
      <c r="C487" s="70" t="str">
        <f aca="false">IF(Data!C487="—","—",IFERROR(INDEX(対訳マスタ!$C$2:$C$136,MATCH(Data!C487,対訳マスタ!$B$2:$B$136,0)),Data!C487))</f>
        <v>相互行為</v>
      </c>
      <c r="D487" s="70" t="str">
        <f aca="false">IF(Data!D487="—","—",IFERROR(INDEX(対訳マスタ!$C$2:$C$136,MATCH(Data!D487,対訳マスタ!$B$2:$B$136,0)),Data!D487))</f>
        <v>口頭の相互行為</v>
      </c>
      <c r="E487" s="70" t="str">
        <f aca="false">IFERROR(INDEX(対訳マスタ!$C$2:$C$136,MATCH(Data!E487,対訳マスタ!$B$2:$B$136,0)),Data!E487)</f>
        <v>フォーマルな議論（会議）</v>
      </c>
      <c r="F487" s="70" t="str">
        <f aca="false">Data!F487</f>
        <v>C1</v>
      </c>
      <c r="G487" s="31" t="str">
        <f aca="false">Data!G487</f>
        <v>Can argue a formal position convincingly, responding to questions and comments and answering complex lines of counter-argument fluently, spontaneously and appropriately.</v>
      </c>
      <c r="H487" s="71" t="s">
        <v>3295</v>
      </c>
      <c r="I487" s="79" t="s">
        <v>3089</v>
      </c>
    </row>
    <row r="488" customFormat="false" ht="21.75" hidden="false" customHeight="true" outlineLevel="0" collapsed="false">
      <c r="A488" s="70" t="n">
        <f aca="false">Data!A488</f>
        <v>487</v>
      </c>
      <c r="B488" s="70" t="str">
        <f aca="false">IFERROR(INDEX(対訳マスタ!$C$2:$C$136,MATCH(Data!B488,対訳マスタ!$B$2:$B$136,0)),Data!B488)</f>
        <v>コミュニケーション言語活動</v>
      </c>
      <c r="C488" s="70" t="str">
        <f aca="false">IF(Data!C488="—","—",IFERROR(INDEX(対訳マスタ!$C$2:$C$136,MATCH(Data!C488,対訳マスタ!$B$2:$B$136,0)),Data!C488))</f>
        <v>相互行為</v>
      </c>
      <c r="D488" s="70" t="str">
        <f aca="false">IF(Data!D488="—","—",IFERROR(INDEX(対訳マスタ!$C$2:$C$136,MATCH(Data!D488,対訳マスタ!$B$2:$B$136,0)),Data!D488))</f>
        <v>口頭の相互行為</v>
      </c>
      <c r="E488" s="70" t="str">
        <f aca="false">IFERROR(INDEX(対訳マスタ!$C$2:$C$136,MATCH(Data!E488,対訳マスタ!$B$2:$B$136,0)),Data!E488)</f>
        <v>フォーマルな議論（会議）</v>
      </c>
      <c r="F488" s="70" t="str">
        <f aca="false">Data!F488</f>
        <v>C1</v>
      </c>
      <c r="G488" s="31" t="str">
        <f aca="false">Data!G488</f>
        <v>Can restate, evaluate and challenge contributions from other participants about matters within their academic or professional competence.</v>
      </c>
      <c r="H488" s="71" t="s">
        <v>3296</v>
      </c>
      <c r="I488" s="79" t="s">
        <v>3089</v>
      </c>
    </row>
    <row r="489" customFormat="false" ht="15" hidden="false" customHeight="true" outlineLevel="0" collapsed="false">
      <c r="A489" s="70" t="n">
        <f aca="false">Data!A489</f>
        <v>488</v>
      </c>
      <c r="B489" s="70" t="str">
        <f aca="false">IFERROR(INDEX(対訳マスタ!$C$2:$C$136,MATCH(Data!B489,対訳マスタ!$B$2:$B$136,0)),Data!B489)</f>
        <v>コミュニケーション言語活動</v>
      </c>
      <c r="C489" s="70" t="str">
        <f aca="false">IF(Data!C489="—","—",IFERROR(INDEX(対訳マスタ!$C$2:$C$136,MATCH(Data!C489,対訳マスタ!$B$2:$B$136,0)),Data!C489))</f>
        <v>相互行為</v>
      </c>
      <c r="D489" s="70" t="str">
        <f aca="false">IF(Data!D489="—","—",IFERROR(INDEX(対訳マスタ!$C$2:$C$136,MATCH(Data!D489,対訳マスタ!$B$2:$B$136,0)),Data!D489))</f>
        <v>口頭の相互行為</v>
      </c>
      <c r="E489" s="70" t="str">
        <f aca="false">IFERROR(INDEX(対訳マスタ!$C$2:$C$136,MATCH(Data!E489,対訳マスタ!$B$2:$B$136,0)),Data!E489)</f>
        <v>フォーマルな議論（会議）</v>
      </c>
      <c r="F489" s="70" t="str">
        <f aca="false">Data!F489</f>
        <v>C1</v>
      </c>
      <c r="G489" s="31" t="str">
        <f aca="false">Data!G489</f>
        <v>Can make critical remarks or express disagreement diplomatically.</v>
      </c>
      <c r="H489" s="71" t="s">
        <v>2693</v>
      </c>
      <c r="I489" s="79" t="s">
        <v>3089</v>
      </c>
    </row>
    <row r="490" customFormat="false" ht="21.75" hidden="false" customHeight="true" outlineLevel="0" collapsed="false">
      <c r="A490" s="70" t="n">
        <f aca="false">Data!A490</f>
        <v>489</v>
      </c>
      <c r="B490" s="70" t="str">
        <f aca="false">IFERROR(INDEX(対訳マスタ!$C$2:$C$136,MATCH(Data!B490,対訳マスタ!$B$2:$B$136,0)),Data!B490)</f>
        <v>コミュニケーション言語活動</v>
      </c>
      <c r="C490" s="70" t="str">
        <f aca="false">IF(Data!C490="—","—",IFERROR(INDEX(対訳マスタ!$C$2:$C$136,MATCH(Data!C490,対訳マスタ!$B$2:$B$136,0)),Data!C490))</f>
        <v>相互行為</v>
      </c>
      <c r="D490" s="70" t="str">
        <f aca="false">IF(Data!D490="—","—",IFERROR(INDEX(対訳マスタ!$C$2:$C$136,MATCH(Data!D490,対訳マスタ!$B$2:$B$136,0)),Data!D490))</f>
        <v>口頭の相互行為</v>
      </c>
      <c r="E490" s="70" t="str">
        <f aca="false">IFERROR(INDEX(対訳マスタ!$C$2:$C$136,MATCH(Data!E490,対訳マスタ!$B$2:$B$136,0)),Data!E490)</f>
        <v>フォーマルな議論（会議）</v>
      </c>
      <c r="F490" s="70" t="str">
        <f aca="false">Data!F490</f>
        <v>C1</v>
      </c>
      <c r="G490" s="31" t="str">
        <f aca="false">Data!G490</f>
        <v>Can follow up questions by probing for more detail and can reformulate questions if these are misunderstood.</v>
      </c>
      <c r="H490" s="71" t="s">
        <v>3297</v>
      </c>
      <c r="I490" s="79" t="s">
        <v>3089</v>
      </c>
    </row>
    <row r="491" customFormat="false" ht="21.75" hidden="false" customHeight="true" outlineLevel="0" collapsed="false">
      <c r="A491" s="70" t="n">
        <f aca="false">Data!A491</f>
        <v>490</v>
      </c>
      <c r="B491" s="70" t="str">
        <f aca="false">IFERROR(INDEX(対訳マスタ!$C$2:$C$136,MATCH(Data!B491,対訳マスタ!$B$2:$B$136,0)),Data!B491)</f>
        <v>コミュニケーション言語活動</v>
      </c>
      <c r="C491" s="70" t="str">
        <f aca="false">IF(Data!C491="—","—",IFERROR(INDEX(対訳マスタ!$C$2:$C$136,MATCH(Data!C491,対訳マスタ!$B$2:$B$136,0)),Data!C491))</f>
        <v>相互行為</v>
      </c>
      <c r="D491" s="70" t="str">
        <f aca="false">IF(Data!D491="—","—",IFERROR(INDEX(対訳マスタ!$C$2:$C$136,MATCH(Data!D491,対訳マスタ!$B$2:$B$136,0)),Data!D491))</f>
        <v>口頭の相互行為</v>
      </c>
      <c r="E491" s="70" t="str">
        <f aca="false">IFERROR(INDEX(対訳マスタ!$C$2:$C$136,MATCH(Data!E491,対訳マスタ!$B$2:$B$136,0)),Data!E491)</f>
        <v>フォーマルな議論（会議）</v>
      </c>
      <c r="F491" s="70" t="str">
        <f aca="false">Data!F491</f>
        <v>B2+</v>
      </c>
      <c r="G491" s="31" t="str">
        <f aca="false">Data!G491</f>
        <v>Can keep up with an animated discussion, identifying accurately arguments supporting and opposing points of view.</v>
      </c>
      <c r="H491" s="71" t="s">
        <v>3298</v>
      </c>
      <c r="I491" s="79" t="s">
        <v>3089</v>
      </c>
    </row>
    <row r="492" customFormat="false" ht="21.75" hidden="false" customHeight="true" outlineLevel="0" collapsed="false">
      <c r="A492" s="70" t="n">
        <f aca="false">Data!A492</f>
        <v>491</v>
      </c>
      <c r="B492" s="70" t="str">
        <f aca="false">IFERROR(INDEX(対訳マスタ!$C$2:$C$136,MATCH(Data!B492,対訳マスタ!$B$2:$B$136,0)),Data!B492)</f>
        <v>コミュニケーション言語活動</v>
      </c>
      <c r="C492" s="70" t="str">
        <f aca="false">IF(Data!C492="—","—",IFERROR(INDEX(対訳マスタ!$C$2:$C$136,MATCH(Data!C492,対訳マスタ!$B$2:$B$136,0)),Data!C492))</f>
        <v>相互行為</v>
      </c>
      <c r="D492" s="70" t="str">
        <f aca="false">IF(Data!D492="—","—",IFERROR(INDEX(対訳マスタ!$C$2:$C$136,MATCH(Data!D492,対訳マスタ!$B$2:$B$136,0)),Data!D492))</f>
        <v>口頭の相互行為</v>
      </c>
      <c r="E492" s="70" t="str">
        <f aca="false">IFERROR(INDEX(対訳マスタ!$C$2:$C$136,MATCH(Data!E492,対訳マスタ!$B$2:$B$136,0)),Data!E492)</f>
        <v>フォーマルな議論（会議）</v>
      </c>
      <c r="F492" s="70" t="str">
        <f aca="false">Data!F492</f>
        <v>B2+</v>
      </c>
      <c r="G492" s="31" t="str">
        <f aca="false">Data!G492</f>
        <v>Can use appropriate technical terminology when discussing their area of specialisation with other specialists.</v>
      </c>
      <c r="H492" s="71" t="s">
        <v>2692</v>
      </c>
      <c r="I492" s="79" t="s">
        <v>3089</v>
      </c>
    </row>
    <row r="493" customFormat="false" ht="21.75" hidden="false" customHeight="true" outlineLevel="0" collapsed="false">
      <c r="A493" s="70" t="n">
        <f aca="false">Data!A493</f>
        <v>492</v>
      </c>
      <c r="B493" s="70" t="str">
        <f aca="false">IFERROR(INDEX(対訳マスタ!$C$2:$C$136,MATCH(Data!B493,対訳マスタ!$B$2:$B$136,0)),Data!B493)</f>
        <v>コミュニケーション言語活動</v>
      </c>
      <c r="C493" s="70" t="str">
        <f aca="false">IF(Data!C493="—","—",IFERROR(INDEX(対訳マスタ!$C$2:$C$136,MATCH(Data!C493,対訳マスタ!$B$2:$B$136,0)),Data!C493))</f>
        <v>相互行為</v>
      </c>
      <c r="D493" s="70" t="str">
        <f aca="false">IF(Data!D493="—","—",IFERROR(INDEX(対訳マスタ!$C$2:$C$136,MATCH(Data!D493,対訳マスタ!$B$2:$B$136,0)),Data!D493))</f>
        <v>口頭の相互行為</v>
      </c>
      <c r="E493" s="70" t="str">
        <f aca="false">IFERROR(INDEX(対訳マスタ!$C$2:$C$136,MATCH(Data!E493,対訳マスタ!$B$2:$B$136,0)),Data!E493)</f>
        <v>フォーマルな議論（会議）</v>
      </c>
      <c r="F493" s="70" t="str">
        <f aca="false">Data!F493</f>
        <v>B2+</v>
      </c>
      <c r="G493" s="31" t="str">
        <f aca="false">Data!G493</f>
        <v>Can express their ideas and opinions with precision, and present and respond to complex lines of argument convincingly.</v>
      </c>
      <c r="H493" s="71" t="s">
        <v>3280</v>
      </c>
      <c r="I493" s="79" t="s">
        <v>3089</v>
      </c>
    </row>
    <row r="494" customFormat="false" ht="15" hidden="false" customHeight="true" outlineLevel="0" collapsed="false">
      <c r="A494" s="70" t="n">
        <f aca="false">Data!A494</f>
        <v>493</v>
      </c>
      <c r="B494" s="70" t="str">
        <f aca="false">IFERROR(INDEX(対訳マスタ!$C$2:$C$136,MATCH(Data!B494,対訳マスタ!$B$2:$B$136,0)),Data!B494)</f>
        <v>コミュニケーション言語活動</v>
      </c>
      <c r="C494" s="70" t="str">
        <f aca="false">IF(Data!C494="—","—",IFERROR(INDEX(対訳マスタ!$C$2:$C$136,MATCH(Data!C494,対訳マスタ!$B$2:$B$136,0)),Data!C494))</f>
        <v>相互行為</v>
      </c>
      <c r="D494" s="70" t="str">
        <f aca="false">IF(Data!D494="—","—",IFERROR(INDEX(対訳マスタ!$C$2:$C$136,MATCH(Data!D494,対訳マスタ!$B$2:$B$136,0)),Data!D494))</f>
        <v>口頭の相互行為</v>
      </c>
      <c r="E494" s="70" t="str">
        <f aca="false">IFERROR(INDEX(対訳マスタ!$C$2:$C$136,MATCH(Data!E494,対訳マスタ!$B$2:$B$136,0)),Data!E494)</f>
        <v>フォーマルな議論（会議）</v>
      </c>
      <c r="F494" s="70" t="str">
        <f aca="false">Data!F494</f>
        <v>B2</v>
      </c>
      <c r="G494" s="31" t="str">
        <f aca="false">Data!G494</f>
        <v>Can participate actively in routine and non-routine formal discussion.</v>
      </c>
      <c r="H494" s="71" t="s">
        <v>2691</v>
      </c>
      <c r="I494" s="79" t="s">
        <v>3089</v>
      </c>
    </row>
    <row r="495" customFormat="false" ht="21.75" hidden="false" customHeight="true" outlineLevel="0" collapsed="false">
      <c r="A495" s="70" t="n">
        <f aca="false">Data!A495</f>
        <v>494</v>
      </c>
      <c r="B495" s="70" t="str">
        <f aca="false">IFERROR(INDEX(対訳マスタ!$C$2:$C$136,MATCH(Data!B495,対訳マスタ!$B$2:$B$136,0)),Data!B495)</f>
        <v>コミュニケーション言語活動</v>
      </c>
      <c r="C495" s="70" t="str">
        <f aca="false">IF(Data!C495="—","—",IFERROR(INDEX(対訳マスタ!$C$2:$C$136,MATCH(Data!C495,対訳マスタ!$B$2:$B$136,0)),Data!C495))</f>
        <v>相互行為</v>
      </c>
      <c r="D495" s="70" t="str">
        <f aca="false">IF(Data!D495="—","—",IFERROR(INDEX(対訳マスタ!$C$2:$C$136,MATCH(Data!D495,対訳マスタ!$B$2:$B$136,0)),Data!D495))</f>
        <v>口頭の相互行為</v>
      </c>
      <c r="E495" s="70" t="str">
        <f aca="false">IFERROR(INDEX(対訳マスタ!$C$2:$C$136,MATCH(Data!E495,対訳マスタ!$B$2:$B$136,0)),Data!E495)</f>
        <v>フォーマルな議論（会議）</v>
      </c>
      <c r="F495" s="70" t="str">
        <f aca="false">Data!F495</f>
        <v>B2</v>
      </c>
      <c r="G495" s="31" t="str">
        <f aca="false">Data!G495</f>
        <v>Can follow the discussion on matters related to their field, understand in detail the points given prominence.</v>
      </c>
      <c r="H495" s="71" t="s">
        <v>3299</v>
      </c>
      <c r="I495" s="79" t="s">
        <v>3089</v>
      </c>
    </row>
    <row r="496" customFormat="false" ht="21.75" hidden="false" customHeight="true" outlineLevel="0" collapsed="false">
      <c r="A496" s="70" t="n">
        <f aca="false">Data!A496</f>
        <v>495</v>
      </c>
      <c r="B496" s="70" t="str">
        <f aca="false">IFERROR(INDEX(対訳マスタ!$C$2:$C$136,MATCH(Data!B496,対訳マスタ!$B$2:$B$136,0)),Data!B496)</f>
        <v>コミュニケーション言語活動</v>
      </c>
      <c r="C496" s="70" t="str">
        <f aca="false">IF(Data!C496="—","—",IFERROR(INDEX(対訳マスタ!$C$2:$C$136,MATCH(Data!C496,対訳マスタ!$B$2:$B$136,0)),Data!C496))</f>
        <v>相互行為</v>
      </c>
      <c r="D496" s="70" t="str">
        <f aca="false">IF(Data!D496="—","—",IFERROR(INDEX(対訳マスタ!$C$2:$C$136,MATCH(Data!D496,対訳マスタ!$B$2:$B$136,0)),Data!D496))</f>
        <v>口頭の相互行為</v>
      </c>
      <c r="E496" s="70" t="str">
        <f aca="false">IFERROR(INDEX(対訳マスタ!$C$2:$C$136,MATCH(Data!E496,対訳マスタ!$B$2:$B$136,0)),Data!E496)</f>
        <v>フォーマルな議論（会議）</v>
      </c>
      <c r="F496" s="70" t="str">
        <f aca="false">Data!F496</f>
        <v>B2</v>
      </c>
      <c r="G496" s="31" t="str">
        <f aca="false">Data!G496</f>
        <v>Can contribute, account for and sustain their opinion, evaluate alternative proposals and make and respond to hypotheses.</v>
      </c>
      <c r="H496" s="71" t="s">
        <v>3300</v>
      </c>
      <c r="I496" s="79" t="s">
        <v>3089</v>
      </c>
    </row>
    <row r="497" customFormat="false" ht="21.75" hidden="false" customHeight="true" outlineLevel="0" collapsed="false">
      <c r="A497" s="70" t="n">
        <f aca="false">Data!A497</f>
        <v>496</v>
      </c>
      <c r="B497" s="70" t="str">
        <f aca="false">IFERROR(INDEX(対訳マスタ!$C$2:$C$136,MATCH(Data!B497,対訳マスタ!$B$2:$B$136,0)),Data!B497)</f>
        <v>コミュニケーション言語活動</v>
      </c>
      <c r="C497" s="70" t="str">
        <f aca="false">IF(Data!C497="—","—",IFERROR(INDEX(対訳マスタ!$C$2:$C$136,MATCH(Data!C497,対訳マスタ!$B$2:$B$136,0)),Data!C497))</f>
        <v>相互行為</v>
      </c>
      <c r="D497" s="70" t="str">
        <f aca="false">IF(Data!D497="—","—",IFERROR(INDEX(対訳マスタ!$C$2:$C$136,MATCH(Data!D497,対訳マスタ!$B$2:$B$136,0)),Data!D497))</f>
        <v>口頭の相互行為</v>
      </c>
      <c r="E497" s="70" t="str">
        <f aca="false">IFERROR(INDEX(対訳マスタ!$C$2:$C$136,MATCH(Data!E497,対訳マスタ!$B$2:$B$136,0)),Data!E497)</f>
        <v>フォーマルな議論（会議）</v>
      </c>
      <c r="F497" s="70" t="str">
        <f aca="false">Data!F497</f>
        <v>B1+</v>
      </c>
      <c r="G497" s="31" t="str">
        <f aca="false">Data!G497</f>
        <v>Can follow much of what is said that is related to their field, provided interlocutors avoid very idiomatic usage and articulate clearly.</v>
      </c>
      <c r="H497" s="71" t="s">
        <v>3301</v>
      </c>
      <c r="I497" s="79" t="s">
        <v>3089</v>
      </c>
    </row>
    <row r="498" customFormat="false" ht="15" hidden="false" customHeight="true" outlineLevel="0" collapsed="false">
      <c r="A498" s="70" t="n">
        <f aca="false">Data!A498</f>
        <v>497</v>
      </c>
      <c r="B498" s="70" t="str">
        <f aca="false">IFERROR(INDEX(対訳マスタ!$C$2:$C$136,MATCH(Data!B498,対訳マスタ!$B$2:$B$136,0)),Data!B498)</f>
        <v>コミュニケーション言語活動</v>
      </c>
      <c r="C498" s="70" t="str">
        <f aca="false">IF(Data!C498="—","—",IFERROR(INDEX(対訳マスタ!$C$2:$C$136,MATCH(Data!C498,対訳マスタ!$B$2:$B$136,0)),Data!C498))</f>
        <v>相互行為</v>
      </c>
      <c r="D498" s="70" t="str">
        <f aca="false">IF(Data!D498="—","—",IFERROR(INDEX(対訳マスタ!$C$2:$C$136,MATCH(Data!D498,対訳マスタ!$B$2:$B$136,0)),Data!D498))</f>
        <v>口頭の相互行為</v>
      </c>
      <c r="E498" s="70" t="str">
        <f aca="false">IFERROR(INDEX(対訳マスタ!$C$2:$C$136,MATCH(Data!E498,対訳マスタ!$B$2:$B$136,0)),Data!E498)</f>
        <v>フォーマルな議論（会議）</v>
      </c>
      <c r="F498" s="70" t="str">
        <f aca="false">Data!F498</f>
        <v>B1+</v>
      </c>
      <c r="G498" s="31" t="str">
        <f aca="false">Data!G498</f>
        <v>Can put over a point of view clearly, but has difficulty engaging in debate.</v>
      </c>
      <c r="H498" s="71" t="s">
        <v>2690</v>
      </c>
      <c r="I498" s="79" t="s">
        <v>3089</v>
      </c>
    </row>
    <row r="499" customFormat="false" ht="42.75" hidden="false" customHeight="true" outlineLevel="0" collapsed="false">
      <c r="A499" s="70" t="n">
        <f aca="false">Data!A499</f>
        <v>498</v>
      </c>
      <c r="B499" s="70" t="str">
        <f aca="false">IFERROR(INDEX(対訳マスタ!$C$2:$C$136,MATCH(Data!B499,対訳マスタ!$B$2:$B$136,0)),Data!B499)</f>
        <v>コミュニケーション言語活動</v>
      </c>
      <c r="C499" s="70" t="str">
        <f aca="false">IF(Data!C499="—","—",IFERROR(INDEX(対訳マスタ!$C$2:$C$136,MATCH(Data!C499,対訳マスタ!$B$2:$B$136,0)),Data!C499))</f>
        <v>相互行為</v>
      </c>
      <c r="D499" s="70" t="str">
        <f aca="false">IF(Data!D499="—","—",IFERROR(INDEX(対訳マスタ!$C$2:$C$136,MATCH(Data!D499,対訳マスタ!$B$2:$B$136,0)),Data!D499))</f>
        <v>口頭の相互行為</v>
      </c>
      <c r="E499" s="70" t="str">
        <f aca="false">IFERROR(INDEX(対訳マスタ!$C$2:$C$136,MATCH(Data!E499,対訳マスタ!$B$2:$B$136,0)),Data!E499)</f>
        <v>フォーマルな議論（会議）</v>
      </c>
      <c r="F499" s="70" t="str">
        <f aca="false">Data!F499</f>
        <v>B1</v>
      </c>
      <c r="G499" s="31" t="str">
        <f aca="false">Data!G499</f>
        <v>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v>
      </c>
      <c r="H499" s="71" t="s">
        <v>3302</v>
      </c>
      <c r="I499" s="79" t="s">
        <v>3089</v>
      </c>
    </row>
    <row r="500" customFormat="false" ht="32.25" hidden="false" customHeight="true" outlineLevel="0" collapsed="false">
      <c r="A500" s="70" t="n">
        <f aca="false">Data!A500</f>
        <v>499</v>
      </c>
      <c r="B500" s="70" t="str">
        <f aca="false">IFERROR(INDEX(対訳マスタ!$C$2:$C$136,MATCH(Data!B500,対訳マスタ!$B$2:$B$136,0)),Data!B500)</f>
        <v>コミュニケーション言語活動</v>
      </c>
      <c r="C500" s="70" t="str">
        <f aca="false">IF(Data!C500="—","—",IFERROR(INDEX(対訳マスタ!$C$2:$C$136,MATCH(Data!C500,対訳マスタ!$B$2:$B$136,0)),Data!C500))</f>
        <v>相互行為</v>
      </c>
      <c r="D500" s="70" t="str">
        <f aca="false">IF(Data!D500="—","—",IFERROR(INDEX(対訳マスタ!$C$2:$C$136,MATCH(Data!D500,対訳マスタ!$B$2:$B$136,0)),Data!D500))</f>
        <v>口頭の相互行為</v>
      </c>
      <c r="E500" s="70" t="str">
        <f aca="false">IFERROR(INDEX(対訳マスタ!$C$2:$C$136,MATCH(Data!E500,対訳マスタ!$B$2:$B$136,0)),Data!E500)</f>
        <v>フォーマルな議論（会議）</v>
      </c>
      <c r="F500" s="70" t="str">
        <f aca="false">Data!F500</f>
        <v>B1</v>
      </c>
      <c r="G500" s="31" t="str">
        <f aca="false">Data!G500</f>
        <v>Can follow argumentation and discussion on a familiar or predictable topic, provided the points are made in relatively simple language and/or repeated, and opportunity is given for clarification.</v>
      </c>
      <c r="H500" s="71" t="s">
        <v>2689</v>
      </c>
      <c r="I500" s="79" t="s">
        <v>3089</v>
      </c>
    </row>
    <row r="501" customFormat="false" ht="21.75" hidden="false" customHeight="true" outlineLevel="0" collapsed="false">
      <c r="A501" s="70" t="n">
        <f aca="false">Data!A501</f>
        <v>500</v>
      </c>
      <c r="B501" s="70" t="str">
        <f aca="false">IFERROR(INDEX(対訳マスタ!$C$2:$C$136,MATCH(Data!B501,対訳マスタ!$B$2:$B$136,0)),Data!B501)</f>
        <v>コミュニケーション言語活動</v>
      </c>
      <c r="C501" s="70" t="str">
        <f aca="false">IF(Data!C501="—","—",IFERROR(INDEX(対訳マスタ!$C$2:$C$136,MATCH(Data!C501,対訳マスタ!$B$2:$B$136,0)),Data!C501))</f>
        <v>相互行為</v>
      </c>
      <c r="D501" s="70" t="str">
        <f aca="false">IF(Data!D501="—","—",IFERROR(INDEX(対訳マスタ!$C$2:$C$136,MATCH(Data!D501,対訳マスタ!$B$2:$B$136,0)),Data!D501))</f>
        <v>口頭の相互行為</v>
      </c>
      <c r="E501" s="70" t="str">
        <f aca="false">IFERROR(INDEX(対訳マスタ!$C$2:$C$136,MATCH(Data!E501,対訳マスタ!$B$2:$B$136,0)),Data!E501)</f>
        <v>フォーマルな議論（会議）</v>
      </c>
      <c r="F501" s="70" t="str">
        <f aca="false">Data!F501</f>
        <v>A2+</v>
      </c>
      <c r="G501" s="31" t="str">
        <f aca="false">Data!G501</f>
        <v>Can generally follow changes of topic in formal discussion related to their field which is conducted slowly and clearly.</v>
      </c>
      <c r="H501" s="71" t="s">
        <v>2688</v>
      </c>
      <c r="I501" s="79" t="s">
        <v>3089</v>
      </c>
    </row>
    <row r="502" customFormat="false" ht="32.25" hidden="false" customHeight="true" outlineLevel="0" collapsed="false">
      <c r="A502" s="70" t="n">
        <f aca="false">Data!A502</f>
        <v>501</v>
      </c>
      <c r="B502" s="70" t="str">
        <f aca="false">IFERROR(INDEX(対訳マスタ!$C$2:$C$136,MATCH(Data!B502,対訳マスタ!$B$2:$B$136,0)),Data!B502)</f>
        <v>コミュニケーション言語活動</v>
      </c>
      <c r="C502" s="70" t="str">
        <f aca="false">IF(Data!C502="—","—",IFERROR(INDEX(対訳マスタ!$C$2:$C$136,MATCH(Data!C502,対訳マスタ!$B$2:$B$136,0)),Data!C502))</f>
        <v>相互行為</v>
      </c>
      <c r="D502" s="70" t="str">
        <f aca="false">IF(Data!D502="—","—",IFERROR(INDEX(対訳マスタ!$C$2:$C$136,MATCH(Data!D502,対訳マスタ!$B$2:$B$136,0)),Data!D502))</f>
        <v>口頭の相互行為</v>
      </c>
      <c r="E502" s="70" t="str">
        <f aca="false">IFERROR(INDEX(対訳マスタ!$C$2:$C$136,MATCH(Data!E502,対訳マスタ!$B$2:$B$136,0)),Data!E502)</f>
        <v>フォーマルな議論（会議）</v>
      </c>
      <c r="F502" s="70" t="str">
        <f aca="false">Data!F502</f>
        <v>A2+</v>
      </c>
      <c r="G502" s="31" t="str">
        <f aca="false">Data!G502</f>
        <v>Can exchange relevant information and give their opinion on practical problems when asked directly, provided they receive some help with formulation and can ask for repetition of key points if necessary.</v>
      </c>
      <c r="H502" s="71" t="s">
        <v>3303</v>
      </c>
      <c r="I502" s="79" t="s">
        <v>3089</v>
      </c>
    </row>
    <row r="503" customFormat="false" ht="26.25" hidden="false" customHeight="true" outlineLevel="0" collapsed="false">
      <c r="A503" s="70" t="n">
        <f aca="false">Data!A503</f>
        <v>502</v>
      </c>
      <c r="B503" s="70" t="str">
        <f aca="false">IFERROR(INDEX(対訳マスタ!$C$2:$C$136,MATCH(Data!B503,対訳マスタ!$B$2:$B$136,0)),Data!B503)</f>
        <v>コミュニケーション言語活動</v>
      </c>
      <c r="C503" s="70" t="str">
        <f aca="false">IF(Data!C503="—","—",IFERROR(INDEX(対訳マスタ!$C$2:$C$136,MATCH(Data!C503,対訳マスタ!$B$2:$B$136,0)),Data!C503))</f>
        <v>相互行為</v>
      </c>
      <c r="D503" s="70" t="str">
        <f aca="false">IF(Data!D503="—","—",IFERROR(INDEX(対訳マスタ!$C$2:$C$136,MATCH(Data!D503,対訳マスタ!$B$2:$B$136,0)),Data!D503))</f>
        <v>口頭の相互行為</v>
      </c>
      <c r="E503" s="70" t="str">
        <f aca="false">IFERROR(INDEX(対訳マスタ!$C$2:$C$136,MATCH(Data!E503,対訳マスタ!$B$2:$B$136,0)),Data!E503)</f>
        <v>フォーマルな議論（会議）</v>
      </c>
      <c r="F503" s="70" t="str">
        <f aca="false">Data!F503</f>
        <v>A2</v>
      </c>
      <c r="G503" s="31" t="str">
        <f aca="false">Data!G503</f>
        <v>Can express what they think about things when addressed directly in a formal meeting, provided they can ask for repetition of key points if necessary.</v>
      </c>
      <c r="H503" s="71" t="s">
        <v>2687</v>
      </c>
      <c r="I503" s="79" t="s">
        <v>3089</v>
      </c>
    </row>
    <row r="504" customFormat="false" ht="15" hidden="false" customHeight="true" outlineLevel="0" collapsed="false">
      <c r="A504" s="80" t="n">
        <f aca="false">Data!A504</f>
        <v>503</v>
      </c>
      <c r="B504" s="80" t="str">
        <f aca="false">IFERROR(INDEX(対訳マスタ!$C$2:$C$136,MATCH(Data!B504,対訳マスタ!$B$2:$B$136,0)),Data!B504)</f>
        <v>コミュニケーション言語活動</v>
      </c>
      <c r="C504" s="80" t="str">
        <f aca="false">IF(Data!C504="—","—",IFERROR(INDEX(対訳マスタ!$C$2:$C$136,MATCH(Data!C504,対訳マスタ!$B$2:$B$136,0)),Data!C504))</f>
        <v>相互行為</v>
      </c>
      <c r="D504" s="80" t="str">
        <f aca="false">IF(Data!D504="—","—",IFERROR(INDEX(対訳マスタ!$C$2:$C$136,MATCH(Data!D504,対訳マスタ!$B$2:$B$136,0)),Data!D504))</f>
        <v>口頭の相互行為</v>
      </c>
      <c r="E504" s="80" t="str">
        <f aca="false">IFERROR(INDEX(対訳マスタ!$C$2:$C$136,MATCH(Data!E504,対訳マスタ!$B$2:$B$136,0)),Data!E504)</f>
        <v>フォーマルな議論（会議）</v>
      </c>
      <c r="F504" s="80" t="str">
        <f aca="false">Data!F504</f>
        <v>A1</v>
      </c>
      <c r="G504" s="81" t="str">
        <f aca="false">Data!G504</f>
        <v>No descriptors available</v>
      </c>
      <c r="H504" s="81" t="s">
        <v>624</v>
      </c>
      <c r="I504" s="80" t="s">
        <v>624</v>
      </c>
    </row>
    <row r="505" customFormat="false" ht="15" hidden="false" customHeight="true" outlineLevel="0" collapsed="false">
      <c r="A505" s="80" t="n">
        <f aca="false">Data!A505</f>
        <v>504</v>
      </c>
      <c r="B505" s="80" t="str">
        <f aca="false">IFERROR(INDEX(対訳マスタ!$C$2:$C$136,MATCH(Data!B505,対訳マスタ!$B$2:$B$136,0)),Data!B505)</f>
        <v>コミュニケーション言語活動</v>
      </c>
      <c r="C505" s="80" t="str">
        <f aca="false">IF(Data!C505="—","—",IFERROR(INDEX(対訳マスタ!$C$2:$C$136,MATCH(Data!C505,対訳マスタ!$B$2:$B$136,0)),Data!C505))</f>
        <v>相互行為</v>
      </c>
      <c r="D505" s="80" t="str">
        <f aca="false">IF(Data!D505="—","—",IFERROR(INDEX(対訳マスタ!$C$2:$C$136,MATCH(Data!D505,対訳マスタ!$B$2:$B$136,0)),Data!D505))</f>
        <v>口頭の相互行為</v>
      </c>
      <c r="E505" s="80" t="str">
        <f aca="false">IFERROR(INDEX(対訳マスタ!$C$2:$C$136,MATCH(Data!E505,対訳マスタ!$B$2:$B$136,0)),Data!E505)</f>
        <v>フォーマルな議論（会議）</v>
      </c>
      <c r="F505" s="80" t="str">
        <f aca="false">Data!F505</f>
        <v>Pre-A1</v>
      </c>
      <c r="G505" s="81" t="str">
        <f aca="false">Data!G505</f>
        <v>No descriptors available</v>
      </c>
      <c r="H505" s="81" t="s">
        <v>624</v>
      </c>
      <c r="I505" s="80" t="s">
        <v>624</v>
      </c>
    </row>
    <row r="506" customFormat="false" ht="15" hidden="false" customHeight="true" outlineLevel="0" collapsed="false">
      <c r="A506" s="80" t="n">
        <f aca="false">Data!A506</f>
        <v>505</v>
      </c>
      <c r="B506" s="80" t="str">
        <f aca="false">IFERROR(INDEX(対訳マスタ!$C$2:$C$136,MATCH(Data!B506,対訳マスタ!$B$2:$B$136,0)),Data!B506)</f>
        <v>コミュニケーション言語活動</v>
      </c>
      <c r="C506" s="80" t="str">
        <f aca="false">IF(Data!C506="—","—",IFERROR(INDEX(対訳マスタ!$C$2:$C$136,MATCH(Data!C506,対訳マスタ!$B$2:$B$136,0)),Data!C506))</f>
        <v>相互行為</v>
      </c>
      <c r="D506" s="80" t="str">
        <f aca="false">IF(Data!D506="—","—",IFERROR(INDEX(対訳マスタ!$C$2:$C$136,MATCH(Data!D506,対訳マスタ!$B$2:$B$136,0)),Data!D506))</f>
        <v>口頭の相互行為</v>
      </c>
      <c r="E506" s="80" t="str">
        <f aca="false">IFERROR(INDEX(対訳マスタ!$C$2:$C$136,MATCH(Data!E506,対訳マスタ!$B$2:$B$136,0)),Data!E506)</f>
        <v>目標のある共同作業（料理・文書検討・イベント準備など）</v>
      </c>
      <c r="F506" s="80" t="str">
        <f aca="false">Data!F506</f>
        <v>C2</v>
      </c>
      <c r="G506" s="81" t="str">
        <f aca="false">Data!G506</f>
        <v>No descriptors available; see C1</v>
      </c>
      <c r="H506" s="81" t="s">
        <v>624</v>
      </c>
      <c r="I506" s="80" t="s">
        <v>624</v>
      </c>
    </row>
    <row r="507" customFormat="false" ht="32.25" hidden="false" customHeight="true" outlineLevel="0" collapsed="false">
      <c r="A507" s="70" t="n">
        <f aca="false">Data!A507</f>
        <v>506</v>
      </c>
      <c r="B507" s="70" t="str">
        <f aca="false">IFERROR(INDEX(対訳マスタ!$C$2:$C$136,MATCH(Data!B507,対訳マスタ!$B$2:$B$136,0)),Data!B507)</f>
        <v>コミュニケーション言語活動</v>
      </c>
      <c r="C507" s="70" t="str">
        <f aca="false">IF(Data!C507="—","—",IFERROR(INDEX(対訳マスタ!$C$2:$C$136,MATCH(Data!C507,対訳マスタ!$B$2:$B$136,0)),Data!C507))</f>
        <v>相互行為</v>
      </c>
      <c r="D507" s="70" t="str">
        <f aca="false">IF(Data!D507="—","—",IFERROR(INDEX(対訳マスタ!$C$2:$C$136,MATCH(Data!D507,対訳マスタ!$B$2:$B$136,0)),Data!D507))</f>
        <v>口頭の相互行為</v>
      </c>
      <c r="E507" s="70" t="str">
        <f aca="false">IFERROR(INDEX(対訳マスタ!$C$2:$C$136,MATCH(Data!E507,対訳マスタ!$B$2:$B$136,0)),Data!E507)</f>
        <v>目標のある共同作業（料理・文書検討・イベント準備など）</v>
      </c>
      <c r="F507" s="70" t="str">
        <f aca="false">Data!F507</f>
        <v>C1</v>
      </c>
      <c r="G507" s="31" t="str">
        <f aca="false">Data!G507</f>
        <v>Can frame a discussion to decide on a course of action with a partner or group, reporting on what others have said, and summarising, elaborating and weighing up multiple points of view.</v>
      </c>
      <c r="H507" s="71" t="s">
        <v>2701</v>
      </c>
      <c r="I507" s="79" t="s">
        <v>3089</v>
      </c>
    </row>
    <row r="508" customFormat="false" ht="15" hidden="false" customHeight="true" outlineLevel="0" collapsed="false">
      <c r="A508" s="70" t="n">
        <f aca="false">Data!A508</f>
        <v>507</v>
      </c>
      <c r="B508" s="70" t="str">
        <f aca="false">IFERROR(INDEX(対訳マスタ!$C$2:$C$136,MATCH(Data!B508,対訳マスタ!$B$2:$B$136,0)),Data!B508)</f>
        <v>コミュニケーション言語活動</v>
      </c>
      <c r="C508" s="70" t="str">
        <f aca="false">IF(Data!C508="—","—",IFERROR(INDEX(対訳マスタ!$C$2:$C$136,MATCH(Data!C508,対訳マスタ!$B$2:$B$136,0)),Data!C508))</f>
        <v>相互行為</v>
      </c>
      <c r="D508" s="70" t="str">
        <f aca="false">IF(Data!D508="—","—",IFERROR(INDEX(対訳マスタ!$C$2:$C$136,MATCH(Data!D508,対訳マスタ!$B$2:$B$136,0)),Data!D508))</f>
        <v>口頭の相互行為</v>
      </c>
      <c r="E508" s="70" t="str">
        <f aca="false">IFERROR(INDEX(対訳マスタ!$C$2:$C$136,MATCH(Data!E508,対訳マスタ!$B$2:$B$136,0)),Data!E508)</f>
        <v>目標のある共同作業（料理・文書検討・イベント準備など）</v>
      </c>
      <c r="F508" s="70" t="str">
        <f aca="false">Data!F508</f>
        <v>B2</v>
      </c>
      <c r="G508" s="31" t="str">
        <f aca="false">Data!G508</f>
        <v>Can understand detailed instructions reliably.</v>
      </c>
      <c r="H508" s="71" t="s">
        <v>2700</v>
      </c>
      <c r="I508" s="79" t="s">
        <v>3089</v>
      </c>
    </row>
    <row r="509" customFormat="false" ht="21.75" hidden="false" customHeight="true" outlineLevel="0" collapsed="false">
      <c r="A509" s="70" t="n">
        <f aca="false">Data!A509</f>
        <v>508</v>
      </c>
      <c r="B509" s="70" t="str">
        <f aca="false">IFERROR(INDEX(対訳マスタ!$C$2:$C$136,MATCH(Data!B509,対訳マスタ!$B$2:$B$136,0)),Data!B509)</f>
        <v>コミュニケーション言語活動</v>
      </c>
      <c r="C509" s="70" t="str">
        <f aca="false">IF(Data!C509="—","—",IFERROR(INDEX(対訳マスタ!$C$2:$C$136,MATCH(Data!C509,対訳マスタ!$B$2:$B$136,0)),Data!C509))</f>
        <v>相互行為</v>
      </c>
      <c r="D509" s="70" t="str">
        <f aca="false">IF(Data!D509="—","—",IFERROR(INDEX(対訳マスタ!$C$2:$C$136,MATCH(Data!D509,対訳マスタ!$B$2:$B$136,0)),Data!D509))</f>
        <v>口頭の相互行為</v>
      </c>
      <c r="E509" s="70" t="str">
        <f aca="false">IFERROR(INDEX(対訳マスタ!$C$2:$C$136,MATCH(Data!E509,対訳マスタ!$B$2:$B$136,0)),Data!E509)</f>
        <v>目標のある共同作業（料理・文書検討・イベント準備など）</v>
      </c>
      <c r="F509" s="70" t="str">
        <f aca="false">Data!F509</f>
        <v>B2</v>
      </c>
      <c r="G509" s="31" t="str">
        <f aca="false">Data!G509</f>
        <v>Can help along the progress of the work by inviting others to join in, express what they think, etc.</v>
      </c>
      <c r="H509" s="71" t="s">
        <v>3304</v>
      </c>
      <c r="I509" s="79" t="s">
        <v>3089</v>
      </c>
    </row>
    <row r="510" customFormat="false" ht="21.75" hidden="false" customHeight="true" outlineLevel="0" collapsed="false">
      <c r="A510" s="70" t="n">
        <f aca="false">Data!A510</f>
        <v>509</v>
      </c>
      <c r="B510" s="70" t="str">
        <f aca="false">IFERROR(INDEX(対訳マスタ!$C$2:$C$136,MATCH(Data!B510,対訳マスタ!$B$2:$B$136,0)),Data!B510)</f>
        <v>コミュニケーション言語活動</v>
      </c>
      <c r="C510" s="70" t="str">
        <f aca="false">IF(Data!C510="—","—",IFERROR(INDEX(対訳マスタ!$C$2:$C$136,MATCH(Data!C510,対訳マスタ!$B$2:$B$136,0)),Data!C510))</f>
        <v>相互行為</v>
      </c>
      <c r="D510" s="70" t="str">
        <f aca="false">IF(Data!D510="—","—",IFERROR(INDEX(対訳マスタ!$C$2:$C$136,MATCH(Data!D510,対訳マスタ!$B$2:$B$136,0)),Data!D510))</f>
        <v>口頭の相互行為</v>
      </c>
      <c r="E510" s="70" t="str">
        <f aca="false">IFERROR(INDEX(対訳マスタ!$C$2:$C$136,MATCH(Data!E510,対訳マスタ!$B$2:$B$136,0)),Data!E510)</f>
        <v>目標のある共同作業（料理・文書検討・イベント準備など）</v>
      </c>
      <c r="F510" s="70" t="str">
        <f aca="false">Data!F510</f>
        <v>B2</v>
      </c>
      <c r="G510" s="31" t="str">
        <f aca="false">Data!G510</f>
        <v>Can outline an issue or a problem clearly, speculating about causes or consequences, and weighing advantages and disadvantages of different approaches.</v>
      </c>
      <c r="H510" s="71" t="s">
        <v>3305</v>
      </c>
      <c r="I510" s="79" t="s">
        <v>3089</v>
      </c>
    </row>
    <row r="511" customFormat="false" ht="21.75" hidden="false" customHeight="true" outlineLevel="0" collapsed="false">
      <c r="A511" s="70" t="n">
        <f aca="false">Data!A511</f>
        <v>510</v>
      </c>
      <c r="B511" s="70" t="str">
        <f aca="false">IFERROR(INDEX(対訳マスタ!$C$2:$C$136,MATCH(Data!B511,対訳マスタ!$B$2:$B$136,0)),Data!B511)</f>
        <v>コミュニケーション言語活動</v>
      </c>
      <c r="C511" s="70" t="str">
        <f aca="false">IF(Data!C511="—","—",IFERROR(INDEX(対訳マスタ!$C$2:$C$136,MATCH(Data!C511,対訳マスタ!$B$2:$B$136,0)),Data!C511))</f>
        <v>相互行為</v>
      </c>
      <c r="D511" s="70" t="str">
        <f aca="false">IF(Data!D511="—","—",IFERROR(INDEX(対訳マスタ!$C$2:$C$136,MATCH(Data!D511,対訳マスタ!$B$2:$B$136,0)),Data!D511))</f>
        <v>口頭の相互行為</v>
      </c>
      <c r="E511" s="70" t="str">
        <f aca="false">IFERROR(INDEX(対訳マスタ!$C$2:$C$136,MATCH(Data!E511,対訳マスタ!$B$2:$B$136,0)),Data!E511)</f>
        <v>目標のある共同作業（料理・文書検討・イベント準備など）</v>
      </c>
      <c r="F511" s="70" t="str">
        <f aca="false">Data!F511</f>
        <v>B1+</v>
      </c>
      <c r="G511" s="31" t="str">
        <f aca="false">Data!G511</f>
        <v>Can follow what is said, though they may occasionally have to ask for repetition or clarification if the discussion is rapid or extended.</v>
      </c>
      <c r="H511" s="71" t="s">
        <v>3306</v>
      </c>
      <c r="I511" s="79" t="s">
        <v>3089</v>
      </c>
    </row>
    <row r="512" customFormat="false" ht="21.75" hidden="false" customHeight="true" outlineLevel="0" collapsed="false">
      <c r="A512" s="70" t="n">
        <f aca="false">Data!A512</f>
        <v>511</v>
      </c>
      <c r="B512" s="70" t="str">
        <f aca="false">IFERROR(INDEX(対訳マスタ!$C$2:$C$136,MATCH(Data!B512,対訳マスタ!$B$2:$B$136,0)),Data!B512)</f>
        <v>コミュニケーション言語活動</v>
      </c>
      <c r="C512" s="70" t="str">
        <f aca="false">IF(Data!C512="—","—",IFERROR(INDEX(対訳マスタ!$C$2:$C$136,MATCH(Data!C512,対訳マスタ!$B$2:$B$136,0)),Data!C512))</f>
        <v>相互行為</v>
      </c>
      <c r="D512" s="70" t="str">
        <f aca="false">IF(Data!D512="—","—",IFERROR(INDEX(対訳マスタ!$C$2:$C$136,MATCH(Data!D512,対訳マスタ!$B$2:$B$136,0)),Data!D512))</f>
        <v>口頭の相互行為</v>
      </c>
      <c r="E512" s="70" t="str">
        <f aca="false">IFERROR(INDEX(対訳マスタ!$C$2:$C$136,MATCH(Data!E512,対訳マスタ!$B$2:$B$136,0)),Data!E512)</f>
        <v>目標のある共同作業（料理・文書検討・イベント準備など）</v>
      </c>
      <c r="F512" s="70" t="str">
        <f aca="false">Data!F512</f>
        <v>B1+</v>
      </c>
      <c r="G512" s="31" t="str">
        <f aca="false">Data!G512</f>
        <v>Can explain why something is a problem, discuss what to do next, and compare and contrast alternatives.</v>
      </c>
      <c r="H512" s="71" t="s">
        <v>3307</v>
      </c>
      <c r="I512" s="79" t="s">
        <v>3089</v>
      </c>
    </row>
    <row r="513" customFormat="false" ht="15" hidden="false" customHeight="true" outlineLevel="0" collapsed="false">
      <c r="A513" s="70" t="n">
        <f aca="false">Data!A513</f>
        <v>512</v>
      </c>
      <c r="B513" s="70" t="str">
        <f aca="false">IFERROR(INDEX(対訳マスタ!$C$2:$C$136,MATCH(Data!B513,対訳マスタ!$B$2:$B$136,0)),Data!B513)</f>
        <v>コミュニケーション言語活動</v>
      </c>
      <c r="C513" s="70" t="str">
        <f aca="false">IF(Data!C513="—","—",IFERROR(INDEX(対訳マスタ!$C$2:$C$136,MATCH(Data!C513,対訳マスタ!$B$2:$B$136,0)),Data!C513))</f>
        <v>相互行為</v>
      </c>
      <c r="D513" s="70" t="str">
        <f aca="false">IF(Data!D513="—","—",IFERROR(INDEX(対訳マスタ!$C$2:$C$136,MATCH(Data!D513,対訳マスタ!$B$2:$B$136,0)),Data!D513))</f>
        <v>口頭の相互行為</v>
      </c>
      <c r="E513" s="70" t="str">
        <f aca="false">IFERROR(INDEX(対訳マスタ!$C$2:$C$136,MATCH(Data!E513,対訳マスタ!$B$2:$B$136,0)),Data!E513)</f>
        <v>目標のある共同作業（料理・文書検討・イベント準備など）</v>
      </c>
      <c r="F513" s="70" t="str">
        <f aca="false">Data!F513</f>
        <v>B1+</v>
      </c>
      <c r="G513" s="31" t="str">
        <f aca="false">Data!G513</f>
        <v>Can give brief comments on the views of others.</v>
      </c>
      <c r="H513" s="71" t="s">
        <v>2699</v>
      </c>
      <c r="I513" s="79" t="s">
        <v>3089</v>
      </c>
    </row>
    <row r="514" customFormat="false" ht="21.75" hidden="false" customHeight="true" outlineLevel="0" collapsed="false">
      <c r="A514" s="70" t="n">
        <f aca="false">Data!A514</f>
        <v>513</v>
      </c>
      <c r="B514" s="70" t="str">
        <f aca="false">IFERROR(INDEX(対訳マスタ!$C$2:$C$136,MATCH(Data!B514,対訳マスタ!$B$2:$B$136,0)),Data!B514)</f>
        <v>コミュニケーション言語活動</v>
      </c>
      <c r="C514" s="70" t="str">
        <f aca="false">IF(Data!C514="—","—",IFERROR(INDEX(対訳マスタ!$C$2:$C$136,MATCH(Data!C514,対訳マスタ!$B$2:$B$136,0)),Data!C514))</f>
        <v>相互行為</v>
      </c>
      <c r="D514" s="70" t="str">
        <f aca="false">IF(Data!D514="—","—",IFERROR(INDEX(対訳マスタ!$C$2:$C$136,MATCH(Data!D514,対訳マスタ!$B$2:$B$136,0)),Data!D514))</f>
        <v>口頭の相互行為</v>
      </c>
      <c r="E514" s="70" t="str">
        <f aca="false">IFERROR(INDEX(対訳マスタ!$C$2:$C$136,MATCH(Data!E514,対訳マスタ!$B$2:$B$136,0)),Data!E514)</f>
        <v>目標のある共同作業（料理・文書検討・イベント準備など）</v>
      </c>
      <c r="F514" s="70" t="str">
        <f aca="false">Data!F514</f>
        <v>B1</v>
      </c>
      <c r="G514" s="31" t="str">
        <f aca="false">Data!G514</f>
        <v>Can generally follow what is said and, when necessary, repeat back part of what someone has said to confirm mutual understanding.</v>
      </c>
      <c r="H514" s="71" t="s">
        <v>3308</v>
      </c>
      <c r="I514" s="79" t="s">
        <v>3089</v>
      </c>
    </row>
    <row r="515" customFormat="false" ht="21.75" hidden="false" customHeight="true" outlineLevel="0" collapsed="false">
      <c r="A515" s="70" t="n">
        <f aca="false">Data!A515</f>
        <v>514</v>
      </c>
      <c r="B515" s="70" t="str">
        <f aca="false">IFERROR(INDEX(対訳マスタ!$C$2:$C$136,MATCH(Data!B515,対訳マスタ!$B$2:$B$136,0)),Data!B515)</f>
        <v>コミュニケーション言語活動</v>
      </c>
      <c r="C515" s="70" t="str">
        <f aca="false">IF(Data!C515="—","—",IFERROR(INDEX(対訳マスタ!$C$2:$C$136,MATCH(Data!C515,対訳マスタ!$B$2:$B$136,0)),Data!C515))</f>
        <v>相互行為</v>
      </c>
      <c r="D515" s="70" t="str">
        <f aca="false">IF(Data!D515="—","—",IFERROR(INDEX(対訳マスタ!$C$2:$C$136,MATCH(Data!D515,対訳マスタ!$B$2:$B$136,0)),Data!D515))</f>
        <v>口頭の相互行為</v>
      </c>
      <c r="E515" s="70" t="str">
        <f aca="false">IFERROR(INDEX(対訳マスタ!$C$2:$C$136,MATCH(Data!E515,対訳マスタ!$B$2:$B$136,0)),Data!E515)</f>
        <v>目標のある共同作業（料理・文書検討・イベント準備など）</v>
      </c>
      <c r="F515" s="70" t="str">
        <f aca="false">Data!F515</f>
        <v>B1</v>
      </c>
      <c r="G515" s="31" t="str">
        <f aca="false">Data!G515</f>
        <v>Can make their opinions and reactions understood as regards possible solutions or the question of what to do next, giving brief reasons and explanations.</v>
      </c>
      <c r="H515" s="71" t="s">
        <v>3309</v>
      </c>
      <c r="I515" s="79" t="s">
        <v>3089</v>
      </c>
    </row>
    <row r="516" customFormat="false" ht="15" hidden="false" customHeight="true" outlineLevel="0" collapsed="false">
      <c r="A516" s="70" t="n">
        <f aca="false">Data!A516</f>
        <v>515</v>
      </c>
      <c r="B516" s="70" t="str">
        <f aca="false">IFERROR(INDEX(対訳マスタ!$C$2:$C$136,MATCH(Data!B516,対訳マスタ!$B$2:$B$136,0)),Data!B516)</f>
        <v>コミュニケーション言語活動</v>
      </c>
      <c r="C516" s="70" t="str">
        <f aca="false">IF(Data!C516="—","—",IFERROR(INDEX(対訳マスタ!$C$2:$C$136,MATCH(Data!C516,対訳マスタ!$B$2:$B$136,0)),Data!C516))</f>
        <v>相互行為</v>
      </c>
      <c r="D516" s="70" t="str">
        <f aca="false">IF(Data!D516="—","—",IFERROR(INDEX(対訳マスタ!$C$2:$C$136,MATCH(Data!D516,対訳マスタ!$B$2:$B$136,0)),Data!D516))</f>
        <v>口頭の相互行為</v>
      </c>
      <c r="E516" s="70" t="str">
        <f aca="false">IFERROR(INDEX(対訳マスタ!$C$2:$C$136,MATCH(Data!E516,対訳マスタ!$B$2:$B$136,0)),Data!E516)</f>
        <v>目標のある共同作業（料理・文書検討・イベント準備など）</v>
      </c>
      <c r="F516" s="70" t="str">
        <f aca="false">Data!F516</f>
        <v>B1</v>
      </c>
      <c r="G516" s="31" t="str">
        <f aca="false">Data!G516</f>
        <v>Can invite others to give their views on how to proceed.</v>
      </c>
      <c r="H516" s="71" t="s">
        <v>2698</v>
      </c>
      <c r="I516" s="79" t="s">
        <v>3089</v>
      </c>
    </row>
    <row r="517" customFormat="false" ht="21.75" hidden="false" customHeight="true" outlineLevel="0" collapsed="false">
      <c r="A517" s="70" t="n">
        <f aca="false">Data!A517</f>
        <v>516</v>
      </c>
      <c r="B517" s="70" t="str">
        <f aca="false">IFERROR(INDEX(対訳マスタ!$C$2:$C$136,MATCH(Data!B517,対訳マスタ!$B$2:$B$136,0)),Data!B517)</f>
        <v>コミュニケーション言語活動</v>
      </c>
      <c r="C517" s="70" t="str">
        <f aca="false">IF(Data!C517="—","—",IFERROR(INDEX(対訳マスタ!$C$2:$C$136,MATCH(Data!C517,対訳マスタ!$B$2:$B$136,0)),Data!C517))</f>
        <v>相互行為</v>
      </c>
      <c r="D517" s="70" t="str">
        <f aca="false">IF(Data!D517="—","—",IFERROR(INDEX(対訳マスタ!$C$2:$C$136,MATCH(Data!D517,対訳マスタ!$B$2:$B$136,0)),Data!D517))</f>
        <v>口頭の相互行為</v>
      </c>
      <c r="E517" s="70" t="str">
        <f aca="false">IFERROR(INDEX(対訳マスタ!$C$2:$C$136,MATCH(Data!E517,対訳マスタ!$B$2:$B$136,0)),Data!E517)</f>
        <v>目標のある共同作業（料理・文書検討・イベント準備など）</v>
      </c>
      <c r="F517" s="70" t="str">
        <f aca="false">Data!F517</f>
        <v>A2+</v>
      </c>
      <c r="G517" s="31" t="str">
        <f aca="false">Data!G517</f>
        <v>Can understand enough to manage simple, routine tasks without undue effort, asking very simply for repetition when they do not understand.</v>
      </c>
      <c r="H517" s="71" t="s">
        <v>3310</v>
      </c>
      <c r="I517" s="79" t="s">
        <v>3089</v>
      </c>
    </row>
    <row r="518" customFormat="false" ht="21.75" hidden="false" customHeight="true" outlineLevel="0" collapsed="false">
      <c r="A518" s="70" t="n">
        <f aca="false">Data!A518</f>
        <v>517</v>
      </c>
      <c r="B518" s="70" t="str">
        <f aca="false">IFERROR(INDEX(対訳マスタ!$C$2:$C$136,MATCH(Data!B518,対訳マスタ!$B$2:$B$136,0)),Data!B518)</f>
        <v>コミュニケーション言語活動</v>
      </c>
      <c r="C518" s="70" t="str">
        <f aca="false">IF(Data!C518="—","—",IFERROR(INDEX(対訳マスタ!$C$2:$C$136,MATCH(Data!C518,対訳マスタ!$B$2:$B$136,0)),Data!C518))</f>
        <v>相互行為</v>
      </c>
      <c r="D518" s="70" t="str">
        <f aca="false">IF(Data!D518="—","—",IFERROR(INDEX(対訳マスタ!$C$2:$C$136,MATCH(Data!D518,対訳マスタ!$B$2:$B$136,0)),Data!D518))</f>
        <v>口頭の相互行為</v>
      </c>
      <c r="E518" s="70" t="str">
        <f aca="false">IFERROR(INDEX(対訳マスタ!$C$2:$C$136,MATCH(Data!E518,対訳マスタ!$B$2:$B$136,0)),Data!E518)</f>
        <v>目標のある共同作業（料理・文書検討・イベント準備など）</v>
      </c>
      <c r="F518" s="70" t="str">
        <f aca="false">Data!F518</f>
        <v>A2+</v>
      </c>
      <c r="G518" s="31" t="str">
        <f aca="false">Data!G518</f>
        <v>Can discuss what to do next, making and responding to suggestions, and asking for and giving directions.</v>
      </c>
      <c r="H518" s="71" t="s">
        <v>2697</v>
      </c>
      <c r="I518" s="79" t="s">
        <v>3089</v>
      </c>
    </row>
    <row r="519" customFormat="false" ht="26.25" hidden="false" customHeight="true" outlineLevel="0" collapsed="false">
      <c r="A519" s="70" t="n">
        <f aca="false">Data!A519</f>
        <v>518</v>
      </c>
      <c r="B519" s="70" t="str">
        <f aca="false">IFERROR(INDEX(対訳マスタ!$C$2:$C$136,MATCH(Data!B519,対訳マスタ!$B$2:$B$136,0)),Data!B519)</f>
        <v>コミュニケーション言語活動</v>
      </c>
      <c r="C519" s="70" t="str">
        <f aca="false">IF(Data!C519="—","—",IFERROR(INDEX(対訳マスタ!$C$2:$C$136,MATCH(Data!C519,対訳マスタ!$B$2:$B$136,0)),Data!C519))</f>
        <v>相互行為</v>
      </c>
      <c r="D519" s="70" t="str">
        <f aca="false">IF(Data!D519="—","—",IFERROR(INDEX(対訳マスタ!$C$2:$C$136,MATCH(Data!D519,対訳マスタ!$B$2:$B$136,0)),Data!D519))</f>
        <v>口頭の相互行為</v>
      </c>
      <c r="E519" s="70" t="str">
        <f aca="false">IFERROR(INDEX(対訳マスタ!$C$2:$C$136,MATCH(Data!E519,対訳マスタ!$B$2:$B$136,0)),Data!E519)</f>
        <v>目標のある共同作業（料理・文書検討・イベント準備など）</v>
      </c>
      <c r="F519" s="70" t="str">
        <f aca="false">Data!F519</f>
        <v>A2</v>
      </c>
      <c r="G519" s="31" t="str">
        <f aca="false">Data!G519</f>
        <v>Can indicate when they are following and can be made to understand what is necessary, if the interlocutor takes the trouble.</v>
      </c>
      <c r="H519" s="71" t="s">
        <v>2696</v>
      </c>
      <c r="I519" s="79" t="s">
        <v>3089</v>
      </c>
    </row>
    <row r="520" customFormat="false" ht="21.75" hidden="false" customHeight="true" outlineLevel="0" collapsed="false">
      <c r="A520" s="70" t="n">
        <f aca="false">Data!A520</f>
        <v>519</v>
      </c>
      <c r="B520" s="70" t="str">
        <f aca="false">IFERROR(INDEX(対訳マスタ!$C$2:$C$136,MATCH(Data!B520,対訳マスタ!$B$2:$B$136,0)),Data!B520)</f>
        <v>コミュニケーション言語活動</v>
      </c>
      <c r="C520" s="70" t="str">
        <f aca="false">IF(Data!C520="—","—",IFERROR(INDEX(対訳マスタ!$C$2:$C$136,MATCH(Data!C520,対訳マスタ!$B$2:$B$136,0)),Data!C520))</f>
        <v>相互行為</v>
      </c>
      <c r="D520" s="70" t="str">
        <f aca="false">IF(Data!D520="—","—",IFERROR(INDEX(対訳マスタ!$C$2:$C$136,MATCH(Data!D520,対訳マスタ!$B$2:$B$136,0)),Data!D520))</f>
        <v>口頭の相互行為</v>
      </c>
      <c r="E520" s="70" t="str">
        <f aca="false">IFERROR(INDEX(対訳マスタ!$C$2:$C$136,MATCH(Data!E520,対訳マスタ!$B$2:$B$136,0)),Data!E520)</f>
        <v>目標のある共同作業（料理・文書検討・イベント準備など）</v>
      </c>
      <c r="F520" s="70" t="str">
        <f aca="false">Data!F520</f>
        <v>A2</v>
      </c>
      <c r="G520" s="31" t="str">
        <f aca="false">Data!G520</f>
        <v>Can communicate in simple and routine tasks using simple phrases to ask for and provide things, to get simple information and to discuss what to do next.</v>
      </c>
      <c r="H520" s="71" t="s">
        <v>3311</v>
      </c>
      <c r="I520" s="79" t="s">
        <v>3089</v>
      </c>
    </row>
    <row r="521" customFormat="false" ht="21.75" hidden="false" customHeight="true" outlineLevel="0" collapsed="false">
      <c r="A521" s="70" t="n">
        <f aca="false">Data!A521</f>
        <v>520</v>
      </c>
      <c r="B521" s="70" t="str">
        <f aca="false">IFERROR(INDEX(対訳マスタ!$C$2:$C$136,MATCH(Data!B521,対訳マスタ!$B$2:$B$136,0)),Data!B521)</f>
        <v>コミュニケーション言語活動</v>
      </c>
      <c r="C521" s="70" t="str">
        <f aca="false">IF(Data!C521="—","—",IFERROR(INDEX(対訳マスタ!$C$2:$C$136,MATCH(Data!C521,対訳マスタ!$B$2:$B$136,0)),Data!C521))</f>
        <v>相互行為</v>
      </c>
      <c r="D521" s="70" t="str">
        <f aca="false">IF(Data!D521="—","—",IFERROR(INDEX(対訳マスタ!$C$2:$C$136,MATCH(Data!D521,対訳マスタ!$B$2:$B$136,0)),Data!D521))</f>
        <v>口頭の相互行為</v>
      </c>
      <c r="E521" s="70" t="str">
        <f aca="false">IFERROR(INDEX(対訳マスタ!$C$2:$C$136,MATCH(Data!E521,対訳マスタ!$B$2:$B$136,0)),Data!E521)</f>
        <v>目標のある共同作業（料理・文書検討・イベント準備など）</v>
      </c>
      <c r="F521" s="70" t="str">
        <f aca="false">Data!F521</f>
        <v>A1</v>
      </c>
      <c r="G521" s="31" t="str">
        <f aca="false">Data!G521</f>
        <v>Can understand questions and instructions addressed carefully and slowly to them and follow short, simple directions.</v>
      </c>
      <c r="H521" s="71" t="s">
        <v>2663</v>
      </c>
      <c r="I521" s="79" t="s">
        <v>3089</v>
      </c>
    </row>
    <row r="522" customFormat="false" ht="15" hidden="false" customHeight="true" outlineLevel="0" collapsed="false">
      <c r="A522" s="70" t="n">
        <f aca="false">Data!A522</f>
        <v>521</v>
      </c>
      <c r="B522" s="70" t="str">
        <f aca="false">IFERROR(INDEX(対訳マスタ!$C$2:$C$136,MATCH(Data!B522,対訳マスタ!$B$2:$B$136,0)),Data!B522)</f>
        <v>コミュニケーション言語活動</v>
      </c>
      <c r="C522" s="70" t="str">
        <f aca="false">IF(Data!C522="—","—",IFERROR(INDEX(対訳マスタ!$C$2:$C$136,MATCH(Data!C522,対訳マスタ!$B$2:$B$136,0)),Data!C522))</f>
        <v>相互行為</v>
      </c>
      <c r="D522" s="70" t="str">
        <f aca="false">IF(Data!D522="—","—",IFERROR(INDEX(対訳マスタ!$C$2:$C$136,MATCH(Data!D522,対訳マスタ!$B$2:$B$136,0)),Data!D522))</f>
        <v>口頭の相互行為</v>
      </c>
      <c r="E522" s="70" t="str">
        <f aca="false">IFERROR(INDEX(対訳マスタ!$C$2:$C$136,MATCH(Data!E522,対訳マスタ!$B$2:$B$136,0)),Data!E522)</f>
        <v>目標のある共同作業（料理・文書検討・イベント準備など）</v>
      </c>
      <c r="F522" s="70" t="str">
        <f aca="false">Data!F522</f>
        <v>A1</v>
      </c>
      <c r="G522" s="31" t="str">
        <f aca="false">Data!G522</f>
        <v>Can act on basic instructions that involve times, locations, numbers, etc.</v>
      </c>
      <c r="H522" s="71" t="s">
        <v>3312</v>
      </c>
      <c r="I522" s="79" t="s">
        <v>3089</v>
      </c>
    </row>
    <row r="523" customFormat="false" ht="15" hidden="false" customHeight="true" outlineLevel="0" collapsed="false">
      <c r="A523" s="70" t="n">
        <f aca="false">Data!A523</f>
        <v>522</v>
      </c>
      <c r="B523" s="70" t="str">
        <f aca="false">IFERROR(INDEX(対訳マスタ!$C$2:$C$136,MATCH(Data!B523,対訳マスタ!$B$2:$B$136,0)),Data!B523)</f>
        <v>コミュニケーション言語活動</v>
      </c>
      <c r="C523" s="70" t="str">
        <f aca="false">IF(Data!C523="—","—",IFERROR(INDEX(対訳マスタ!$C$2:$C$136,MATCH(Data!C523,対訳マスタ!$B$2:$B$136,0)),Data!C523))</f>
        <v>相互行為</v>
      </c>
      <c r="D523" s="70" t="str">
        <f aca="false">IF(Data!D523="—","—",IFERROR(INDEX(対訳マスタ!$C$2:$C$136,MATCH(Data!D523,対訳マスタ!$B$2:$B$136,0)),Data!D523))</f>
        <v>口頭の相互行為</v>
      </c>
      <c r="E523" s="70" t="str">
        <f aca="false">IFERROR(INDEX(対訳マスタ!$C$2:$C$136,MATCH(Data!E523,対訳マスタ!$B$2:$B$136,0)),Data!E523)</f>
        <v>目標のある共同作業（料理・文書検討・イベント準備など）</v>
      </c>
      <c r="F523" s="70" t="str">
        <f aca="false">Data!F523</f>
        <v>A1</v>
      </c>
      <c r="G523" s="31" t="str">
        <f aca="false">Data!G523</f>
        <v>Can ask people for things, and give people things.</v>
      </c>
      <c r="H523" s="71" t="s">
        <v>2695</v>
      </c>
      <c r="I523" s="79" t="s">
        <v>3089</v>
      </c>
    </row>
    <row r="524" customFormat="false" ht="15" hidden="false" customHeight="true" outlineLevel="0" collapsed="false">
      <c r="A524" s="80" t="n">
        <f aca="false">Data!A524</f>
        <v>523</v>
      </c>
      <c r="B524" s="80" t="str">
        <f aca="false">IFERROR(INDEX(対訳マスタ!$C$2:$C$136,MATCH(Data!B524,対訳マスタ!$B$2:$B$136,0)),Data!B524)</f>
        <v>コミュニケーション言語活動</v>
      </c>
      <c r="C524" s="80" t="str">
        <f aca="false">IF(Data!C524="—","—",IFERROR(INDEX(対訳マスタ!$C$2:$C$136,MATCH(Data!C524,対訳マスタ!$B$2:$B$136,0)),Data!C524))</f>
        <v>相互行為</v>
      </c>
      <c r="D524" s="80" t="str">
        <f aca="false">IF(Data!D524="—","—",IFERROR(INDEX(対訳マスタ!$C$2:$C$136,MATCH(Data!D524,対訳マスタ!$B$2:$B$136,0)),Data!D524))</f>
        <v>口頭の相互行為</v>
      </c>
      <c r="E524" s="80" t="str">
        <f aca="false">IFERROR(INDEX(対訳マスタ!$C$2:$C$136,MATCH(Data!E524,対訳マスタ!$B$2:$B$136,0)),Data!E524)</f>
        <v>目標のある共同作業（料理・文書検討・イベント準備など）</v>
      </c>
      <c r="F524" s="80" t="str">
        <f aca="false">Data!F524</f>
        <v>Pre-A1</v>
      </c>
      <c r="G524" s="81" t="str">
        <f aca="false">Data!G524</f>
        <v>No descriptors available</v>
      </c>
      <c r="H524" s="81" t="s">
        <v>624</v>
      </c>
      <c r="I524" s="80" t="s">
        <v>624</v>
      </c>
    </row>
    <row r="525" customFormat="false" ht="15" hidden="false" customHeight="true" outlineLevel="0" collapsed="false">
      <c r="A525" s="80" t="n">
        <f aca="false">Data!A525</f>
        <v>524</v>
      </c>
      <c r="B525" s="80" t="str">
        <f aca="false">IFERROR(INDEX(対訳マスタ!$C$2:$C$136,MATCH(Data!B525,対訳マスタ!$B$2:$B$136,0)),Data!B525)</f>
        <v>コミュニケーション言語活動</v>
      </c>
      <c r="C525" s="80" t="str">
        <f aca="false">IF(Data!C525="—","—",IFERROR(INDEX(対訳マスタ!$C$2:$C$136,MATCH(Data!C525,対訳マスタ!$B$2:$B$136,0)),Data!C525))</f>
        <v>相互行為</v>
      </c>
      <c r="D525" s="80" t="str">
        <f aca="false">IF(Data!D525="—","—",IFERROR(INDEX(対訳マスタ!$C$2:$C$136,MATCH(Data!D525,対訳マスタ!$B$2:$B$136,0)),Data!D525))</f>
        <v>口頭の相互行為</v>
      </c>
      <c r="E525" s="80" t="str">
        <f aca="false">IFERROR(INDEX(対訳マスタ!$C$2:$C$136,MATCH(Data!E525,対訳マスタ!$B$2:$B$136,0)),Data!E525)</f>
        <v>物・サービスの取引</v>
      </c>
      <c r="F525" s="80" t="str">
        <f aca="false">Data!F525</f>
        <v>C2</v>
      </c>
      <c r="G525" s="81" t="str">
        <f aca="false">Data!G525</f>
        <v>No descriptors available; see C1</v>
      </c>
      <c r="H525" s="81" t="s">
        <v>624</v>
      </c>
      <c r="I525" s="80" t="s">
        <v>624</v>
      </c>
    </row>
    <row r="526" customFormat="false" ht="15" hidden="false" customHeight="true" outlineLevel="0" collapsed="false">
      <c r="A526" s="70" t="n">
        <f aca="false">Data!A526</f>
        <v>525</v>
      </c>
      <c r="B526" s="70" t="str">
        <f aca="false">IFERROR(INDEX(対訳マスタ!$C$2:$C$136,MATCH(Data!B526,対訳マスタ!$B$2:$B$136,0)),Data!B526)</f>
        <v>コミュニケーション言語活動</v>
      </c>
      <c r="C526" s="70" t="str">
        <f aca="false">IF(Data!C526="—","—",IFERROR(INDEX(対訳マスタ!$C$2:$C$136,MATCH(Data!C526,対訳マスタ!$B$2:$B$136,0)),Data!C526))</f>
        <v>相互行為</v>
      </c>
      <c r="D526" s="70" t="str">
        <f aca="false">IF(Data!D526="—","—",IFERROR(INDEX(対訳マスタ!$C$2:$C$136,MATCH(Data!D526,対訳マスタ!$B$2:$B$136,0)),Data!D526))</f>
        <v>口頭の相互行為</v>
      </c>
      <c r="E526" s="70" t="str">
        <f aca="false">IFERROR(INDEX(対訳マスタ!$C$2:$C$136,MATCH(Data!E526,対訳マスタ!$B$2:$B$136,0)),Data!E526)</f>
        <v>物・サービスの取引</v>
      </c>
      <c r="F526" s="70" t="str">
        <f aca="false">Data!F526</f>
        <v>C1</v>
      </c>
      <c r="G526" s="31" t="str">
        <f aca="false">Data!G526</f>
        <v>Can negotiate complex or sensitive transactions in public, professional or academic life.</v>
      </c>
      <c r="H526" s="71" t="s">
        <v>2707</v>
      </c>
      <c r="I526" s="79" t="s">
        <v>3089</v>
      </c>
    </row>
    <row r="527" customFormat="false" ht="21.75" hidden="false" customHeight="true" outlineLevel="0" collapsed="false">
      <c r="A527" s="70" t="n">
        <f aca="false">Data!A527</f>
        <v>526</v>
      </c>
      <c r="B527" s="70" t="str">
        <f aca="false">IFERROR(INDEX(対訳マスタ!$C$2:$C$136,MATCH(Data!B527,対訳マスタ!$B$2:$B$136,0)),Data!B527)</f>
        <v>コミュニケーション言語活動</v>
      </c>
      <c r="C527" s="70" t="str">
        <f aca="false">IF(Data!C527="—","—",IFERROR(INDEX(対訳マスタ!$C$2:$C$136,MATCH(Data!C527,対訳マスタ!$B$2:$B$136,0)),Data!C527))</f>
        <v>相互行為</v>
      </c>
      <c r="D527" s="70" t="str">
        <f aca="false">IF(Data!D527="—","—",IFERROR(INDEX(対訳マスタ!$C$2:$C$136,MATCH(Data!D527,対訳マスタ!$B$2:$B$136,0)),Data!D527))</f>
        <v>口頭の相互行為</v>
      </c>
      <c r="E527" s="70" t="str">
        <f aca="false">IFERROR(INDEX(対訳マスタ!$C$2:$C$136,MATCH(Data!E527,対訳マスタ!$B$2:$B$136,0)),Data!E527)</f>
        <v>物・サービスの取引</v>
      </c>
      <c r="F527" s="70" t="str">
        <f aca="false">Data!F527</f>
        <v>B2+</v>
      </c>
      <c r="G527" s="31" t="str">
        <f aca="false">Data!G527</f>
        <v>Can cope linguistically to negotiate a solution to a dispute like an undeserved traffic ticket, financial responsibility for damage in a flat, or blame regarding an accident.</v>
      </c>
      <c r="H527" s="71" t="s">
        <v>38</v>
      </c>
      <c r="I527" s="79" t="s">
        <v>3089</v>
      </c>
    </row>
    <row r="528" customFormat="false" ht="26.25" hidden="false" customHeight="true" outlineLevel="0" collapsed="false">
      <c r="A528" s="70" t="n">
        <f aca="false">Data!A528</f>
        <v>527</v>
      </c>
      <c r="B528" s="70" t="str">
        <f aca="false">IFERROR(INDEX(対訳マスタ!$C$2:$C$136,MATCH(Data!B528,対訳マスタ!$B$2:$B$136,0)),Data!B528)</f>
        <v>コミュニケーション言語活動</v>
      </c>
      <c r="C528" s="70" t="str">
        <f aca="false">IF(Data!C528="—","—",IFERROR(INDEX(対訳マスタ!$C$2:$C$136,MATCH(Data!C528,対訳マスタ!$B$2:$B$136,0)),Data!C528))</f>
        <v>相互行為</v>
      </c>
      <c r="D528" s="70" t="str">
        <f aca="false">IF(Data!D528="—","—",IFERROR(INDEX(対訳マスタ!$C$2:$C$136,MATCH(Data!D528,対訳マスタ!$B$2:$B$136,0)),Data!D528))</f>
        <v>口頭の相互行為</v>
      </c>
      <c r="E528" s="70" t="str">
        <f aca="false">IFERROR(INDEX(対訳マスタ!$C$2:$C$136,MATCH(Data!E528,対訳マスタ!$B$2:$B$136,0)),Data!E528)</f>
        <v>物・サービスの取引</v>
      </c>
      <c r="F528" s="70" t="str">
        <f aca="false">Data!F528</f>
        <v>B2+</v>
      </c>
      <c r="G528" s="31" t="str">
        <f aca="false">Data!G528</f>
        <v>Can outline a case for compensation, using persuasive language to demand satisfaction and state clearly the limits to any concession they are prepared to make.</v>
      </c>
      <c r="H528" s="71" t="s">
        <v>45</v>
      </c>
      <c r="I528" s="79" t="s">
        <v>3089</v>
      </c>
    </row>
    <row r="529" customFormat="false" ht="21.75" hidden="false" customHeight="true" outlineLevel="0" collapsed="false">
      <c r="A529" s="70" t="n">
        <f aca="false">Data!A529</f>
        <v>528</v>
      </c>
      <c r="B529" s="70" t="str">
        <f aca="false">IFERROR(INDEX(対訳マスタ!$C$2:$C$136,MATCH(Data!B529,対訳マスタ!$B$2:$B$136,0)),Data!B529)</f>
        <v>コミュニケーション言語活動</v>
      </c>
      <c r="C529" s="70" t="str">
        <f aca="false">IF(Data!C529="—","—",IFERROR(INDEX(対訳マスタ!$C$2:$C$136,MATCH(Data!C529,対訳マスタ!$B$2:$B$136,0)),Data!C529))</f>
        <v>相互行為</v>
      </c>
      <c r="D529" s="70" t="str">
        <f aca="false">IF(Data!D529="—","—",IFERROR(INDEX(対訳マスタ!$C$2:$C$136,MATCH(Data!D529,対訳マスタ!$B$2:$B$136,0)),Data!D529))</f>
        <v>口頭の相互行為</v>
      </c>
      <c r="E529" s="70" t="str">
        <f aca="false">IFERROR(INDEX(対訳マスタ!$C$2:$C$136,MATCH(Data!E529,対訳マスタ!$B$2:$B$136,0)),Data!E529)</f>
        <v>物・サービスの取引</v>
      </c>
      <c r="F529" s="70" t="str">
        <f aca="false">Data!F529</f>
        <v>B2</v>
      </c>
      <c r="G529" s="31" t="str">
        <f aca="false">Data!G529</f>
        <v>Can state requirements and ask detailed questions regarding more complex services, e.g. rental agreements.</v>
      </c>
      <c r="H529" s="71" t="s">
        <v>2706</v>
      </c>
      <c r="I529" s="79" t="s">
        <v>3089</v>
      </c>
    </row>
    <row r="530" customFormat="false" ht="21.75" hidden="false" customHeight="true" outlineLevel="0" collapsed="false">
      <c r="A530" s="70" t="n">
        <f aca="false">Data!A530</f>
        <v>529</v>
      </c>
      <c r="B530" s="70" t="str">
        <f aca="false">IFERROR(INDEX(対訳マスタ!$C$2:$C$136,MATCH(Data!B530,対訳マスタ!$B$2:$B$136,0)),Data!B530)</f>
        <v>コミュニケーション言語活動</v>
      </c>
      <c r="C530" s="70" t="str">
        <f aca="false">IF(Data!C530="—","—",IFERROR(INDEX(対訳マスタ!$C$2:$C$136,MATCH(Data!C530,対訳マスタ!$B$2:$B$136,0)),Data!C530))</f>
        <v>相互行為</v>
      </c>
      <c r="D530" s="70" t="str">
        <f aca="false">IF(Data!D530="—","—",IFERROR(INDEX(対訳マスタ!$C$2:$C$136,MATCH(Data!D530,対訳マスタ!$B$2:$B$136,0)),Data!D530))</f>
        <v>口頭の相互行為</v>
      </c>
      <c r="E530" s="70" t="str">
        <f aca="false">IFERROR(INDEX(対訳マスタ!$C$2:$C$136,MATCH(Data!E530,対訳マスタ!$B$2:$B$136,0)),Data!E530)</f>
        <v>物・サービスの取引</v>
      </c>
      <c r="F530" s="70" t="str">
        <f aca="false">Data!F530</f>
        <v>B2</v>
      </c>
      <c r="G530" s="31" t="str">
        <f aca="false">Data!G530</f>
        <v>Can explain a problem which has arisen and make it clear that the provider of the service/customer must make a concession.</v>
      </c>
      <c r="H530" s="71" t="s">
        <v>3313</v>
      </c>
      <c r="I530" s="79" t="s">
        <v>3089</v>
      </c>
    </row>
    <row r="531" customFormat="false" ht="21.75" hidden="false" customHeight="true" outlineLevel="0" collapsed="false">
      <c r="A531" s="70" t="n">
        <f aca="false">Data!A531</f>
        <v>530</v>
      </c>
      <c r="B531" s="70" t="str">
        <f aca="false">IFERROR(INDEX(対訳マスタ!$C$2:$C$136,MATCH(Data!B531,対訳マスタ!$B$2:$B$136,0)),Data!B531)</f>
        <v>コミュニケーション言語活動</v>
      </c>
      <c r="C531" s="70" t="str">
        <f aca="false">IF(Data!C531="—","—",IFERROR(INDEX(対訳マスタ!$C$2:$C$136,MATCH(Data!C531,対訳マスタ!$B$2:$B$136,0)),Data!C531))</f>
        <v>相互行為</v>
      </c>
      <c r="D531" s="70" t="str">
        <f aca="false">IF(Data!D531="—","—",IFERROR(INDEX(対訳マスタ!$C$2:$C$136,MATCH(Data!D531,対訳マスタ!$B$2:$B$136,0)),Data!D531))</f>
        <v>口頭の相互行為</v>
      </c>
      <c r="E531" s="70" t="str">
        <f aca="false">IFERROR(INDEX(対訳マスタ!$C$2:$C$136,MATCH(Data!E531,対訳マスタ!$B$2:$B$136,0)),Data!E531)</f>
        <v>物・サービスの取引</v>
      </c>
      <c r="F531" s="70" t="str">
        <f aca="false">Data!F531</f>
        <v>B1</v>
      </c>
      <c r="G531" s="31" t="str">
        <f aca="false">Data!G531</f>
        <v>Can deal with most transactions likely to arise while travelling, arranging travel or accommodation, or dealing with authorities during a foreign visit.</v>
      </c>
      <c r="H531" s="71" t="s">
        <v>3314</v>
      </c>
      <c r="I531" s="79" t="s">
        <v>3089</v>
      </c>
    </row>
    <row r="532" customFormat="false" ht="32.25" hidden="false" customHeight="true" outlineLevel="0" collapsed="false">
      <c r="A532" s="70" t="n">
        <f aca="false">Data!A532</f>
        <v>531</v>
      </c>
      <c r="B532" s="70" t="str">
        <f aca="false">IFERROR(INDEX(対訳マスタ!$C$2:$C$136,MATCH(Data!B532,対訳マスタ!$B$2:$B$136,0)),Data!B532)</f>
        <v>コミュニケーション言語活動</v>
      </c>
      <c r="C532" s="70" t="str">
        <f aca="false">IF(Data!C532="—","—",IFERROR(INDEX(対訳マスタ!$C$2:$C$136,MATCH(Data!C532,対訳マスタ!$B$2:$B$136,0)),Data!C532))</f>
        <v>相互行為</v>
      </c>
      <c r="D532" s="70" t="str">
        <f aca="false">IF(Data!D532="—","—",IFERROR(INDEX(対訳マスタ!$C$2:$C$136,MATCH(Data!D532,対訳マスタ!$B$2:$B$136,0)),Data!D532))</f>
        <v>口頭の相互行為</v>
      </c>
      <c r="E532" s="70" t="str">
        <f aca="false">IFERROR(INDEX(対訳マスタ!$C$2:$C$136,MATCH(Data!E532,対訳マスタ!$B$2:$B$136,0)),Data!E532)</f>
        <v>物・サービスの取引</v>
      </c>
      <c r="F532" s="70" t="str">
        <f aca="false">Data!F532</f>
        <v>B1</v>
      </c>
      <c r="G532" s="31" t="str">
        <f aca="false">Data!G532</f>
        <v>Can ask in a shop for an explanation of the difference between two or more products serving the same purpose, in order to make a decision, posing follow-up questions as necessary.</v>
      </c>
      <c r="H532" s="71" t="s">
        <v>3315</v>
      </c>
      <c r="I532" s="79" t="s">
        <v>3089</v>
      </c>
    </row>
    <row r="533" customFormat="false" ht="21.75" hidden="false" customHeight="true" outlineLevel="0" collapsed="false">
      <c r="A533" s="70" t="n">
        <f aca="false">Data!A533</f>
        <v>532</v>
      </c>
      <c r="B533" s="70" t="str">
        <f aca="false">IFERROR(INDEX(対訳マスタ!$C$2:$C$136,MATCH(Data!B533,対訳マスタ!$B$2:$B$136,0)),Data!B533)</f>
        <v>コミュニケーション言語活動</v>
      </c>
      <c r="C533" s="70" t="str">
        <f aca="false">IF(Data!C533="—","—",IFERROR(INDEX(対訳マスタ!$C$2:$C$136,MATCH(Data!C533,対訳マスタ!$B$2:$B$136,0)),Data!C533))</f>
        <v>相互行為</v>
      </c>
      <c r="D533" s="70" t="str">
        <f aca="false">IF(Data!D533="—","—",IFERROR(INDEX(対訳マスタ!$C$2:$C$136,MATCH(Data!D533,対訳マスタ!$B$2:$B$136,0)),Data!D533))</f>
        <v>口頭の相互行為</v>
      </c>
      <c r="E533" s="70" t="str">
        <f aca="false">IFERROR(INDEX(対訳マスタ!$C$2:$C$136,MATCH(Data!E533,対訳マスタ!$B$2:$B$136,0)),Data!E533)</f>
        <v>物・サービスの取引</v>
      </c>
      <c r="F533" s="70" t="str">
        <f aca="false">Data!F533</f>
        <v>B1</v>
      </c>
      <c r="G533" s="31" t="str">
        <f aca="false">Data!G533</f>
        <v>Can cope with less routine situations in shops, post offices, banks, e.g. returning an unsatisfactory purchase.</v>
      </c>
      <c r="H533" s="71" t="s">
        <v>30</v>
      </c>
      <c r="I533" s="79" t="s">
        <v>3089</v>
      </c>
    </row>
    <row r="534" customFormat="false" ht="15" hidden="false" customHeight="true" outlineLevel="0" collapsed="false">
      <c r="A534" s="70" t="n">
        <f aca="false">Data!A534</f>
        <v>533</v>
      </c>
      <c r="B534" s="70" t="str">
        <f aca="false">IFERROR(INDEX(対訳マスタ!$C$2:$C$136,MATCH(Data!B534,対訳マスタ!$B$2:$B$136,0)),Data!B534)</f>
        <v>コミュニケーション言語活動</v>
      </c>
      <c r="C534" s="70" t="str">
        <f aca="false">IF(Data!C534="—","—",IFERROR(INDEX(対訳マスタ!$C$2:$C$136,MATCH(Data!C534,対訳マスタ!$B$2:$B$136,0)),Data!C534))</f>
        <v>相互行為</v>
      </c>
      <c r="D534" s="70" t="str">
        <f aca="false">IF(Data!D534="—","—",IFERROR(INDEX(対訳マスタ!$C$2:$C$136,MATCH(Data!D534,対訳マスタ!$B$2:$B$136,0)),Data!D534))</f>
        <v>口頭の相互行為</v>
      </c>
      <c r="E534" s="70" t="str">
        <f aca="false">IFERROR(INDEX(対訳マスタ!$C$2:$C$136,MATCH(Data!E534,対訳マスタ!$B$2:$B$136,0)),Data!E534)</f>
        <v>物・サービスの取引</v>
      </c>
      <c r="F534" s="70" t="str">
        <f aca="false">Data!F534</f>
        <v>B1</v>
      </c>
      <c r="G534" s="31" t="str">
        <f aca="false">Data!G534</f>
        <v>Can make a complaint.</v>
      </c>
      <c r="H534" s="71" t="s">
        <v>23</v>
      </c>
      <c r="I534" s="79" t="s">
        <v>3089</v>
      </c>
    </row>
    <row r="535" customFormat="false" ht="32.25" hidden="false" customHeight="true" outlineLevel="0" collapsed="false">
      <c r="A535" s="70" t="n">
        <f aca="false">Data!A535</f>
        <v>534</v>
      </c>
      <c r="B535" s="70" t="str">
        <f aca="false">IFERROR(INDEX(対訳マスタ!$C$2:$C$136,MATCH(Data!B535,対訳マスタ!$B$2:$B$136,0)),Data!B535)</f>
        <v>コミュニケーション言語活動</v>
      </c>
      <c r="C535" s="70" t="str">
        <f aca="false">IF(Data!C535="—","—",IFERROR(INDEX(対訳マスタ!$C$2:$C$136,MATCH(Data!C535,対訳マスタ!$B$2:$B$136,0)),Data!C535))</f>
        <v>相互行為</v>
      </c>
      <c r="D535" s="70" t="str">
        <f aca="false">IF(Data!D535="—","—",IFERROR(INDEX(対訳マスタ!$C$2:$C$136,MATCH(Data!D535,対訳マスタ!$B$2:$B$136,0)),Data!D535))</f>
        <v>口頭の相互行為</v>
      </c>
      <c r="E535" s="70" t="str">
        <f aca="false">IFERROR(INDEX(対訳マスタ!$C$2:$C$136,MATCH(Data!E535,対訳マスタ!$B$2:$B$136,0)),Data!E535)</f>
        <v>物・サービスの取引</v>
      </c>
      <c r="F535" s="70" t="str">
        <f aca="false">Data!F535</f>
        <v>B1</v>
      </c>
      <c r="G535" s="31" t="str">
        <f aca="false">Data!G535</f>
        <v>Can deal with most situations likely to arise when making travel arrangements through an agent or when actually travelling, e.g. asking a passenger where to get off for an unfamiliar destination.</v>
      </c>
      <c r="H535" s="71" t="s">
        <v>3316</v>
      </c>
      <c r="I535" s="79" t="s">
        <v>3089</v>
      </c>
    </row>
    <row r="536" customFormat="false" ht="21.75" hidden="false" customHeight="true" outlineLevel="0" collapsed="false">
      <c r="A536" s="70" t="n">
        <f aca="false">Data!A536</f>
        <v>535</v>
      </c>
      <c r="B536" s="70" t="str">
        <f aca="false">IFERROR(INDEX(対訳マスタ!$C$2:$C$136,MATCH(Data!B536,対訳マスタ!$B$2:$B$136,0)),Data!B536)</f>
        <v>コミュニケーション言語活動</v>
      </c>
      <c r="C536" s="70" t="str">
        <f aca="false">IF(Data!C536="—","—",IFERROR(INDEX(対訳マスタ!$C$2:$C$136,MATCH(Data!C536,対訳マスタ!$B$2:$B$136,0)),Data!C536))</f>
        <v>相互行為</v>
      </c>
      <c r="D536" s="70" t="str">
        <f aca="false">IF(Data!D536="—","—",IFERROR(INDEX(対訳マスタ!$C$2:$C$136,MATCH(Data!D536,対訳マスタ!$B$2:$B$136,0)),Data!D536))</f>
        <v>口頭の相互行為</v>
      </c>
      <c r="E536" s="70" t="str">
        <f aca="false">IFERROR(INDEX(対訳マスタ!$C$2:$C$136,MATCH(Data!E536,対訳マスタ!$B$2:$B$136,0)),Data!E536)</f>
        <v>物・サービスの取引</v>
      </c>
      <c r="F536" s="70" t="str">
        <f aca="false">Data!F536</f>
        <v>A2+</v>
      </c>
      <c r="G536" s="31" t="str">
        <f aca="false">Data!G536</f>
        <v>Can deal with common aspects of everyday living such as travel, lodging, eating and shopping.</v>
      </c>
      <c r="H536" s="71" t="s">
        <v>2705</v>
      </c>
      <c r="I536" s="79" t="s">
        <v>3089</v>
      </c>
    </row>
    <row r="537" customFormat="false" ht="21.75" hidden="false" customHeight="true" outlineLevel="0" collapsed="false">
      <c r="A537" s="70" t="n">
        <f aca="false">Data!A537</f>
        <v>536</v>
      </c>
      <c r="B537" s="70" t="str">
        <f aca="false">IFERROR(INDEX(対訳マスタ!$C$2:$C$136,MATCH(Data!B537,対訳マスタ!$B$2:$B$136,0)),Data!B537)</f>
        <v>コミュニケーション言語活動</v>
      </c>
      <c r="C537" s="70" t="str">
        <f aca="false">IF(Data!C537="—","—",IFERROR(INDEX(対訳マスタ!$C$2:$C$136,MATCH(Data!C537,対訳マスタ!$B$2:$B$136,0)),Data!C537))</f>
        <v>相互行為</v>
      </c>
      <c r="D537" s="70" t="str">
        <f aca="false">IF(Data!D537="—","—",IFERROR(INDEX(対訳マスタ!$C$2:$C$136,MATCH(Data!D537,対訳マスタ!$B$2:$B$136,0)),Data!D537))</f>
        <v>口頭の相互行為</v>
      </c>
      <c r="E537" s="70" t="str">
        <f aca="false">IFERROR(INDEX(対訳マスタ!$C$2:$C$136,MATCH(Data!E537,対訳マスタ!$B$2:$B$136,0)),Data!E537)</f>
        <v>物・サービスの取引</v>
      </c>
      <c r="F537" s="70" t="str">
        <f aca="false">Data!F537</f>
        <v>A2+</v>
      </c>
      <c r="G537" s="31" t="str">
        <f aca="false">Data!G537</f>
        <v>Can interact in predictable everyday situations (e.g. post office, station, shop), using a wide range of simple expressions.</v>
      </c>
      <c r="H537" s="71" t="s">
        <v>3317</v>
      </c>
      <c r="I537" s="79" t="s">
        <v>3089</v>
      </c>
    </row>
    <row r="538" customFormat="false" ht="21.75" hidden="false" customHeight="true" outlineLevel="0" collapsed="false">
      <c r="A538" s="70" t="n">
        <f aca="false">Data!A538</f>
        <v>537</v>
      </c>
      <c r="B538" s="70" t="str">
        <f aca="false">IFERROR(INDEX(対訳マスタ!$C$2:$C$136,MATCH(Data!B538,対訳マスタ!$B$2:$B$136,0)),Data!B538)</f>
        <v>コミュニケーション言語活動</v>
      </c>
      <c r="C538" s="70" t="str">
        <f aca="false">IF(Data!C538="—","—",IFERROR(INDEX(対訳マスタ!$C$2:$C$136,MATCH(Data!C538,対訳マスタ!$B$2:$B$136,0)),Data!C538))</f>
        <v>相互行為</v>
      </c>
      <c r="D538" s="70" t="str">
        <f aca="false">IF(Data!D538="—","—",IFERROR(INDEX(対訳マスタ!$C$2:$C$136,MATCH(Data!D538,対訳マスタ!$B$2:$B$136,0)),Data!D538))</f>
        <v>口頭の相互行為</v>
      </c>
      <c r="E538" s="70" t="str">
        <f aca="false">IFERROR(INDEX(対訳マスタ!$C$2:$C$136,MATCH(Data!E538,対訳マスタ!$B$2:$B$136,0)),Data!E538)</f>
        <v>物・サービスの取引</v>
      </c>
      <c r="F538" s="70" t="str">
        <f aca="false">Data!F538</f>
        <v>A2+</v>
      </c>
      <c r="G538" s="31" t="str">
        <f aca="false">Data!G538</f>
        <v>Can get all the information needed from a tourist office, as long as it is of a straightforward, non-specialised nature.</v>
      </c>
      <c r="H538" s="71" t="s">
        <v>3318</v>
      </c>
      <c r="I538" s="79" t="s">
        <v>3089</v>
      </c>
    </row>
    <row r="539" customFormat="false" ht="15" hidden="false" customHeight="true" outlineLevel="0" collapsed="false">
      <c r="A539" s="70" t="n">
        <f aca="false">Data!A539</f>
        <v>538</v>
      </c>
      <c r="B539" s="70" t="str">
        <f aca="false">IFERROR(INDEX(対訳マスタ!$C$2:$C$136,MATCH(Data!B539,対訳マスタ!$B$2:$B$136,0)),Data!B539)</f>
        <v>コミュニケーション言語活動</v>
      </c>
      <c r="C539" s="70" t="str">
        <f aca="false">IF(Data!C539="—","—",IFERROR(INDEX(対訳マスタ!$C$2:$C$136,MATCH(Data!C539,対訳マスタ!$B$2:$B$136,0)),Data!C539))</f>
        <v>相互行為</v>
      </c>
      <c r="D539" s="70" t="str">
        <f aca="false">IF(Data!D539="—","—",IFERROR(INDEX(対訳マスタ!$C$2:$C$136,MATCH(Data!D539,対訳マスタ!$B$2:$B$136,0)),Data!D539))</f>
        <v>口頭の相互行為</v>
      </c>
      <c r="E539" s="70" t="str">
        <f aca="false">IFERROR(INDEX(対訳マスタ!$C$2:$C$136,MATCH(Data!E539,対訳マスタ!$B$2:$B$136,0)),Data!E539)</f>
        <v>物・サービスの取引</v>
      </c>
      <c r="F539" s="70" t="str">
        <f aca="false">Data!F539</f>
        <v>A2</v>
      </c>
      <c r="G539" s="31" t="str">
        <f aca="false">Data!G539</f>
        <v>Can ask for and provide everyday goods and services.</v>
      </c>
      <c r="H539" s="71" t="s">
        <v>3319</v>
      </c>
      <c r="I539" s="79" t="s">
        <v>3089</v>
      </c>
    </row>
    <row r="540" customFormat="false" ht="21.75" hidden="false" customHeight="true" outlineLevel="0" collapsed="false">
      <c r="A540" s="70" t="n">
        <f aca="false">Data!A540</f>
        <v>539</v>
      </c>
      <c r="B540" s="70" t="str">
        <f aca="false">IFERROR(INDEX(対訳マスタ!$C$2:$C$136,MATCH(Data!B540,対訳マスタ!$B$2:$B$136,0)),Data!B540)</f>
        <v>コミュニケーション言語活動</v>
      </c>
      <c r="C540" s="70" t="str">
        <f aca="false">IF(Data!C540="—","—",IFERROR(INDEX(対訳マスタ!$C$2:$C$136,MATCH(Data!C540,対訳マスタ!$B$2:$B$136,0)),Data!C540))</f>
        <v>相互行為</v>
      </c>
      <c r="D540" s="70" t="str">
        <f aca="false">IF(Data!D540="—","—",IFERROR(INDEX(対訳マスタ!$C$2:$C$136,MATCH(Data!D540,対訳マスタ!$B$2:$B$136,0)),Data!D540))</f>
        <v>口頭の相互行為</v>
      </c>
      <c r="E540" s="70" t="str">
        <f aca="false">IFERROR(INDEX(対訳マスタ!$C$2:$C$136,MATCH(Data!E540,対訳マスタ!$B$2:$B$136,0)),Data!E540)</f>
        <v>物・サービスの取引</v>
      </c>
      <c r="F540" s="70" t="str">
        <f aca="false">Data!F540</f>
        <v>A2</v>
      </c>
      <c r="G540" s="31" t="str">
        <f aca="false">Data!G540</f>
        <v>Can get simple information about travel, use public transport (e.g. buses, trains, taxis), ask and give directions, and buy tickets.</v>
      </c>
      <c r="H540" s="71" t="s">
        <v>3320</v>
      </c>
      <c r="I540" s="79" t="s">
        <v>3089</v>
      </c>
    </row>
    <row r="541" customFormat="false" ht="15" hidden="false" customHeight="true" outlineLevel="0" collapsed="false">
      <c r="A541" s="70" t="n">
        <f aca="false">Data!A541</f>
        <v>540</v>
      </c>
      <c r="B541" s="70" t="str">
        <f aca="false">IFERROR(INDEX(対訳マスタ!$C$2:$C$136,MATCH(Data!B541,対訳マスタ!$B$2:$B$136,0)),Data!B541)</f>
        <v>コミュニケーション言語活動</v>
      </c>
      <c r="C541" s="70" t="str">
        <f aca="false">IF(Data!C541="—","—",IFERROR(INDEX(対訳マスタ!$C$2:$C$136,MATCH(Data!C541,対訳マスタ!$B$2:$B$136,0)),Data!C541))</f>
        <v>相互行為</v>
      </c>
      <c r="D541" s="70" t="str">
        <f aca="false">IF(Data!D541="—","—",IFERROR(INDEX(対訳マスタ!$C$2:$C$136,MATCH(Data!D541,対訳マスタ!$B$2:$B$136,0)),Data!D541))</f>
        <v>口頭の相互行為</v>
      </c>
      <c r="E541" s="70" t="str">
        <f aca="false">IFERROR(INDEX(対訳マスタ!$C$2:$C$136,MATCH(Data!E541,対訳マスタ!$B$2:$B$136,0)),Data!E541)</f>
        <v>物・サービスの取引</v>
      </c>
      <c r="F541" s="70" t="str">
        <f aca="false">Data!F541</f>
        <v>A2</v>
      </c>
      <c r="G541" s="31" t="str">
        <f aca="false">Data!G541</f>
        <v>Can ask about things and make simple transactions in shops, post offices or banks.</v>
      </c>
      <c r="H541" s="71" t="s">
        <v>3321</v>
      </c>
      <c r="I541" s="79" t="s">
        <v>3089</v>
      </c>
    </row>
    <row r="542" customFormat="false" ht="15" hidden="false" customHeight="true" outlineLevel="0" collapsed="false">
      <c r="A542" s="70" t="n">
        <f aca="false">Data!A542</f>
        <v>541</v>
      </c>
      <c r="B542" s="70" t="str">
        <f aca="false">IFERROR(INDEX(対訳マスタ!$C$2:$C$136,MATCH(Data!B542,対訳マスタ!$B$2:$B$136,0)),Data!B542)</f>
        <v>コミュニケーション言語活動</v>
      </c>
      <c r="C542" s="70" t="str">
        <f aca="false">IF(Data!C542="—","—",IFERROR(INDEX(対訳マスタ!$C$2:$C$136,MATCH(Data!C542,対訳マスタ!$B$2:$B$136,0)),Data!C542))</f>
        <v>相互行為</v>
      </c>
      <c r="D542" s="70" t="str">
        <f aca="false">IF(Data!D542="—","—",IFERROR(INDEX(対訳マスタ!$C$2:$C$136,MATCH(Data!D542,対訳マスタ!$B$2:$B$136,0)),Data!D542))</f>
        <v>口頭の相互行為</v>
      </c>
      <c r="E542" s="70" t="str">
        <f aca="false">IFERROR(INDEX(対訳マスタ!$C$2:$C$136,MATCH(Data!E542,対訳マスタ!$B$2:$B$136,0)),Data!E542)</f>
        <v>物・サービスの取引</v>
      </c>
      <c r="F542" s="70" t="str">
        <f aca="false">Data!F542</f>
        <v>A2</v>
      </c>
      <c r="G542" s="31" t="str">
        <f aca="false">Data!G542</f>
        <v>Can give and receive information about quantities, numbers, prices, etc.</v>
      </c>
      <c r="H542" s="71" t="s">
        <v>3322</v>
      </c>
      <c r="I542" s="79" t="s">
        <v>3089</v>
      </c>
    </row>
    <row r="543" customFormat="false" ht="15" hidden="false" customHeight="true" outlineLevel="0" collapsed="false">
      <c r="A543" s="70" t="n">
        <f aca="false">Data!A543</f>
        <v>542</v>
      </c>
      <c r="B543" s="70" t="str">
        <f aca="false">IFERROR(INDEX(対訳マスタ!$C$2:$C$136,MATCH(Data!B543,対訳マスタ!$B$2:$B$136,0)),Data!B543)</f>
        <v>コミュニケーション言語活動</v>
      </c>
      <c r="C543" s="70" t="str">
        <f aca="false">IF(Data!C543="—","—",IFERROR(INDEX(対訳マスタ!$C$2:$C$136,MATCH(Data!C543,対訳マスタ!$B$2:$B$136,0)),Data!C543))</f>
        <v>相互行為</v>
      </c>
      <c r="D543" s="70" t="str">
        <f aca="false">IF(Data!D543="—","—",IFERROR(INDEX(対訳マスタ!$C$2:$C$136,MATCH(Data!D543,対訳マスタ!$B$2:$B$136,0)),Data!D543))</f>
        <v>口頭の相互行為</v>
      </c>
      <c r="E543" s="70" t="str">
        <f aca="false">IFERROR(INDEX(対訳マスタ!$C$2:$C$136,MATCH(Data!E543,対訳マスタ!$B$2:$B$136,0)),Data!E543)</f>
        <v>物・サービスの取引</v>
      </c>
      <c r="F543" s="70" t="str">
        <f aca="false">Data!F543</f>
        <v>A2</v>
      </c>
      <c r="G543" s="31" t="str">
        <f aca="false">Data!G543</f>
        <v>Can make simple purchases by stating what is wanted and asking the price.</v>
      </c>
      <c r="H543" s="71" t="s">
        <v>3323</v>
      </c>
      <c r="I543" s="79" t="s">
        <v>3089</v>
      </c>
    </row>
    <row r="544" customFormat="false" ht="15" hidden="false" customHeight="true" outlineLevel="0" collapsed="false">
      <c r="A544" s="70" t="n">
        <f aca="false">Data!A544</f>
        <v>543</v>
      </c>
      <c r="B544" s="70" t="str">
        <f aca="false">IFERROR(INDEX(対訳マスタ!$C$2:$C$136,MATCH(Data!B544,対訳マスタ!$B$2:$B$136,0)),Data!B544)</f>
        <v>コミュニケーション言語活動</v>
      </c>
      <c r="C544" s="70" t="str">
        <f aca="false">IF(Data!C544="—","—",IFERROR(INDEX(対訳マスタ!$C$2:$C$136,MATCH(Data!C544,対訳マスタ!$B$2:$B$136,0)),Data!C544))</f>
        <v>相互行為</v>
      </c>
      <c r="D544" s="70" t="str">
        <f aca="false">IF(Data!D544="—","—",IFERROR(INDEX(対訳マスタ!$C$2:$C$136,MATCH(Data!D544,対訳マスタ!$B$2:$B$136,0)),Data!D544))</f>
        <v>口頭の相互行為</v>
      </c>
      <c r="E544" s="70" t="str">
        <f aca="false">IFERROR(INDEX(対訳マスタ!$C$2:$C$136,MATCH(Data!E544,対訳マスタ!$B$2:$B$136,0)),Data!E544)</f>
        <v>物・サービスの取引</v>
      </c>
      <c r="F544" s="70" t="str">
        <f aca="false">Data!F544</f>
        <v>A2</v>
      </c>
      <c r="G544" s="31" t="str">
        <f aca="false">Data!G544</f>
        <v>Can order a meal.</v>
      </c>
      <c r="H544" s="71" t="s">
        <v>2704</v>
      </c>
      <c r="I544" s="79" t="s">
        <v>3089</v>
      </c>
    </row>
    <row r="545" customFormat="false" ht="21.75" hidden="false" customHeight="true" outlineLevel="0" collapsed="false">
      <c r="A545" s="70" t="n">
        <f aca="false">Data!A545</f>
        <v>544</v>
      </c>
      <c r="B545" s="70" t="str">
        <f aca="false">IFERROR(INDEX(対訳マスタ!$C$2:$C$136,MATCH(Data!B545,対訳マスタ!$B$2:$B$136,0)),Data!B545)</f>
        <v>コミュニケーション言語活動</v>
      </c>
      <c r="C545" s="70" t="str">
        <f aca="false">IF(Data!C545="—","—",IFERROR(INDEX(対訳マスタ!$C$2:$C$136,MATCH(Data!C545,対訳マスタ!$B$2:$B$136,0)),Data!C545))</f>
        <v>相互行為</v>
      </c>
      <c r="D545" s="70" t="str">
        <f aca="false">IF(Data!D545="—","—",IFERROR(INDEX(対訳マスタ!$C$2:$C$136,MATCH(Data!D545,対訳マスタ!$B$2:$B$136,0)),Data!D545))</f>
        <v>口頭の相互行為</v>
      </c>
      <c r="E545" s="70" t="str">
        <f aca="false">IFERROR(INDEX(対訳マスタ!$C$2:$C$136,MATCH(Data!E545,対訳マスタ!$B$2:$B$136,0)),Data!E545)</f>
        <v>物・サービスの取引</v>
      </c>
      <c r="F545" s="70" t="str">
        <f aca="false">Data!F545</f>
        <v>A2</v>
      </c>
      <c r="G545" s="31" t="str">
        <f aca="false">Data!G545</f>
        <v>Can point out when something is wrong (e.g. “The food is cold” or “There is no light in my room”).</v>
      </c>
      <c r="H545" s="71" t="s">
        <v>15</v>
      </c>
      <c r="I545" s="79" t="s">
        <v>3089</v>
      </c>
    </row>
    <row r="546" customFormat="false" ht="32.25" hidden="false" customHeight="true" outlineLevel="0" collapsed="false">
      <c r="A546" s="70" t="n">
        <f aca="false">Data!A546</f>
        <v>545</v>
      </c>
      <c r="B546" s="70" t="str">
        <f aca="false">IFERROR(INDEX(対訳マスタ!$C$2:$C$136,MATCH(Data!B546,対訳マスタ!$B$2:$B$136,0)),Data!B546)</f>
        <v>コミュニケーション言語活動</v>
      </c>
      <c r="C546" s="70" t="str">
        <f aca="false">IF(Data!C546="—","—",IFERROR(INDEX(対訳マスタ!$C$2:$C$136,MATCH(Data!C546,対訳マスタ!$B$2:$B$136,0)),Data!C546))</f>
        <v>相互行為</v>
      </c>
      <c r="D546" s="70" t="str">
        <f aca="false">IF(Data!D546="—","—",IFERROR(INDEX(対訳マスタ!$C$2:$C$136,MATCH(Data!D546,対訳マスタ!$B$2:$B$136,0)),Data!D546))</f>
        <v>口頭の相互行為</v>
      </c>
      <c r="E546" s="70" t="str">
        <f aca="false">IFERROR(INDEX(対訳マスタ!$C$2:$C$136,MATCH(Data!E546,対訳マスタ!$B$2:$B$136,0)),Data!E546)</f>
        <v>物・サービスの取引</v>
      </c>
      <c r="F546" s="70" t="str">
        <f aca="false">Data!F546</f>
        <v>A2</v>
      </c>
      <c r="G546" s="31" t="str">
        <f aca="false">Data!G546</f>
        <v>Can ask (face-to-face) for a medical appointment and understand the reply. Can indicate the nature of a problem to a health professional, perhaps using gestures and body language.</v>
      </c>
      <c r="H546" s="71" t="s">
        <v>3324</v>
      </c>
      <c r="I546" s="79" t="s">
        <v>3089</v>
      </c>
    </row>
    <row r="547" customFormat="false" ht="15" hidden="false" customHeight="true" outlineLevel="0" collapsed="false">
      <c r="A547" s="70" t="n">
        <f aca="false">Data!A547</f>
        <v>546</v>
      </c>
      <c r="B547" s="70" t="str">
        <f aca="false">IFERROR(INDEX(対訳マスタ!$C$2:$C$136,MATCH(Data!B547,対訳マスタ!$B$2:$B$136,0)),Data!B547)</f>
        <v>コミュニケーション言語活動</v>
      </c>
      <c r="C547" s="70" t="str">
        <f aca="false">IF(Data!C547="—","—",IFERROR(INDEX(対訳マスタ!$C$2:$C$136,MATCH(Data!C547,対訳マスタ!$B$2:$B$136,0)),Data!C547))</f>
        <v>相互行為</v>
      </c>
      <c r="D547" s="70" t="str">
        <f aca="false">IF(Data!D547="—","—",IFERROR(INDEX(対訳マスタ!$C$2:$C$136,MATCH(Data!D547,対訳マスタ!$B$2:$B$136,0)),Data!D547))</f>
        <v>口頭の相互行為</v>
      </c>
      <c r="E547" s="70" t="str">
        <f aca="false">IFERROR(INDEX(対訳マスタ!$C$2:$C$136,MATCH(Data!E547,対訳マスタ!$B$2:$B$136,0)),Data!E547)</f>
        <v>物・サービスの取引</v>
      </c>
      <c r="F547" s="70" t="str">
        <f aca="false">Data!F547</f>
        <v>A1</v>
      </c>
      <c r="G547" s="31" t="str">
        <f aca="false">Data!G547</f>
        <v>Can ask people for things and give people things.</v>
      </c>
      <c r="H547" s="71" t="s">
        <v>2695</v>
      </c>
      <c r="I547" s="79" t="s">
        <v>3089</v>
      </c>
    </row>
    <row r="548" customFormat="false" ht="15" hidden="false" customHeight="true" outlineLevel="0" collapsed="false">
      <c r="A548" s="70" t="n">
        <f aca="false">Data!A548</f>
        <v>547</v>
      </c>
      <c r="B548" s="70" t="str">
        <f aca="false">IFERROR(INDEX(対訳マスタ!$C$2:$C$136,MATCH(Data!B548,対訳マスタ!$B$2:$B$136,0)),Data!B548)</f>
        <v>コミュニケーション言語活動</v>
      </c>
      <c r="C548" s="70" t="str">
        <f aca="false">IF(Data!C548="—","—",IFERROR(INDEX(対訳マスタ!$C$2:$C$136,MATCH(Data!C548,対訳マスタ!$B$2:$B$136,0)),Data!C548))</f>
        <v>相互行為</v>
      </c>
      <c r="D548" s="70" t="str">
        <f aca="false">IF(Data!D548="—","—",IFERROR(INDEX(対訳マスタ!$C$2:$C$136,MATCH(Data!D548,対訳マスタ!$B$2:$B$136,0)),Data!D548))</f>
        <v>口頭の相互行為</v>
      </c>
      <c r="E548" s="70" t="str">
        <f aca="false">IFERROR(INDEX(対訳マスタ!$C$2:$C$136,MATCH(Data!E548,対訳マスタ!$B$2:$B$136,0)),Data!E548)</f>
        <v>物・サービスの取引</v>
      </c>
      <c r="F548" s="70" t="str">
        <f aca="false">Data!F548</f>
        <v>A1</v>
      </c>
      <c r="G548" s="31" t="str">
        <f aca="false">Data!G548</f>
        <v>Can ask for food and drink using basic expressions.</v>
      </c>
      <c r="H548" s="71" t="s">
        <v>3325</v>
      </c>
      <c r="I548" s="79" t="s">
        <v>3089</v>
      </c>
    </row>
    <row r="549" customFormat="false" ht="15" hidden="false" customHeight="true" outlineLevel="0" collapsed="false">
      <c r="A549" s="70" t="n">
        <f aca="false">Data!A549</f>
        <v>548</v>
      </c>
      <c r="B549" s="70" t="str">
        <f aca="false">IFERROR(INDEX(対訳マスタ!$C$2:$C$136,MATCH(Data!B549,対訳マスタ!$B$2:$B$136,0)),Data!B549)</f>
        <v>コミュニケーション言語活動</v>
      </c>
      <c r="C549" s="70" t="str">
        <f aca="false">IF(Data!C549="—","—",IFERROR(INDEX(対訳マスタ!$C$2:$C$136,MATCH(Data!C549,対訳マスタ!$B$2:$B$136,0)),Data!C549))</f>
        <v>相互行為</v>
      </c>
      <c r="D549" s="70" t="str">
        <f aca="false">IF(Data!D549="—","—",IFERROR(INDEX(対訳マスタ!$C$2:$C$136,MATCH(Data!D549,対訳マスタ!$B$2:$B$136,0)),Data!D549))</f>
        <v>口頭の相互行為</v>
      </c>
      <c r="E549" s="70" t="str">
        <f aca="false">IFERROR(INDEX(対訳マスタ!$C$2:$C$136,MATCH(Data!E549,対訳マスタ!$B$2:$B$136,0)),Data!E549)</f>
        <v>物・サービスの取引</v>
      </c>
      <c r="F549" s="70" t="str">
        <f aca="false">Data!F549</f>
        <v>A1</v>
      </c>
      <c r="G549" s="31" t="str">
        <f aca="false">Data!G549</f>
        <v>Can handle numbers, quantities, cost and time.</v>
      </c>
      <c r="H549" s="71" t="s">
        <v>2703</v>
      </c>
      <c r="I549" s="79" t="s">
        <v>3089</v>
      </c>
    </row>
    <row r="550" customFormat="false" ht="21.75" hidden="false" customHeight="true" outlineLevel="0" collapsed="false">
      <c r="A550" s="70" t="n">
        <f aca="false">Data!A550</f>
        <v>549</v>
      </c>
      <c r="B550" s="70" t="str">
        <f aca="false">IFERROR(INDEX(対訳マスタ!$C$2:$C$136,MATCH(Data!B550,対訳マスタ!$B$2:$B$136,0)),Data!B550)</f>
        <v>コミュニケーション言語活動</v>
      </c>
      <c r="C550" s="70" t="str">
        <f aca="false">IF(Data!C550="—","—",IFERROR(INDEX(対訳マスタ!$C$2:$C$136,MATCH(Data!C550,対訳マスタ!$B$2:$B$136,0)),Data!C550))</f>
        <v>相互行為</v>
      </c>
      <c r="D550" s="70" t="str">
        <f aca="false">IF(Data!D550="—","—",IFERROR(INDEX(対訳マスタ!$C$2:$C$136,MATCH(Data!D550,対訳マスタ!$B$2:$B$136,0)),Data!D550))</f>
        <v>口頭の相互行為</v>
      </c>
      <c r="E550" s="70" t="str">
        <f aca="false">IFERROR(INDEX(対訳マスタ!$C$2:$C$136,MATCH(Data!E550,対訳マスタ!$B$2:$B$136,0)),Data!E550)</f>
        <v>物・サービスの取引</v>
      </c>
      <c r="F550" s="70" t="str">
        <f aca="false">Data!F550</f>
        <v>Pre-A1</v>
      </c>
      <c r="G550" s="31" t="str">
        <f aca="false">Data!G550</f>
        <v>Can make simple purchases and/or order food or drink when pointing or other gesture can support the verbal reference.</v>
      </c>
      <c r="H550" s="71" t="s">
        <v>2702</v>
      </c>
      <c r="I550" s="79" t="s">
        <v>3089</v>
      </c>
    </row>
    <row r="551" customFormat="false" ht="15" hidden="false" customHeight="true" outlineLevel="0" collapsed="false">
      <c r="A551" s="80" t="n">
        <f aca="false">Data!A551</f>
        <v>550</v>
      </c>
      <c r="B551" s="80" t="str">
        <f aca="false">IFERROR(INDEX(対訳マスタ!$C$2:$C$136,MATCH(Data!B551,対訳マスタ!$B$2:$B$136,0)),Data!B551)</f>
        <v>コミュニケーション言語活動</v>
      </c>
      <c r="C551" s="80" t="str">
        <f aca="false">IF(Data!C551="—","—",IFERROR(INDEX(対訳マスタ!$C$2:$C$136,MATCH(Data!C551,対訳マスタ!$B$2:$B$136,0)),Data!C551))</f>
        <v>相互行為</v>
      </c>
      <c r="D551" s="80" t="str">
        <f aca="false">IF(Data!D551="—","—",IFERROR(INDEX(対訳マスタ!$C$2:$C$136,MATCH(Data!D551,対訳マスタ!$B$2:$B$136,0)),Data!D551))</f>
        <v>口頭の相互行為</v>
      </c>
      <c r="E551" s="80" t="str">
        <f aca="false">IFERROR(INDEX(対訳マスタ!$C$2:$C$136,MATCH(Data!E551,対訳マスタ!$B$2:$B$136,0)),Data!E551)</f>
        <v>情報交換</v>
      </c>
      <c r="F551" s="80" t="str">
        <f aca="false">Data!F551</f>
        <v>C2</v>
      </c>
      <c r="G551" s="81" t="str">
        <f aca="false">Data!G551</f>
        <v>No descriptors available; see B2</v>
      </c>
      <c r="H551" s="81" t="s">
        <v>624</v>
      </c>
      <c r="I551" s="80" t="s">
        <v>624</v>
      </c>
    </row>
    <row r="552" customFormat="false" ht="15" hidden="false" customHeight="true" outlineLevel="0" collapsed="false">
      <c r="A552" s="80" t="n">
        <f aca="false">Data!A552</f>
        <v>551</v>
      </c>
      <c r="B552" s="80" t="str">
        <f aca="false">IFERROR(INDEX(対訳マスタ!$C$2:$C$136,MATCH(Data!B552,対訳マスタ!$B$2:$B$136,0)),Data!B552)</f>
        <v>コミュニケーション言語活動</v>
      </c>
      <c r="C552" s="80" t="str">
        <f aca="false">IF(Data!C552="—","—",IFERROR(INDEX(対訳マスタ!$C$2:$C$136,MATCH(Data!C552,対訳マスタ!$B$2:$B$136,0)),Data!C552))</f>
        <v>相互行為</v>
      </c>
      <c r="D552" s="80" t="str">
        <f aca="false">IF(Data!D552="—","—",IFERROR(INDEX(対訳マスタ!$C$2:$C$136,MATCH(Data!D552,対訳マスタ!$B$2:$B$136,0)),Data!D552))</f>
        <v>口頭の相互行為</v>
      </c>
      <c r="E552" s="80" t="str">
        <f aca="false">IFERROR(INDEX(対訳マスタ!$C$2:$C$136,MATCH(Data!E552,対訳マスタ!$B$2:$B$136,0)),Data!E552)</f>
        <v>情報交換</v>
      </c>
      <c r="F552" s="80" t="str">
        <f aca="false">Data!F552</f>
        <v>C1</v>
      </c>
      <c r="G552" s="81" t="str">
        <f aca="false">Data!G552</f>
        <v>No descriptors available; see B2</v>
      </c>
      <c r="H552" s="81" t="s">
        <v>624</v>
      </c>
      <c r="I552" s="80" t="s">
        <v>624</v>
      </c>
    </row>
    <row r="553" customFormat="false" ht="21.75" hidden="false" customHeight="true" outlineLevel="0" collapsed="false">
      <c r="A553" s="70" t="n">
        <f aca="false">Data!A553</f>
        <v>552</v>
      </c>
      <c r="B553" s="70" t="str">
        <f aca="false">IFERROR(INDEX(対訳マスタ!$C$2:$C$136,MATCH(Data!B553,対訳マスタ!$B$2:$B$136,0)),Data!B553)</f>
        <v>コミュニケーション言語活動</v>
      </c>
      <c r="C553" s="70" t="str">
        <f aca="false">IF(Data!C553="—","—",IFERROR(INDEX(対訳マスタ!$C$2:$C$136,MATCH(Data!C553,対訳マスタ!$B$2:$B$136,0)),Data!C553))</f>
        <v>相互行為</v>
      </c>
      <c r="D553" s="70" t="str">
        <f aca="false">IF(Data!D553="—","—",IFERROR(INDEX(対訳マスタ!$C$2:$C$136,MATCH(Data!D553,対訳マスタ!$B$2:$B$136,0)),Data!D553))</f>
        <v>口頭の相互行為</v>
      </c>
      <c r="E553" s="70" t="str">
        <f aca="false">IFERROR(INDEX(対訳マスタ!$C$2:$C$136,MATCH(Data!E553,対訳マスタ!$B$2:$B$136,0)),Data!E553)</f>
        <v>情報交換</v>
      </c>
      <c r="F553" s="70" t="str">
        <f aca="false">Data!F553</f>
        <v>B2+</v>
      </c>
      <c r="G553" s="31" t="str">
        <f aca="false">Data!G553</f>
        <v>Can understand and exchange complex information and advice on the full range of matters related to their occupational role.</v>
      </c>
      <c r="H553" s="71" t="s">
        <v>2714</v>
      </c>
      <c r="I553" s="79" t="s">
        <v>3089</v>
      </c>
    </row>
    <row r="554" customFormat="false" ht="21.75" hidden="false" customHeight="true" outlineLevel="0" collapsed="false">
      <c r="A554" s="70" t="n">
        <f aca="false">Data!A554</f>
        <v>553</v>
      </c>
      <c r="B554" s="70" t="str">
        <f aca="false">IFERROR(INDEX(対訳マスタ!$C$2:$C$136,MATCH(Data!B554,対訳マスタ!$B$2:$B$136,0)),Data!B554)</f>
        <v>コミュニケーション言語活動</v>
      </c>
      <c r="C554" s="70" t="str">
        <f aca="false">IF(Data!C554="—","—",IFERROR(INDEX(対訳マスタ!$C$2:$C$136,MATCH(Data!C554,対訳マスタ!$B$2:$B$136,0)),Data!C554))</f>
        <v>相互行為</v>
      </c>
      <c r="D554" s="70" t="str">
        <f aca="false">IF(Data!D554="—","—",IFERROR(INDEX(対訳マスタ!$C$2:$C$136,MATCH(Data!D554,対訳マスタ!$B$2:$B$136,0)),Data!D554))</f>
        <v>口頭の相互行為</v>
      </c>
      <c r="E554" s="70" t="str">
        <f aca="false">IFERROR(INDEX(対訳マスタ!$C$2:$C$136,MATCH(Data!E554,対訳マスタ!$B$2:$B$136,0)),Data!E554)</f>
        <v>情報交換</v>
      </c>
      <c r="F554" s="70" t="str">
        <f aca="false">Data!F554</f>
        <v>B2+</v>
      </c>
      <c r="G554" s="31" t="str">
        <f aca="false">Data!G554</f>
        <v>Can use appropriate technical terminology when exchanging information or discussing their area of specialisation with other specialists.</v>
      </c>
      <c r="H554" s="71" t="s">
        <v>3326</v>
      </c>
      <c r="I554" s="79" t="s">
        <v>3089</v>
      </c>
    </row>
    <row r="555" customFormat="false" ht="15" hidden="false" customHeight="true" outlineLevel="0" collapsed="false">
      <c r="A555" s="70" t="n">
        <f aca="false">Data!A555</f>
        <v>554</v>
      </c>
      <c r="B555" s="70" t="str">
        <f aca="false">IFERROR(INDEX(対訳マスタ!$C$2:$C$136,MATCH(Data!B555,対訳マスタ!$B$2:$B$136,0)),Data!B555)</f>
        <v>コミュニケーション言語活動</v>
      </c>
      <c r="C555" s="70" t="str">
        <f aca="false">IF(Data!C555="—","—",IFERROR(INDEX(対訳マスタ!$C$2:$C$136,MATCH(Data!C555,対訳マスタ!$B$2:$B$136,0)),Data!C555))</f>
        <v>相互行為</v>
      </c>
      <c r="D555" s="70" t="str">
        <f aca="false">IF(Data!D555="—","—",IFERROR(INDEX(対訳マスタ!$C$2:$C$136,MATCH(Data!D555,対訳マスタ!$B$2:$B$136,0)),Data!D555))</f>
        <v>口頭の相互行為</v>
      </c>
      <c r="E555" s="70" t="str">
        <f aca="false">IFERROR(INDEX(対訳マスタ!$C$2:$C$136,MATCH(Data!E555,対訳マスタ!$B$2:$B$136,0)),Data!E555)</f>
        <v>情報交換</v>
      </c>
      <c r="F555" s="70" t="str">
        <f aca="false">Data!F555</f>
        <v>B2</v>
      </c>
      <c r="G555" s="31" t="str">
        <f aca="false">Data!G555</f>
        <v>Can pass on detailed information reliably.</v>
      </c>
      <c r="H555" s="71" t="s">
        <v>2713</v>
      </c>
      <c r="I555" s="79" t="s">
        <v>3089</v>
      </c>
    </row>
    <row r="556" customFormat="false" ht="26.25" hidden="false" customHeight="true" outlineLevel="0" collapsed="false">
      <c r="A556" s="70" t="n">
        <f aca="false">Data!A556</f>
        <v>555</v>
      </c>
      <c r="B556" s="70" t="str">
        <f aca="false">IFERROR(INDEX(対訳マスタ!$C$2:$C$136,MATCH(Data!B556,対訳マスタ!$B$2:$B$136,0)),Data!B556)</f>
        <v>コミュニケーション言語活動</v>
      </c>
      <c r="C556" s="70" t="str">
        <f aca="false">IF(Data!C556="—","—",IFERROR(INDEX(対訳マスタ!$C$2:$C$136,MATCH(Data!C556,対訳マスタ!$B$2:$B$136,0)),Data!C556))</f>
        <v>相互行為</v>
      </c>
      <c r="D556" s="70" t="str">
        <f aca="false">IF(Data!D556="—","—",IFERROR(INDEX(対訳マスタ!$C$2:$C$136,MATCH(Data!D556,対訳マスタ!$B$2:$B$136,0)),Data!D556))</f>
        <v>口頭の相互行為</v>
      </c>
      <c r="E556" s="70" t="str">
        <f aca="false">IFERROR(INDEX(対訳マスタ!$C$2:$C$136,MATCH(Data!E556,対訳マスタ!$B$2:$B$136,0)),Data!E556)</f>
        <v>情報交換</v>
      </c>
      <c r="F556" s="70" t="str">
        <f aca="false">Data!F556</f>
        <v>B1+</v>
      </c>
      <c r="G556" s="31" t="str">
        <f aca="false">Data!G556</f>
        <v>Can exchange, check and confirm accumulated factual information on familiar routine and non-routine matters within their field with some confidence.</v>
      </c>
      <c r="H556" s="71" t="s">
        <v>2712</v>
      </c>
      <c r="I556" s="79" t="s">
        <v>3089</v>
      </c>
    </row>
    <row r="557" customFormat="false" ht="21.75" hidden="false" customHeight="true" outlineLevel="0" collapsed="false">
      <c r="A557" s="70" t="n">
        <f aca="false">Data!A557</f>
        <v>556</v>
      </c>
      <c r="B557" s="70" t="str">
        <f aca="false">IFERROR(INDEX(対訳マスタ!$C$2:$C$136,MATCH(Data!B557,対訳マスタ!$B$2:$B$136,0)),Data!B557)</f>
        <v>コミュニケーション言語活動</v>
      </c>
      <c r="C557" s="70" t="str">
        <f aca="false">IF(Data!C557="—","—",IFERROR(INDEX(対訳マスタ!$C$2:$C$136,MATCH(Data!C557,対訳マスタ!$B$2:$B$136,0)),Data!C557))</f>
        <v>相互行為</v>
      </c>
      <c r="D557" s="70" t="str">
        <f aca="false">IF(Data!D557="—","—",IFERROR(INDEX(対訳マスタ!$C$2:$C$136,MATCH(Data!D557,対訳マスタ!$B$2:$B$136,0)),Data!D557))</f>
        <v>口頭の相互行為</v>
      </c>
      <c r="E557" s="70" t="str">
        <f aca="false">IFERROR(INDEX(対訳マスタ!$C$2:$C$136,MATCH(Data!E557,対訳マスタ!$B$2:$B$136,0)),Data!E557)</f>
        <v>情報交換</v>
      </c>
      <c r="F557" s="70" t="str">
        <f aca="false">Data!F557</f>
        <v>B1+</v>
      </c>
      <c r="G557" s="31" t="str">
        <f aca="false">Data!G557</f>
        <v>Can summarise and give their opinion about a short story, article, talk, discussion, interview or documentary and answer further questions of detail.</v>
      </c>
      <c r="H557" s="71" t="s">
        <v>3327</v>
      </c>
      <c r="I557" s="79" t="s">
        <v>3089</v>
      </c>
    </row>
    <row r="558" customFormat="false" ht="15" hidden="false" customHeight="true" outlineLevel="0" collapsed="false">
      <c r="A558" s="70" t="n">
        <f aca="false">Data!A558</f>
        <v>557</v>
      </c>
      <c r="B558" s="70" t="str">
        <f aca="false">IFERROR(INDEX(対訳マスタ!$C$2:$C$136,MATCH(Data!B558,対訳マスタ!$B$2:$B$136,0)),Data!B558)</f>
        <v>コミュニケーション言語活動</v>
      </c>
      <c r="C558" s="70" t="str">
        <f aca="false">IF(Data!C558="—","—",IFERROR(INDEX(対訳マスタ!$C$2:$C$136,MATCH(Data!C558,対訳マスタ!$B$2:$B$136,0)),Data!C558))</f>
        <v>相互行為</v>
      </c>
      <c r="D558" s="70" t="str">
        <f aca="false">IF(Data!D558="—","—",IFERROR(INDEX(対訳マスタ!$C$2:$C$136,MATCH(Data!D558,対訳マスタ!$B$2:$B$136,0)),Data!D558))</f>
        <v>口頭の相互行為</v>
      </c>
      <c r="E558" s="70" t="str">
        <f aca="false">IFERROR(INDEX(対訳マスタ!$C$2:$C$136,MATCH(Data!E558,対訳マスタ!$B$2:$B$136,0)),Data!E558)</f>
        <v>情報交換</v>
      </c>
      <c r="F558" s="70" t="str">
        <f aca="false">Data!F558</f>
        <v>B1</v>
      </c>
      <c r="G558" s="31" t="str">
        <f aca="false">Data!G558</f>
        <v>Can find out and pass on straightforward factual information.</v>
      </c>
      <c r="H558" s="71" t="s">
        <v>3328</v>
      </c>
      <c r="I558" s="79" t="s">
        <v>3089</v>
      </c>
    </row>
    <row r="559" customFormat="false" ht="15" hidden="false" customHeight="true" outlineLevel="0" collapsed="false">
      <c r="A559" s="70" t="n">
        <f aca="false">Data!A559</f>
        <v>558</v>
      </c>
      <c r="B559" s="70" t="str">
        <f aca="false">IFERROR(INDEX(対訳マスタ!$C$2:$C$136,MATCH(Data!B559,対訳マスタ!$B$2:$B$136,0)),Data!B559)</f>
        <v>コミュニケーション言語活動</v>
      </c>
      <c r="C559" s="70" t="str">
        <f aca="false">IF(Data!C559="—","—",IFERROR(INDEX(対訳マスタ!$C$2:$C$136,MATCH(Data!C559,対訳マスタ!$B$2:$B$136,0)),Data!C559))</f>
        <v>相互行為</v>
      </c>
      <c r="D559" s="70" t="str">
        <f aca="false">IF(Data!D559="—","—",IFERROR(INDEX(対訳マスタ!$C$2:$C$136,MATCH(Data!D559,対訳マスタ!$B$2:$B$136,0)),Data!D559))</f>
        <v>口頭の相互行為</v>
      </c>
      <c r="E559" s="70" t="str">
        <f aca="false">IFERROR(INDEX(対訳マスタ!$C$2:$C$136,MATCH(Data!E559,対訳マスタ!$B$2:$B$136,0)),Data!E559)</f>
        <v>情報交換</v>
      </c>
      <c r="F559" s="70" t="str">
        <f aca="false">Data!F559</f>
        <v>B1</v>
      </c>
      <c r="G559" s="31" t="str">
        <f aca="false">Data!G559</f>
        <v>Can ask for and follow detailed directions.</v>
      </c>
      <c r="H559" s="71" t="s">
        <v>3329</v>
      </c>
      <c r="I559" s="79" t="s">
        <v>3089</v>
      </c>
    </row>
    <row r="560" customFormat="false" ht="15" hidden="false" customHeight="true" outlineLevel="0" collapsed="false">
      <c r="A560" s="70" t="n">
        <f aca="false">Data!A560</f>
        <v>559</v>
      </c>
      <c r="B560" s="70" t="str">
        <f aca="false">IFERROR(INDEX(対訳マスタ!$C$2:$C$136,MATCH(Data!B560,対訳マスタ!$B$2:$B$136,0)),Data!B560)</f>
        <v>コミュニケーション言語活動</v>
      </c>
      <c r="C560" s="70" t="str">
        <f aca="false">IF(Data!C560="—","—",IFERROR(INDEX(対訳マスタ!$C$2:$C$136,MATCH(Data!C560,対訳マスタ!$B$2:$B$136,0)),Data!C560))</f>
        <v>相互行為</v>
      </c>
      <c r="D560" s="70" t="str">
        <f aca="false">IF(Data!D560="—","—",IFERROR(INDEX(対訳マスタ!$C$2:$C$136,MATCH(Data!D560,対訳マスタ!$B$2:$B$136,0)),Data!D560))</f>
        <v>口頭の相互行為</v>
      </c>
      <c r="E560" s="70" t="str">
        <f aca="false">IFERROR(INDEX(対訳マスタ!$C$2:$C$136,MATCH(Data!E560,対訳マスタ!$B$2:$B$136,0)),Data!E560)</f>
        <v>情報交換</v>
      </c>
      <c r="F560" s="70" t="str">
        <f aca="false">Data!F560</f>
        <v>B1</v>
      </c>
      <c r="G560" s="31" t="str">
        <f aca="false">Data!G560</f>
        <v>Can obtain more detailed information.</v>
      </c>
      <c r="H560" s="71" t="s">
        <v>2711</v>
      </c>
      <c r="I560" s="79" t="s">
        <v>3089</v>
      </c>
    </row>
    <row r="561" customFormat="false" ht="15" hidden="false" customHeight="true" outlineLevel="0" collapsed="false">
      <c r="A561" s="70" t="n">
        <f aca="false">Data!A561</f>
        <v>560</v>
      </c>
      <c r="B561" s="70" t="str">
        <f aca="false">IFERROR(INDEX(対訳マスタ!$C$2:$C$136,MATCH(Data!B561,対訳マスタ!$B$2:$B$136,0)),Data!B561)</f>
        <v>コミュニケーション言語活動</v>
      </c>
      <c r="C561" s="70" t="str">
        <f aca="false">IF(Data!C561="—","—",IFERROR(INDEX(対訳マスタ!$C$2:$C$136,MATCH(Data!C561,対訳マスタ!$B$2:$B$136,0)),Data!C561))</f>
        <v>相互行為</v>
      </c>
      <c r="D561" s="70" t="str">
        <f aca="false">IF(Data!D561="—","—",IFERROR(INDEX(対訳マスタ!$C$2:$C$136,MATCH(Data!D561,対訳マスタ!$B$2:$B$136,0)),Data!D561))</f>
        <v>口頭の相互行為</v>
      </c>
      <c r="E561" s="70" t="str">
        <f aca="false">IFERROR(INDEX(対訳マスタ!$C$2:$C$136,MATCH(Data!E561,対訳マスタ!$B$2:$B$136,0)),Data!E561)</f>
        <v>情報交換</v>
      </c>
      <c r="F561" s="70" t="str">
        <f aca="false">Data!F561</f>
        <v>B1</v>
      </c>
      <c r="G561" s="31" t="str">
        <f aca="false">Data!G561</f>
        <v>Can offer advice on simple matters within their field of experience.</v>
      </c>
      <c r="H561" s="71" t="s">
        <v>3330</v>
      </c>
      <c r="I561" s="79" t="s">
        <v>3089</v>
      </c>
    </row>
    <row r="562" customFormat="false" ht="15" hidden="false" customHeight="true" outlineLevel="0" collapsed="false">
      <c r="A562" s="70" t="n">
        <f aca="false">Data!A562</f>
        <v>561</v>
      </c>
      <c r="B562" s="70" t="str">
        <f aca="false">IFERROR(INDEX(対訳マスタ!$C$2:$C$136,MATCH(Data!B562,対訳マスタ!$B$2:$B$136,0)),Data!B562)</f>
        <v>コミュニケーション言語活動</v>
      </c>
      <c r="C562" s="70" t="str">
        <f aca="false">IF(Data!C562="—","—",IFERROR(INDEX(対訳マスタ!$C$2:$C$136,MATCH(Data!C562,対訳マスタ!$B$2:$B$136,0)),Data!C562))</f>
        <v>相互行為</v>
      </c>
      <c r="D562" s="70" t="str">
        <f aca="false">IF(Data!D562="—","—",IFERROR(INDEX(対訳マスタ!$C$2:$C$136,MATCH(Data!D562,対訳マスタ!$B$2:$B$136,0)),Data!D562))</f>
        <v>口頭の相互行為</v>
      </c>
      <c r="E562" s="70" t="str">
        <f aca="false">IFERROR(INDEX(対訳マスタ!$C$2:$C$136,MATCH(Data!E562,対訳マスタ!$B$2:$B$136,0)),Data!E562)</f>
        <v>情報交換</v>
      </c>
      <c r="F562" s="70" t="str">
        <f aca="false">Data!F562</f>
        <v>A2+</v>
      </c>
      <c r="G562" s="31" t="str">
        <f aca="false">Data!G562</f>
        <v>Can understand enough to manage simple, routine exchanges without undue effort.</v>
      </c>
      <c r="H562" s="71" t="s">
        <v>2665</v>
      </c>
      <c r="I562" s="79" t="s">
        <v>3089</v>
      </c>
    </row>
    <row r="563" customFormat="false" ht="21.75" hidden="false" customHeight="true" outlineLevel="0" collapsed="false">
      <c r="A563" s="70" t="n">
        <f aca="false">Data!A563</f>
        <v>562</v>
      </c>
      <c r="B563" s="70" t="str">
        <f aca="false">IFERROR(INDEX(対訳マスタ!$C$2:$C$136,MATCH(Data!B563,対訳マスタ!$B$2:$B$136,0)),Data!B563)</f>
        <v>コミュニケーション言語活動</v>
      </c>
      <c r="C563" s="70" t="str">
        <f aca="false">IF(Data!C563="—","—",IFERROR(INDEX(対訳マスタ!$C$2:$C$136,MATCH(Data!C563,対訳マスタ!$B$2:$B$136,0)),Data!C563))</f>
        <v>相互行為</v>
      </c>
      <c r="D563" s="70" t="str">
        <f aca="false">IF(Data!D563="—","—",IFERROR(INDEX(対訳マスタ!$C$2:$C$136,MATCH(Data!D563,対訳マスタ!$B$2:$B$136,0)),Data!D563))</f>
        <v>口頭の相互行為</v>
      </c>
      <c r="E563" s="70" t="str">
        <f aca="false">IFERROR(INDEX(対訳マスタ!$C$2:$C$136,MATCH(Data!E563,対訳マスタ!$B$2:$B$136,0)),Data!E563)</f>
        <v>情報交換</v>
      </c>
      <c r="F563" s="70" t="str">
        <f aca="false">Data!F563</f>
        <v>A2+</v>
      </c>
      <c r="G563" s="31" t="str">
        <f aca="false">Data!G563</f>
        <v>Can deal with practical everyday demands: finding out and passing on straightforward factual information.</v>
      </c>
      <c r="H563" s="71" t="s">
        <v>3331</v>
      </c>
      <c r="I563" s="79" t="s">
        <v>3089</v>
      </c>
    </row>
    <row r="564" customFormat="false" ht="15" hidden="false" customHeight="true" outlineLevel="0" collapsed="false">
      <c r="A564" s="70" t="n">
        <f aca="false">Data!A564</f>
        <v>563</v>
      </c>
      <c r="B564" s="70" t="str">
        <f aca="false">IFERROR(INDEX(対訳マスタ!$C$2:$C$136,MATCH(Data!B564,対訳マスタ!$B$2:$B$136,0)),Data!B564)</f>
        <v>コミュニケーション言語活動</v>
      </c>
      <c r="C564" s="70" t="str">
        <f aca="false">IF(Data!C564="—","—",IFERROR(INDEX(対訳マスタ!$C$2:$C$136,MATCH(Data!C564,対訳マスタ!$B$2:$B$136,0)),Data!C564))</f>
        <v>相互行為</v>
      </c>
      <c r="D564" s="70" t="str">
        <f aca="false">IF(Data!D564="—","—",IFERROR(INDEX(対訳マスタ!$C$2:$C$136,MATCH(Data!D564,対訳マスタ!$B$2:$B$136,0)),Data!D564))</f>
        <v>口頭の相互行為</v>
      </c>
      <c r="E564" s="70" t="str">
        <f aca="false">IFERROR(INDEX(対訳マスタ!$C$2:$C$136,MATCH(Data!E564,対訳マスタ!$B$2:$B$136,0)),Data!E564)</f>
        <v>情報交換</v>
      </c>
      <c r="F564" s="70" t="str">
        <f aca="false">Data!F564</f>
        <v>A2+</v>
      </c>
      <c r="G564" s="31" t="str">
        <f aca="false">Data!G564</f>
        <v>Can ask and answer questions about habits and routines.</v>
      </c>
      <c r="H564" s="71" t="s">
        <v>3332</v>
      </c>
      <c r="I564" s="79" t="s">
        <v>3089</v>
      </c>
    </row>
    <row r="565" customFormat="false" ht="15" hidden="false" customHeight="true" outlineLevel="0" collapsed="false">
      <c r="A565" s="70" t="n">
        <f aca="false">Data!A565</f>
        <v>564</v>
      </c>
      <c r="B565" s="70" t="str">
        <f aca="false">IFERROR(INDEX(対訳マスタ!$C$2:$C$136,MATCH(Data!B565,対訳マスタ!$B$2:$B$136,0)),Data!B565)</f>
        <v>コミュニケーション言語活動</v>
      </c>
      <c r="C565" s="70" t="str">
        <f aca="false">IF(Data!C565="—","—",IFERROR(INDEX(対訳マスタ!$C$2:$C$136,MATCH(Data!C565,対訳マスタ!$B$2:$B$136,0)),Data!C565))</f>
        <v>相互行為</v>
      </c>
      <c r="D565" s="70" t="str">
        <f aca="false">IF(Data!D565="—","—",IFERROR(INDEX(対訳マスタ!$C$2:$C$136,MATCH(Data!D565,対訳マスタ!$B$2:$B$136,0)),Data!D565))</f>
        <v>口頭の相互行為</v>
      </c>
      <c r="E565" s="70" t="str">
        <f aca="false">IFERROR(INDEX(対訳マスタ!$C$2:$C$136,MATCH(Data!E565,対訳マスタ!$B$2:$B$136,0)),Data!E565)</f>
        <v>情報交換</v>
      </c>
      <c r="F565" s="70" t="str">
        <f aca="false">Data!F565</f>
        <v>A2+</v>
      </c>
      <c r="G565" s="31" t="str">
        <f aca="false">Data!G565</f>
        <v>Can ask and answer questions about pastimes and past activities.</v>
      </c>
      <c r="H565" s="71" t="s">
        <v>208</v>
      </c>
      <c r="I565" s="79" t="s">
        <v>3089</v>
      </c>
    </row>
    <row r="566" customFormat="false" ht="15" hidden="false" customHeight="true" outlineLevel="0" collapsed="false">
      <c r="A566" s="70" t="n">
        <f aca="false">Data!A566</f>
        <v>565</v>
      </c>
      <c r="B566" s="70" t="str">
        <f aca="false">IFERROR(INDEX(対訳マスタ!$C$2:$C$136,MATCH(Data!B566,対訳マスタ!$B$2:$B$136,0)),Data!B566)</f>
        <v>コミュニケーション言語活動</v>
      </c>
      <c r="C566" s="70" t="str">
        <f aca="false">IF(Data!C566="—","—",IFERROR(INDEX(対訳マスタ!$C$2:$C$136,MATCH(Data!C566,対訳マスタ!$B$2:$B$136,0)),Data!C566))</f>
        <v>相互行為</v>
      </c>
      <c r="D566" s="70" t="str">
        <f aca="false">IF(Data!D566="—","—",IFERROR(INDEX(対訳マスタ!$C$2:$C$136,MATCH(Data!D566,対訳マスタ!$B$2:$B$136,0)),Data!D566))</f>
        <v>口頭の相互行為</v>
      </c>
      <c r="E566" s="70" t="str">
        <f aca="false">IFERROR(INDEX(対訳マスタ!$C$2:$C$136,MATCH(Data!E566,対訳マスタ!$B$2:$B$136,0)),Data!E566)</f>
        <v>情報交換</v>
      </c>
      <c r="F566" s="70" t="str">
        <f aca="false">Data!F566</f>
        <v>A2+</v>
      </c>
      <c r="G566" s="31" t="str">
        <f aca="false">Data!G566</f>
        <v>Can ask and answer questions about plans and intentions.</v>
      </c>
      <c r="H566" s="71" t="s">
        <v>3333</v>
      </c>
      <c r="I566" s="79" t="s">
        <v>3089</v>
      </c>
    </row>
    <row r="567" customFormat="false" ht="21.75" hidden="false" customHeight="true" outlineLevel="0" collapsed="false">
      <c r="A567" s="70" t="n">
        <f aca="false">Data!A567</f>
        <v>566</v>
      </c>
      <c r="B567" s="70" t="str">
        <f aca="false">IFERROR(INDEX(対訳マスタ!$C$2:$C$136,MATCH(Data!B567,対訳マスタ!$B$2:$B$136,0)),Data!B567)</f>
        <v>コミュニケーション言語活動</v>
      </c>
      <c r="C567" s="70" t="str">
        <f aca="false">IF(Data!C567="—","—",IFERROR(INDEX(対訳マスタ!$C$2:$C$136,MATCH(Data!C567,対訳マスタ!$B$2:$B$136,0)),Data!C567))</f>
        <v>相互行為</v>
      </c>
      <c r="D567" s="70" t="str">
        <f aca="false">IF(Data!D567="—","—",IFERROR(INDEX(対訳マスタ!$C$2:$C$136,MATCH(Data!D567,対訳マスタ!$B$2:$B$136,0)),Data!D567))</f>
        <v>口頭の相互行為</v>
      </c>
      <c r="E567" s="70" t="str">
        <f aca="false">IFERROR(INDEX(対訳マスタ!$C$2:$C$136,MATCH(Data!E567,対訳マスタ!$B$2:$B$136,0)),Data!E567)</f>
        <v>情報交換</v>
      </c>
      <c r="F567" s="70" t="str">
        <f aca="false">Data!F567</f>
        <v>A2+</v>
      </c>
      <c r="G567" s="31" t="str">
        <f aca="false">Data!G567</f>
        <v>Can give and follow simple directions and instructions, e.g. explain how to get somewhere.</v>
      </c>
      <c r="H567" s="71" t="s">
        <v>3334</v>
      </c>
      <c r="I567" s="79" t="s">
        <v>3089</v>
      </c>
    </row>
    <row r="568" customFormat="false" ht="21.75" hidden="false" customHeight="true" outlineLevel="0" collapsed="false">
      <c r="A568" s="70" t="n">
        <f aca="false">Data!A568</f>
        <v>567</v>
      </c>
      <c r="B568" s="70" t="str">
        <f aca="false">IFERROR(INDEX(対訳マスタ!$C$2:$C$136,MATCH(Data!B568,対訳マスタ!$B$2:$B$136,0)),Data!B568)</f>
        <v>コミュニケーション言語活動</v>
      </c>
      <c r="C568" s="70" t="str">
        <f aca="false">IF(Data!C568="—","—",IFERROR(INDEX(対訳マスタ!$C$2:$C$136,MATCH(Data!C568,対訳マスタ!$B$2:$B$136,0)),Data!C568))</f>
        <v>相互行為</v>
      </c>
      <c r="D568" s="70" t="str">
        <f aca="false">IF(Data!D568="—","—",IFERROR(INDEX(対訳マスタ!$C$2:$C$136,MATCH(Data!D568,対訳マスタ!$B$2:$B$136,0)),Data!D568))</f>
        <v>口頭の相互行為</v>
      </c>
      <c r="E568" s="70" t="str">
        <f aca="false">IFERROR(INDEX(対訳マスタ!$C$2:$C$136,MATCH(Data!E568,対訳マスタ!$B$2:$B$136,0)),Data!E568)</f>
        <v>情報交換</v>
      </c>
      <c r="F568" s="70" t="str">
        <f aca="false">Data!F568</f>
        <v>A2</v>
      </c>
      <c r="G568" s="31" t="str">
        <f aca="false">Data!G568</f>
        <v>Can communicate in simple and routine tasks requiring a simple and direct exchange of information.</v>
      </c>
      <c r="H568" s="71" t="s">
        <v>3335</v>
      </c>
      <c r="I568" s="79" t="s">
        <v>3089</v>
      </c>
    </row>
    <row r="569" customFormat="false" ht="15" hidden="false" customHeight="true" outlineLevel="0" collapsed="false">
      <c r="A569" s="70" t="n">
        <f aca="false">Data!A569</f>
        <v>568</v>
      </c>
      <c r="B569" s="70" t="str">
        <f aca="false">IFERROR(INDEX(対訳マスタ!$C$2:$C$136,MATCH(Data!B569,対訳マスタ!$B$2:$B$136,0)),Data!B569)</f>
        <v>コミュニケーション言語活動</v>
      </c>
      <c r="C569" s="70" t="str">
        <f aca="false">IF(Data!C569="—","—",IFERROR(INDEX(対訳マスタ!$C$2:$C$136,MATCH(Data!C569,対訳マスタ!$B$2:$B$136,0)),Data!C569))</f>
        <v>相互行為</v>
      </c>
      <c r="D569" s="70" t="str">
        <f aca="false">IF(Data!D569="—","—",IFERROR(INDEX(対訳マスタ!$C$2:$C$136,MATCH(Data!D569,対訳マスタ!$B$2:$B$136,0)),Data!D569))</f>
        <v>口頭の相互行為</v>
      </c>
      <c r="E569" s="70" t="str">
        <f aca="false">IFERROR(INDEX(対訳マスタ!$C$2:$C$136,MATCH(Data!E569,対訳マスタ!$B$2:$B$136,0)),Data!E569)</f>
        <v>情報交換</v>
      </c>
      <c r="F569" s="70" t="str">
        <f aca="false">Data!F569</f>
        <v>A2</v>
      </c>
      <c r="G569" s="31" t="str">
        <f aca="false">Data!G569</f>
        <v>Can exchange limited information on familiar and routine operational matters.</v>
      </c>
      <c r="H569" s="71" t="s">
        <v>3336</v>
      </c>
      <c r="I569" s="79" t="s">
        <v>3089</v>
      </c>
    </row>
    <row r="570" customFormat="false" ht="15" hidden="false" customHeight="true" outlineLevel="0" collapsed="false">
      <c r="A570" s="70" t="n">
        <f aca="false">Data!A570</f>
        <v>569</v>
      </c>
      <c r="B570" s="70" t="str">
        <f aca="false">IFERROR(INDEX(対訳マスタ!$C$2:$C$136,MATCH(Data!B570,対訳マスタ!$B$2:$B$136,0)),Data!B570)</f>
        <v>コミュニケーション言語活動</v>
      </c>
      <c r="C570" s="70" t="str">
        <f aca="false">IF(Data!C570="—","—",IFERROR(INDEX(対訳マスタ!$C$2:$C$136,MATCH(Data!C570,対訳マスタ!$B$2:$B$136,0)),Data!C570))</f>
        <v>相互行為</v>
      </c>
      <c r="D570" s="70" t="str">
        <f aca="false">IF(Data!D570="—","—",IFERROR(INDEX(対訳マスタ!$C$2:$C$136,MATCH(Data!D570,対訳マスタ!$B$2:$B$136,0)),Data!D570))</f>
        <v>口頭の相互行為</v>
      </c>
      <c r="E570" s="70" t="str">
        <f aca="false">IFERROR(INDEX(対訳マスタ!$C$2:$C$136,MATCH(Data!E570,対訳マスタ!$B$2:$B$136,0)),Data!E570)</f>
        <v>情報交換</v>
      </c>
      <c r="F570" s="70" t="str">
        <f aca="false">Data!F570</f>
        <v>A2</v>
      </c>
      <c r="G570" s="31" t="str">
        <f aca="false">Data!G570</f>
        <v>Can ask and answer questions about what they do at work and in their free time.</v>
      </c>
      <c r="H570" s="71" t="s">
        <v>194</v>
      </c>
      <c r="I570" s="79" t="s">
        <v>3089</v>
      </c>
    </row>
    <row r="571" customFormat="false" ht="15" hidden="false" customHeight="true" outlineLevel="0" collapsed="false">
      <c r="A571" s="70" t="n">
        <f aca="false">Data!A571</f>
        <v>570</v>
      </c>
      <c r="B571" s="70" t="str">
        <f aca="false">IFERROR(INDEX(対訳マスタ!$C$2:$C$136,MATCH(Data!B571,対訳マスタ!$B$2:$B$136,0)),Data!B571)</f>
        <v>コミュニケーション言語活動</v>
      </c>
      <c r="C571" s="70" t="str">
        <f aca="false">IF(Data!C571="—","—",IFERROR(INDEX(対訳マスタ!$C$2:$C$136,MATCH(Data!C571,対訳マスタ!$B$2:$B$136,0)),Data!C571))</f>
        <v>相互行為</v>
      </c>
      <c r="D571" s="70" t="str">
        <f aca="false">IF(Data!D571="—","—",IFERROR(INDEX(対訳マスタ!$C$2:$C$136,MATCH(Data!D571,対訳マスタ!$B$2:$B$136,0)),Data!D571))</f>
        <v>口頭の相互行為</v>
      </c>
      <c r="E571" s="70" t="str">
        <f aca="false">IFERROR(INDEX(対訳マスタ!$C$2:$C$136,MATCH(Data!E571,対訳マスタ!$B$2:$B$136,0)),Data!E571)</f>
        <v>情報交換</v>
      </c>
      <c r="F571" s="70" t="str">
        <f aca="false">Data!F571</f>
        <v>A2</v>
      </c>
      <c r="G571" s="31" t="str">
        <f aca="false">Data!G571</f>
        <v>Can ask for and give directions referring to a map or plan.</v>
      </c>
      <c r="H571" s="71" t="s">
        <v>3337</v>
      </c>
      <c r="I571" s="79" t="s">
        <v>3089</v>
      </c>
    </row>
    <row r="572" customFormat="false" ht="15" hidden="false" customHeight="true" outlineLevel="0" collapsed="false">
      <c r="A572" s="70" t="n">
        <f aca="false">Data!A572</f>
        <v>571</v>
      </c>
      <c r="B572" s="70" t="str">
        <f aca="false">IFERROR(INDEX(対訳マスタ!$C$2:$C$136,MATCH(Data!B572,対訳マスタ!$B$2:$B$136,0)),Data!B572)</f>
        <v>コミュニケーション言語活動</v>
      </c>
      <c r="C572" s="70" t="str">
        <f aca="false">IF(Data!C572="—","—",IFERROR(INDEX(対訳マスタ!$C$2:$C$136,MATCH(Data!C572,対訳マスタ!$B$2:$B$136,0)),Data!C572))</f>
        <v>相互行為</v>
      </c>
      <c r="D572" s="70" t="str">
        <f aca="false">IF(Data!D572="—","—",IFERROR(INDEX(対訳マスタ!$C$2:$C$136,MATCH(Data!D572,対訳マスタ!$B$2:$B$136,0)),Data!D572))</f>
        <v>口頭の相互行為</v>
      </c>
      <c r="E572" s="70" t="str">
        <f aca="false">IFERROR(INDEX(対訳マスタ!$C$2:$C$136,MATCH(Data!E572,対訳マスタ!$B$2:$B$136,0)),Data!E572)</f>
        <v>情報交換</v>
      </c>
      <c r="F572" s="70" t="str">
        <f aca="false">Data!F572</f>
        <v>A2</v>
      </c>
      <c r="G572" s="31" t="str">
        <f aca="false">Data!G572</f>
        <v>Can ask for and provide personal information.</v>
      </c>
      <c r="H572" s="71" t="s">
        <v>2710</v>
      </c>
      <c r="I572" s="79" t="s">
        <v>3089</v>
      </c>
    </row>
    <row r="573" customFormat="false" ht="21.75" hidden="false" customHeight="true" outlineLevel="0" collapsed="false">
      <c r="A573" s="70" t="n">
        <f aca="false">Data!A573</f>
        <v>572</v>
      </c>
      <c r="B573" s="70" t="str">
        <f aca="false">IFERROR(INDEX(対訳マスタ!$C$2:$C$136,MATCH(Data!B573,対訳マスタ!$B$2:$B$136,0)),Data!B573)</f>
        <v>コミュニケーション言語活動</v>
      </c>
      <c r="C573" s="70" t="str">
        <f aca="false">IF(Data!C573="—","—",IFERROR(INDEX(対訳マスタ!$C$2:$C$136,MATCH(Data!C573,対訳マスタ!$B$2:$B$136,0)),Data!C573))</f>
        <v>相互行為</v>
      </c>
      <c r="D573" s="70" t="str">
        <f aca="false">IF(Data!D573="—","—",IFERROR(INDEX(対訳マスタ!$C$2:$C$136,MATCH(Data!D573,対訳マスタ!$B$2:$B$136,0)),Data!D573))</f>
        <v>口頭の相互行為</v>
      </c>
      <c r="E573" s="70" t="str">
        <f aca="false">IFERROR(INDEX(対訳マスタ!$C$2:$C$136,MATCH(Data!E573,対訳マスタ!$B$2:$B$136,0)),Data!E573)</f>
        <v>情報交換</v>
      </c>
      <c r="F573" s="70" t="str">
        <f aca="false">Data!F573</f>
        <v>A2</v>
      </c>
      <c r="G573" s="31" t="str">
        <f aca="false">Data!G573</f>
        <v>Can ask and answer simple questions about an event (e.g. ask where and when it took place, who was there and what it was like).</v>
      </c>
      <c r="H573" s="71" t="s">
        <v>2663</v>
      </c>
      <c r="I573" s="79" t="s">
        <v>3089</v>
      </c>
    </row>
    <row r="574" customFormat="false" ht="21.75" hidden="false" customHeight="true" outlineLevel="0" collapsed="false">
      <c r="A574" s="70" t="n">
        <f aca="false">Data!A574</f>
        <v>573</v>
      </c>
      <c r="B574" s="70" t="str">
        <f aca="false">IFERROR(INDEX(対訳マスタ!$C$2:$C$136,MATCH(Data!B574,対訳マスタ!$B$2:$B$136,0)),Data!B574)</f>
        <v>コミュニケーション言語活動</v>
      </c>
      <c r="C574" s="70" t="str">
        <f aca="false">IF(Data!C574="—","—",IFERROR(INDEX(対訳マスタ!$C$2:$C$136,MATCH(Data!C574,対訳マスタ!$B$2:$B$136,0)),Data!C574))</f>
        <v>相互行為</v>
      </c>
      <c r="D574" s="70" t="str">
        <f aca="false">IF(Data!D574="—","—",IFERROR(INDEX(対訳マスタ!$C$2:$C$136,MATCH(Data!D574,対訳マスタ!$B$2:$B$136,0)),Data!D574))</f>
        <v>口頭の相互行為</v>
      </c>
      <c r="E574" s="70" t="str">
        <f aca="false">IFERROR(INDEX(対訳マスタ!$C$2:$C$136,MATCH(Data!E574,対訳マスタ!$B$2:$B$136,0)),Data!E574)</f>
        <v>情報交換</v>
      </c>
      <c r="F574" s="70" t="str">
        <f aca="false">Data!F574</f>
        <v>A1</v>
      </c>
      <c r="G574" s="31" t="str">
        <f aca="false">Data!G574</f>
        <v>Can understand questions and instructions addressed carefully and slowly to them and follow short, simple directions.</v>
      </c>
      <c r="H574" s="71" t="s">
        <v>2663</v>
      </c>
      <c r="I574" s="79" t="s">
        <v>3089</v>
      </c>
    </row>
    <row r="575" customFormat="false" ht="21.75" hidden="false" customHeight="true" outlineLevel="0" collapsed="false">
      <c r="A575" s="70" t="n">
        <f aca="false">Data!A575</f>
        <v>574</v>
      </c>
      <c r="B575" s="70" t="str">
        <f aca="false">IFERROR(INDEX(対訳マスタ!$C$2:$C$136,MATCH(Data!B575,対訳マスタ!$B$2:$B$136,0)),Data!B575)</f>
        <v>コミュニケーション言語活動</v>
      </c>
      <c r="C575" s="70" t="str">
        <f aca="false">IF(Data!C575="—","—",IFERROR(INDEX(対訳マスタ!$C$2:$C$136,MATCH(Data!C575,対訳マスタ!$B$2:$B$136,0)),Data!C575))</f>
        <v>相互行為</v>
      </c>
      <c r="D575" s="70" t="str">
        <f aca="false">IF(Data!D575="—","—",IFERROR(INDEX(対訳マスタ!$C$2:$C$136,MATCH(Data!D575,対訳マスタ!$B$2:$B$136,0)),Data!D575))</f>
        <v>口頭の相互行為</v>
      </c>
      <c r="E575" s="70" t="str">
        <f aca="false">IFERROR(INDEX(対訳マスタ!$C$2:$C$136,MATCH(Data!E575,対訳マスタ!$B$2:$B$136,0)),Data!E575)</f>
        <v>情報交換</v>
      </c>
      <c r="F575" s="70" t="str">
        <f aca="false">Data!F575</f>
        <v>A1</v>
      </c>
      <c r="G575" s="31" t="str">
        <f aca="false">Data!G575</f>
        <v>Can ask and answer simple questions, initiate and respond to simple statements in areas of immediate need or on very familiar topics.</v>
      </c>
      <c r="H575" s="71" t="s">
        <v>3338</v>
      </c>
      <c r="I575" s="79" t="s">
        <v>3089</v>
      </c>
    </row>
    <row r="576" customFormat="false" ht="21.75" hidden="false" customHeight="true" outlineLevel="0" collapsed="false">
      <c r="A576" s="70" t="n">
        <f aca="false">Data!A576</f>
        <v>575</v>
      </c>
      <c r="B576" s="70" t="str">
        <f aca="false">IFERROR(INDEX(対訳マスタ!$C$2:$C$136,MATCH(Data!B576,対訳マスタ!$B$2:$B$136,0)),Data!B576)</f>
        <v>コミュニケーション言語活動</v>
      </c>
      <c r="C576" s="70" t="str">
        <f aca="false">IF(Data!C576="—","—",IFERROR(INDEX(対訳マスタ!$C$2:$C$136,MATCH(Data!C576,対訳マスタ!$B$2:$B$136,0)),Data!C576))</f>
        <v>相互行為</v>
      </c>
      <c r="D576" s="70" t="str">
        <f aca="false">IF(Data!D576="—","—",IFERROR(INDEX(対訳マスタ!$C$2:$C$136,MATCH(Data!D576,対訳マスタ!$B$2:$B$136,0)),Data!D576))</f>
        <v>口頭の相互行為</v>
      </c>
      <c r="E576" s="70" t="str">
        <f aca="false">IFERROR(INDEX(対訳マスタ!$C$2:$C$136,MATCH(Data!E576,対訳マスタ!$B$2:$B$136,0)),Data!E576)</f>
        <v>情報交換</v>
      </c>
      <c r="F576" s="70" t="str">
        <f aca="false">Data!F576</f>
        <v>A1</v>
      </c>
      <c r="G576" s="31" t="str">
        <f aca="false">Data!G576</f>
        <v>Can ask and answer questions about themselves and other people, where they live, people they know, things they have.</v>
      </c>
      <c r="H576" s="71" t="s">
        <v>180</v>
      </c>
      <c r="I576" s="79" t="s">
        <v>3089</v>
      </c>
    </row>
    <row r="577" customFormat="false" ht="21.75" hidden="false" customHeight="true" outlineLevel="0" collapsed="false">
      <c r="A577" s="70" t="n">
        <f aca="false">Data!A577</f>
        <v>576</v>
      </c>
      <c r="B577" s="70" t="str">
        <f aca="false">IFERROR(INDEX(対訳マスタ!$C$2:$C$136,MATCH(Data!B577,対訳マスタ!$B$2:$B$136,0)),Data!B577)</f>
        <v>コミュニケーション言語活動</v>
      </c>
      <c r="C577" s="70" t="str">
        <f aca="false">IF(Data!C577="—","—",IFERROR(INDEX(対訳マスタ!$C$2:$C$136,MATCH(Data!C577,対訳マスタ!$B$2:$B$136,0)),Data!C577))</f>
        <v>相互行為</v>
      </c>
      <c r="D577" s="70" t="str">
        <f aca="false">IF(Data!D577="—","—",IFERROR(INDEX(対訳マスタ!$C$2:$C$136,MATCH(Data!D577,対訳マスタ!$B$2:$B$136,0)),Data!D577))</f>
        <v>口頭の相互行為</v>
      </c>
      <c r="E577" s="70" t="str">
        <f aca="false">IFERROR(INDEX(対訳マスタ!$C$2:$C$136,MATCH(Data!E577,対訳マスタ!$B$2:$B$136,0)),Data!E577)</f>
        <v>情報交換</v>
      </c>
      <c r="F577" s="70" t="str">
        <f aca="false">Data!F577</f>
        <v>A1</v>
      </c>
      <c r="G577" s="31" t="str">
        <f aca="false">Data!G577</f>
        <v>Can indicate time by lexicalised phrases like “next week”, “last Friday”, “in November”, “three o’clock”.</v>
      </c>
      <c r="H577" s="71" t="s">
        <v>3339</v>
      </c>
      <c r="I577" s="79" t="s">
        <v>3089</v>
      </c>
    </row>
    <row r="578" customFormat="false" ht="15" hidden="false" customHeight="true" outlineLevel="0" collapsed="false">
      <c r="A578" s="70" t="n">
        <f aca="false">Data!A578</f>
        <v>577</v>
      </c>
      <c r="B578" s="70" t="str">
        <f aca="false">IFERROR(INDEX(対訳マスタ!$C$2:$C$136,MATCH(Data!B578,対訳マスタ!$B$2:$B$136,0)),Data!B578)</f>
        <v>コミュニケーション言語活動</v>
      </c>
      <c r="C578" s="70" t="str">
        <f aca="false">IF(Data!C578="—","—",IFERROR(INDEX(対訳マスタ!$C$2:$C$136,MATCH(Data!C578,対訳マスタ!$B$2:$B$136,0)),Data!C578))</f>
        <v>相互行為</v>
      </c>
      <c r="D578" s="70" t="str">
        <f aca="false">IF(Data!D578="—","—",IFERROR(INDEX(対訳マスタ!$C$2:$C$136,MATCH(Data!D578,対訳マスタ!$B$2:$B$136,0)),Data!D578))</f>
        <v>口頭の相互行為</v>
      </c>
      <c r="E578" s="70" t="str">
        <f aca="false">IFERROR(INDEX(対訳マスタ!$C$2:$C$136,MATCH(Data!E578,対訳マスタ!$B$2:$B$136,0)),Data!E578)</f>
        <v>情報交換</v>
      </c>
      <c r="F578" s="70" t="str">
        <f aca="false">Data!F578</f>
        <v>A1</v>
      </c>
      <c r="G578" s="31" t="str">
        <f aca="false">Data!G578</f>
        <v>Can express numbers, quantities and cost in a limited way.</v>
      </c>
      <c r="H578" s="71" t="s">
        <v>2709</v>
      </c>
      <c r="I578" s="79" t="s">
        <v>3089</v>
      </c>
    </row>
    <row r="579" customFormat="false" ht="21.75" hidden="false" customHeight="true" outlineLevel="0" collapsed="false">
      <c r="A579" s="70" t="n">
        <f aca="false">Data!A579</f>
        <v>578</v>
      </c>
      <c r="B579" s="70" t="str">
        <f aca="false">IFERROR(INDEX(対訳マスタ!$C$2:$C$136,MATCH(Data!B579,対訳マスタ!$B$2:$B$136,0)),Data!B579)</f>
        <v>コミュニケーション言語活動</v>
      </c>
      <c r="C579" s="70" t="str">
        <f aca="false">IF(Data!C579="—","—",IFERROR(INDEX(対訳マスタ!$C$2:$C$136,MATCH(Data!C579,対訳マスタ!$B$2:$B$136,0)),Data!C579))</f>
        <v>相互行為</v>
      </c>
      <c r="D579" s="70" t="str">
        <f aca="false">IF(Data!D579="—","—",IFERROR(INDEX(対訳マスタ!$C$2:$C$136,MATCH(Data!D579,対訳マスタ!$B$2:$B$136,0)),Data!D579))</f>
        <v>口頭の相互行為</v>
      </c>
      <c r="E579" s="70" t="str">
        <f aca="false">IFERROR(INDEX(対訳マスタ!$C$2:$C$136,MATCH(Data!E579,対訳マスタ!$B$2:$B$136,0)),Data!E579)</f>
        <v>情報交換</v>
      </c>
      <c r="F579" s="70" t="str">
        <f aca="false">Data!F579</f>
        <v>A1</v>
      </c>
      <c r="G579" s="31" t="str">
        <f aca="false">Data!G579</f>
        <v>Can name the colour of clothes or other familiar objects and can ask the colour of such objects.</v>
      </c>
      <c r="H579" s="71" t="s">
        <v>3340</v>
      </c>
      <c r="I579" s="79" t="s">
        <v>3089</v>
      </c>
    </row>
    <row r="580" customFormat="false" ht="15" hidden="false" customHeight="true" outlineLevel="0" collapsed="false">
      <c r="A580" s="70" t="n">
        <f aca="false">Data!A580</f>
        <v>579</v>
      </c>
      <c r="B580" s="70" t="str">
        <f aca="false">IFERROR(INDEX(対訳マスタ!$C$2:$C$136,MATCH(Data!B580,対訳マスタ!$B$2:$B$136,0)),Data!B580)</f>
        <v>コミュニケーション言語活動</v>
      </c>
      <c r="C580" s="70" t="str">
        <f aca="false">IF(Data!C580="—","—",IFERROR(INDEX(対訳マスタ!$C$2:$C$136,MATCH(Data!C580,対訳マスタ!$B$2:$B$136,0)),Data!C580))</f>
        <v>相互行為</v>
      </c>
      <c r="D580" s="70" t="str">
        <f aca="false">IF(Data!D580="—","—",IFERROR(INDEX(対訳マスタ!$C$2:$C$136,MATCH(Data!D580,対訳マスタ!$B$2:$B$136,0)),Data!D580))</f>
        <v>口頭の相互行為</v>
      </c>
      <c r="E580" s="70" t="str">
        <f aca="false">IFERROR(INDEX(対訳マスタ!$C$2:$C$136,MATCH(Data!E580,対訳マスタ!$B$2:$B$136,0)),Data!E580)</f>
        <v>情報交換</v>
      </c>
      <c r="F580" s="70" t="str">
        <f aca="false">Data!F580</f>
        <v>Pre-A1</v>
      </c>
      <c r="G580" s="31" t="str">
        <f aca="false">Data!G580</f>
        <v>Can tell people their name and ask other people their names.</v>
      </c>
      <c r="H580" s="71" t="s">
        <v>159</v>
      </c>
      <c r="I580" s="79" t="s">
        <v>3089</v>
      </c>
    </row>
    <row r="581" customFormat="false" ht="15" hidden="false" customHeight="true" outlineLevel="0" collapsed="false">
      <c r="A581" s="70" t="n">
        <f aca="false">Data!A581</f>
        <v>580</v>
      </c>
      <c r="B581" s="70" t="str">
        <f aca="false">IFERROR(INDEX(対訳マスタ!$C$2:$C$136,MATCH(Data!B581,対訳マスタ!$B$2:$B$136,0)),Data!B581)</f>
        <v>コミュニケーション言語活動</v>
      </c>
      <c r="C581" s="70" t="str">
        <f aca="false">IF(Data!C581="—","—",IFERROR(INDEX(対訳マスタ!$C$2:$C$136,MATCH(Data!C581,対訳マスタ!$B$2:$B$136,0)),Data!C581))</f>
        <v>相互行為</v>
      </c>
      <c r="D581" s="70" t="str">
        <f aca="false">IF(Data!D581="—","—",IFERROR(INDEX(対訳マスタ!$C$2:$C$136,MATCH(Data!D581,対訳マスタ!$B$2:$B$136,0)),Data!D581))</f>
        <v>口頭の相互行為</v>
      </c>
      <c r="E581" s="70" t="str">
        <f aca="false">IFERROR(INDEX(対訳マスタ!$C$2:$C$136,MATCH(Data!E581,対訳マスタ!$B$2:$B$136,0)),Data!E581)</f>
        <v>情報交換</v>
      </c>
      <c r="F581" s="70" t="str">
        <f aca="false">Data!F581</f>
        <v>Pre-A1</v>
      </c>
      <c r="G581" s="31" t="str">
        <f aca="false">Data!G581</f>
        <v>Can use and understand simple numbers in everyday conversations.</v>
      </c>
      <c r="H581" s="71" t="s">
        <v>3341</v>
      </c>
      <c r="I581" s="79" t="s">
        <v>3089</v>
      </c>
    </row>
    <row r="582" customFormat="false" ht="15" hidden="false" customHeight="true" outlineLevel="0" collapsed="false">
      <c r="A582" s="70" t="n">
        <f aca="false">Data!A582</f>
        <v>581</v>
      </c>
      <c r="B582" s="70" t="str">
        <f aca="false">IFERROR(INDEX(対訳マスタ!$C$2:$C$136,MATCH(Data!B582,対訳マスタ!$B$2:$B$136,0)),Data!B582)</f>
        <v>コミュニケーション言語活動</v>
      </c>
      <c r="C582" s="70" t="str">
        <f aca="false">IF(Data!C582="—","—",IFERROR(INDEX(対訳マスタ!$C$2:$C$136,MATCH(Data!C582,対訳マスタ!$B$2:$B$136,0)),Data!C582))</f>
        <v>相互行為</v>
      </c>
      <c r="D582" s="70" t="str">
        <f aca="false">IF(Data!D582="—","—",IFERROR(INDEX(対訳マスタ!$C$2:$C$136,MATCH(Data!D582,対訳マスタ!$B$2:$B$136,0)),Data!D582))</f>
        <v>口頭の相互行為</v>
      </c>
      <c r="E582" s="70" t="str">
        <f aca="false">IFERROR(INDEX(対訳マスタ!$C$2:$C$136,MATCH(Data!E582,対訳マスタ!$B$2:$B$136,0)),Data!E582)</f>
        <v>情報交換</v>
      </c>
      <c r="F582" s="70" t="str">
        <f aca="false">Data!F582</f>
        <v>Pre-A1</v>
      </c>
      <c r="G582" s="31" t="str">
        <f aca="false">Data!G582</f>
        <v>Can ask and tell what day, time of day and date it is.</v>
      </c>
      <c r="H582" s="71" t="s">
        <v>173</v>
      </c>
      <c r="I582" s="79" t="s">
        <v>3089</v>
      </c>
    </row>
    <row r="583" customFormat="false" ht="15" hidden="false" customHeight="true" outlineLevel="0" collapsed="false">
      <c r="A583" s="70" t="n">
        <f aca="false">Data!A583</f>
        <v>582</v>
      </c>
      <c r="B583" s="70" t="str">
        <f aca="false">IFERROR(INDEX(対訳マスタ!$C$2:$C$136,MATCH(Data!B583,対訳マスタ!$B$2:$B$136,0)),Data!B583)</f>
        <v>コミュニケーション言語活動</v>
      </c>
      <c r="C583" s="70" t="str">
        <f aca="false">IF(Data!C583="—","—",IFERROR(INDEX(対訳マスタ!$C$2:$C$136,MATCH(Data!C583,対訳マスタ!$B$2:$B$136,0)),Data!C583))</f>
        <v>相互行為</v>
      </c>
      <c r="D583" s="70" t="str">
        <f aca="false">IF(Data!D583="—","—",IFERROR(INDEX(対訳マスタ!$C$2:$C$136,MATCH(Data!D583,対訳マスタ!$B$2:$B$136,0)),Data!D583))</f>
        <v>口頭の相互行為</v>
      </c>
      <c r="E583" s="70" t="str">
        <f aca="false">IFERROR(INDEX(対訳マスタ!$C$2:$C$136,MATCH(Data!E583,対訳マスタ!$B$2:$B$136,0)),Data!E583)</f>
        <v>情報交換</v>
      </c>
      <c r="F583" s="70" t="str">
        <f aca="false">Data!F583</f>
        <v>Pre-A1</v>
      </c>
      <c r="G583" s="31" t="str">
        <f aca="false">Data!G583</f>
        <v>Can ask for and give a date of birth.</v>
      </c>
      <c r="H583" s="71" t="s">
        <v>3342</v>
      </c>
      <c r="I583" s="79" t="s">
        <v>3089</v>
      </c>
    </row>
    <row r="584" customFormat="false" ht="15" hidden="false" customHeight="true" outlineLevel="0" collapsed="false">
      <c r="A584" s="70" t="n">
        <f aca="false">Data!A584</f>
        <v>583</v>
      </c>
      <c r="B584" s="70" t="str">
        <f aca="false">IFERROR(INDEX(対訳マスタ!$C$2:$C$136,MATCH(Data!B584,対訳マスタ!$B$2:$B$136,0)),Data!B584)</f>
        <v>コミュニケーション言語活動</v>
      </c>
      <c r="C584" s="70" t="str">
        <f aca="false">IF(Data!C584="—","—",IFERROR(INDEX(対訳マスタ!$C$2:$C$136,MATCH(Data!C584,対訳マスタ!$B$2:$B$136,0)),Data!C584))</f>
        <v>相互行為</v>
      </c>
      <c r="D584" s="70" t="str">
        <f aca="false">IF(Data!D584="—","—",IFERROR(INDEX(対訳マスタ!$C$2:$C$136,MATCH(Data!D584,対訳マスタ!$B$2:$B$136,0)),Data!D584))</f>
        <v>口頭の相互行為</v>
      </c>
      <c r="E584" s="70" t="str">
        <f aca="false">IFERROR(INDEX(対訳マスタ!$C$2:$C$136,MATCH(Data!E584,対訳マスタ!$B$2:$B$136,0)),Data!E584)</f>
        <v>情報交換</v>
      </c>
      <c r="F584" s="70" t="str">
        <f aca="false">Data!F584</f>
        <v>Pre-A1</v>
      </c>
      <c r="G584" s="31" t="str">
        <f aca="false">Data!G584</f>
        <v>Can ask for and give a phone number.</v>
      </c>
      <c r="H584" s="71" t="s">
        <v>2708</v>
      </c>
      <c r="I584" s="79" t="s">
        <v>3089</v>
      </c>
    </row>
    <row r="585" customFormat="false" ht="15" hidden="false" customHeight="true" outlineLevel="0" collapsed="false">
      <c r="A585" s="70" t="n">
        <f aca="false">Data!A585</f>
        <v>584</v>
      </c>
      <c r="B585" s="70" t="str">
        <f aca="false">IFERROR(INDEX(対訳マスタ!$C$2:$C$136,MATCH(Data!B585,対訳マスタ!$B$2:$B$136,0)),Data!B585)</f>
        <v>コミュニケーション言語活動</v>
      </c>
      <c r="C585" s="70" t="str">
        <f aca="false">IF(Data!C585="—","—",IFERROR(INDEX(対訳マスタ!$C$2:$C$136,MATCH(Data!C585,対訳マスタ!$B$2:$B$136,0)),Data!C585))</f>
        <v>相互行為</v>
      </c>
      <c r="D585" s="70" t="str">
        <f aca="false">IF(Data!D585="—","—",IFERROR(INDEX(対訳マスタ!$C$2:$C$136,MATCH(Data!D585,対訳マスタ!$B$2:$B$136,0)),Data!D585))</f>
        <v>口頭の相互行為</v>
      </c>
      <c r="E585" s="70" t="str">
        <f aca="false">IFERROR(INDEX(対訳マスタ!$C$2:$C$136,MATCH(Data!E585,対訳マスタ!$B$2:$B$136,0)),Data!E585)</f>
        <v>情報交換</v>
      </c>
      <c r="F585" s="70" t="str">
        <f aca="false">Data!F585</f>
        <v>Pre-A1</v>
      </c>
      <c r="G585" s="31" t="str">
        <f aca="false">Data!G585</f>
        <v>Can tell people their age and ask people about their age.</v>
      </c>
      <c r="H585" s="71" t="s">
        <v>3343</v>
      </c>
      <c r="I585" s="79" t="s">
        <v>3089</v>
      </c>
    </row>
    <row r="586" customFormat="false" ht="21.75" hidden="false" customHeight="true" outlineLevel="0" collapsed="false">
      <c r="A586" s="70" t="n">
        <f aca="false">Data!A586</f>
        <v>585</v>
      </c>
      <c r="B586" s="70" t="str">
        <f aca="false">IFERROR(INDEX(対訳マスタ!$C$2:$C$136,MATCH(Data!B586,対訳マスタ!$B$2:$B$136,0)),Data!B586)</f>
        <v>コミュニケーション言語活動</v>
      </c>
      <c r="C586" s="70" t="str">
        <f aca="false">IF(Data!C586="—","—",IFERROR(INDEX(対訳マスタ!$C$2:$C$136,MATCH(Data!C586,対訳マスタ!$B$2:$B$136,0)),Data!C586))</f>
        <v>相互行為</v>
      </c>
      <c r="D586" s="70" t="str">
        <f aca="false">IF(Data!D586="—","—",IFERROR(INDEX(対訳マスタ!$C$2:$C$136,MATCH(Data!D586,対訳マスタ!$B$2:$B$136,0)),Data!D586))</f>
        <v>口頭の相互行為</v>
      </c>
      <c r="E586" s="70" t="str">
        <f aca="false">IFERROR(INDEX(対訳マスタ!$C$2:$C$136,MATCH(Data!E586,対訳マスタ!$B$2:$B$136,0)),Data!E586)</f>
        <v>情報交換</v>
      </c>
      <c r="F586" s="70" t="str">
        <f aca="false">Data!F586</f>
        <v>Pre-A1</v>
      </c>
      <c r="G586" s="31" t="str">
        <f aca="false">Data!G586</f>
        <v>Can ask very simple questions for information, such as “What is this?” and understand one- or two-word/sign answers.</v>
      </c>
      <c r="H586" s="71" t="s">
        <v>3344</v>
      </c>
      <c r="I586" s="79" t="s">
        <v>3089</v>
      </c>
    </row>
    <row r="587" customFormat="false" ht="32.25" hidden="false" customHeight="true" outlineLevel="0" collapsed="false">
      <c r="A587" s="70" t="n">
        <f aca="false">Data!A587</f>
        <v>586</v>
      </c>
      <c r="B587" s="70" t="str">
        <f aca="false">IFERROR(INDEX(対訳マスタ!$C$2:$C$136,MATCH(Data!B587,対訳マスタ!$B$2:$B$136,0)),Data!B587)</f>
        <v>コミュニケーション言語活動</v>
      </c>
      <c r="C587" s="70" t="str">
        <f aca="false">IF(Data!C587="—","—",IFERROR(INDEX(対訳マスタ!$C$2:$C$136,MATCH(Data!C587,対訳マスタ!$B$2:$B$136,0)),Data!C587))</f>
        <v>相互行為</v>
      </c>
      <c r="D587" s="70" t="str">
        <f aca="false">IF(Data!D587="—","—",IFERROR(INDEX(対訳マスタ!$C$2:$C$136,MATCH(Data!D587,対訳マスタ!$B$2:$B$136,0)),Data!D587))</f>
        <v>口頭の相互行為</v>
      </c>
      <c r="E587" s="70" t="str">
        <f aca="false">IFERROR(INDEX(対訳マスタ!$C$2:$C$136,MATCH(Data!E587,対訳マスタ!$B$2:$B$136,0)),Data!E587)</f>
        <v>面接する・面接を受ける</v>
      </c>
      <c r="F587" s="70" t="str">
        <f aca="false">Data!F587</f>
        <v>C2</v>
      </c>
      <c r="G587" s="31" t="str">
        <f aca="false">Data!G587</f>
        <v>Can keep up their side of the dialogue extremely well, structuring the discourse and interacting authoritatively with effortless fluency as interviewer or interviewee, at no disadvantage to other participants.</v>
      </c>
      <c r="H587" s="71" t="s">
        <v>2723</v>
      </c>
      <c r="I587" s="79" t="s">
        <v>3089</v>
      </c>
    </row>
    <row r="588" customFormat="false" ht="32.25" hidden="false" customHeight="true" outlineLevel="0" collapsed="false">
      <c r="A588" s="70" t="n">
        <f aca="false">Data!A588</f>
        <v>587</v>
      </c>
      <c r="B588" s="70" t="str">
        <f aca="false">IFERROR(INDEX(対訳マスタ!$C$2:$C$136,MATCH(Data!B588,対訳マスタ!$B$2:$B$136,0)),Data!B588)</f>
        <v>コミュニケーション言語活動</v>
      </c>
      <c r="C588" s="70" t="str">
        <f aca="false">IF(Data!C588="—","—",IFERROR(INDEX(対訳マスタ!$C$2:$C$136,MATCH(Data!C588,対訳マスタ!$B$2:$B$136,0)),Data!C588))</f>
        <v>相互行為</v>
      </c>
      <c r="D588" s="70" t="str">
        <f aca="false">IF(Data!D588="—","—",IFERROR(INDEX(対訳マスタ!$C$2:$C$136,MATCH(Data!D588,対訳マスタ!$B$2:$B$136,0)),Data!D588))</f>
        <v>口頭の相互行為</v>
      </c>
      <c r="E588" s="70" t="str">
        <f aca="false">IFERROR(INDEX(対訳マスタ!$C$2:$C$136,MATCH(Data!E588,対訳マスタ!$B$2:$B$136,0)),Data!E588)</f>
        <v>面接する・面接を受ける</v>
      </c>
      <c r="F588" s="70" t="str">
        <f aca="false">Data!F588</f>
        <v>C1</v>
      </c>
      <c r="G588" s="31" t="str">
        <f aca="false">Data!G588</f>
        <v>Can participate fully in an interview, as either interviewer or interviewee, expanding and developing the point being discussed fluently without any support, and handling interjections well.</v>
      </c>
      <c r="H588" s="71" t="s">
        <v>2722</v>
      </c>
      <c r="I588" s="79" t="s">
        <v>3089</v>
      </c>
    </row>
    <row r="589" customFormat="false" ht="26.25" hidden="false" customHeight="true" outlineLevel="0" collapsed="false">
      <c r="A589" s="70" t="n">
        <f aca="false">Data!A589</f>
        <v>588</v>
      </c>
      <c r="B589" s="70" t="str">
        <f aca="false">IFERROR(INDEX(対訳マスタ!$C$2:$C$136,MATCH(Data!B589,対訳マスタ!$B$2:$B$136,0)),Data!B589)</f>
        <v>コミュニケーション言語活動</v>
      </c>
      <c r="C589" s="70" t="str">
        <f aca="false">IF(Data!C589="—","—",IFERROR(INDEX(対訳マスタ!$C$2:$C$136,MATCH(Data!C589,対訳マスタ!$B$2:$B$136,0)),Data!C589))</f>
        <v>相互行為</v>
      </c>
      <c r="D589" s="70" t="str">
        <f aca="false">IF(Data!D589="—","—",IFERROR(INDEX(対訳マスタ!$C$2:$C$136,MATCH(Data!D589,対訳マスタ!$B$2:$B$136,0)),Data!D589))</f>
        <v>口頭の相互行為</v>
      </c>
      <c r="E589" s="70" t="str">
        <f aca="false">IFERROR(INDEX(対訳マスタ!$C$2:$C$136,MATCH(Data!E589,対訳マスタ!$B$2:$B$136,0)),Data!E589)</f>
        <v>面接する・面接を受ける</v>
      </c>
      <c r="F589" s="70" t="str">
        <f aca="false">Data!F589</f>
        <v>B2+</v>
      </c>
      <c r="G589" s="31" t="str">
        <f aca="false">Data!G589</f>
        <v>Can carry out an effective, fluent interview, departing spontaneously from prepared questions, following up and probing interesting replies.</v>
      </c>
      <c r="H589" s="71" t="s">
        <v>2721</v>
      </c>
      <c r="I589" s="79" t="s">
        <v>3089</v>
      </c>
    </row>
    <row r="590" customFormat="false" ht="26.25" hidden="false" customHeight="true" outlineLevel="0" collapsed="false">
      <c r="A590" s="70" t="n">
        <f aca="false">Data!A590</f>
        <v>589</v>
      </c>
      <c r="B590" s="70" t="str">
        <f aca="false">IFERROR(INDEX(対訳マスタ!$C$2:$C$136,MATCH(Data!B590,対訳マスタ!$B$2:$B$136,0)),Data!B590)</f>
        <v>コミュニケーション言語活動</v>
      </c>
      <c r="C590" s="70" t="str">
        <f aca="false">IF(Data!C590="—","—",IFERROR(INDEX(対訳マスタ!$C$2:$C$136,MATCH(Data!C590,対訳マスタ!$B$2:$B$136,0)),Data!C590))</f>
        <v>相互行為</v>
      </c>
      <c r="D590" s="70" t="str">
        <f aca="false">IF(Data!D590="—","—",IFERROR(INDEX(対訳マスタ!$C$2:$C$136,MATCH(Data!D590,対訳マスタ!$B$2:$B$136,0)),Data!D590))</f>
        <v>口頭の相互行為</v>
      </c>
      <c r="E590" s="70" t="str">
        <f aca="false">IFERROR(INDEX(対訳マスタ!$C$2:$C$136,MATCH(Data!E590,対訳マスタ!$B$2:$B$136,0)),Data!E590)</f>
        <v>面接する・面接を受ける</v>
      </c>
      <c r="F590" s="70" t="str">
        <f aca="false">Data!F590</f>
        <v>B2</v>
      </c>
      <c r="G590" s="31" t="str">
        <f aca="false">Data!G590</f>
        <v>Can take the initiative in an interview, and expand and develop ideas with little help or prodding from an interviewer.</v>
      </c>
      <c r="H590" s="71" t="s">
        <v>2720</v>
      </c>
      <c r="I590" s="79" t="s">
        <v>3089</v>
      </c>
    </row>
    <row r="591" customFormat="false" ht="26.25" hidden="false" customHeight="true" outlineLevel="0" collapsed="false">
      <c r="A591" s="70" t="n">
        <f aca="false">Data!A591</f>
        <v>590</v>
      </c>
      <c r="B591" s="70" t="str">
        <f aca="false">IFERROR(INDEX(対訳マスタ!$C$2:$C$136,MATCH(Data!B591,対訳マスタ!$B$2:$B$136,0)),Data!B591)</f>
        <v>コミュニケーション言語活動</v>
      </c>
      <c r="C591" s="70" t="str">
        <f aca="false">IF(Data!C591="—","—",IFERROR(INDEX(対訳マスタ!$C$2:$C$136,MATCH(Data!C591,対訳マスタ!$B$2:$B$136,0)),Data!C591))</f>
        <v>相互行為</v>
      </c>
      <c r="D591" s="70" t="str">
        <f aca="false">IF(Data!D591="—","—",IFERROR(INDEX(対訳マスタ!$C$2:$C$136,MATCH(Data!D591,対訳マスタ!$B$2:$B$136,0)),Data!D591))</f>
        <v>口頭の相互行為</v>
      </c>
      <c r="E591" s="70" t="str">
        <f aca="false">IFERROR(INDEX(対訳マスタ!$C$2:$C$136,MATCH(Data!E591,対訳マスタ!$B$2:$B$136,0)),Data!E591)</f>
        <v>面接する・面接を受ける</v>
      </c>
      <c r="F591" s="70" t="str">
        <f aca="false">Data!F591</f>
        <v>B1+</v>
      </c>
      <c r="G591" s="31" t="str">
        <f aca="false">Data!G591</f>
        <v>Can provide concrete information required in an interview/consultation (e.g. describe symptoms to a doctor), but with limited precision.</v>
      </c>
      <c r="H591" s="71" t="s">
        <v>2719</v>
      </c>
      <c r="I591" s="79" t="s">
        <v>3089</v>
      </c>
    </row>
    <row r="592" customFormat="false" ht="32.25" hidden="false" customHeight="true" outlineLevel="0" collapsed="false">
      <c r="A592" s="70" t="n">
        <f aca="false">Data!A592</f>
        <v>591</v>
      </c>
      <c r="B592" s="70" t="str">
        <f aca="false">IFERROR(INDEX(対訳マスタ!$C$2:$C$136,MATCH(Data!B592,対訳マスタ!$B$2:$B$136,0)),Data!B592)</f>
        <v>コミュニケーション言語活動</v>
      </c>
      <c r="C592" s="70" t="str">
        <f aca="false">IF(Data!C592="—","—",IFERROR(INDEX(対訳マスタ!$C$2:$C$136,MATCH(Data!C592,対訳マスタ!$B$2:$B$136,0)),Data!C592))</f>
        <v>相互行為</v>
      </c>
      <c r="D592" s="70" t="str">
        <f aca="false">IF(Data!D592="—","—",IFERROR(INDEX(対訳マスタ!$C$2:$C$136,MATCH(Data!D592,対訳マスタ!$B$2:$B$136,0)),Data!D592))</f>
        <v>口頭の相互行為</v>
      </c>
      <c r="E592" s="70" t="str">
        <f aca="false">IFERROR(INDEX(対訳マスタ!$C$2:$C$136,MATCH(Data!E592,対訳マスタ!$B$2:$B$136,0)),Data!E592)</f>
        <v>面接する・面接を受ける</v>
      </c>
      <c r="F592" s="70" t="str">
        <f aca="false">Data!F592</f>
        <v>B1+</v>
      </c>
      <c r="G592" s="31" t="str">
        <f aca="false">Data!G592</f>
        <v>Can carry out a prepared interview, checking and confirming information, though they may occasionally have to ask for repetition if the other person’s response is rapid or extended.</v>
      </c>
      <c r="H592" s="71" t="s">
        <v>3345</v>
      </c>
      <c r="I592" s="79" t="s">
        <v>3089</v>
      </c>
    </row>
    <row r="593" customFormat="false" ht="21.75" hidden="false" customHeight="true" outlineLevel="0" collapsed="false">
      <c r="A593" s="70" t="n">
        <f aca="false">Data!A593</f>
        <v>592</v>
      </c>
      <c r="B593" s="70" t="str">
        <f aca="false">IFERROR(INDEX(対訳マスタ!$C$2:$C$136,MATCH(Data!B593,対訳マスタ!$B$2:$B$136,0)),Data!B593)</f>
        <v>コミュニケーション言語活動</v>
      </c>
      <c r="C593" s="70" t="str">
        <f aca="false">IF(Data!C593="—","—",IFERROR(INDEX(対訳マスタ!$C$2:$C$136,MATCH(Data!C593,対訳マスタ!$B$2:$B$136,0)),Data!C593))</f>
        <v>相互行為</v>
      </c>
      <c r="D593" s="70" t="str">
        <f aca="false">IF(Data!D593="—","—",IFERROR(INDEX(対訳マスタ!$C$2:$C$136,MATCH(Data!D593,対訳マスタ!$B$2:$B$136,0)),Data!D593))</f>
        <v>口頭の相互行為</v>
      </c>
      <c r="E593" s="70" t="str">
        <f aca="false">IFERROR(INDEX(対訳マスタ!$C$2:$C$136,MATCH(Data!E593,対訳マスタ!$B$2:$B$136,0)),Data!E593)</f>
        <v>面接する・面接を受ける</v>
      </c>
      <c r="F593" s="70" t="str">
        <f aca="false">Data!F593</f>
        <v>B1</v>
      </c>
      <c r="G593" s="31" t="str">
        <f aca="false">Data!G593</f>
        <v>Can take some initiative in an interview/consultation (e.g. to bring up a new subject) but is very dependent on the interviewer in the interaction.</v>
      </c>
      <c r="H593" s="71" t="s">
        <v>3346</v>
      </c>
      <c r="I593" s="79" t="s">
        <v>3089</v>
      </c>
    </row>
    <row r="594" customFormat="false" ht="21.75" hidden="false" customHeight="true" outlineLevel="0" collapsed="false">
      <c r="A594" s="70" t="n">
        <f aca="false">Data!A594</f>
        <v>593</v>
      </c>
      <c r="B594" s="70" t="str">
        <f aca="false">IFERROR(INDEX(対訳マスタ!$C$2:$C$136,MATCH(Data!B594,対訳マスタ!$B$2:$B$136,0)),Data!B594)</f>
        <v>コミュニケーション言語活動</v>
      </c>
      <c r="C594" s="70" t="str">
        <f aca="false">IF(Data!C594="—","—",IFERROR(INDEX(対訳マスタ!$C$2:$C$136,MATCH(Data!C594,対訳マスタ!$B$2:$B$136,0)),Data!C594))</f>
        <v>相互行為</v>
      </c>
      <c r="D594" s="70" t="str">
        <f aca="false">IF(Data!D594="—","—",IFERROR(INDEX(対訳マスタ!$C$2:$C$136,MATCH(Data!D594,対訳マスタ!$B$2:$B$136,0)),Data!D594))</f>
        <v>口頭の相互行為</v>
      </c>
      <c r="E594" s="70" t="str">
        <f aca="false">IFERROR(INDEX(対訳マスタ!$C$2:$C$136,MATCH(Data!E594,対訳マスタ!$B$2:$B$136,0)),Data!E594)</f>
        <v>面接する・面接を受ける</v>
      </c>
      <c r="F594" s="70" t="str">
        <f aca="false">Data!F594</f>
        <v>B1</v>
      </c>
      <c r="G594" s="31" t="str">
        <f aca="false">Data!G594</f>
        <v>Can describe symptoms in a simple way and ask for advice when using health services, and can understand the answer, provided this is given clearly in everyday language.</v>
      </c>
      <c r="H594" s="71" t="s">
        <v>3347</v>
      </c>
      <c r="I594" s="79" t="s">
        <v>3089</v>
      </c>
    </row>
    <row r="595" customFormat="false" ht="26.25" hidden="false" customHeight="true" outlineLevel="0" collapsed="false">
      <c r="A595" s="70" t="n">
        <f aca="false">Data!A595</f>
        <v>594</v>
      </c>
      <c r="B595" s="70" t="str">
        <f aca="false">IFERROR(INDEX(対訳マスタ!$C$2:$C$136,MATCH(Data!B595,対訳マスタ!$B$2:$B$136,0)),Data!B595)</f>
        <v>コミュニケーション言語活動</v>
      </c>
      <c r="C595" s="70" t="str">
        <f aca="false">IF(Data!C595="—","—",IFERROR(INDEX(対訳マスタ!$C$2:$C$136,MATCH(Data!C595,対訳マスタ!$B$2:$B$136,0)),Data!C595))</f>
        <v>相互行為</v>
      </c>
      <c r="D595" s="70" t="str">
        <f aca="false">IF(Data!D595="—","—",IFERROR(INDEX(対訳マスタ!$C$2:$C$136,MATCH(Data!D595,対訳マスタ!$B$2:$B$136,0)),Data!D595))</f>
        <v>口頭の相互行為</v>
      </c>
      <c r="E595" s="70" t="str">
        <f aca="false">IFERROR(INDEX(対訳マスタ!$C$2:$C$136,MATCH(Data!E595,対訳マスタ!$B$2:$B$136,0)),Data!E595)</f>
        <v>面接する・面接を受ける</v>
      </c>
      <c r="F595" s="70" t="str">
        <f aca="false">Data!F595</f>
        <v>B1</v>
      </c>
      <c r="G595" s="31" t="str">
        <f aca="false">Data!G595</f>
        <v>Can use a prepared questionnaire to carry out a structured interview, with some spontaneous follow-up questions.</v>
      </c>
      <c r="H595" s="71" t="s">
        <v>2718</v>
      </c>
      <c r="I595" s="79" t="s">
        <v>3089</v>
      </c>
    </row>
    <row r="596" customFormat="false" ht="32.25" hidden="false" customHeight="true" outlineLevel="0" collapsed="false">
      <c r="A596" s="70" t="n">
        <f aca="false">Data!A596</f>
        <v>595</v>
      </c>
      <c r="B596" s="70" t="str">
        <f aca="false">IFERROR(INDEX(対訳マスタ!$C$2:$C$136,MATCH(Data!B596,対訳マスタ!$B$2:$B$136,0)),Data!B596)</f>
        <v>コミュニケーション言語活動</v>
      </c>
      <c r="C596" s="70" t="str">
        <f aca="false">IF(Data!C596="—","—",IFERROR(INDEX(対訳マスタ!$C$2:$C$136,MATCH(Data!C596,対訳マスタ!$B$2:$B$136,0)),Data!C596))</f>
        <v>相互行為</v>
      </c>
      <c r="D596" s="70" t="str">
        <f aca="false">IF(Data!D596="—","—",IFERROR(INDEX(対訳マスタ!$C$2:$C$136,MATCH(Data!D596,対訳マスタ!$B$2:$B$136,0)),Data!D596))</f>
        <v>口頭の相互行為</v>
      </c>
      <c r="E596" s="70" t="str">
        <f aca="false">IFERROR(INDEX(対訳マスタ!$C$2:$C$136,MATCH(Data!E596,対訳マスタ!$B$2:$B$136,0)),Data!E596)</f>
        <v>面接する・面接を受ける</v>
      </c>
      <c r="F596" s="70" t="str">
        <f aca="false">Data!F596</f>
        <v>A2+</v>
      </c>
      <c r="G596" s="31" t="str">
        <f aca="false">Data!G596</f>
        <v>Can make themselves understood in an interview and communicate ideas and information on familiar topics, provided they can ask for clarification occasionally, and are given some help to express what they want to.</v>
      </c>
      <c r="H596" s="71" t="s">
        <v>3348</v>
      </c>
      <c r="I596" s="79" t="s">
        <v>3089</v>
      </c>
    </row>
    <row r="597" customFormat="false" ht="15" hidden="false" customHeight="true" outlineLevel="0" collapsed="false">
      <c r="A597" s="70" t="n">
        <f aca="false">Data!A597</f>
        <v>596</v>
      </c>
      <c r="B597" s="70" t="str">
        <f aca="false">IFERROR(INDEX(対訳マスタ!$C$2:$C$136,MATCH(Data!B597,対訳マスタ!$B$2:$B$136,0)),Data!B597)</f>
        <v>コミュニケーション言語活動</v>
      </c>
      <c r="C597" s="70" t="str">
        <f aca="false">IF(Data!C597="—","—",IFERROR(INDEX(対訳マスタ!$C$2:$C$136,MATCH(Data!C597,対訳マスタ!$B$2:$B$136,0)),Data!C597))</f>
        <v>相互行為</v>
      </c>
      <c r="D597" s="70" t="str">
        <f aca="false">IF(Data!D597="—","—",IFERROR(INDEX(対訳マスタ!$C$2:$C$136,MATCH(Data!D597,対訳マスタ!$B$2:$B$136,0)),Data!D597))</f>
        <v>口頭の相互行為</v>
      </c>
      <c r="E597" s="70" t="str">
        <f aca="false">IFERROR(INDEX(対訳マスタ!$C$2:$C$136,MATCH(Data!E597,対訳マスタ!$B$2:$B$136,0)),Data!E597)</f>
        <v>面接する・面接を受ける</v>
      </c>
      <c r="F597" s="70" t="str">
        <f aca="false">Data!F597</f>
        <v>A2+</v>
      </c>
      <c r="G597" s="31" t="str">
        <f aca="false">Data!G597</f>
        <v>Can describe to a doctor very basic symptoms and ailments such as a cold or the flu.</v>
      </c>
      <c r="H597" s="71" t="s">
        <v>2717</v>
      </c>
      <c r="I597" s="79" t="s">
        <v>3089</v>
      </c>
    </row>
    <row r="598" customFormat="false" ht="15" hidden="false" customHeight="true" outlineLevel="0" collapsed="false">
      <c r="A598" s="70" t="n">
        <f aca="false">Data!A598</f>
        <v>597</v>
      </c>
      <c r="B598" s="70" t="str">
        <f aca="false">IFERROR(INDEX(対訳マスタ!$C$2:$C$136,MATCH(Data!B598,対訳マスタ!$B$2:$B$136,0)),Data!B598)</f>
        <v>コミュニケーション言語活動</v>
      </c>
      <c r="C598" s="70" t="str">
        <f aca="false">IF(Data!C598="—","—",IFERROR(INDEX(対訳マスタ!$C$2:$C$136,MATCH(Data!C598,対訳マスタ!$B$2:$B$136,0)),Data!C598))</f>
        <v>相互行為</v>
      </c>
      <c r="D598" s="70" t="str">
        <f aca="false">IF(Data!D598="—","—",IFERROR(INDEX(対訳マスタ!$C$2:$C$136,MATCH(Data!D598,対訳マスタ!$B$2:$B$136,0)),Data!D598))</f>
        <v>口頭の相互行為</v>
      </c>
      <c r="E598" s="70" t="str">
        <f aca="false">IFERROR(INDEX(対訳マスタ!$C$2:$C$136,MATCH(Data!E598,対訳マスタ!$B$2:$B$136,0)),Data!E598)</f>
        <v>面接する・面接を受ける</v>
      </c>
      <c r="F598" s="70" t="str">
        <f aca="false">Data!F598</f>
        <v>A2</v>
      </c>
      <c r="G598" s="31" t="str">
        <f aca="false">Data!G598</f>
        <v>Can answer simple questions and respond to simple statements in an interview.</v>
      </c>
      <c r="H598" s="71" t="s">
        <v>2716</v>
      </c>
      <c r="I598" s="79" t="s">
        <v>3089</v>
      </c>
    </row>
    <row r="599" customFormat="false" ht="21.75" hidden="false" customHeight="true" outlineLevel="0" collapsed="false">
      <c r="A599" s="70" t="n">
        <f aca="false">Data!A599</f>
        <v>598</v>
      </c>
      <c r="B599" s="70" t="str">
        <f aca="false">IFERROR(INDEX(対訳マスタ!$C$2:$C$136,MATCH(Data!B599,対訳マスタ!$B$2:$B$136,0)),Data!B599)</f>
        <v>コミュニケーション言語活動</v>
      </c>
      <c r="C599" s="70" t="str">
        <f aca="false">IF(Data!C599="—","—",IFERROR(INDEX(対訳マスタ!$C$2:$C$136,MATCH(Data!C599,対訳マスタ!$B$2:$B$136,0)),Data!C599))</f>
        <v>相互行為</v>
      </c>
      <c r="D599" s="70" t="str">
        <f aca="false">IF(Data!D599="—","—",IFERROR(INDEX(対訳マスタ!$C$2:$C$136,MATCH(Data!D599,対訳マスタ!$B$2:$B$136,0)),Data!D599))</f>
        <v>口頭の相互行為</v>
      </c>
      <c r="E599" s="70" t="str">
        <f aca="false">IFERROR(INDEX(対訳マスタ!$C$2:$C$136,MATCH(Data!E599,対訳マスタ!$B$2:$B$136,0)),Data!E599)</f>
        <v>面接する・面接を受ける</v>
      </c>
      <c r="F599" s="70" t="str">
        <f aca="false">Data!F599</f>
        <v>A2</v>
      </c>
      <c r="G599" s="31" t="str">
        <f aca="false">Data!G599</f>
        <v>Can indicate in simple language the nature of a problem to a health professional, perhaps using gestures and body language.</v>
      </c>
      <c r="H599" s="71" t="s">
        <v>3349</v>
      </c>
      <c r="I599" s="79" t="s">
        <v>3089</v>
      </c>
    </row>
    <row r="600" customFormat="false" ht="26.25" hidden="false" customHeight="true" outlineLevel="0" collapsed="false">
      <c r="A600" s="70" t="n">
        <f aca="false">Data!A600</f>
        <v>599</v>
      </c>
      <c r="B600" s="70" t="str">
        <f aca="false">IFERROR(INDEX(対訳マスタ!$C$2:$C$136,MATCH(Data!B600,対訳マスタ!$B$2:$B$136,0)),Data!B600)</f>
        <v>コミュニケーション言語活動</v>
      </c>
      <c r="C600" s="70" t="str">
        <f aca="false">IF(Data!C600="—","—",IFERROR(INDEX(対訳マスタ!$C$2:$C$136,MATCH(Data!C600,対訳マスタ!$B$2:$B$136,0)),Data!C600))</f>
        <v>相互行為</v>
      </c>
      <c r="D600" s="70" t="str">
        <f aca="false">IF(Data!D600="—","—",IFERROR(INDEX(対訳マスタ!$C$2:$C$136,MATCH(Data!D600,対訳マスタ!$B$2:$B$136,0)),Data!D600))</f>
        <v>口頭の相互行為</v>
      </c>
      <c r="E600" s="70" t="str">
        <f aca="false">IFERROR(INDEX(対訳マスタ!$C$2:$C$136,MATCH(Data!E600,対訳マスタ!$B$2:$B$136,0)),Data!E600)</f>
        <v>面接する・面接を受ける</v>
      </c>
      <c r="F600" s="70" t="str">
        <f aca="false">Data!F600</f>
        <v>A1</v>
      </c>
      <c r="G600" s="31" t="str">
        <f aca="false">Data!G600</f>
        <v>Can reply in an interview to simple direct questions, put very slowly and clearly in direct, non-idiomatic language, about personal details.</v>
      </c>
      <c r="H600" s="71" t="s">
        <v>2715</v>
      </c>
      <c r="I600" s="79" t="s">
        <v>3089</v>
      </c>
    </row>
    <row r="601" customFormat="false" ht="32.25" hidden="false" customHeight="true" outlineLevel="0" collapsed="false">
      <c r="A601" s="70" t="n">
        <f aca="false">Data!A601</f>
        <v>600</v>
      </c>
      <c r="B601" s="70" t="str">
        <f aca="false">IFERROR(INDEX(対訳マスタ!$C$2:$C$136,MATCH(Data!B601,対訳マスタ!$B$2:$B$136,0)),Data!B601)</f>
        <v>コミュニケーション言語活動</v>
      </c>
      <c r="C601" s="70" t="str">
        <f aca="false">IF(Data!C601="—","—",IFERROR(INDEX(対訳マスタ!$C$2:$C$136,MATCH(Data!C601,対訳マスタ!$B$2:$B$136,0)),Data!C601))</f>
        <v>相互行為</v>
      </c>
      <c r="D601" s="70" t="str">
        <f aca="false">IF(Data!D601="—","—",IFERROR(INDEX(対訳マスタ!$C$2:$C$136,MATCH(Data!D601,対訳マスタ!$B$2:$B$136,0)),Data!D601))</f>
        <v>口頭の相互行為</v>
      </c>
      <c r="E601" s="70" t="str">
        <f aca="false">IFERROR(INDEX(対訳マスタ!$C$2:$C$136,MATCH(Data!E601,対訳マスタ!$B$2:$B$136,0)),Data!E601)</f>
        <v>面接する・面接を受ける</v>
      </c>
      <c r="F601" s="70" t="str">
        <f aca="false">Data!F601</f>
        <v>A1</v>
      </c>
      <c r="G601" s="31" t="str">
        <f aca="false">Data!G601</f>
        <v>Can state in simple language the nature of a problem to a health professional and answer simple questions such as “Does that hurt?” even though they have to rely on gestures and body language to reinforce the message.</v>
      </c>
      <c r="H601" s="71" t="s">
        <v>3350</v>
      </c>
      <c r="I601" s="79" t="s">
        <v>3089</v>
      </c>
    </row>
    <row r="602" customFormat="false" ht="15" hidden="false" customHeight="true" outlineLevel="0" collapsed="false">
      <c r="A602" s="80" t="n">
        <f aca="false">Data!A602</f>
        <v>601</v>
      </c>
      <c r="B602" s="80" t="str">
        <f aca="false">IFERROR(INDEX(対訳マスタ!$C$2:$C$136,MATCH(Data!B602,対訳マスタ!$B$2:$B$136,0)),Data!B602)</f>
        <v>コミュニケーション言語活動</v>
      </c>
      <c r="C602" s="80" t="str">
        <f aca="false">IF(Data!C602="—","—",IFERROR(INDEX(対訳マスタ!$C$2:$C$136,MATCH(Data!C602,対訳マスタ!$B$2:$B$136,0)),Data!C602))</f>
        <v>相互行為</v>
      </c>
      <c r="D602" s="80" t="str">
        <f aca="false">IF(Data!D602="—","—",IFERROR(INDEX(対訳マスタ!$C$2:$C$136,MATCH(Data!D602,対訳マスタ!$B$2:$B$136,0)),Data!D602))</f>
        <v>口頭の相互行為</v>
      </c>
      <c r="E602" s="80" t="str">
        <f aca="false">IFERROR(INDEX(対訳マスタ!$C$2:$C$136,MATCH(Data!E602,対訳マスタ!$B$2:$B$136,0)),Data!E602)</f>
        <v>面接する・面接を受ける</v>
      </c>
      <c r="F602" s="80" t="str">
        <f aca="false">Data!F602</f>
        <v>Pre-A1</v>
      </c>
      <c r="G602" s="81" t="str">
        <f aca="false">Data!G602</f>
        <v>No descriptors available</v>
      </c>
      <c r="H602" s="81" t="s">
        <v>624</v>
      </c>
      <c r="I602" s="80" t="s">
        <v>624</v>
      </c>
    </row>
    <row r="603" customFormat="false" ht="32.25" hidden="false" customHeight="true" outlineLevel="0" collapsed="false">
      <c r="A603" s="70" t="n">
        <f aca="false">Data!A603</f>
        <v>602</v>
      </c>
      <c r="B603" s="70" t="str">
        <f aca="false">IFERROR(INDEX(対訳マスタ!$C$2:$C$136,MATCH(Data!B603,対訳マスタ!$B$2:$B$136,0)),Data!B603)</f>
        <v>コミュニケーション言語活動</v>
      </c>
      <c r="C603" s="70" t="str">
        <f aca="false">IF(Data!C603="—","—",IFERROR(INDEX(対訳マスタ!$C$2:$C$136,MATCH(Data!C603,対訳マスタ!$B$2:$B$136,0)),Data!C603))</f>
        <v>相互行為</v>
      </c>
      <c r="D603" s="70" t="str">
        <f aca="false">IF(Data!D603="—","—",IFERROR(INDEX(対訳マスタ!$C$2:$C$136,MATCH(Data!D603,対訳マスタ!$B$2:$B$136,0)),Data!D603))</f>
        <v>口頭の相互行為</v>
      </c>
      <c r="E603" s="70" t="str">
        <f aca="false">IFERROR(INDEX(対訳マスタ!$C$2:$C$136,MATCH(Data!E603,対訳マスタ!$B$2:$B$136,0)),Data!E603)</f>
        <v>電話・通信の利用</v>
      </c>
      <c r="F603" s="70" t="str">
        <f aca="false">Data!F603</f>
        <v>C2</v>
      </c>
      <c r="G603" s="31" t="str">
        <f aca="false">Data!G603</f>
        <v>Can use telecommunications confidently and effectively for both personal and professional purposes, even if there is some interference (noise) or the caller has a less familiar accent.</v>
      </c>
      <c r="H603" s="71" t="s">
        <v>2730</v>
      </c>
      <c r="I603" s="79" t="s">
        <v>3089</v>
      </c>
    </row>
    <row r="604" customFormat="false" ht="15" hidden="false" customHeight="true" outlineLevel="0" collapsed="false">
      <c r="A604" s="70" t="n">
        <f aca="false">Data!A604</f>
        <v>603</v>
      </c>
      <c r="B604" s="70" t="str">
        <f aca="false">IFERROR(INDEX(対訳マスタ!$C$2:$C$136,MATCH(Data!B604,対訳マスタ!$B$2:$B$136,0)),Data!B604)</f>
        <v>コミュニケーション言語活動</v>
      </c>
      <c r="C604" s="70" t="str">
        <f aca="false">IF(Data!C604="—","—",IFERROR(INDEX(対訳マスタ!$C$2:$C$136,MATCH(Data!C604,対訳マスタ!$B$2:$B$136,0)),Data!C604))</f>
        <v>相互行為</v>
      </c>
      <c r="D604" s="70" t="str">
        <f aca="false">IF(Data!D604="—","—",IFERROR(INDEX(対訳マスタ!$C$2:$C$136,MATCH(Data!D604,対訳マスタ!$B$2:$B$136,0)),Data!D604))</f>
        <v>口頭の相互行為</v>
      </c>
      <c r="E604" s="70" t="str">
        <f aca="false">IFERROR(INDEX(対訳マスタ!$C$2:$C$136,MATCH(Data!E604,対訳マスタ!$B$2:$B$136,0)),Data!E604)</f>
        <v>電話・通信の利用</v>
      </c>
      <c r="F604" s="70" t="str">
        <f aca="false">Data!F604</f>
        <v>C1</v>
      </c>
      <c r="G604" s="31" t="str">
        <f aca="false">Data!G604</f>
        <v>Can use telecommunications effectively for most professional or personal purposes.</v>
      </c>
      <c r="H604" s="71" t="s">
        <v>2729</v>
      </c>
      <c r="I604" s="79" t="s">
        <v>3089</v>
      </c>
    </row>
    <row r="605" customFormat="false" ht="21.75" hidden="false" customHeight="true" outlineLevel="0" collapsed="false">
      <c r="A605" s="70" t="n">
        <f aca="false">Data!A605</f>
        <v>604</v>
      </c>
      <c r="B605" s="70" t="str">
        <f aca="false">IFERROR(INDEX(対訳マスタ!$C$2:$C$136,MATCH(Data!B605,対訳マスタ!$B$2:$B$136,0)),Data!B605)</f>
        <v>コミュニケーション言語活動</v>
      </c>
      <c r="C605" s="70" t="str">
        <f aca="false">IF(Data!C605="—","—",IFERROR(INDEX(対訳マスタ!$C$2:$C$136,MATCH(Data!C605,対訳マスタ!$B$2:$B$136,0)),Data!C605))</f>
        <v>相互行為</v>
      </c>
      <c r="D605" s="70" t="str">
        <f aca="false">IF(Data!D605="—","—",IFERROR(INDEX(対訳マスタ!$C$2:$C$136,MATCH(Data!D605,対訳マスタ!$B$2:$B$136,0)),Data!D605))</f>
        <v>口頭の相互行為</v>
      </c>
      <c r="E605" s="70" t="str">
        <f aca="false">IFERROR(INDEX(対訳マスタ!$C$2:$C$136,MATCH(Data!E605,対訳マスタ!$B$2:$B$136,0)),Data!E605)</f>
        <v>電話・通信の利用</v>
      </c>
      <c r="F605" s="70" t="str">
        <f aca="false">Data!F605</f>
        <v>B2</v>
      </c>
      <c r="G605" s="31" t="str">
        <f aca="false">Data!G605</f>
        <v>Can use telecommunications for a variety of personal and professional purposes, provided they can ask for clarification if the accent or terminology is unfamiliar.</v>
      </c>
      <c r="H605" s="71" t="s">
        <v>3351</v>
      </c>
      <c r="I605" s="79" t="s">
        <v>3089</v>
      </c>
    </row>
    <row r="606" customFormat="false" ht="21.75" hidden="false" customHeight="true" outlineLevel="0" collapsed="false">
      <c r="A606" s="70" t="n">
        <f aca="false">Data!A606</f>
        <v>605</v>
      </c>
      <c r="B606" s="70" t="str">
        <f aca="false">IFERROR(INDEX(対訳マスタ!$C$2:$C$136,MATCH(Data!B606,対訳マスタ!$B$2:$B$136,0)),Data!B606)</f>
        <v>コミュニケーション言語活動</v>
      </c>
      <c r="C606" s="70" t="str">
        <f aca="false">IF(Data!C606="—","—",IFERROR(INDEX(対訳マスタ!$C$2:$C$136,MATCH(Data!C606,対訳マスタ!$B$2:$B$136,0)),Data!C606))</f>
        <v>相互行為</v>
      </c>
      <c r="D606" s="70" t="str">
        <f aca="false">IF(Data!D606="—","—",IFERROR(INDEX(対訳マスタ!$C$2:$C$136,MATCH(Data!D606,対訳マスタ!$B$2:$B$136,0)),Data!D606))</f>
        <v>口頭の相互行為</v>
      </c>
      <c r="E606" s="70" t="str">
        <f aca="false">IFERROR(INDEX(対訳マスタ!$C$2:$C$136,MATCH(Data!E606,対訳マスタ!$B$2:$B$136,0)),Data!E606)</f>
        <v>電話・通信の利用</v>
      </c>
      <c r="F606" s="70" t="str">
        <f aca="false">Data!F606</f>
        <v>B2</v>
      </c>
      <c r="G606" s="31" t="str">
        <f aca="false">Data!G606</f>
        <v>Can participate in extended casual conversation over the phone with a known person on a variety of topics.</v>
      </c>
      <c r="H606" s="71" t="s">
        <v>2728</v>
      </c>
      <c r="I606" s="79" t="s">
        <v>3089</v>
      </c>
    </row>
    <row r="607" customFormat="false" ht="26.25" hidden="false" customHeight="true" outlineLevel="0" collapsed="false">
      <c r="A607" s="70" t="n">
        <f aca="false">Data!A607</f>
        <v>606</v>
      </c>
      <c r="B607" s="70" t="str">
        <f aca="false">IFERROR(INDEX(対訳マスタ!$C$2:$C$136,MATCH(Data!B607,対訳マスタ!$B$2:$B$136,0)),Data!B607)</f>
        <v>コミュニケーション言語活動</v>
      </c>
      <c r="C607" s="70" t="str">
        <f aca="false">IF(Data!C607="—","—",IFERROR(INDEX(対訳マスタ!$C$2:$C$136,MATCH(Data!C607,対訳マスタ!$B$2:$B$136,0)),Data!C607))</f>
        <v>相互行為</v>
      </c>
      <c r="D607" s="70" t="str">
        <f aca="false">IF(Data!D607="—","—",IFERROR(INDEX(対訳マスタ!$C$2:$C$136,MATCH(Data!D607,対訳マスタ!$B$2:$B$136,0)),Data!D607))</f>
        <v>口頭の相互行為</v>
      </c>
      <c r="E607" s="70" t="str">
        <f aca="false">IFERROR(INDEX(対訳マスタ!$C$2:$C$136,MATCH(Data!E607,対訳マスタ!$B$2:$B$136,0)),Data!E607)</f>
        <v>電話・通信の利用</v>
      </c>
      <c r="F607" s="70" t="str">
        <f aca="false">Data!F607</f>
        <v>B1+</v>
      </c>
      <c r="G607" s="31" t="str">
        <f aca="false">Data!G607</f>
        <v>Can use telecommunications for everyday personal or professional purposes, provided they can ask for clarification from time to time.</v>
      </c>
      <c r="H607" s="71" t="s">
        <v>2727</v>
      </c>
      <c r="I607" s="79" t="s">
        <v>3089</v>
      </c>
    </row>
    <row r="608" customFormat="false" ht="21.75" hidden="false" customHeight="true" outlineLevel="0" collapsed="false">
      <c r="A608" s="70" t="n">
        <f aca="false">Data!A608</f>
        <v>607</v>
      </c>
      <c r="B608" s="70" t="str">
        <f aca="false">IFERROR(INDEX(対訳マスタ!$C$2:$C$136,MATCH(Data!B608,対訳マスタ!$B$2:$B$136,0)),Data!B608)</f>
        <v>コミュニケーション言語活動</v>
      </c>
      <c r="C608" s="70" t="str">
        <f aca="false">IF(Data!C608="—","—",IFERROR(INDEX(対訳マスタ!$C$2:$C$136,MATCH(Data!C608,対訳マスタ!$B$2:$B$136,0)),Data!C608))</f>
        <v>相互行為</v>
      </c>
      <c r="D608" s="70" t="str">
        <f aca="false">IF(Data!D608="—","—",IFERROR(INDEX(対訳マスタ!$C$2:$C$136,MATCH(Data!D608,対訳マスタ!$B$2:$B$136,0)),Data!D608))</f>
        <v>口頭の相互行為</v>
      </c>
      <c r="E608" s="70" t="str">
        <f aca="false">IFERROR(INDEX(対訳マスタ!$C$2:$C$136,MATCH(Data!E608,対訳マスタ!$B$2:$B$136,0)),Data!E608)</f>
        <v>電話・通信の利用</v>
      </c>
      <c r="F608" s="70" t="str">
        <f aca="false">Data!F608</f>
        <v>B1+</v>
      </c>
      <c r="G608" s="31" t="str">
        <f aca="false">Data!G608</f>
        <v>Can give important details over the (video)phone concerning an unexpected incident (e.g. a problem in a hotel, with travel arrangements, with a hire car).</v>
      </c>
      <c r="H608" s="71" t="s">
        <v>3352</v>
      </c>
      <c r="I608" s="79" t="s">
        <v>3089</v>
      </c>
    </row>
    <row r="609" customFormat="false" ht="21.75" hidden="false" customHeight="true" outlineLevel="0" collapsed="false">
      <c r="A609" s="70" t="n">
        <f aca="false">Data!A609</f>
        <v>608</v>
      </c>
      <c r="B609" s="70" t="str">
        <f aca="false">IFERROR(INDEX(対訳マスタ!$C$2:$C$136,MATCH(Data!B609,対訳マスタ!$B$2:$B$136,0)),Data!B609)</f>
        <v>コミュニケーション言語活動</v>
      </c>
      <c r="C609" s="70" t="str">
        <f aca="false">IF(Data!C609="—","—",IFERROR(INDEX(対訳マスタ!$C$2:$C$136,MATCH(Data!C609,対訳マスタ!$B$2:$B$136,0)),Data!C609))</f>
        <v>相互行為</v>
      </c>
      <c r="D609" s="70" t="str">
        <f aca="false">IF(Data!D609="—","—",IFERROR(INDEX(対訳マスタ!$C$2:$C$136,MATCH(Data!D609,対訳マスタ!$B$2:$B$136,0)),Data!D609))</f>
        <v>口頭の相互行為</v>
      </c>
      <c r="E609" s="70" t="str">
        <f aca="false">IFERROR(INDEX(対訳マスタ!$C$2:$C$136,MATCH(Data!E609,対訳マスタ!$B$2:$B$136,0)),Data!E609)</f>
        <v>電話・通信の利用</v>
      </c>
      <c r="F609" s="70" t="str">
        <f aca="false">Data!F609</f>
        <v>B1</v>
      </c>
      <c r="G609" s="31" t="str">
        <f aca="false">Data!G609</f>
        <v>Can use telecommunications to have relatively simple but extended conversations with people they know personally.</v>
      </c>
      <c r="H609" s="71" t="s">
        <v>2726</v>
      </c>
      <c r="I609" s="79" t="s">
        <v>3089</v>
      </c>
    </row>
    <row r="610" customFormat="false" ht="21.75" hidden="false" customHeight="true" outlineLevel="0" collapsed="false">
      <c r="A610" s="70" t="n">
        <f aca="false">Data!A610</f>
        <v>609</v>
      </c>
      <c r="B610" s="70" t="str">
        <f aca="false">IFERROR(INDEX(対訳マスタ!$C$2:$C$136,MATCH(Data!B610,対訳マスタ!$B$2:$B$136,0)),Data!B610)</f>
        <v>コミュニケーション言語活動</v>
      </c>
      <c r="C610" s="70" t="str">
        <f aca="false">IF(Data!C610="—","—",IFERROR(INDEX(対訳マスタ!$C$2:$C$136,MATCH(Data!C610,対訳マスタ!$B$2:$B$136,0)),Data!C610))</f>
        <v>相互行為</v>
      </c>
      <c r="D610" s="70" t="str">
        <f aca="false">IF(Data!D610="—","—",IFERROR(INDEX(対訳マスタ!$C$2:$C$136,MATCH(Data!D610,対訳マスタ!$B$2:$B$136,0)),Data!D610))</f>
        <v>口頭の相互行為</v>
      </c>
      <c r="E610" s="70" t="str">
        <f aca="false">IFERROR(INDEX(対訳マスタ!$C$2:$C$136,MATCH(Data!E610,対訳マスタ!$B$2:$B$136,0)),Data!E610)</f>
        <v>電話・通信の利用</v>
      </c>
      <c r="F610" s="70" t="str">
        <f aca="false">Data!F610</f>
        <v>B1</v>
      </c>
      <c r="G610" s="31" t="str">
        <f aca="false">Data!G610</f>
        <v>Can use telecommunications for routine messages (e.g. arrangements for a meeting) and to obtain basic services (e.g. book a hotel room or make a medical appointment).</v>
      </c>
      <c r="H610" s="71" t="s">
        <v>3353</v>
      </c>
      <c r="I610" s="79" t="s">
        <v>3089</v>
      </c>
    </row>
    <row r="611" customFormat="false" ht="21.75" hidden="false" customHeight="true" outlineLevel="0" collapsed="false">
      <c r="A611" s="70" t="n">
        <f aca="false">Data!A611</f>
        <v>610</v>
      </c>
      <c r="B611" s="70" t="str">
        <f aca="false">IFERROR(INDEX(対訳マスタ!$C$2:$C$136,MATCH(Data!B611,対訳マスタ!$B$2:$B$136,0)),Data!B611)</f>
        <v>コミュニケーション言語活動</v>
      </c>
      <c r="C611" s="70" t="str">
        <f aca="false">IF(Data!C611="—","—",IFERROR(INDEX(対訳マスタ!$C$2:$C$136,MATCH(Data!C611,対訳マスタ!$B$2:$B$136,0)),Data!C611))</f>
        <v>相互行為</v>
      </c>
      <c r="D611" s="70" t="str">
        <f aca="false">IF(Data!D611="—","—",IFERROR(INDEX(対訳マスタ!$C$2:$C$136,MATCH(Data!D611,対訳マスタ!$B$2:$B$136,0)),Data!D611))</f>
        <v>口頭の相互行為</v>
      </c>
      <c r="E611" s="70" t="str">
        <f aca="false">IFERROR(INDEX(対訳マスタ!$C$2:$C$136,MATCH(Data!E611,対訳マスタ!$B$2:$B$136,0)),Data!E611)</f>
        <v>電話・通信の利用</v>
      </c>
      <c r="F611" s="70" t="str">
        <f aca="false">Data!F611</f>
        <v>A2+</v>
      </c>
      <c r="G611" s="31" t="str">
        <f aca="false">Data!G611</f>
        <v>Can use telecommunications with their friends to exchange simple news, make plans and arrange to meet.</v>
      </c>
      <c r="H611" s="71" t="s">
        <v>2725</v>
      </c>
      <c r="I611" s="79" t="s">
        <v>3089</v>
      </c>
    </row>
    <row r="612" customFormat="false" ht="21.75" hidden="false" customHeight="true" outlineLevel="0" collapsed="false">
      <c r="A612" s="70" t="n">
        <f aca="false">Data!A612</f>
        <v>611</v>
      </c>
      <c r="B612" s="70" t="str">
        <f aca="false">IFERROR(INDEX(対訳マスタ!$C$2:$C$136,MATCH(Data!B612,対訳マスタ!$B$2:$B$136,0)),Data!B612)</f>
        <v>コミュニケーション言語活動</v>
      </c>
      <c r="C612" s="70" t="str">
        <f aca="false">IF(Data!C612="—","—",IFERROR(INDEX(対訳マスタ!$C$2:$C$136,MATCH(Data!C612,対訳マスタ!$B$2:$B$136,0)),Data!C612))</f>
        <v>相互行為</v>
      </c>
      <c r="D612" s="70" t="str">
        <f aca="false">IF(Data!D612="—","—",IFERROR(INDEX(対訳マスタ!$C$2:$C$136,MATCH(Data!D612,対訳マスタ!$B$2:$B$136,0)),Data!D612))</f>
        <v>口頭の相互行為</v>
      </c>
      <c r="E612" s="70" t="str">
        <f aca="false">IFERROR(INDEX(対訳マスタ!$C$2:$C$136,MATCH(Data!E612,対訳マスタ!$B$2:$B$136,0)),Data!E612)</f>
        <v>電話・通信の利用</v>
      </c>
      <c r="F612" s="70" t="str">
        <f aca="false">Data!F612</f>
        <v>A2</v>
      </c>
      <c r="G612" s="31" t="str">
        <f aca="false">Data!G612</f>
        <v>Can, given repetition and clarifications, participate in a short, simple phone conversation with a known person on a predictable topic, e.g. arrival times, arrangements to meet.</v>
      </c>
      <c r="H612" s="71" t="s">
        <v>3354</v>
      </c>
      <c r="I612" s="79" t="s">
        <v>3089</v>
      </c>
    </row>
    <row r="613" customFormat="false" ht="26.25" hidden="false" customHeight="true" outlineLevel="0" collapsed="false">
      <c r="A613" s="70" t="n">
        <f aca="false">Data!A613</f>
        <v>612</v>
      </c>
      <c r="B613" s="70" t="str">
        <f aca="false">IFERROR(INDEX(対訳マスタ!$C$2:$C$136,MATCH(Data!B613,対訳マスタ!$B$2:$B$136,0)),Data!B613)</f>
        <v>コミュニケーション言語活動</v>
      </c>
      <c r="C613" s="70" t="str">
        <f aca="false">IF(Data!C613="—","—",IFERROR(INDEX(対訳マスタ!$C$2:$C$136,MATCH(Data!C613,対訳マスタ!$B$2:$B$136,0)),Data!C613))</f>
        <v>相互行為</v>
      </c>
      <c r="D613" s="70" t="str">
        <f aca="false">IF(Data!D613="—","—",IFERROR(INDEX(対訳マスタ!$C$2:$C$136,MATCH(Data!D613,対訳マスタ!$B$2:$B$136,0)),Data!D613))</f>
        <v>口頭の相互行為</v>
      </c>
      <c r="E613" s="70" t="str">
        <f aca="false">IFERROR(INDEX(対訳マスタ!$C$2:$C$136,MATCH(Data!E613,対訳マスタ!$B$2:$B$136,0)),Data!E613)</f>
        <v>電話・通信の利用</v>
      </c>
      <c r="F613" s="70" t="str">
        <f aca="false">Data!F613</f>
        <v>A2</v>
      </c>
      <c r="G613" s="31" t="str">
        <f aca="false">Data!G613</f>
        <v>Can understand a simple message (e.g. “My flight is late. I will arrive at ten o’clock.”), confirm details of the message and pass it on by phone to other people concerned.</v>
      </c>
      <c r="H613" s="71" t="s">
        <v>2724</v>
      </c>
      <c r="I613" s="79" t="s">
        <v>3089</v>
      </c>
    </row>
    <row r="614" customFormat="false" ht="15" hidden="false" customHeight="true" outlineLevel="0" collapsed="false">
      <c r="A614" s="80" t="n">
        <f aca="false">Data!A614</f>
        <v>613</v>
      </c>
      <c r="B614" s="80" t="str">
        <f aca="false">IFERROR(INDEX(対訳マスタ!$C$2:$C$136,MATCH(Data!B614,対訳マスタ!$B$2:$B$136,0)),Data!B614)</f>
        <v>コミュニケーション言語活動</v>
      </c>
      <c r="C614" s="80" t="str">
        <f aca="false">IF(Data!C614="—","—",IFERROR(INDEX(対訳マスタ!$C$2:$C$136,MATCH(Data!C614,対訳マスタ!$B$2:$B$136,0)),Data!C614))</f>
        <v>相互行為</v>
      </c>
      <c r="D614" s="80" t="str">
        <f aca="false">IF(Data!D614="—","—",IFERROR(INDEX(対訳マスタ!$C$2:$C$136,MATCH(Data!D614,対訳マスタ!$B$2:$B$136,0)),Data!D614))</f>
        <v>口頭の相互行為</v>
      </c>
      <c r="E614" s="80" t="str">
        <f aca="false">IFERROR(INDEX(対訳マスタ!$C$2:$C$136,MATCH(Data!E614,対訳マスタ!$B$2:$B$136,0)),Data!E614)</f>
        <v>電話・通信の利用</v>
      </c>
      <c r="F614" s="80" t="str">
        <f aca="false">Data!F614</f>
        <v>A1</v>
      </c>
      <c r="G614" s="81" t="str">
        <f aca="false">Data!G614</f>
        <v>No descriptors available</v>
      </c>
      <c r="H614" s="81" t="s">
        <v>624</v>
      </c>
      <c r="I614" s="80" t="s">
        <v>624</v>
      </c>
    </row>
    <row r="615" customFormat="false" ht="15" hidden="false" customHeight="true" outlineLevel="0" collapsed="false">
      <c r="A615" s="80" t="n">
        <f aca="false">Data!A615</f>
        <v>614</v>
      </c>
      <c r="B615" s="80" t="str">
        <f aca="false">IFERROR(INDEX(対訳マスタ!$C$2:$C$136,MATCH(Data!B615,対訳マスタ!$B$2:$B$136,0)),Data!B615)</f>
        <v>コミュニケーション言語活動</v>
      </c>
      <c r="C615" s="80" t="str">
        <f aca="false">IF(Data!C615="—","—",IFERROR(INDEX(対訳マスタ!$C$2:$C$136,MATCH(Data!C615,対訳マスタ!$B$2:$B$136,0)),Data!C615))</f>
        <v>相互行為</v>
      </c>
      <c r="D615" s="80" t="str">
        <f aca="false">IF(Data!D615="—","—",IFERROR(INDEX(対訳マスタ!$C$2:$C$136,MATCH(Data!D615,対訳マスタ!$B$2:$B$136,0)),Data!D615))</f>
        <v>口頭の相互行為</v>
      </c>
      <c r="E615" s="80" t="str">
        <f aca="false">IFERROR(INDEX(対訳マスタ!$C$2:$C$136,MATCH(Data!E615,対訳マスタ!$B$2:$B$136,0)),Data!E615)</f>
        <v>電話・通信の利用</v>
      </c>
      <c r="F615" s="80" t="str">
        <f aca="false">Data!F615</f>
        <v>Pre-A1</v>
      </c>
      <c r="G615" s="81" t="str">
        <f aca="false">Data!G615</f>
        <v>No descriptors available</v>
      </c>
      <c r="H615" s="81" t="s">
        <v>624</v>
      </c>
      <c r="I615" s="80" t="s">
        <v>624</v>
      </c>
    </row>
    <row r="616" customFormat="false" ht="21.75" hidden="false" customHeight="true" outlineLevel="0" collapsed="false">
      <c r="A616" s="70" t="n">
        <f aca="false">Data!A616</f>
        <v>615</v>
      </c>
      <c r="B616" s="70" t="str">
        <f aca="false">IFERROR(INDEX(対訳マスタ!$C$2:$C$136,MATCH(Data!B616,対訳マスタ!$B$2:$B$136,0)),Data!B616)</f>
        <v>コミュニケーション言語活動</v>
      </c>
      <c r="C616" s="70" t="str">
        <f aca="false">IF(Data!C616="—","—",IFERROR(INDEX(対訳マスタ!$C$2:$C$136,MATCH(Data!C616,対訳マスタ!$B$2:$B$136,0)),Data!C616))</f>
        <v>相互行為</v>
      </c>
      <c r="D616" s="70" t="str">
        <f aca="false">IF(Data!D616="—","—",IFERROR(INDEX(対訳マスタ!$C$2:$C$136,MATCH(Data!D616,対訳マスタ!$B$2:$B$136,0)),Data!D616))</f>
        <v>筆記の相互行為</v>
      </c>
      <c r="E616" s="70" t="str">
        <f aca="false">IFERROR(INDEX(対訳マスタ!$C$2:$C$136,MATCH(Data!E616,対訳マスタ!$B$2:$B$136,0)),Data!E616)</f>
        <v>筆記相互行為（総合）</v>
      </c>
      <c r="F616" s="70" t="str">
        <f aca="false">Data!F616</f>
        <v>C2</v>
      </c>
      <c r="G616" s="31" t="str">
        <f aca="false">Data!G616</f>
        <v>Can express themselves in an appropriate tone and style in virtually any type of formal and informal interaction.</v>
      </c>
      <c r="H616" s="71" t="s">
        <v>2738</v>
      </c>
      <c r="I616" s="79" t="s">
        <v>3089</v>
      </c>
    </row>
    <row r="617" customFormat="false" ht="21.75" hidden="false" customHeight="true" outlineLevel="0" collapsed="false">
      <c r="A617" s="70" t="n">
        <f aca="false">Data!A617</f>
        <v>616</v>
      </c>
      <c r="B617" s="70" t="str">
        <f aca="false">IFERROR(INDEX(対訳マスタ!$C$2:$C$136,MATCH(Data!B617,対訳マスタ!$B$2:$B$136,0)),Data!B617)</f>
        <v>コミュニケーション言語活動</v>
      </c>
      <c r="C617" s="70" t="str">
        <f aca="false">IF(Data!C617="—","—",IFERROR(INDEX(対訳マスタ!$C$2:$C$136,MATCH(Data!C617,対訳マスタ!$B$2:$B$136,0)),Data!C617))</f>
        <v>相互行為</v>
      </c>
      <c r="D617" s="70" t="str">
        <f aca="false">IF(Data!D617="—","—",IFERROR(INDEX(対訳マスタ!$C$2:$C$136,MATCH(Data!D617,対訳マスタ!$B$2:$B$136,0)),Data!D617))</f>
        <v>筆記の相互行為</v>
      </c>
      <c r="E617" s="70" t="str">
        <f aca="false">IFERROR(INDEX(対訳マスタ!$C$2:$C$136,MATCH(Data!E617,対訳マスタ!$B$2:$B$136,0)),Data!E617)</f>
        <v>筆記相互行為（総合）</v>
      </c>
      <c r="F617" s="70" t="str">
        <f aca="false">Data!F617</f>
        <v>C1</v>
      </c>
      <c r="G617" s="31" t="str">
        <f aca="false">Data!G617</f>
        <v>Can express themselves with clarity and precision, relating to the addressee flexibly and effectively.</v>
      </c>
      <c r="H617" s="71" t="s">
        <v>2737</v>
      </c>
      <c r="I617" s="79" t="s">
        <v>3089</v>
      </c>
    </row>
    <row r="618" customFormat="false" ht="15" hidden="false" customHeight="true" outlineLevel="0" collapsed="false">
      <c r="A618" s="70" t="n">
        <f aca="false">Data!A618</f>
        <v>617</v>
      </c>
      <c r="B618" s="70" t="str">
        <f aca="false">IFERROR(INDEX(対訳マスタ!$C$2:$C$136,MATCH(Data!B618,対訳マスタ!$B$2:$B$136,0)),Data!B618)</f>
        <v>コミュニケーション言語活動</v>
      </c>
      <c r="C618" s="70" t="str">
        <f aca="false">IF(Data!C618="—","—",IFERROR(INDEX(対訳マスタ!$C$2:$C$136,MATCH(Data!C618,対訳マスタ!$B$2:$B$136,0)),Data!C618))</f>
        <v>相互行為</v>
      </c>
      <c r="D618" s="70" t="str">
        <f aca="false">IF(Data!D618="—","—",IFERROR(INDEX(対訳マスタ!$C$2:$C$136,MATCH(Data!D618,対訳マスタ!$B$2:$B$136,0)),Data!D618))</f>
        <v>筆記の相互行為</v>
      </c>
      <c r="E618" s="70" t="str">
        <f aca="false">IFERROR(INDEX(対訳マスタ!$C$2:$C$136,MATCH(Data!E618,対訳マスタ!$B$2:$B$136,0)),Data!E618)</f>
        <v>筆記相互行為（総合）</v>
      </c>
      <c r="F618" s="70" t="str">
        <f aca="false">Data!F618</f>
        <v>B2</v>
      </c>
      <c r="G618" s="31" t="str">
        <f aca="false">Data!G618</f>
        <v>Can express news and views effectively in writing, and relate to those of others.</v>
      </c>
      <c r="H618" s="71" t="s">
        <v>2736</v>
      </c>
      <c r="I618" s="79" t="s">
        <v>3089</v>
      </c>
    </row>
    <row r="619" customFormat="false" ht="26.25" hidden="false" customHeight="true" outlineLevel="0" collapsed="false">
      <c r="A619" s="70" t="n">
        <f aca="false">Data!A619</f>
        <v>618</v>
      </c>
      <c r="B619" s="70" t="str">
        <f aca="false">IFERROR(INDEX(対訳マスタ!$C$2:$C$136,MATCH(Data!B619,対訳マスタ!$B$2:$B$136,0)),Data!B619)</f>
        <v>コミュニケーション言語活動</v>
      </c>
      <c r="C619" s="70" t="str">
        <f aca="false">IF(Data!C619="—","—",IFERROR(INDEX(対訳マスタ!$C$2:$C$136,MATCH(Data!C619,対訳マスタ!$B$2:$B$136,0)),Data!C619))</f>
        <v>相互行為</v>
      </c>
      <c r="D619" s="70" t="str">
        <f aca="false">IF(Data!D619="—","—",IFERROR(INDEX(対訳マスタ!$C$2:$C$136,MATCH(Data!D619,対訳マスタ!$B$2:$B$136,0)),Data!D619))</f>
        <v>筆記の相互行為</v>
      </c>
      <c r="E619" s="70" t="str">
        <f aca="false">IFERROR(INDEX(対訳マスタ!$C$2:$C$136,MATCH(Data!E619,対訳マスタ!$B$2:$B$136,0)),Data!E619)</f>
        <v>筆記相互行為（総合）</v>
      </c>
      <c r="F619" s="70" t="str">
        <f aca="false">Data!F619</f>
        <v>B1+</v>
      </c>
      <c r="G619" s="31" t="str">
        <f aca="false">Data!G619</f>
        <v>Can convey information and ideas on abstract as well as concrete topics, check information, and ask about or explain problems with reasonable precision.</v>
      </c>
      <c r="H619" s="71" t="s">
        <v>2735</v>
      </c>
      <c r="I619" s="79" t="s">
        <v>3089</v>
      </c>
    </row>
    <row r="620" customFormat="false" ht="26.25" hidden="false" customHeight="true" outlineLevel="0" collapsed="false">
      <c r="A620" s="70" t="n">
        <f aca="false">Data!A620</f>
        <v>619</v>
      </c>
      <c r="B620" s="70" t="str">
        <f aca="false">IFERROR(INDEX(対訳マスタ!$C$2:$C$136,MATCH(Data!B620,対訳マスタ!$B$2:$B$136,0)),Data!B620)</f>
        <v>コミュニケーション言語活動</v>
      </c>
      <c r="C620" s="70" t="str">
        <f aca="false">IF(Data!C620="—","—",IFERROR(INDEX(対訳マスタ!$C$2:$C$136,MATCH(Data!C620,対訳マスタ!$B$2:$B$136,0)),Data!C620))</f>
        <v>相互行為</v>
      </c>
      <c r="D620" s="70" t="str">
        <f aca="false">IF(Data!D620="—","—",IFERROR(INDEX(対訳マスタ!$C$2:$C$136,MATCH(Data!D620,対訳マスタ!$B$2:$B$136,0)),Data!D620))</f>
        <v>筆記の相互行為</v>
      </c>
      <c r="E620" s="70" t="str">
        <f aca="false">IFERROR(INDEX(対訳マスタ!$C$2:$C$136,MATCH(Data!E620,対訳マスタ!$B$2:$B$136,0)),Data!E620)</f>
        <v>筆記相互行為（総合）</v>
      </c>
      <c r="F620" s="70" t="str">
        <f aca="false">Data!F620</f>
        <v>B1</v>
      </c>
      <c r="G620" s="31" t="str">
        <f aca="false">Data!G620</f>
        <v>Can compose personal letters and notes asking for or conveying simple information of immediate relevance, getting across the point they feel to be important.</v>
      </c>
      <c r="H620" s="71" t="s">
        <v>2734</v>
      </c>
      <c r="I620" s="79" t="s">
        <v>3089</v>
      </c>
    </row>
    <row r="621" customFormat="false" ht="21.75" hidden="false" customHeight="true" outlineLevel="0" collapsed="false">
      <c r="A621" s="70" t="n">
        <f aca="false">Data!A621</f>
        <v>620</v>
      </c>
      <c r="B621" s="70" t="str">
        <f aca="false">IFERROR(INDEX(対訳マスタ!$C$2:$C$136,MATCH(Data!B621,対訳マスタ!$B$2:$B$136,0)),Data!B621)</f>
        <v>コミュニケーション言語活動</v>
      </c>
      <c r="C621" s="70" t="str">
        <f aca="false">IF(Data!C621="—","—",IFERROR(INDEX(対訳マスタ!$C$2:$C$136,MATCH(Data!C621,対訳マスタ!$B$2:$B$136,0)),Data!C621))</f>
        <v>相互行為</v>
      </c>
      <c r="D621" s="70" t="str">
        <f aca="false">IF(Data!D621="—","—",IFERROR(INDEX(対訳マスタ!$C$2:$C$136,MATCH(Data!D621,対訳マスタ!$B$2:$B$136,0)),Data!D621))</f>
        <v>筆記の相互行為</v>
      </c>
      <c r="E621" s="70" t="str">
        <f aca="false">IFERROR(INDEX(対訳マスタ!$C$2:$C$136,MATCH(Data!E621,対訳マスタ!$B$2:$B$136,0)),Data!E621)</f>
        <v>筆記相互行為（総合）</v>
      </c>
      <c r="F621" s="70" t="str">
        <f aca="false">Data!F621</f>
        <v>A2</v>
      </c>
      <c r="G621" s="31" t="str">
        <f aca="false">Data!G621</f>
        <v>Can compose short, simple formulaic notes relating to matters in areas of immediate need.</v>
      </c>
      <c r="H621" s="71" t="s">
        <v>2733</v>
      </c>
      <c r="I621" s="79" t="s">
        <v>3089</v>
      </c>
    </row>
    <row r="622" customFormat="false" ht="15" hidden="false" customHeight="true" outlineLevel="0" collapsed="false">
      <c r="A622" s="70" t="n">
        <f aca="false">Data!A622</f>
        <v>621</v>
      </c>
      <c r="B622" s="70" t="str">
        <f aca="false">IFERROR(INDEX(対訳マスタ!$C$2:$C$136,MATCH(Data!B622,対訳マスタ!$B$2:$B$136,0)),Data!B622)</f>
        <v>コミュニケーション言語活動</v>
      </c>
      <c r="C622" s="70" t="str">
        <f aca="false">IF(Data!C622="—","—",IFERROR(INDEX(対訳マスタ!$C$2:$C$136,MATCH(Data!C622,対訳マスタ!$B$2:$B$136,0)),Data!C622))</f>
        <v>相互行為</v>
      </c>
      <c r="D622" s="70" t="str">
        <f aca="false">IF(Data!D622="—","—",IFERROR(INDEX(対訳マスタ!$C$2:$C$136,MATCH(Data!D622,対訳マスタ!$B$2:$B$136,0)),Data!D622))</f>
        <v>筆記の相互行為</v>
      </c>
      <c r="E622" s="70" t="str">
        <f aca="false">IFERROR(INDEX(対訳マスタ!$C$2:$C$136,MATCH(Data!E622,対訳マスタ!$B$2:$B$136,0)),Data!E622)</f>
        <v>筆記相互行為（総合）</v>
      </c>
      <c r="F622" s="70" t="str">
        <f aca="false">Data!F622</f>
        <v>A1</v>
      </c>
      <c r="G622" s="31" t="str">
        <f aca="false">Data!G622</f>
        <v>Can ask for or pass on personal details.</v>
      </c>
      <c r="H622" s="71" t="s">
        <v>2732</v>
      </c>
      <c r="I622" s="79" t="s">
        <v>3089</v>
      </c>
    </row>
    <row r="623" customFormat="false" ht="26.25" hidden="false" customHeight="true" outlineLevel="0" collapsed="false">
      <c r="A623" s="70" t="n">
        <f aca="false">Data!A623</f>
        <v>622</v>
      </c>
      <c r="B623" s="70" t="str">
        <f aca="false">IFERROR(INDEX(対訳マスタ!$C$2:$C$136,MATCH(Data!B623,対訳マスタ!$B$2:$B$136,0)),Data!B623)</f>
        <v>コミュニケーション言語活動</v>
      </c>
      <c r="C623" s="70" t="str">
        <f aca="false">IF(Data!C623="—","—",IFERROR(INDEX(対訳マスタ!$C$2:$C$136,MATCH(Data!C623,対訳マスタ!$B$2:$B$136,0)),Data!C623))</f>
        <v>相互行為</v>
      </c>
      <c r="D623" s="70" t="str">
        <f aca="false">IF(Data!D623="—","—",IFERROR(INDEX(対訳マスタ!$C$2:$C$136,MATCH(Data!D623,対訳マスタ!$B$2:$B$136,0)),Data!D623))</f>
        <v>筆記の相互行為</v>
      </c>
      <c r="E623" s="70" t="str">
        <f aca="false">IFERROR(INDEX(対訳マスタ!$C$2:$C$136,MATCH(Data!E623,対訳マスタ!$B$2:$B$136,0)),Data!E623)</f>
        <v>筆記相互行為（総合）</v>
      </c>
      <c r="F623" s="70" t="str">
        <f aca="false">Data!F623</f>
        <v>Pre-A1</v>
      </c>
      <c r="G623" s="31" t="str">
        <f aca="false">Data!G623</f>
        <v>Can convey basic information (e.g. name, address, family) in short phrases on a form or in a note, with the use of a dictionary.</v>
      </c>
      <c r="H623" s="71" t="s">
        <v>2731</v>
      </c>
      <c r="I623" s="79" t="s">
        <v>3089</v>
      </c>
    </row>
    <row r="624" customFormat="false" ht="21.75" hidden="false" customHeight="true" outlineLevel="0" collapsed="false">
      <c r="A624" s="70" t="n">
        <f aca="false">Data!A624</f>
        <v>623</v>
      </c>
      <c r="B624" s="70" t="str">
        <f aca="false">IFERROR(INDEX(対訳マスタ!$C$2:$C$136,MATCH(Data!B624,対訳マスタ!$B$2:$B$136,0)),Data!B624)</f>
        <v>コミュニケーション言語活動</v>
      </c>
      <c r="C624" s="70" t="str">
        <f aca="false">IF(Data!C624="—","—",IFERROR(INDEX(対訳マスタ!$C$2:$C$136,MATCH(Data!C624,対訳マスタ!$B$2:$B$136,0)),Data!C624))</f>
        <v>相互行為</v>
      </c>
      <c r="D624" s="70" t="str">
        <f aca="false">IF(Data!D624="—","—",IFERROR(INDEX(対訳マスタ!$C$2:$C$136,MATCH(Data!D624,対訳マスタ!$B$2:$B$136,0)),Data!D624))</f>
        <v>筆記の相互行為</v>
      </c>
      <c r="E624" s="70" t="str">
        <f aca="false">IFERROR(INDEX(対訳マスタ!$C$2:$C$136,MATCH(Data!E624,対訳マスタ!$B$2:$B$136,0)),Data!E624)</f>
        <v>手紙・メールのやりとり</v>
      </c>
      <c r="F624" s="70" t="str">
        <f aca="false">Data!F624</f>
        <v>C2</v>
      </c>
      <c r="G624" s="31" t="str">
        <f aca="false">Data!G624</f>
        <v>Can compose virtually any type of correspondence necessary in the course of their professional life in an appropriate tone and style.</v>
      </c>
      <c r="H624" s="71" t="s">
        <v>2745</v>
      </c>
      <c r="I624" s="79" t="s">
        <v>3089</v>
      </c>
    </row>
    <row r="625" customFormat="false" ht="26.25" hidden="false" customHeight="true" outlineLevel="0" collapsed="false">
      <c r="A625" s="70" t="n">
        <f aca="false">Data!A625</f>
        <v>624</v>
      </c>
      <c r="B625" s="70" t="str">
        <f aca="false">IFERROR(INDEX(対訳マスタ!$C$2:$C$136,MATCH(Data!B625,対訳マスタ!$B$2:$B$136,0)),Data!B625)</f>
        <v>コミュニケーション言語活動</v>
      </c>
      <c r="C625" s="70" t="str">
        <f aca="false">IF(Data!C625="—","—",IFERROR(INDEX(対訳マスタ!$C$2:$C$136,MATCH(Data!C625,対訳マスタ!$B$2:$B$136,0)),Data!C625))</f>
        <v>相互行為</v>
      </c>
      <c r="D625" s="70" t="str">
        <f aca="false">IF(Data!D625="—","—",IFERROR(INDEX(対訳マスタ!$C$2:$C$136,MATCH(Data!D625,対訳マスタ!$B$2:$B$136,0)),Data!D625))</f>
        <v>筆記の相互行為</v>
      </c>
      <c r="E625" s="70" t="str">
        <f aca="false">IFERROR(INDEX(対訳マスタ!$C$2:$C$136,MATCH(Data!E625,対訳マスタ!$B$2:$B$136,0)),Data!E625)</f>
        <v>手紙・メールのやりとり</v>
      </c>
      <c r="F625" s="70" t="str">
        <f aca="false">Data!F625</f>
        <v>C1</v>
      </c>
      <c r="G625" s="31" t="str">
        <f aca="false">Data!G625</f>
        <v>Can express themselves with clarity and precision in personal correspondence, using language flexibly and effectively, including emotional, allusive and joking usage.</v>
      </c>
      <c r="H625" s="71" t="s">
        <v>2744</v>
      </c>
      <c r="I625" s="79" t="s">
        <v>3089</v>
      </c>
    </row>
    <row r="626" customFormat="false" ht="32.25" hidden="false" customHeight="true" outlineLevel="0" collapsed="false">
      <c r="A626" s="70" t="n">
        <f aca="false">Data!A626</f>
        <v>625</v>
      </c>
      <c r="B626" s="70" t="str">
        <f aca="false">IFERROR(INDEX(対訳マスタ!$C$2:$C$136,MATCH(Data!B626,対訳マスタ!$B$2:$B$136,0)),Data!B626)</f>
        <v>コミュニケーション言語活動</v>
      </c>
      <c r="C626" s="70" t="str">
        <f aca="false">IF(Data!C626="—","—",IFERROR(INDEX(対訳マスタ!$C$2:$C$136,MATCH(Data!C626,対訳マスタ!$B$2:$B$136,0)),Data!C626))</f>
        <v>相互行為</v>
      </c>
      <c r="D626" s="70" t="str">
        <f aca="false">IF(Data!D626="—","—",IFERROR(INDEX(対訳マスタ!$C$2:$C$136,MATCH(Data!D626,対訳マスタ!$B$2:$B$136,0)),Data!D626))</f>
        <v>筆記の相互行為</v>
      </c>
      <c r="E626" s="70" t="str">
        <f aca="false">IFERROR(INDEX(対訳マスタ!$C$2:$C$136,MATCH(Data!E626,対訳マスタ!$B$2:$B$136,0)),Data!E626)</f>
        <v>手紙・メールのやりとり</v>
      </c>
      <c r="F626" s="70" t="str">
        <f aca="false">Data!F626</f>
        <v>C1</v>
      </c>
      <c r="G626" s="31" t="str">
        <f aca="false">Data!G626</f>
        <v>Can, with good expression and accuracy, compose formal correspondence such as letters of clarification, application, recommendation, reference, complaint, sympathy and condolence.</v>
      </c>
      <c r="H626" s="71" t="s">
        <v>76</v>
      </c>
      <c r="I626" s="79" t="s">
        <v>3089</v>
      </c>
    </row>
    <row r="627" customFormat="false" ht="32.25" hidden="false" customHeight="true" outlineLevel="0" collapsed="false">
      <c r="A627" s="70" t="n">
        <f aca="false">Data!A627</f>
        <v>626</v>
      </c>
      <c r="B627" s="70" t="str">
        <f aca="false">IFERROR(INDEX(対訳マスタ!$C$2:$C$136,MATCH(Data!B627,対訳マスタ!$B$2:$B$136,0)),Data!B627)</f>
        <v>コミュニケーション言語活動</v>
      </c>
      <c r="C627" s="70" t="str">
        <f aca="false">IF(Data!C627="—","—",IFERROR(INDEX(対訳マスタ!$C$2:$C$136,MATCH(Data!C627,対訳マスタ!$B$2:$B$136,0)),Data!C627))</f>
        <v>相互行為</v>
      </c>
      <c r="D627" s="70" t="str">
        <f aca="false">IF(Data!D627="—","—",IFERROR(INDEX(対訳マスタ!$C$2:$C$136,MATCH(Data!D627,対訳マスタ!$B$2:$B$136,0)),Data!D627))</f>
        <v>筆記の相互行為</v>
      </c>
      <c r="E627" s="70" t="str">
        <f aca="false">IFERROR(INDEX(対訳マスタ!$C$2:$C$136,MATCH(Data!E627,対訳マスタ!$B$2:$B$136,0)),Data!E627)</f>
        <v>手紙・メールのやりとり</v>
      </c>
      <c r="F627" s="70" t="str">
        <f aca="false">Data!F627</f>
        <v>B2+</v>
      </c>
      <c r="G627" s="31" t="str">
        <f aca="false">Data!G627</f>
        <v>Can maintain a relationship through personal correspondence using the language fluently and effectively to give detailed descriptions of experiences, pose sympathetic questions and follow up issues of mutual interest.</v>
      </c>
      <c r="H627" s="71" t="s">
        <v>3355</v>
      </c>
      <c r="I627" s="79" t="s">
        <v>3089</v>
      </c>
    </row>
    <row r="628" customFormat="false" ht="32.25" hidden="false" customHeight="true" outlineLevel="0" collapsed="false">
      <c r="A628" s="70" t="n">
        <f aca="false">Data!A628</f>
        <v>627</v>
      </c>
      <c r="B628" s="70" t="str">
        <f aca="false">IFERROR(INDEX(対訳マスタ!$C$2:$C$136,MATCH(Data!B628,対訳マスタ!$B$2:$B$136,0)),Data!B628)</f>
        <v>コミュニケーション言語活動</v>
      </c>
      <c r="C628" s="70" t="str">
        <f aca="false">IF(Data!C628="—","—",IFERROR(INDEX(対訳マスタ!$C$2:$C$136,MATCH(Data!C628,対訳マスタ!$B$2:$B$136,0)),Data!C628))</f>
        <v>相互行為</v>
      </c>
      <c r="D628" s="70" t="str">
        <f aca="false">IF(Data!D628="—","—",IFERROR(INDEX(対訳マスタ!$C$2:$C$136,MATCH(Data!D628,対訳マスタ!$B$2:$B$136,0)),Data!D628))</f>
        <v>筆記の相互行為</v>
      </c>
      <c r="E628" s="70" t="str">
        <f aca="false">IFERROR(INDEX(対訳マスタ!$C$2:$C$136,MATCH(Data!E628,対訳マスタ!$B$2:$B$136,0)),Data!E628)</f>
        <v>手紙・メールのやりとり</v>
      </c>
      <c r="F628" s="70" t="str">
        <f aca="false">Data!F628</f>
        <v>B2+</v>
      </c>
      <c r="G628" s="31" t="str">
        <f aca="false">Data!G628</f>
        <v>Can in most cases understand idiomatic expressions and colloquialisms in correspondence and other communications and use the most common ones themselves as appropriate to the situation.</v>
      </c>
      <c r="H628" s="71" t="s">
        <v>3356</v>
      </c>
      <c r="I628" s="79" t="s">
        <v>3089</v>
      </c>
    </row>
    <row r="629" customFormat="false" ht="21.75" hidden="false" customHeight="true" outlineLevel="0" collapsed="false">
      <c r="A629" s="70" t="n">
        <f aca="false">Data!A629</f>
        <v>628</v>
      </c>
      <c r="B629" s="70" t="str">
        <f aca="false">IFERROR(INDEX(対訳マスタ!$C$2:$C$136,MATCH(Data!B629,対訳マスタ!$B$2:$B$136,0)),Data!B629)</f>
        <v>コミュニケーション言語活動</v>
      </c>
      <c r="C629" s="70" t="str">
        <f aca="false">IF(Data!C629="—","—",IFERROR(INDEX(対訳マスタ!$C$2:$C$136,MATCH(Data!C629,対訳マスタ!$B$2:$B$136,0)),Data!C629))</f>
        <v>相互行為</v>
      </c>
      <c r="D629" s="70" t="str">
        <f aca="false">IF(Data!D629="—","—",IFERROR(INDEX(対訳マスタ!$C$2:$C$136,MATCH(Data!D629,対訳マスタ!$B$2:$B$136,0)),Data!D629))</f>
        <v>筆記の相互行為</v>
      </c>
      <c r="E629" s="70" t="str">
        <f aca="false">IFERROR(INDEX(対訳マスタ!$C$2:$C$136,MATCH(Data!E629,対訳マスタ!$B$2:$B$136,0)),Data!E629)</f>
        <v>手紙・メールのやりとり</v>
      </c>
      <c r="F629" s="70" t="str">
        <f aca="false">Data!F629</f>
        <v>B2+</v>
      </c>
      <c r="G629" s="31" t="str">
        <f aca="false">Data!G629</f>
        <v>Can compose formal correspondence such as letters of enquiry, request, application and complaint using appropriate register, structure and conventions.</v>
      </c>
      <c r="H629" s="71" t="s">
        <v>68</v>
      </c>
      <c r="I629" s="79" t="s">
        <v>3089</v>
      </c>
    </row>
    <row r="630" customFormat="false" ht="21.75" hidden="false" customHeight="true" outlineLevel="0" collapsed="false">
      <c r="A630" s="70" t="n">
        <f aca="false">Data!A630</f>
        <v>629</v>
      </c>
      <c r="B630" s="70" t="str">
        <f aca="false">IFERROR(INDEX(対訳マスタ!$C$2:$C$136,MATCH(Data!B630,対訳マスタ!$B$2:$B$136,0)),Data!B630)</f>
        <v>コミュニケーション言語活動</v>
      </c>
      <c r="C630" s="70" t="str">
        <f aca="false">IF(Data!C630="—","—",IFERROR(INDEX(対訳マスタ!$C$2:$C$136,MATCH(Data!C630,対訳マスタ!$B$2:$B$136,0)),Data!C630))</f>
        <v>相互行為</v>
      </c>
      <c r="D630" s="70" t="str">
        <f aca="false">IF(Data!D630="—","—",IFERROR(INDEX(対訳マスタ!$C$2:$C$136,MATCH(Data!D630,対訳マスタ!$B$2:$B$136,0)),Data!D630))</f>
        <v>筆記の相互行為</v>
      </c>
      <c r="E630" s="70" t="str">
        <f aca="false">IFERROR(INDEX(対訳マスタ!$C$2:$C$136,MATCH(Data!E630,対訳マスタ!$B$2:$B$136,0)),Data!E630)</f>
        <v>手紙・メールのやりとり</v>
      </c>
      <c r="F630" s="70" t="str">
        <f aca="false">Data!F630</f>
        <v>B2+</v>
      </c>
      <c r="G630" s="31" t="str">
        <f aca="false">Data!G630</f>
        <v>Can compose a forceful but polite letter of complaint, including supporting details and a statement of the desired outcome.</v>
      </c>
      <c r="H630" s="71" t="s">
        <v>61</v>
      </c>
      <c r="I630" s="79" t="s">
        <v>3089</v>
      </c>
    </row>
    <row r="631" customFormat="false" ht="32.25" hidden="false" customHeight="true" outlineLevel="0" collapsed="false">
      <c r="A631" s="70" t="n">
        <f aca="false">Data!A631</f>
        <v>630</v>
      </c>
      <c r="B631" s="70" t="str">
        <f aca="false">IFERROR(INDEX(対訳マスタ!$C$2:$C$136,MATCH(Data!B631,対訳マスタ!$B$2:$B$136,0)),Data!B631)</f>
        <v>コミュニケーション言語活動</v>
      </c>
      <c r="C631" s="70" t="str">
        <f aca="false">IF(Data!C631="—","—",IFERROR(INDEX(対訳マスタ!$C$2:$C$136,MATCH(Data!C631,対訳マスタ!$B$2:$B$136,0)),Data!C631))</f>
        <v>相互行為</v>
      </c>
      <c r="D631" s="70" t="str">
        <f aca="false">IF(Data!D631="—","—",IFERROR(INDEX(対訳マスタ!$C$2:$C$136,MATCH(Data!D631,対訳マスタ!$B$2:$B$136,0)),Data!D631))</f>
        <v>筆記の相互行為</v>
      </c>
      <c r="E631" s="70" t="str">
        <f aca="false">IFERROR(INDEX(対訳マスタ!$C$2:$C$136,MATCH(Data!E631,対訳マスタ!$B$2:$B$136,0)),Data!E631)</f>
        <v>手紙・メールのやりとり</v>
      </c>
      <c r="F631" s="70" t="str">
        <f aca="false">Data!F631</f>
        <v>B2</v>
      </c>
      <c r="G631" s="31" t="str">
        <f aca="false">Data!G631</f>
        <v>Can compose letters conveying degrees of emotion and highlighting the personal significance of events and experiences and commenting on the correspondent’s news and views.</v>
      </c>
      <c r="H631" s="71" t="s">
        <v>3357</v>
      </c>
      <c r="I631" s="79" t="s">
        <v>3089</v>
      </c>
    </row>
    <row r="632" customFormat="false" ht="21.75" hidden="false" customHeight="true" outlineLevel="0" collapsed="false">
      <c r="A632" s="70" t="n">
        <f aca="false">Data!A632</f>
        <v>631</v>
      </c>
      <c r="B632" s="70" t="str">
        <f aca="false">IFERROR(INDEX(対訳マスタ!$C$2:$C$136,MATCH(Data!B632,対訳マスタ!$B$2:$B$136,0)),Data!B632)</f>
        <v>コミュニケーション言語活動</v>
      </c>
      <c r="C632" s="70" t="str">
        <f aca="false">IF(Data!C632="—","—",IFERROR(INDEX(対訳マスタ!$C$2:$C$136,MATCH(Data!C632,対訳マスタ!$B$2:$B$136,0)),Data!C632))</f>
        <v>相互行為</v>
      </c>
      <c r="D632" s="70" t="str">
        <f aca="false">IF(Data!D632="—","—",IFERROR(INDEX(対訳マスタ!$C$2:$C$136,MATCH(Data!D632,対訳マスタ!$B$2:$B$136,0)),Data!D632))</f>
        <v>筆記の相互行為</v>
      </c>
      <c r="E632" s="70" t="str">
        <f aca="false">IFERROR(INDEX(対訳マスタ!$C$2:$C$136,MATCH(Data!E632,対訳マスタ!$B$2:$B$136,0)),Data!E632)</f>
        <v>手紙・メールのやりとり</v>
      </c>
      <c r="F632" s="70" t="str">
        <f aca="false">Data!F632</f>
        <v>B2</v>
      </c>
      <c r="G632" s="31" t="str">
        <f aca="false">Data!G632</f>
        <v>Can use formality and conventions appropriate to the context when writing personal and professional letters and e-mails.</v>
      </c>
      <c r="H632" s="71" t="s">
        <v>3358</v>
      </c>
      <c r="I632" s="79" t="s">
        <v>3089</v>
      </c>
    </row>
    <row r="633" customFormat="false" ht="21.75" hidden="false" customHeight="true" outlineLevel="0" collapsed="false">
      <c r="A633" s="70" t="n">
        <f aca="false">Data!A633</f>
        <v>632</v>
      </c>
      <c r="B633" s="70" t="str">
        <f aca="false">IFERROR(INDEX(対訳マスタ!$C$2:$C$136,MATCH(Data!B633,対訳マスタ!$B$2:$B$136,0)),Data!B633)</f>
        <v>コミュニケーション言語活動</v>
      </c>
      <c r="C633" s="70" t="str">
        <f aca="false">IF(Data!C633="—","—",IFERROR(INDEX(対訳マスタ!$C$2:$C$136,MATCH(Data!C633,対訳マスタ!$B$2:$B$136,0)),Data!C633))</f>
        <v>相互行為</v>
      </c>
      <c r="D633" s="70" t="str">
        <f aca="false">IF(Data!D633="—","—",IFERROR(INDEX(対訳マスタ!$C$2:$C$136,MATCH(Data!D633,対訳マスタ!$B$2:$B$136,0)),Data!D633))</f>
        <v>筆記の相互行為</v>
      </c>
      <c r="E633" s="70" t="str">
        <f aca="false">IFERROR(INDEX(対訳マスタ!$C$2:$C$136,MATCH(Data!E633,対訳マスタ!$B$2:$B$136,0)),Data!E633)</f>
        <v>手紙・メールのやりとり</v>
      </c>
      <c r="F633" s="70" t="str">
        <f aca="false">Data!F633</f>
        <v>B2</v>
      </c>
      <c r="G633" s="31" t="str">
        <f aca="false">Data!G633</f>
        <v>Can compose formal e-mails/letters of invitation, thanks or apology using appropriate registers and conventions.</v>
      </c>
      <c r="H633" s="71" t="s">
        <v>2743</v>
      </c>
      <c r="I633" s="79" t="s">
        <v>3089</v>
      </c>
    </row>
    <row r="634" customFormat="false" ht="21.75" hidden="false" customHeight="true" outlineLevel="0" collapsed="false">
      <c r="A634" s="70" t="n">
        <f aca="false">Data!A634</f>
        <v>633</v>
      </c>
      <c r="B634" s="70" t="str">
        <f aca="false">IFERROR(INDEX(対訳マスタ!$C$2:$C$136,MATCH(Data!B634,対訳マスタ!$B$2:$B$136,0)),Data!B634)</f>
        <v>コミュニケーション言語活動</v>
      </c>
      <c r="C634" s="70" t="str">
        <f aca="false">IF(Data!C634="—","—",IFERROR(INDEX(対訳マスタ!$C$2:$C$136,MATCH(Data!C634,対訳マスタ!$B$2:$B$136,0)),Data!C634))</f>
        <v>相互行為</v>
      </c>
      <c r="D634" s="70" t="str">
        <f aca="false">IF(Data!D634="—","—",IFERROR(INDEX(対訳マスタ!$C$2:$C$136,MATCH(Data!D634,対訳マスタ!$B$2:$B$136,0)),Data!D634))</f>
        <v>筆記の相互行為</v>
      </c>
      <c r="E634" s="70" t="str">
        <f aca="false">IFERROR(INDEX(対訳マスタ!$C$2:$C$136,MATCH(Data!E634,対訳マスタ!$B$2:$B$136,0)),Data!E634)</f>
        <v>手紙・メールのやりとり</v>
      </c>
      <c r="F634" s="70" t="str">
        <f aca="false">Data!F634</f>
        <v>B2</v>
      </c>
      <c r="G634" s="31" t="str">
        <f aca="false">Data!G634</f>
        <v>Can compose non-routine professional letters, using appropriate structure and conventions, provided these are restricted to matters of fact.</v>
      </c>
      <c r="H634" s="71" t="s">
        <v>3359</v>
      </c>
      <c r="I634" s="79" t="s">
        <v>3089</v>
      </c>
    </row>
    <row r="635" customFormat="false" ht="21.75" hidden="false" customHeight="true" outlineLevel="0" collapsed="false">
      <c r="A635" s="70" t="n">
        <f aca="false">Data!A635</f>
        <v>634</v>
      </c>
      <c r="B635" s="70" t="str">
        <f aca="false">IFERROR(INDEX(対訳マスタ!$C$2:$C$136,MATCH(Data!B635,対訳マスタ!$B$2:$B$136,0)),Data!B635)</f>
        <v>コミュニケーション言語活動</v>
      </c>
      <c r="C635" s="70" t="str">
        <f aca="false">IF(Data!C635="—","—",IFERROR(INDEX(対訳マスタ!$C$2:$C$136,MATCH(Data!C635,対訳マスタ!$B$2:$B$136,0)),Data!C635))</f>
        <v>相互行為</v>
      </c>
      <c r="D635" s="70" t="str">
        <f aca="false">IF(Data!D635="—","—",IFERROR(INDEX(対訳マスタ!$C$2:$C$136,MATCH(Data!D635,対訳マスタ!$B$2:$B$136,0)),Data!D635))</f>
        <v>筆記の相互行為</v>
      </c>
      <c r="E635" s="70" t="str">
        <f aca="false">IFERROR(INDEX(対訳マスタ!$C$2:$C$136,MATCH(Data!E635,対訳マスタ!$B$2:$B$136,0)),Data!E635)</f>
        <v>手紙・メールのやりとり</v>
      </c>
      <c r="F635" s="70" t="str">
        <f aca="false">Data!F635</f>
        <v>B2</v>
      </c>
      <c r="G635" s="31" t="str">
        <f aca="false">Data!G635</f>
        <v>Can obtain, by letter or e-mail, information required for a particular purpose, collate it and forward it by e-mail to other people.</v>
      </c>
      <c r="H635" s="71" t="s">
        <v>3360</v>
      </c>
      <c r="I635" s="79" t="s">
        <v>3089</v>
      </c>
    </row>
    <row r="636" customFormat="false" ht="21.75" hidden="false" customHeight="true" outlineLevel="0" collapsed="false">
      <c r="A636" s="70" t="n">
        <f aca="false">Data!A636</f>
        <v>635</v>
      </c>
      <c r="B636" s="70" t="str">
        <f aca="false">IFERROR(INDEX(対訳マスタ!$C$2:$C$136,MATCH(Data!B636,対訳マスタ!$B$2:$B$136,0)),Data!B636)</f>
        <v>コミュニケーション言語活動</v>
      </c>
      <c r="C636" s="70" t="str">
        <f aca="false">IF(Data!C636="—","—",IFERROR(INDEX(対訳マスタ!$C$2:$C$136,MATCH(Data!C636,対訳マスタ!$B$2:$B$136,0)),Data!C636))</f>
        <v>相互行為</v>
      </c>
      <c r="D636" s="70" t="str">
        <f aca="false">IF(Data!D636="—","—",IFERROR(INDEX(対訳マスタ!$C$2:$C$136,MATCH(Data!D636,対訳マスタ!$B$2:$B$136,0)),Data!D636))</f>
        <v>筆記の相互行為</v>
      </c>
      <c r="E636" s="70" t="str">
        <f aca="false">IFERROR(INDEX(対訳マスタ!$C$2:$C$136,MATCH(Data!E636,対訳マスタ!$B$2:$B$136,0)),Data!E636)</f>
        <v>手紙・メールのやりとり</v>
      </c>
      <c r="F636" s="70" t="str">
        <f aca="false">Data!F636</f>
        <v>B1+</v>
      </c>
      <c r="G636" s="31" t="str">
        <f aca="false">Data!G636</f>
        <v>Can compose personal letters giving news and expressing thoughts about abstract or cultural topics such as music or film.</v>
      </c>
      <c r="H636" s="71" t="s">
        <v>3361</v>
      </c>
      <c r="I636" s="79" t="s">
        <v>3089</v>
      </c>
    </row>
    <row r="637" customFormat="false" ht="21.75" hidden="false" customHeight="true" outlineLevel="0" collapsed="false">
      <c r="A637" s="70" t="n">
        <f aca="false">Data!A637</f>
        <v>636</v>
      </c>
      <c r="B637" s="70" t="str">
        <f aca="false">IFERROR(INDEX(対訳マスタ!$C$2:$C$136,MATCH(Data!B637,対訳マスタ!$B$2:$B$136,0)),Data!B637)</f>
        <v>コミュニケーション言語活動</v>
      </c>
      <c r="C637" s="70" t="str">
        <f aca="false">IF(Data!C637="—","—",IFERROR(INDEX(対訳マスタ!$C$2:$C$136,MATCH(Data!C637,対訳マスタ!$B$2:$B$136,0)),Data!C637))</f>
        <v>相互行為</v>
      </c>
      <c r="D637" s="70" t="str">
        <f aca="false">IF(Data!D637="—","—",IFERROR(INDEX(対訳マスタ!$C$2:$C$136,MATCH(Data!D637,対訳マスタ!$B$2:$B$136,0)),Data!D637))</f>
        <v>筆記の相互行為</v>
      </c>
      <c r="E637" s="70" t="str">
        <f aca="false">IFERROR(INDEX(対訳マスタ!$C$2:$C$136,MATCH(Data!E637,対訳マスタ!$B$2:$B$136,0)),Data!E637)</f>
        <v>手紙・メールのやりとり</v>
      </c>
      <c r="F637" s="70" t="str">
        <f aca="false">Data!F637</f>
        <v>B1+</v>
      </c>
      <c r="G637" s="31" t="str">
        <f aca="false">Data!G637</f>
        <v>Can compose letters expressing different opinions and giving detailed accounts of personal feelings and experiences.</v>
      </c>
      <c r="H637" s="71" t="s">
        <v>3362</v>
      </c>
      <c r="I637" s="79" t="s">
        <v>3089</v>
      </c>
    </row>
    <row r="638" customFormat="false" ht="21.75" hidden="false" customHeight="true" outlineLevel="0" collapsed="false">
      <c r="A638" s="70" t="n">
        <f aca="false">Data!A638</f>
        <v>637</v>
      </c>
      <c r="B638" s="70" t="str">
        <f aca="false">IFERROR(INDEX(対訳マスタ!$C$2:$C$136,MATCH(Data!B638,対訳マスタ!$B$2:$B$136,0)),Data!B638)</f>
        <v>コミュニケーション言語活動</v>
      </c>
      <c r="C638" s="70" t="str">
        <f aca="false">IF(Data!C638="—","—",IFERROR(INDEX(対訳マスタ!$C$2:$C$136,MATCH(Data!C638,対訳マスタ!$B$2:$B$136,0)),Data!C638))</f>
        <v>相互行為</v>
      </c>
      <c r="D638" s="70" t="str">
        <f aca="false">IF(Data!D638="—","—",IFERROR(INDEX(対訳マスタ!$C$2:$C$136,MATCH(Data!D638,対訳マスタ!$B$2:$B$136,0)),Data!D638))</f>
        <v>筆記の相互行為</v>
      </c>
      <c r="E638" s="70" t="str">
        <f aca="false">IFERROR(INDEX(対訳マスタ!$C$2:$C$136,MATCH(Data!E638,対訳マスタ!$B$2:$B$136,0)),Data!E638)</f>
        <v>手紙・メールのやりとり</v>
      </c>
      <c r="F638" s="70" t="str">
        <f aca="false">Data!F638</f>
        <v>B1+</v>
      </c>
      <c r="G638" s="31" t="str">
        <f aca="false">Data!G638</f>
        <v>Can reply to an advertisement in writing and ask for further information on items that interest them.</v>
      </c>
      <c r="H638" s="71" t="s">
        <v>3363</v>
      </c>
      <c r="I638" s="79" t="s">
        <v>3089</v>
      </c>
    </row>
    <row r="639" customFormat="false" ht="15" hidden="false" customHeight="true" outlineLevel="0" collapsed="false">
      <c r="A639" s="70" t="n">
        <f aca="false">Data!A639</f>
        <v>638</v>
      </c>
      <c r="B639" s="70" t="str">
        <f aca="false">IFERROR(INDEX(対訳マスタ!$C$2:$C$136,MATCH(Data!B639,対訳マスタ!$B$2:$B$136,0)),Data!B639)</f>
        <v>コミュニケーション言語活動</v>
      </c>
      <c r="C639" s="70" t="str">
        <f aca="false">IF(Data!C639="—","—",IFERROR(INDEX(対訳マスタ!$C$2:$C$136,MATCH(Data!C639,対訳マスタ!$B$2:$B$136,0)),Data!C639))</f>
        <v>相互行為</v>
      </c>
      <c r="D639" s="70" t="str">
        <f aca="false">IF(Data!D639="—","—",IFERROR(INDEX(対訳マスタ!$C$2:$C$136,MATCH(Data!D639,対訳マスタ!$B$2:$B$136,0)),Data!D639))</f>
        <v>筆記の相互行為</v>
      </c>
      <c r="E639" s="70" t="str">
        <f aca="false">IFERROR(INDEX(対訳マスタ!$C$2:$C$136,MATCH(Data!E639,対訳マスタ!$B$2:$B$136,0)),Data!E639)</f>
        <v>手紙・メールのやりとり</v>
      </c>
      <c r="F639" s="70" t="str">
        <f aca="false">Data!F639</f>
        <v>B1+</v>
      </c>
      <c r="G639" s="31" t="str">
        <f aca="false">Data!G639</f>
        <v>Can compose basic formal e-mails/letters (e.g. to make a complaint and request action).</v>
      </c>
      <c r="H639" s="71" t="s">
        <v>54</v>
      </c>
      <c r="I639" s="79" t="s">
        <v>3089</v>
      </c>
    </row>
    <row r="640" customFormat="false" ht="21.75" hidden="false" customHeight="true" outlineLevel="0" collapsed="false">
      <c r="A640" s="70" t="n">
        <f aca="false">Data!A640</f>
        <v>639</v>
      </c>
      <c r="B640" s="70" t="str">
        <f aca="false">IFERROR(INDEX(対訳マスタ!$C$2:$C$136,MATCH(Data!B640,対訳マスタ!$B$2:$B$136,0)),Data!B640)</f>
        <v>コミュニケーション言語活動</v>
      </c>
      <c r="C640" s="70" t="str">
        <f aca="false">IF(Data!C640="—","—",IFERROR(INDEX(対訳マスタ!$C$2:$C$136,MATCH(Data!C640,対訳マスタ!$B$2:$B$136,0)),Data!C640))</f>
        <v>相互行為</v>
      </c>
      <c r="D640" s="70" t="str">
        <f aca="false">IF(Data!D640="—","—",IFERROR(INDEX(対訳マスタ!$C$2:$C$136,MATCH(Data!D640,対訳マスタ!$B$2:$B$136,0)),Data!D640))</f>
        <v>筆記の相互行為</v>
      </c>
      <c r="E640" s="70" t="str">
        <f aca="false">IFERROR(INDEX(対訳マスタ!$C$2:$C$136,MATCH(Data!E640,対訳マスタ!$B$2:$B$136,0)),Data!E640)</f>
        <v>手紙・メールのやりとり</v>
      </c>
      <c r="F640" s="70" t="str">
        <f aca="false">Data!F640</f>
        <v>B1</v>
      </c>
      <c r="G640" s="31" t="str">
        <f aca="false">Data!G640</f>
        <v>Can compose personal letters describing experiences, feelings and events in some detail.</v>
      </c>
      <c r="H640" s="71" t="s">
        <v>3364</v>
      </c>
      <c r="I640" s="79" t="s">
        <v>3089</v>
      </c>
    </row>
    <row r="641" customFormat="false" ht="21.75" hidden="false" customHeight="true" outlineLevel="0" collapsed="false">
      <c r="A641" s="70" t="n">
        <f aca="false">Data!A641</f>
        <v>640</v>
      </c>
      <c r="B641" s="70" t="str">
        <f aca="false">IFERROR(INDEX(対訳マスタ!$C$2:$C$136,MATCH(Data!B641,対訳マスタ!$B$2:$B$136,0)),Data!B641)</f>
        <v>コミュニケーション言語活動</v>
      </c>
      <c r="C641" s="70" t="str">
        <f aca="false">IF(Data!C641="—","—",IFERROR(INDEX(対訳マスタ!$C$2:$C$136,MATCH(Data!C641,対訳マスタ!$B$2:$B$136,0)),Data!C641))</f>
        <v>相互行為</v>
      </c>
      <c r="D641" s="70" t="str">
        <f aca="false">IF(Data!D641="—","—",IFERROR(INDEX(対訳マスタ!$C$2:$C$136,MATCH(Data!D641,対訳マスタ!$B$2:$B$136,0)),Data!D641))</f>
        <v>筆記の相互行為</v>
      </c>
      <c r="E641" s="70" t="str">
        <f aca="false">IFERROR(INDEX(対訳マスタ!$C$2:$C$136,MATCH(Data!E641,対訳マスタ!$B$2:$B$136,0)),Data!E641)</f>
        <v>手紙・メールのやりとり</v>
      </c>
      <c r="F641" s="70" t="str">
        <f aca="false">Data!F641</f>
        <v>B1</v>
      </c>
      <c r="G641" s="31" t="str">
        <f aca="false">Data!G641</f>
        <v>Can compose basic e-mails/letters of a factual nature (e.g. to request information or to ask for and give confirmation).</v>
      </c>
      <c r="H641" s="71" t="s">
        <v>3365</v>
      </c>
      <c r="I641" s="79" t="s">
        <v>3089</v>
      </c>
    </row>
    <row r="642" customFormat="false" ht="15" hidden="false" customHeight="true" outlineLevel="0" collapsed="false">
      <c r="A642" s="70" t="n">
        <f aca="false">Data!A642</f>
        <v>641</v>
      </c>
      <c r="B642" s="70" t="str">
        <f aca="false">IFERROR(INDEX(対訳マスタ!$C$2:$C$136,MATCH(Data!B642,対訳マスタ!$B$2:$B$136,0)),Data!B642)</f>
        <v>コミュニケーション言語活動</v>
      </c>
      <c r="C642" s="70" t="str">
        <f aca="false">IF(Data!C642="—","—",IFERROR(INDEX(対訳マスタ!$C$2:$C$136,MATCH(Data!C642,対訳マスタ!$B$2:$B$136,0)),Data!C642))</f>
        <v>相互行為</v>
      </c>
      <c r="D642" s="70" t="str">
        <f aca="false">IF(Data!D642="—","—",IFERROR(INDEX(対訳マスタ!$C$2:$C$136,MATCH(Data!D642,対訳マスタ!$B$2:$B$136,0)),Data!D642))</f>
        <v>筆記の相互行為</v>
      </c>
      <c r="E642" s="70" t="str">
        <f aca="false">IFERROR(INDEX(対訳マスタ!$C$2:$C$136,MATCH(Data!E642,対訳マスタ!$B$2:$B$136,0)),Data!E642)</f>
        <v>手紙・メールのやりとり</v>
      </c>
      <c r="F642" s="70" t="str">
        <f aca="false">Data!F642</f>
        <v>B1</v>
      </c>
      <c r="G642" s="31" t="str">
        <f aca="false">Data!G642</f>
        <v>Can compose a basic letter of application with limited supporting details.</v>
      </c>
      <c r="H642" s="71" t="s">
        <v>2742</v>
      </c>
      <c r="I642" s="79" t="s">
        <v>3089</v>
      </c>
    </row>
    <row r="643" customFormat="false" ht="26.25" hidden="false" customHeight="true" outlineLevel="0" collapsed="false">
      <c r="A643" s="70" t="n">
        <f aca="false">Data!A643</f>
        <v>642</v>
      </c>
      <c r="B643" s="70" t="str">
        <f aca="false">IFERROR(INDEX(対訳マスタ!$C$2:$C$136,MATCH(Data!B643,対訳マスタ!$B$2:$B$136,0)),Data!B643)</f>
        <v>コミュニケーション言語活動</v>
      </c>
      <c r="C643" s="70" t="str">
        <f aca="false">IF(Data!C643="—","—",IFERROR(INDEX(対訳マスタ!$C$2:$C$136,MATCH(Data!C643,対訳マスタ!$B$2:$B$136,0)),Data!C643))</f>
        <v>相互行為</v>
      </c>
      <c r="D643" s="70" t="str">
        <f aca="false">IF(Data!D643="—","—",IFERROR(INDEX(対訳マスタ!$C$2:$C$136,MATCH(Data!D643,対訳マスタ!$B$2:$B$136,0)),Data!D643))</f>
        <v>筆記の相互行為</v>
      </c>
      <c r="E643" s="70" t="str">
        <f aca="false">IFERROR(INDEX(対訳マスタ!$C$2:$C$136,MATCH(Data!E643,対訳マスタ!$B$2:$B$136,0)),Data!E643)</f>
        <v>手紙・メールのやりとり</v>
      </c>
      <c r="F643" s="70" t="str">
        <f aca="false">Data!F643</f>
        <v>A2+</v>
      </c>
      <c r="G643" s="31" t="str">
        <f aca="false">Data!G643</f>
        <v>Can exchange information by text message, by e-mail or in short letters, responding to questions from the other person (e.g. about a new product or activity).</v>
      </c>
      <c r="H643" s="71" t="s">
        <v>2741</v>
      </c>
      <c r="I643" s="79" t="s">
        <v>3089</v>
      </c>
    </row>
    <row r="644" customFormat="false" ht="21.75" hidden="false" customHeight="true" outlineLevel="0" collapsed="false">
      <c r="A644" s="70" t="n">
        <f aca="false">Data!A644</f>
        <v>643</v>
      </c>
      <c r="B644" s="70" t="str">
        <f aca="false">IFERROR(INDEX(対訳マスタ!$C$2:$C$136,MATCH(Data!B644,対訳マスタ!$B$2:$B$136,0)),Data!B644)</f>
        <v>コミュニケーション言語活動</v>
      </c>
      <c r="C644" s="70" t="str">
        <f aca="false">IF(Data!C644="—","—",IFERROR(INDEX(対訳マスタ!$C$2:$C$136,MATCH(Data!C644,対訳マスタ!$B$2:$B$136,0)),Data!C644))</f>
        <v>相互行為</v>
      </c>
      <c r="D644" s="70" t="str">
        <f aca="false">IF(Data!D644="—","—",IFERROR(INDEX(対訳マスタ!$C$2:$C$136,MATCH(Data!D644,対訳マスタ!$B$2:$B$136,0)),Data!D644))</f>
        <v>筆記の相互行為</v>
      </c>
      <c r="E644" s="70" t="str">
        <f aca="false">IFERROR(INDEX(対訳マスタ!$C$2:$C$136,MATCH(Data!E644,対訳マスタ!$B$2:$B$136,0)),Data!E644)</f>
        <v>手紙・メールのやりとり</v>
      </c>
      <c r="F644" s="70" t="str">
        <f aca="false">Data!F644</f>
        <v>A2</v>
      </c>
      <c r="G644" s="31" t="str">
        <f aca="false">Data!G644</f>
        <v>Can convey personal information of a routine nature, for example in a short e-mail or letter introducing themselves.</v>
      </c>
      <c r="H644" s="71" t="s">
        <v>3366</v>
      </c>
      <c r="I644" s="79" t="s">
        <v>3089</v>
      </c>
    </row>
    <row r="645" customFormat="false" ht="15" hidden="false" customHeight="true" outlineLevel="0" collapsed="false">
      <c r="A645" s="70" t="n">
        <f aca="false">Data!A645</f>
        <v>644</v>
      </c>
      <c r="B645" s="70" t="str">
        <f aca="false">IFERROR(INDEX(対訳マスタ!$C$2:$C$136,MATCH(Data!B645,対訳マスタ!$B$2:$B$136,0)),Data!B645)</f>
        <v>コミュニケーション言語活動</v>
      </c>
      <c r="C645" s="70" t="str">
        <f aca="false">IF(Data!C645="—","—",IFERROR(INDEX(対訳マスタ!$C$2:$C$136,MATCH(Data!C645,対訳マスタ!$B$2:$B$136,0)),Data!C645))</f>
        <v>相互行為</v>
      </c>
      <c r="D645" s="70" t="str">
        <f aca="false">IF(Data!D645="—","—",IFERROR(INDEX(対訳マスタ!$C$2:$C$136,MATCH(Data!D645,対訳マスタ!$B$2:$B$136,0)),Data!D645))</f>
        <v>筆記の相互行為</v>
      </c>
      <c r="E645" s="70" t="str">
        <f aca="false">IFERROR(INDEX(対訳マスタ!$C$2:$C$136,MATCH(Data!E645,対訳マスタ!$B$2:$B$136,0)),Data!E645)</f>
        <v>手紙・メールのやりとり</v>
      </c>
      <c r="F645" s="70" t="str">
        <f aca="false">Data!F645</f>
        <v>A2</v>
      </c>
      <c r="G645" s="31" t="str">
        <f aca="false">Data!G645</f>
        <v>Can compose very simple personal letters expressing thanks and apology.</v>
      </c>
      <c r="H645" s="71" t="s">
        <v>2740</v>
      </c>
      <c r="I645" s="79" t="s">
        <v>3089</v>
      </c>
    </row>
    <row r="646" customFormat="false" ht="21.75" hidden="false" customHeight="true" outlineLevel="0" collapsed="false">
      <c r="A646" s="70" t="n">
        <f aca="false">Data!A646</f>
        <v>645</v>
      </c>
      <c r="B646" s="70" t="str">
        <f aca="false">IFERROR(INDEX(対訳マスタ!$C$2:$C$136,MATCH(Data!B646,対訳マスタ!$B$2:$B$136,0)),Data!B646)</f>
        <v>コミュニケーション言語活動</v>
      </c>
      <c r="C646" s="70" t="str">
        <f aca="false">IF(Data!C646="—","—",IFERROR(INDEX(対訳マスタ!$C$2:$C$136,MATCH(Data!C646,対訳マスタ!$B$2:$B$136,0)),Data!C646))</f>
        <v>相互行為</v>
      </c>
      <c r="D646" s="70" t="str">
        <f aca="false">IF(Data!D646="—","—",IFERROR(INDEX(対訳マスタ!$C$2:$C$136,MATCH(Data!D646,対訳マスタ!$B$2:$B$136,0)),Data!D646))</f>
        <v>筆記の相互行為</v>
      </c>
      <c r="E646" s="70" t="str">
        <f aca="false">IFERROR(INDEX(対訳マスタ!$C$2:$C$136,MATCH(Data!E646,対訳マスタ!$B$2:$B$136,0)),Data!E646)</f>
        <v>手紙・メールのやりとり</v>
      </c>
      <c r="F646" s="70" t="str">
        <f aca="false">Data!F646</f>
        <v>A2</v>
      </c>
      <c r="G646" s="31" t="str">
        <f aca="false">Data!G646</f>
        <v>Can compose short, simple notes, e-mails and text messages (e.g. to send or reply to an invitation, to confirm or change an arrangement).</v>
      </c>
      <c r="H646" s="71" t="s">
        <v>3367</v>
      </c>
      <c r="I646" s="79" t="s">
        <v>3089</v>
      </c>
    </row>
    <row r="647" customFormat="false" ht="21.75" hidden="false" customHeight="true" outlineLevel="0" collapsed="false">
      <c r="A647" s="70" t="n">
        <f aca="false">Data!A647</f>
        <v>646</v>
      </c>
      <c r="B647" s="70" t="str">
        <f aca="false">IFERROR(INDEX(対訳マスタ!$C$2:$C$136,MATCH(Data!B647,対訳マスタ!$B$2:$B$136,0)),Data!B647)</f>
        <v>コミュニケーション言語活動</v>
      </c>
      <c r="C647" s="70" t="str">
        <f aca="false">IF(Data!C647="—","—",IFERROR(INDEX(対訳マスタ!$C$2:$C$136,MATCH(Data!C647,対訳マスタ!$B$2:$B$136,0)),Data!C647))</f>
        <v>相互行為</v>
      </c>
      <c r="D647" s="70" t="str">
        <f aca="false">IF(Data!D647="—","—",IFERROR(INDEX(対訳マスタ!$C$2:$C$136,MATCH(Data!D647,対訳マスタ!$B$2:$B$136,0)),Data!D647))</f>
        <v>筆記の相互行為</v>
      </c>
      <c r="E647" s="70" t="str">
        <f aca="false">IFERROR(INDEX(対訳マスタ!$C$2:$C$136,MATCH(Data!E647,対訳マスタ!$B$2:$B$136,0)),Data!E647)</f>
        <v>手紙・メールのやりとり</v>
      </c>
      <c r="F647" s="70" t="str">
        <f aca="false">Data!F647</f>
        <v>A2</v>
      </c>
      <c r="G647" s="31" t="str">
        <f aca="false">Data!G647</f>
        <v>Can compose a short text in a greetings card (e.g. for someone’s birthday or to wish them a Happy New Year).</v>
      </c>
      <c r="H647" s="71" t="s">
        <v>3368</v>
      </c>
      <c r="I647" s="79" t="s">
        <v>3089</v>
      </c>
    </row>
    <row r="648" customFormat="false" ht="32.25" hidden="false" customHeight="true" outlineLevel="0" collapsed="false">
      <c r="A648" s="70" t="n">
        <f aca="false">Data!A648</f>
        <v>647</v>
      </c>
      <c r="B648" s="70" t="str">
        <f aca="false">IFERROR(INDEX(対訳マスタ!$C$2:$C$136,MATCH(Data!B648,対訳マスタ!$B$2:$B$136,0)),Data!B648)</f>
        <v>コミュニケーション言語活動</v>
      </c>
      <c r="C648" s="70" t="str">
        <f aca="false">IF(Data!C648="—","—",IFERROR(INDEX(対訳マスタ!$C$2:$C$136,MATCH(Data!C648,対訳マスタ!$B$2:$B$136,0)),Data!C648))</f>
        <v>相互行為</v>
      </c>
      <c r="D648" s="70" t="str">
        <f aca="false">IF(Data!D648="—","—",IFERROR(INDEX(対訳マスタ!$C$2:$C$136,MATCH(Data!D648,対訳マスタ!$B$2:$B$136,0)),Data!D648))</f>
        <v>筆記の相互行為</v>
      </c>
      <c r="E648" s="70" t="str">
        <f aca="false">IFERROR(INDEX(対訳マスタ!$C$2:$C$136,MATCH(Data!E648,対訳マスタ!$B$2:$B$136,0)),Data!E648)</f>
        <v>手紙・メールのやりとり</v>
      </c>
      <c r="F648" s="70" t="str">
        <f aca="false">Data!F648</f>
        <v>A1</v>
      </c>
      <c r="G648" s="31" t="str">
        <f aca="false">Data!G648</f>
        <v>Can compose messages and online postings as a series of very short sentences about hobbies and likes/dislikes, using simple words and formulaic expressions, with reference to a dictionary.</v>
      </c>
      <c r="H648" s="71" t="s">
        <v>3369</v>
      </c>
      <c r="I648" s="79" t="s">
        <v>3089</v>
      </c>
    </row>
    <row r="649" customFormat="false" ht="15" hidden="false" customHeight="true" outlineLevel="0" collapsed="false">
      <c r="A649" s="70" t="n">
        <f aca="false">Data!A649</f>
        <v>648</v>
      </c>
      <c r="B649" s="70" t="str">
        <f aca="false">IFERROR(INDEX(対訳マスタ!$C$2:$C$136,MATCH(Data!B649,対訳マスタ!$B$2:$B$136,0)),Data!B649)</f>
        <v>コミュニケーション言語活動</v>
      </c>
      <c r="C649" s="70" t="str">
        <f aca="false">IF(Data!C649="—","—",IFERROR(INDEX(対訳マスタ!$C$2:$C$136,MATCH(Data!C649,対訳マスタ!$B$2:$B$136,0)),Data!C649))</f>
        <v>相互行為</v>
      </c>
      <c r="D649" s="70" t="str">
        <f aca="false">IF(Data!D649="—","—",IFERROR(INDEX(対訳マスタ!$C$2:$C$136,MATCH(Data!D649,対訳マスタ!$B$2:$B$136,0)),Data!D649))</f>
        <v>筆記の相互行為</v>
      </c>
      <c r="E649" s="70" t="str">
        <f aca="false">IFERROR(INDEX(対訳マスタ!$C$2:$C$136,MATCH(Data!E649,対訳マスタ!$B$2:$B$136,0)),Data!E649)</f>
        <v>手紙・メールのやりとり</v>
      </c>
      <c r="F649" s="70" t="str">
        <f aca="false">Data!F649</f>
        <v>A1</v>
      </c>
      <c r="G649" s="31" t="str">
        <f aca="false">Data!G649</f>
        <v>Can compose a short, simple postcard.</v>
      </c>
      <c r="H649" s="71" t="s">
        <v>139</v>
      </c>
      <c r="I649" s="79" t="s">
        <v>3089</v>
      </c>
    </row>
    <row r="650" customFormat="false" ht="21.75" hidden="false" customHeight="true" outlineLevel="0" collapsed="false">
      <c r="A650" s="70" t="n">
        <f aca="false">Data!A650</f>
        <v>649</v>
      </c>
      <c r="B650" s="70" t="str">
        <f aca="false">IFERROR(INDEX(対訳マスタ!$C$2:$C$136,MATCH(Data!B650,対訳マスタ!$B$2:$B$136,0)),Data!B650)</f>
        <v>コミュニケーション言語活動</v>
      </c>
      <c r="C650" s="70" t="str">
        <f aca="false">IF(Data!C650="—","—",IFERROR(INDEX(対訳マスタ!$C$2:$C$136,MATCH(Data!C650,対訳マスタ!$B$2:$B$136,0)),Data!C650))</f>
        <v>相互行為</v>
      </c>
      <c r="D650" s="70" t="str">
        <f aca="false">IF(Data!D650="—","—",IFERROR(INDEX(対訳マスタ!$C$2:$C$136,MATCH(Data!D650,対訳マスタ!$B$2:$B$136,0)),Data!D650))</f>
        <v>筆記の相互行為</v>
      </c>
      <c r="E650" s="70" t="str">
        <f aca="false">IFERROR(INDEX(対訳マスタ!$C$2:$C$136,MATCH(Data!E650,対訳マスタ!$B$2:$B$136,0)),Data!E650)</f>
        <v>手紙・メールのやりとり</v>
      </c>
      <c r="F650" s="70" t="str">
        <f aca="false">Data!F650</f>
        <v>A1</v>
      </c>
      <c r="G650" s="31" t="str">
        <f aca="false">Data!G650</f>
        <v>Can compose a short, very simple message (e.g. a text message) to friends to give them a piece of information or to ask them a question.</v>
      </c>
      <c r="H650" s="71" t="s">
        <v>3370</v>
      </c>
      <c r="I650" s="79" t="s">
        <v>3089</v>
      </c>
    </row>
    <row r="651" customFormat="false" ht="21.75" hidden="false" customHeight="true" outlineLevel="0" collapsed="false">
      <c r="A651" s="70" t="n">
        <f aca="false">Data!A651</f>
        <v>650</v>
      </c>
      <c r="B651" s="70" t="str">
        <f aca="false">IFERROR(INDEX(対訳マスタ!$C$2:$C$136,MATCH(Data!B651,対訳マスタ!$B$2:$B$136,0)),Data!B651)</f>
        <v>コミュニケーション言語活動</v>
      </c>
      <c r="C651" s="70" t="str">
        <f aca="false">IF(Data!C651="—","—",IFERROR(INDEX(対訳マスタ!$C$2:$C$136,MATCH(Data!C651,対訳マスタ!$B$2:$B$136,0)),Data!C651))</f>
        <v>相互行為</v>
      </c>
      <c r="D651" s="70" t="str">
        <f aca="false">IF(Data!D651="—","—",IFERROR(INDEX(対訳マスタ!$C$2:$C$136,MATCH(Data!D651,対訳マスタ!$B$2:$B$136,0)),Data!D651))</f>
        <v>筆記の相互行為</v>
      </c>
      <c r="E651" s="70" t="str">
        <f aca="false">IFERROR(INDEX(対訳マスタ!$C$2:$C$136,MATCH(Data!E651,対訳マスタ!$B$2:$B$136,0)),Data!E651)</f>
        <v>手紙・メールのやりとり</v>
      </c>
      <c r="F651" s="70" t="str">
        <f aca="false">Data!F651</f>
        <v>Pre-A1</v>
      </c>
      <c r="G651" s="31" t="str">
        <f aca="false">Data!G651</f>
        <v>Can convey basic personal information in short phrases and sentences, with reference to a dictionary.</v>
      </c>
      <c r="H651" s="71" t="s">
        <v>2739</v>
      </c>
      <c r="I651" s="79" t="s">
        <v>3089</v>
      </c>
    </row>
    <row r="652" customFormat="false" ht="15" hidden="false" customHeight="true" outlineLevel="0" collapsed="false">
      <c r="A652" s="80" t="n">
        <f aca="false">Data!A652</f>
        <v>651</v>
      </c>
      <c r="B652" s="80" t="str">
        <f aca="false">IFERROR(INDEX(対訳マスタ!$C$2:$C$136,MATCH(Data!B652,対訳マスタ!$B$2:$B$136,0)),Data!B652)</f>
        <v>コミュニケーション言語活動</v>
      </c>
      <c r="C652" s="80" t="str">
        <f aca="false">IF(Data!C652="—","—",IFERROR(INDEX(対訳マスタ!$C$2:$C$136,MATCH(Data!C652,対訳マスタ!$B$2:$B$136,0)),Data!C652))</f>
        <v>相互行為</v>
      </c>
      <c r="D652" s="80" t="str">
        <f aca="false">IF(Data!D652="—","—",IFERROR(INDEX(対訳マスタ!$C$2:$C$136,MATCH(Data!D652,対訳マスタ!$B$2:$B$136,0)),Data!D652))</f>
        <v>筆記の相互行為</v>
      </c>
      <c r="E652" s="80" t="str">
        <f aca="false">IFERROR(INDEX(対訳マスタ!$C$2:$C$136,MATCH(Data!E652,対訳マスタ!$B$2:$B$136,0)),Data!E652)</f>
        <v>メモ・伝言・記入用紙</v>
      </c>
      <c r="F652" s="80" t="str">
        <f aca="false">Data!F652</f>
        <v>C2</v>
      </c>
      <c r="G652" s="81" t="str">
        <f aca="false">Data!G652</f>
        <v>No descriptors available; see B2</v>
      </c>
      <c r="H652" s="81" t="s">
        <v>624</v>
      </c>
      <c r="I652" s="80" t="s">
        <v>624</v>
      </c>
    </row>
    <row r="653" customFormat="false" ht="15" hidden="false" customHeight="true" outlineLevel="0" collapsed="false">
      <c r="A653" s="80" t="n">
        <f aca="false">Data!A653</f>
        <v>652</v>
      </c>
      <c r="B653" s="80" t="str">
        <f aca="false">IFERROR(INDEX(対訳マスタ!$C$2:$C$136,MATCH(Data!B653,対訳マスタ!$B$2:$B$136,0)),Data!B653)</f>
        <v>コミュニケーション言語活動</v>
      </c>
      <c r="C653" s="80" t="str">
        <f aca="false">IF(Data!C653="—","—",IFERROR(INDEX(対訳マスタ!$C$2:$C$136,MATCH(Data!C653,対訳マスタ!$B$2:$B$136,0)),Data!C653))</f>
        <v>相互行為</v>
      </c>
      <c r="D653" s="80" t="str">
        <f aca="false">IF(Data!D653="—","—",IFERROR(INDEX(対訳マスタ!$C$2:$C$136,MATCH(Data!D653,対訳マスタ!$B$2:$B$136,0)),Data!D653))</f>
        <v>筆記の相互行為</v>
      </c>
      <c r="E653" s="80" t="str">
        <f aca="false">IFERROR(INDEX(対訳マスタ!$C$2:$C$136,MATCH(Data!E653,対訳マスタ!$B$2:$B$136,0)),Data!E653)</f>
        <v>メモ・伝言・記入用紙</v>
      </c>
      <c r="F653" s="80" t="str">
        <f aca="false">Data!F653</f>
        <v>C1</v>
      </c>
      <c r="G653" s="81" t="str">
        <f aca="false">Data!G653</f>
        <v>No descriptors available; see B2</v>
      </c>
      <c r="H653" s="81" t="s">
        <v>624</v>
      </c>
      <c r="I653" s="80" t="s">
        <v>624</v>
      </c>
    </row>
    <row r="654" customFormat="false" ht="26.25" hidden="false" customHeight="true" outlineLevel="0" collapsed="false">
      <c r="A654" s="70" t="n">
        <f aca="false">Data!A654</f>
        <v>653</v>
      </c>
      <c r="B654" s="70" t="str">
        <f aca="false">IFERROR(INDEX(対訳マスタ!$C$2:$C$136,MATCH(Data!B654,対訳マスタ!$B$2:$B$136,0)),Data!B654)</f>
        <v>コミュニケーション言語活動</v>
      </c>
      <c r="C654" s="70" t="str">
        <f aca="false">IF(Data!C654="—","—",IFERROR(INDEX(対訳マスタ!$C$2:$C$136,MATCH(Data!C654,対訳マスタ!$B$2:$B$136,0)),Data!C654))</f>
        <v>相互行為</v>
      </c>
      <c r="D654" s="70" t="str">
        <f aca="false">IF(Data!D654="—","—",IFERROR(INDEX(対訳マスタ!$C$2:$C$136,MATCH(Data!D654,対訳マスタ!$B$2:$B$136,0)),Data!D654))</f>
        <v>筆記の相互行為</v>
      </c>
      <c r="E654" s="70" t="str">
        <f aca="false">IFERROR(INDEX(対訳マスタ!$C$2:$C$136,MATCH(Data!E654,対訳マスタ!$B$2:$B$136,0)),Data!E654)</f>
        <v>メモ・伝言・記入用紙</v>
      </c>
      <c r="F654" s="70" t="str">
        <f aca="false">Data!F654</f>
        <v>B2</v>
      </c>
      <c r="G654" s="31" t="str">
        <f aca="false">Data!G654</f>
        <v>Can take or leave complex personal or professional messages, provided they can ask for clarification or elaboration if necessary.</v>
      </c>
      <c r="H654" s="71" t="s">
        <v>2752</v>
      </c>
      <c r="I654" s="79" t="s">
        <v>3089</v>
      </c>
    </row>
    <row r="655" customFormat="false" ht="21.75" hidden="false" customHeight="true" outlineLevel="0" collapsed="false">
      <c r="A655" s="70" t="n">
        <f aca="false">Data!A655</f>
        <v>654</v>
      </c>
      <c r="B655" s="70" t="str">
        <f aca="false">IFERROR(INDEX(対訳マスタ!$C$2:$C$136,MATCH(Data!B655,対訳マスタ!$B$2:$B$136,0)),Data!B655)</f>
        <v>コミュニケーション言語活動</v>
      </c>
      <c r="C655" s="70" t="str">
        <f aca="false">IF(Data!C655="—","—",IFERROR(INDEX(対訳マスタ!$C$2:$C$136,MATCH(Data!C655,対訳マスタ!$B$2:$B$136,0)),Data!C655))</f>
        <v>相互行為</v>
      </c>
      <c r="D655" s="70" t="str">
        <f aca="false">IF(Data!D655="—","—",IFERROR(INDEX(対訳マスタ!$C$2:$C$136,MATCH(Data!D655,対訳マスタ!$B$2:$B$136,0)),Data!D655))</f>
        <v>筆記の相互行為</v>
      </c>
      <c r="E655" s="70" t="str">
        <f aca="false">IFERROR(INDEX(対訳マスタ!$C$2:$C$136,MATCH(Data!E655,対訳マスタ!$B$2:$B$136,0)),Data!E655)</f>
        <v>メモ・伝言・記入用紙</v>
      </c>
      <c r="F655" s="70" t="str">
        <f aca="false">Data!F655</f>
        <v>B1+</v>
      </c>
      <c r="G655" s="31" t="str">
        <f aca="false">Data!G655</f>
        <v>Can take routine messages that are likely to occur in a personal, professional or academic context.</v>
      </c>
      <c r="H655" s="71" t="s">
        <v>3371</v>
      </c>
      <c r="I655" s="79" t="s">
        <v>3089</v>
      </c>
    </row>
    <row r="656" customFormat="false" ht="15" hidden="false" customHeight="true" outlineLevel="0" collapsed="false">
      <c r="A656" s="70" t="n">
        <f aca="false">Data!A656</f>
        <v>655</v>
      </c>
      <c r="B656" s="70" t="str">
        <f aca="false">IFERROR(INDEX(対訳マスタ!$C$2:$C$136,MATCH(Data!B656,対訳マスタ!$B$2:$B$136,0)),Data!B656)</f>
        <v>コミュニケーション言語活動</v>
      </c>
      <c r="C656" s="70" t="str">
        <f aca="false">IF(Data!C656="—","—",IFERROR(INDEX(対訳マスタ!$C$2:$C$136,MATCH(Data!C656,対訳マスタ!$B$2:$B$136,0)),Data!C656))</f>
        <v>相互行為</v>
      </c>
      <c r="D656" s="70" t="str">
        <f aca="false">IF(Data!D656="—","—",IFERROR(INDEX(対訳マスタ!$C$2:$C$136,MATCH(Data!D656,対訳マスタ!$B$2:$B$136,0)),Data!D656))</f>
        <v>筆記の相互行為</v>
      </c>
      <c r="E656" s="70" t="str">
        <f aca="false">IFERROR(INDEX(対訳マスタ!$C$2:$C$136,MATCH(Data!E656,対訳マスタ!$B$2:$B$136,0)),Data!E656)</f>
        <v>メモ・伝言・記入用紙</v>
      </c>
      <c r="F656" s="70" t="str">
        <f aca="false">Data!F656</f>
        <v>B1+</v>
      </c>
      <c r="G656" s="31" t="str">
        <f aca="false">Data!G656</f>
        <v>Can take messages communicating enquiries and explaining problems.</v>
      </c>
      <c r="H656" s="71" t="s">
        <v>2751</v>
      </c>
      <c r="I656" s="79" t="s">
        <v>3089</v>
      </c>
    </row>
    <row r="657" customFormat="false" ht="32.25" hidden="false" customHeight="true" outlineLevel="0" collapsed="false">
      <c r="A657" s="70" t="n">
        <f aca="false">Data!A657</f>
        <v>656</v>
      </c>
      <c r="B657" s="70" t="str">
        <f aca="false">IFERROR(INDEX(対訳マスタ!$C$2:$C$136,MATCH(Data!B657,対訳マスタ!$B$2:$B$136,0)),Data!B657)</f>
        <v>コミュニケーション言語活動</v>
      </c>
      <c r="C657" s="70" t="str">
        <f aca="false">IF(Data!C657="—","—",IFERROR(INDEX(対訳マスタ!$C$2:$C$136,MATCH(Data!C657,対訳マスタ!$B$2:$B$136,0)),Data!C657))</f>
        <v>相互行為</v>
      </c>
      <c r="D657" s="70" t="str">
        <f aca="false">IF(Data!D657="—","—",IFERROR(INDEX(対訳マスタ!$C$2:$C$136,MATCH(Data!D657,対訳マスタ!$B$2:$B$136,0)),Data!D657))</f>
        <v>筆記の相互行為</v>
      </c>
      <c r="E657" s="70" t="str">
        <f aca="false">IFERROR(INDEX(対訳マスタ!$C$2:$C$136,MATCH(Data!E657,対訳マスタ!$B$2:$B$136,0)),Data!E657)</f>
        <v>メモ・伝言・記入用紙</v>
      </c>
      <c r="F657" s="70" t="str">
        <f aca="false">Data!F657</f>
        <v>B1</v>
      </c>
      <c r="G657" s="31" t="str">
        <f aca="false">Data!G657</f>
        <v>Can formulate notes conveying simple information of immediate relevance to friends, service people, teachers and others who feature in their everyday life, getting across comprehensibly the points they feel are important.</v>
      </c>
      <c r="H657" s="71" t="s">
        <v>3372</v>
      </c>
      <c r="I657" s="79" t="s">
        <v>3089</v>
      </c>
    </row>
    <row r="658" customFormat="false" ht="21.75" hidden="false" customHeight="true" outlineLevel="0" collapsed="false">
      <c r="A658" s="70" t="n">
        <f aca="false">Data!A658</f>
        <v>657</v>
      </c>
      <c r="B658" s="70" t="str">
        <f aca="false">IFERROR(INDEX(対訳マスタ!$C$2:$C$136,MATCH(Data!B658,対訳マスタ!$B$2:$B$136,0)),Data!B658)</f>
        <v>コミュニケーション言語活動</v>
      </c>
      <c r="C658" s="70" t="str">
        <f aca="false">IF(Data!C658="—","—",IFERROR(INDEX(対訳マスタ!$C$2:$C$136,MATCH(Data!C658,対訳マスタ!$B$2:$B$136,0)),Data!C658))</f>
        <v>相互行為</v>
      </c>
      <c r="D658" s="70" t="str">
        <f aca="false">IF(Data!D658="—","—",IFERROR(INDEX(対訳マスタ!$C$2:$C$136,MATCH(Data!D658,対訳マスタ!$B$2:$B$136,0)),Data!D658))</f>
        <v>筆記の相互行為</v>
      </c>
      <c r="E658" s="70" t="str">
        <f aca="false">IFERROR(INDEX(対訳マスタ!$C$2:$C$136,MATCH(Data!E658,対訳マスタ!$B$2:$B$136,0)),Data!E658)</f>
        <v>メモ・伝言・記入用紙</v>
      </c>
      <c r="F658" s="70" t="str">
        <f aca="false">Data!F658</f>
        <v>B1</v>
      </c>
      <c r="G658" s="31" t="str">
        <f aca="false">Data!G658</f>
        <v>Can take messages over the phone containing several points, provided the caller dictates these clearly and sympathetically.</v>
      </c>
      <c r="H658" s="71" t="s">
        <v>2750</v>
      </c>
      <c r="I658" s="79" t="s">
        <v>3089</v>
      </c>
    </row>
    <row r="659" customFormat="false" ht="21.75" hidden="false" customHeight="true" outlineLevel="0" collapsed="false">
      <c r="A659" s="70" t="n">
        <f aca="false">Data!A659</f>
        <v>658</v>
      </c>
      <c r="B659" s="70" t="str">
        <f aca="false">IFERROR(INDEX(対訳マスタ!$C$2:$C$136,MATCH(Data!B659,対訳マスタ!$B$2:$B$136,0)),Data!B659)</f>
        <v>コミュニケーション言語活動</v>
      </c>
      <c r="C659" s="70" t="str">
        <f aca="false">IF(Data!C659="—","—",IFERROR(INDEX(対訳マスタ!$C$2:$C$136,MATCH(Data!C659,対訳マスタ!$B$2:$B$136,0)),Data!C659))</f>
        <v>相互行為</v>
      </c>
      <c r="D659" s="70" t="str">
        <f aca="false">IF(Data!D659="—","—",IFERROR(INDEX(対訳マスタ!$C$2:$C$136,MATCH(Data!D659,対訳マスタ!$B$2:$B$136,0)),Data!D659))</f>
        <v>筆記の相互行為</v>
      </c>
      <c r="E659" s="70" t="str">
        <f aca="false">IFERROR(INDEX(対訳マスタ!$C$2:$C$136,MATCH(Data!E659,対訳マスタ!$B$2:$B$136,0)),Data!E659)</f>
        <v>メモ・伝言・記入用紙</v>
      </c>
      <c r="F659" s="70" t="str">
        <f aca="false">Data!F659</f>
        <v>A2+</v>
      </c>
      <c r="G659" s="31" t="str">
        <f aca="false">Data!G659</f>
        <v>Can take a short, simple message provided they can ask for repetition and reformulation.</v>
      </c>
      <c r="H659" s="71" t="s">
        <v>2749</v>
      </c>
      <c r="I659" s="79" t="s">
        <v>3089</v>
      </c>
    </row>
    <row r="660" customFormat="false" ht="21.75" hidden="false" customHeight="true" outlineLevel="0" collapsed="false">
      <c r="A660" s="70" t="n">
        <f aca="false">Data!A660</f>
        <v>659</v>
      </c>
      <c r="B660" s="70" t="str">
        <f aca="false">IFERROR(INDEX(対訳マスタ!$C$2:$C$136,MATCH(Data!B660,対訳マスタ!$B$2:$B$136,0)),Data!B660)</f>
        <v>コミュニケーション言語活動</v>
      </c>
      <c r="C660" s="70" t="str">
        <f aca="false">IF(Data!C660="—","—",IFERROR(INDEX(対訳マスタ!$C$2:$C$136,MATCH(Data!C660,対訳マスタ!$B$2:$B$136,0)),Data!C660))</f>
        <v>相互行為</v>
      </c>
      <c r="D660" s="70" t="str">
        <f aca="false">IF(Data!D660="—","—",IFERROR(INDEX(対訳マスタ!$C$2:$C$136,MATCH(Data!D660,対訳マスタ!$B$2:$B$136,0)),Data!D660))</f>
        <v>筆記の相互行為</v>
      </c>
      <c r="E660" s="70" t="str">
        <f aca="false">IFERROR(INDEX(対訳マスタ!$C$2:$C$136,MATCH(Data!E660,対訳マスタ!$B$2:$B$136,0)),Data!E660)</f>
        <v>メモ・伝言・記入用紙</v>
      </c>
      <c r="F660" s="70" t="str">
        <f aca="false">Data!F660</f>
        <v>A2</v>
      </c>
      <c r="G660" s="31" t="str">
        <f aca="false">Data!G660</f>
        <v>Can formulate short, simple notes and messages relating to matters in areas of immediate need.</v>
      </c>
      <c r="H660" s="71" t="s">
        <v>2748</v>
      </c>
      <c r="I660" s="79" t="s">
        <v>3089</v>
      </c>
    </row>
    <row r="661" customFormat="false" ht="21.75" hidden="false" customHeight="true" outlineLevel="0" collapsed="false">
      <c r="A661" s="70" t="n">
        <f aca="false">Data!A661</f>
        <v>660</v>
      </c>
      <c r="B661" s="70" t="str">
        <f aca="false">IFERROR(INDEX(対訳マスタ!$C$2:$C$136,MATCH(Data!B661,対訳マスタ!$B$2:$B$136,0)),Data!B661)</f>
        <v>コミュニケーション言語活動</v>
      </c>
      <c r="C661" s="70" t="str">
        <f aca="false">IF(Data!C661="—","—",IFERROR(INDEX(対訳マスタ!$C$2:$C$136,MATCH(Data!C661,対訳マスタ!$B$2:$B$136,0)),Data!C661))</f>
        <v>相互行為</v>
      </c>
      <c r="D661" s="70" t="str">
        <f aca="false">IF(Data!D661="—","—",IFERROR(INDEX(対訳マスタ!$C$2:$C$136,MATCH(Data!D661,対訳マスタ!$B$2:$B$136,0)),Data!D661))</f>
        <v>筆記の相互行為</v>
      </c>
      <c r="E661" s="70" t="str">
        <f aca="false">IFERROR(INDEX(対訳マスタ!$C$2:$C$136,MATCH(Data!E661,対訳マスタ!$B$2:$B$136,0)),Data!E661)</f>
        <v>メモ・伝言・記入用紙</v>
      </c>
      <c r="F661" s="70" t="str">
        <f aca="false">Data!F661</f>
        <v>A2</v>
      </c>
      <c r="G661" s="31" t="str">
        <f aca="false">Data!G661</f>
        <v>Can fill in personal and other details on most everyday forms (e.g. to open a bank account, or to send a letter by recorded delivery).</v>
      </c>
      <c r="H661" s="71" t="s">
        <v>3373</v>
      </c>
      <c r="I661" s="79" t="s">
        <v>3089</v>
      </c>
    </row>
    <row r="662" customFormat="false" ht="26.25" hidden="false" customHeight="true" outlineLevel="0" collapsed="false">
      <c r="A662" s="70" t="n">
        <f aca="false">Data!A662</f>
        <v>661</v>
      </c>
      <c r="B662" s="70" t="str">
        <f aca="false">IFERROR(INDEX(対訳マスタ!$C$2:$C$136,MATCH(Data!B662,対訳マスタ!$B$2:$B$136,0)),Data!B662)</f>
        <v>コミュニケーション言語活動</v>
      </c>
      <c r="C662" s="70" t="str">
        <f aca="false">IF(Data!C662="—","—",IFERROR(INDEX(対訳マスタ!$C$2:$C$136,MATCH(Data!C662,対訳マスタ!$B$2:$B$136,0)),Data!C662))</f>
        <v>相互行為</v>
      </c>
      <c r="D662" s="70" t="str">
        <f aca="false">IF(Data!D662="—","—",IFERROR(INDEX(対訳マスタ!$C$2:$C$136,MATCH(Data!D662,対訳マスタ!$B$2:$B$136,0)),Data!D662))</f>
        <v>筆記の相互行為</v>
      </c>
      <c r="E662" s="70" t="str">
        <f aca="false">IFERROR(INDEX(対訳マスタ!$C$2:$C$136,MATCH(Data!E662,対訳マスタ!$B$2:$B$136,0)),Data!E662)</f>
        <v>メモ・伝言・記入用紙</v>
      </c>
      <c r="F662" s="70" t="str">
        <f aca="false">Data!F662</f>
        <v>A1</v>
      </c>
      <c r="G662" s="31" t="str">
        <f aca="false">Data!G662</f>
        <v>Can fill in numbers and dates, own name, nationality, address, age, date of birth or arrival in the country, etc., e.g. on a hotel registration form.</v>
      </c>
      <c r="H662" s="71" t="s">
        <v>2747</v>
      </c>
      <c r="I662" s="79" t="s">
        <v>3089</v>
      </c>
    </row>
    <row r="663" customFormat="false" ht="21.75" hidden="false" customHeight="true" outlineLevel="0" collapsed="false">
      <c r="A663" s="70" t="n">
        <f aca="false">Data!A663</f>
        <v>662</v>
      </c>
      <c r="B663" s="70" t="str">
        <f aca="false">IFERROR(INDEX(対訳マスタ!$C$2:$C$136,MATCH(Data!B663,対訳マスタ!$B$2:$B$136,0)),Data!B663)</f>
        <v>コミュニケーション言語活動</v>
      </c>
      <c r="C663" s="70" t="str">
        <f aca="false">IF(Data!C663="—","—",IFERROR(INDEX(対訳マスタ!$C$2:$C$136,MATCH(Data!C663,対訳マスタ!$B$2:$B$136,0)),Data!C663))</f>
        <v>相互行為</v>
      </c>
      <c r="D663" s="70" t="str">
        <f aca="false">IF(Data!D663="—","—",IFERROR(INDEX(対訳マスタ!$C$2:$C$136,MATCH(Data!D663,対訳マスタ!$B$2:$B$136,0)),Data!D663))</f>
        <v>筆記の相互行為</v>
      </c>
      <c r="E663" s="70" t="str">
        <f aca="false">IFERROR(INDEX(対訳マスタ!$C$2:$C$136,MATCH(Data!E663,対訳マスタ!$B$2:$B$136,0)),Data!E663)</f>
        <v>メモ・伝言・記入用紙</v>
      </c>
      <c r="F663" s="70" t="str">
        <f aca="false">Data!F663</f>
        <v>A1</v>
      </c>
      <c r="G663" s="31" t="str">
        <f aca="false">Data!G663</f>
        <v>Can leave a simple message giving information regarding for instance where they have gone, or what time they will be back (e.g. “Shopping: back at 5 p.m.”).</v>
      </c>
      <c r="H663" s="71" t="s">
        <v>3374</v>
      </c>
      <c r="I663" s="79" t="s">
        <v>3089</v>
      </c>
    </row>
    <row r="664" customFormat="false" ht="26.25" hidden="false" customHeight="true" outlineLevel="0" collapsed="false">
      <c r="A664" s="70" t="n">
        <f aca="false">Data!A664</f>
        <v>663</v>
      </c>
      <c r="B664" s="70" t="str">
        <f aca="false">IFERROR(INDEX(対訳マスタ!$C$2:$C$136,MATCH(Data!B664,対訳マスタ!$B$2:$B$136,0)),Data!B664)</f>
        <v>コミュニケーション言語活動</v>
      </c>
      <c r="C664" s="70" t="str">
        <f aca="false">IF(Data!C664="—","—",IFERROR(INDEX(対訳マスタ!$C$2:$C$136,MATCH(Data!C664,対訳マスタ!$B$2:$B$136,0)),Data!C664))</f>
        <v>相互行為</v>
      </c>
      <c r="D664" s="70" t="str">
        <f aca="false">IF(Data!D664="—","—",IFERROR(INDEX(対訳マスタ!$C$2:$C$136,MATCH(Data!D664,対訳マスタ!$B$2:$B$136,0)),Data!D664))</f>
        <v>筆記の相互行為</v>
      </c>
      <c r="E664" s="70" t="str">
        <f aca="false">IFERROR(INDEX(対訳マスタ!$C$2:$C$136,MATCH(Data!E664,対訳マスタ!$B$2:$B$136,0)),Data!E664)</f>
        <v>メモ・伝言・記入用紙</v>
      </c>
      <c r="F664" s="70" t="str">
        <f aca="false">Data!F664</f>
        <v>Pre-A1</v>
      </c>
      <c r="G664" s="31" t="str">
        <f aca="false">Data!G664</f>
        <v>Can fill in very simple registration forms with basic personal details: name, address, nationality, marital status.</v>
      </c>
      <c r="H664" s="71" t="s">
        <v>2746</v>
      </c>
      <c r="I664" s="79" t="s">
        <v>3089</v>
      </c>
    </row>
    <row r="665" customFormat="false" ht="32.25" hidden="false" customHeight="true" outlineLevel="0" collapsed="false">
      <c r="A665" s="70" t="n">
        <f aca="false">Data!A665</f>
        <v>664</v>
      </c>
      <c r="B665" s="70" t="str">
        <f aca="false">IFERROR(INDEX(対訳マスタ!$C$2:$C$136,MATCH(Data!B665,対訳マスタ!$B$2:$B$136,0)),Data!B665)</f>
        <v>コミュニケーション言語活動</v>
      </c>
      <c r="C665" s="70" t="str">
        <f aca="false">IF(Data!C665="—","—",IFERROR(INDEX(対訳マスタ!$C$2:$C$136,MATCH(Data!C665,対訳マスタ!$B$2:$B$136,0)),Data!C665))</f>
        <v>相互行為</v>
      </c>
      <c r="D665" s="70" t="str">
        <f aca="false">IF(Data!D665="—","—",IFERROR(INDEX(対訳マスタ!$C$2:$C$136,MATCH(Data!D665,対訳マスタ!$B$2:$B$136,0)),Data!D665))</f>
        <v>オンラインの相互行為</v>
      </c>
      <c r="E665" s="70" t="str">
        <f aca="false">IFERROR(INDEX(対訳マスタ!$C$2:$C$136,MATCH(Data!E665,対訳マスタ!$B$2:$B$136,0)),Data!E665)</f>
        <v>オンラインの会話と議論</v>
      </c>
      <c r="F665" s="70" t="str">
        <f aca="false">Data!F665</f>
        <v>C2</v>
      </c>
      <c r="G665" s="31" t="str">
        <f aca="false">Data!G665</f>
        <v>Can express themselves with clarity and precision in real-time online discussion, adjusting language flexibly and sensitively to context, including emotional, allusive and joking usage.</v>
      </c>
      <c r="H665" s="71" t="s">
        <v>3375</v>
      </c>
      <c r="I665" s="79" t="s">
        <v>3089</v>
      </c>
    </row>
    <row r="666" customFormat="false" ht="21.75" hidden="false" customHeight="true" outlineLevel="0" collapsed="false">
      <c r="A666" s="70" t="n">
        <f aca="false">Data!A666</f>
        <v>665</v>
      </c>
      <c r="B666" s="70" t="str">
        <f aca="false">IFERROR(INDEX(対訳マスタ!$C$2:$C$136,MATCH(Data!B666,対訳マスタ!$B$2:$B$136,0)),Data!B666)</f>
        <v>コミュニケーション言語活動</v>
      </c>
      <c r="C666" s="70" t="str">
        <f aca="false">IF(Data!C666="—","—",IFERROR(INDEX(対訳マスタ!$C$2:$C$136,MATCH(Data!C666,対訳マスタ!$B$2:$B$136,0)),Data!C666))</f>
        <v>相互行為</v>
      </c>
      <c r="D666" s="70" t="str">
        <f aca="false">IF(Data!D666="—","—",IFERROR(INDEX(対訳マスタ!$C$2:$C$136,MATCH(Data!D666,対訳マスタ!$B$2:$B$136,0)),Data!D666))</f>
        <v>オンラインの相互行為</v>
      </c>
      <c r="E666" s="70" t="str">
        <f aca="false">IFERROR(INDEX(対訳マスタ!$C$2:$C$136,MATCH(Data!E666,対訳マスタ!$B$2:$B$136,0)),Data!E666)</f>
        <v>オンラインの会話と議論</v>
      </c>
      <c r="F666" s="70" t="str">
        <f aca="false">Data!F666</f>
        <v>C2</v>
      </c>
      <c r="G666" s="31" t="str">
        <f aca="false">Data!G666</f>
        <v>Can anticipate and deal effectively with possible misunderstandings (including cultural ones), communication issues and emotional reactions in an online discussion.</v>
      </c>
      <c r="H666" s="71" t="s">
        <v>3376</v>
      </c>
      <c r="I666" s="79" t="s">
        <v>3089</v>
      </c>
    </row>
    <row r="667" customFormat="false" ht="26.25" hidden="false" customHeight="true" outlineLevel="0" collapsed="false">
      <c r="A667" s="70" t="n">
        <f aca="false">Data!A667</f>
        <v>666</v>
      </c>
      <c r="B667" s="70" t="str">
        <f aca="false">IFERROR(INDEX(対訳マスタ!$C$2:$C$136,MATCH(Data!B667,対訳マスタ!$B$2:$B$136,0)),Data!B667)</f>
        <v>コミュニケーション言語活動</v>
      </c>
      <c r="C667" s="70" t="str">
        <f aca="false">IF(Data!C667="—","—",IFERROR(INDEX(対訳マスタ!$C$2:$C$136,MATCH(Data!C667,対訳マスタ!$B$2:$B$136,0)),Data!C667))</f>
        <v>相互行為</v>
      </c>
      <c r="D667" s="70" t="str">
        <f aca="false">IF(Data!D667="—","—",IFERROR(INDEX(対訳マスタ!$C$2:$C$136,MATCH(Data!D667,対訳マスタ!$B$2:$B$136,0)),Data!D667))</f>
        <v>オンラインの相互行為</v>
      </c>
      <c r="E667" s="70" t="str">
        <f aca="false">IFERROR(INDEX(対訳マスタ!$C$2:$C$136,MATCH(Data!E667,対訳マスタ!$B$2:$B$136,0)),Data!E667)</f>
        <v>オンラインの会話と議論</v>
      </c>
      <c r="F667" s="70" t="str">
        <f aca="false">Data!F667</f>
        <v>C2</v>
      </c>
      <c r="G667" s="31" t="str">
        <f aca="false">Data!G667</f>
        <v>Can easily and quickly adapt their register and style to suit different online environments, communication purposes and speech acts.</v>
      </c>
      <c r="H667" s="71" t="s">
        <v>2762</v>
      </c>
      <c r="I667" s="79" t="s">
        <v>3089</v>
      </c>
    </row>
    <row r="668" customFormat="false" ht="21.75" hidden="false" customHeight="true" outlineLevel="0" collapsed="false">
      <c r="A668" s="70" t="n">
        <f aca="false">Data!A668</f>
        <v>667</v>
      </c>
      <c r="B668" s="70" t="str">
        <f aca="false">IFERROR(INDEX(対訳マスタ!$C$2:$C$136,MATCH(Data!B668,対訳マスタ!$B$2:$B$136,0)),Data!B668)</f>
        <v>コミュニケーション言語活動</v>
      </c>
      <c r="C668" s="70" t="str">
        <f aca="false">IF(Data!C668="—","—",IFERROR(INDEX(対訳マスタ!$C$2:$C$136,MATCH(Data!C668,対訳マスタ!$B$2:$B$136,0)),Data!C668))</f>
        <v>相互行為</v>
      </c>
      <c r="D668" s="70" t="str">
        <f aca="false">IF(Data!D668="—","—",IFERROR(INDEX(対訳マスタ!$C$2:$C$136,MATCH(Data!D668,対訳マスタ!$B$2:$B$136,0)),Data!D668))</f>
        <v>オンラインの相互行為</v>
      </c>
      <c r="E668" s="70" t="str">
        <f aca="false">IFERROR(INDEX(対訳マスタ!$C$2:$C$136,MATCH(Data!E668,対訳マスタ!$B$2:$B$136,0)),Data!E668)</f>
        <v>オンラインの会話と議論</v>
      </c>
      <c r="F668" s="70" t="str">
        <f aca="false">Data!F668</f>
        <v>C1</v>
      </c>
      <c r="G668" s="31" t="str">
        <f aca="false">Data!G668</f>
        <v>Can engage in real-time online exchanges with several participants, understanding the communicative intentions and cultural implications of the various contributions.</v>
      </c>
      <c r="H668" s="71" t="s">
        <v>3377</v>
      </c>
      <c r="I668" s="79" t="s">
        <v>3089</v>
      </c>
    </row>
    <row r="669" customFormat="false" ht="21.75" hidden="false" customHeight="true" outlineLevel="0" collapsed="false">
      <c r="A669" s="70" t="n">
        <f aca="false">Data!A669</f>
        <v>668</v>
      </c>
      <c r="B669" s="70" t="str">
        <f aca="false">IFERROR(INDEX(対訳マスタ!$C$2:$C$136,MATCH(Data!B669,対訳マスタ!$B$2:$B$136,0)),Data!B669)</f>
        <v>コミュニケーション言語活動</v>
      </c>
      <c r="C669" s="70" t="str">
        <f aca="false">IF(Data!C669="—","—",IFERROR(INDEX(対訳マスタ!$C$2:$C$136,MATCH(Data!C669,対訳マスタ!$B$2:$B$136,0)),Data!C669))</f>
        <v>相互行為</v>
      </c>
      <c r="D669" s="70" t="str">
        <f aca="false">IF(Data!D669="—","—",IFERROR(INDEX(対訳マスタ!$C$2:$C$136,MATCH(Data!D669,対訳マスタ!$B$2:$B$136,0)),Data!D669))</f>
        <v>オンラインの相互行為</v>
      </c>
      <c r="E669" s="70" t="str">
        <f aca="false">IFERROR(INDEX(対訳マスタ!$C$2:$C$136,MATCH(Data!E669,対訳マスタ!$B$2:$B$136,0)),Data!E669)</f>
        <v>オンラインの会話と議論</v>
      </c>
      <c r="F669" s="70" t="str">
        <f aca="false">Data!F669</f>
        <v>C1</v>
      </c>
      <c r="G669" s="31" t="str">
        <f aca="false">Data!G669</f>
        <v>Can participate effectively in live, online professional or academic discussion, asking for and giving further clarification of complex, abstract issues as necessary.</v>
      </c>
      <c r="H669" s="71" t="s">
        <v>3378</v>
      </c>
      <c r="I669" s="79" t="s">
        <v>3089</v>
      </c>
    </row>
    <row r="670" customFormat="false" ht="21.75" hidden="false" customHeight="true" outlineLevel="0" collapsed="false">
      <c r="A670" s="70" t="n">
        <f aca="false">Data!A670</f>
        <v>669</v>
      </c>
      <c r="B670" s="70" t="str">
        <f aca="false">IFERROR(INDEX(対訳マスタ!$C$2:$C$136,MATCH(Data!B670,対訳マスタ!$B$2:$B$136,0)),Data!B670)</f>
        <v>コミュニケーション言語活動</v>
      </c>
      <c r="C670" s="70" t="str">
        <f aca="false">IF(Data!C670="—","—",IFERROR(INDEX(対訳マスタ!$C$2:$C$136,MATCH(Data!C670,対訳マスタ!$B$2:$B$136,0)),Data!C670))</f>
        <v>相互行為</v>
      </c>
      <c r="D670" s="70" t="str">
        <f aca="false">IF(Data!D670="—","—",IFERROR(INDEX(対訳マスタ!$C$2:$C$136,MATCH(Data!D670,対訳マスタ!$B$2:$B$136,0)),Data!D670))</f>
        <v>オンラインの相互行為</v>
      </c>
      <c r="E670" s="70" t="str">
        <f aca="false">IFERROR(INDEX(対訳マスタ!$C$2:$C$136,MATCH(Data!E670,対訳マスタ!$B$2:$B$136,0)),Data!E670)</f>
        <v>オンラインの会話と議論</v>
      </c>
      <c r="F670" s="70" t="str">
        <f aca="false">Data!F670</f>
        <v>C1</v>
      </c>
      <c r="G670" s="31" t="str">
        <f aca="false">Data!G670</f>
        <v>Can adapt their register according to the context of online interaction, moving from one register to the other within the same exchange if necessary.</v>
      </c>
      <c r="H670" s="71" t="s">
        <v>3379</v>
      </c>
      <c r="I670" s="79" t="s">
        <v>3089</v>
      </c>
    </row>
    <row r="671" customFormat="false" ht="26.25" hidden="false" customHeight="true" outlineLevel="0" collapsed="false">
      <c r="A671" s="70" t="n">
        <f aca="false">Data!A671</f>
        <v>670</v>
      </c>
      <c r="B671" s="70" t="str">
        <f aca="false">IFERROR(INDEX(対訳マスタ!$C$2:$C$136,MATCH(Data!B671,対訳マスタ!$B$2:$B$136,0)),Data!B671)</f>
        <v>コミュニケーション言語活動</v>
      </c>
      <c r="C671" s="70" t="str">
        <f aca="false">IF(Data!C671="—","—",IFERROR(INDEX(対訳マスタ!$C$2:$C$136,MATCH(Data!C671,対訳マスタ!$B$2:$B$136,0)),Data!C671))</f>
        <v>相互行為</v>
      </c>
      <c r="D671" s="70" t="str">
        <f aca="false">IF(Data!D671="—","—",IFERROR(INDEX(対訳マスタ!$C$2:$C$136,MATCH(Data!D671,対訳マスタ!$B$2:$B$136,0)),Data!D671))</f>
        <v>オンラインの相互行為</v>
      </c>
      <c r="E671" s="70" t="str">
        <f aca="false">IFERROR(INDEX(対訳マスタ!$C$2:$C$136,MATCH(Data!E671,対訳マスタ!$B$2:$B$136,0)),Data!E671)</f>
        <v>オンラインの会話と議論</v>
      </c>
      <c r="F671" s="70" t="str">
        <f aca="false">Data!F671</f>
        <v>C1</v>
      </c>
      <c r="G671" s="31" t="str">
        <f aca="false">Data!G671</f>
        <v>Can evaluate, restate and challenge arguments in professional or academic live online chat and discussion.</v>
      </c>
      <c r="H671" s="71" t="s">
        <v>2761</v>
      </c>
      <c r="I671" s="79" t="s">
        <v>3089</v>
      </c>
    </row>
    <row r="672" customFormat="false" ht="26.25" hidden="false" customHeight="true" outlineLevel="0" collapsed="false">
      <c r="A672" s="70" t="n">
        <f aca="false">Data!A672</f>
        <v>671</v>
      </c>
      <c r="B672" s="70" t="str">
        <f aca="false">IFERROR(INDEX(対訳マスタ!$C$2:$C$136,MATCH(Data!B672,対訳マスタ!$B$2:$B$136,0)),Data!B672)</f>
        <v>コミュニケーション言語活動</v>
      </c>
      <c r="C672" s="70" t="str">
        <f aca="false">IF(Data!C672="—","—",IFERROR(INDEX(対訳マスタ!$C$2:$C$136,MATCH(Data!C672,対訳マスタ!$B$2:$B$136,0)),Data!C672))</f>
        <v>相互行為</v>
      </c>
      <c r="D672" s="70" t="str">
        <f aca="false">IF(Data!D672="—","—",IFERROR(INDEX(対訳マスタ!$C$2:$C$136,MATCH(Data!D672,対訳マスタ!$B$2:$B$136,0)),Data!D672))</f>
        <v>オンラインの相互行為</v>
      </c>
      <c r="E672" s="70" t="str">
        <f aca="false">IFERROR(INDEX(対訳マスタ!$C$2:$C$136,MATCH(Data!E672,対訳マスタ!$B$2:$B$136,0)),Data!E672)</f>
        <v>オンラインの会話と議論</v>
      </c>
      <c r="F672" s="70" t="str">
        <f aca="false">Data!F672</f>
        <v>B2+</v>
      </c>
      <c r="G672" s="31" t="str">
        <f aca="false">Data!G672</f>
        <v>Can engage in online exchanges, linking their contributions to previous ones in the thread, understanding cultural implications and reacting appropriately.</v>
      </c>
      <c r="H672" s="71" t="s">
        <v>2760</v>
      </c>
      <c r="I672" s="79" t="s">
        <v>3089</v>
      </c>
    </row>
    <row r="673" customFormat="false" ht="32.25" hidden="false" customHeight="true" outlineLevel="0" collapsed="false">
      <c r="A673" s="70" t="n">
        <f aca="false">Data!A673</f>
        <v>672</v>
      </c>
      <c r="B673" s="70" t="str">
        <f aca="false">IFERROR(INDEX(対訳マスタ!$C$2:$C$136,MATCH(Data!B673,対訳マスタ!$B$2:$B$136,0)),Data!B673)</f>
        <v>コミュニケーション言語活動</v>
      </c>
      <c r="C673" s="70" t="str">
        <f aca="false">IF(Data!C673="—","—",IFERROR(INDEX(対訳マスタ!$C$2:$C$136,MATCH(Data!C673,対訳マスタ!$B$2:$B$136,0)),Data!C673))</f>
        <v>相互行為</v>
      </c>
      <c r="D673" s="70" t="str">
        <f aca="false">IF(Data!D673="—","—",IFERROR(INDEX(対訳マスタ!$C$2:$C$136,MATCH(Data!D673,対訳マスタ!$B$2:$B$136,0)),Data!D673))</f>
        <v>オンラインの相互行為</v>
      </c>
      <c r="E673" s="70" t="str">
        <f aca="false">IFERROR(INDEX(対訳マスタ!$C$2:$C$136,MATCH(Data!E673,対訳マスタ!$B$2:$B$136,0)),Data!E673)</f>
        <v>オンラインの会話と議論</v>
      </c>
      <c r="F673" s="70" t="str">
        <f aca="false">Data!F673</f>
        <v>B2</v>
      </c>
      <c r="G673" s="31" t="str">
        <f aca="false">Data!G673</f>
        <v>Can participate actively in an online discussion, stating and responding to opinions on topics of interest at some length, provided contributors avoid unusual or complex language and allow time for responses.</v>
      </c>
      <c r="H673" s="71" t="s">
        <v>3380</v>
      </c>
      <c r="I673" s="79" t="s">
        <v>3089</v>
      </c>
    </row>
    <row r="674" customFormat="false" ht="32.25" hidden="false" customHeight="true" outlineLevel="0" collapsed="false">
      <c r="A674" s="70" t="n">
        <f aca="false">Data!A674</f>
        <v>673</v>
      </c>
      <c r="B674" s="70" t="str">
        <f aca="false">IFERROR(INDEX(対訳マスタ!$C$2:$C$136,MATCH(Data!B674,対訳マスタ!$B$2:$B$136,0)),Data!B674)</f>
        <v>コミュニケーション言語活動</v>
      </c>
      <c r="C674" s="70" t="str">
        <f aca="false">IF(Data!C674="—","—",IFERROR(INDEX(対訳マスタ!$C$2:$C$136,MATCH(Data!C674,対訳マスタ!$B$2:$B$136,0)),Data!C674))</f>
        <v>相互行為</v>
      </c>
      <c r="D674" s="70" t="str">
        <f aca="false">IF(Data!D674="—","—",IFERROR(INDEX(対訳マスタ!$C$2:$C$136,MATCH(Data!D674,対訳マスタ!$B$2:$B$136,0)),Data!D674))</f>
        <v>オンラインの相互行為</v>
      </c>
      <c r="E674" s="70" t="str">
        <f aca="false">IFERROR(INDEX(対訳マスタ!$C$2:$C$136,MATCH(Data!E674,対訳マスタ!$B$2:$B$136,0)),Data!E674)</f>
        <v>オンラインの会話と議論</v>
      </c>
      <c r="F674" s="70" t="str">
        <f aca="false">Data!F674</f>
        <v>B2</v>
      </c>
      <c r="G674" s="31" t="str">
        <f aca="false">Data!G674</f>
        <v>Can engage in online exchanges between several participants, effectively linking their contributions to previous ones in the thread, provided a moderator helps manage the discussion.</v>
      </c>
      <c r="H674" s="71" t="s">
        <v>3381</v>
      </c>
      <c r="I674" s="79" t="s">
        <v>3089</v>
      </c>
    </row>
    <row r="675" customFormat="false" ht="26.25" hidden="false" customHeight="true" outlineLevel="0" collapsed="false">
      <c r="A675" s="70" t="n">
        <f aca="false">Data!A675</f>
        <v>674</v>
      </c>
      <c r="B675" s="70" t="str">
        <f aca="false">IFERROR(INDEX(対訳マスタ!$C$2:$C$136,MATCH(Data!B675,対訳マスタ!$B$2:$B$136,0)),Data!B675)</f>
        <v>コミュニケーション言語活動</v>
      </c>
      <c r="C675" s="70" t="str">
        <f aca="false">IF(Data!C675="—","—",IFERROR(INDEX(対訳マスタ!$C$2:$C$136,MATCH(Data!C675,対訳マスタ!$B$2:$B$136,0)),Data!C675))</f>
        <v>相互行為</v>
      </c>
      <c r="D675" s="70" t="str">
        <f aca="false">IF(Data!D675="—","—",IFERROR(INDEX(対訳マスタ!$C$2:$C$136,MATCH(Data!D675,対訳マスタ!$B$2:$B$136,0)),Data!D675))</f>
        <v>オンラインの相互行為</v>
      </c>
      <c r="E675" s="70" t="str">
        <f aca="false">IFERROR(INDEX(対訳マスタ!$C$2:$C$136,MATCH(Data!E675,対訳マスタ!$B$2:$B$136,0)),Data!E675)</f>
        <v>オンラインの会話と議論</v>
      </c>
      <c r="F675" s="70" t="str">
        <f aca="false">Data!F675</f>
        <v>B2</v>
      </c>
      <c r="G675" s="31" t="str">
        <f aca="false">Data!G675</f>
        <v>Can recognise misunderstandings and disagreements that arise in an online interaction and deal with them, provided the interlocutor(s) are willing to co-operate.</v>
      </c>
      <c r="H675" s="71" t="s">
        <v>2759</v>
      </c>
      <c r="I675" s="79" t="s">
        <v>3089</v>
      </c>
    </row>
    <row r="676" customFormat="false" ht="32.25" hidden="false" customHeight="true" outlineLevel="0" collapsed="false">
      <c r="A676" s="70" t="n">
        <f aca="false">Data!A676</f>
        <v>675</v>
      </c>
      <c r="B676" s="70" t="str">
        <f aca="false">IFERROR(INDEX(対訳マスタ!$C$2:$C$136,MATCH(Data!B676,対訳マスタ!$B$2:$B$136,0)),Data!B676)</f>
        <v>コミュニケーション言語活動</v>
      </c>
      <c r="C676" s="70" t="str">
        <f aca="false">IF(Data!C676="—","—",IFERROR(INDEX(対訳マスタ!$C$2:$C$136,MATCH(Data!C676,対訳マスタ!$B$2:$B$136,0)),Data!C676))</f>
        <v>相互行為</v>
      </c>
      <c r="D676" s="70" t="str">
        <f aca="false">IF(Data!D676="—","—",IFERROR(INDEX(対訳マスタ!$C$2:$C$136,MATCH(Data!D676,対訳マスタ!$B$2:$B$136,0)),Data!D676))</f>
        <v>オンラインの相互行為</v>
      </c>
      <c r="E676" s="70" t="str">
        <f aca="false">IFERROR(INDEX(対訳マスタ!$C$2:$C$136,MATCH(Data!E676,対訳マスタ!$B$2:$B$136,0)),Data!E676)</f>
        <v>オンラインの会話と議論</v>
      </c>
      <c r="F676" s="70" t="str">
        <f aca="false">Data!F676</f>
        <v>B1+</v>
      </c>
      <c r="G676" s="31" t="str">
        <f aca="false">Data!G676</f>
        <v>Can engage in real-time online exchanges with more than one participant, recognising the communicative intentions of each contributor, but may not understand details or implications without further explanation.</v>
      </c>
      <c r="H676" s="71" t="s">
        <v>3382</v>
      </c>
      <c r="I676" s="79" t="s">
        <v>3089</v>
      </c>
    </row>
    <row r="677" customFormat="false" ht="26.25" hidden="false" customHeight="true" outlineLevel="0" collapsed="false">
      <c r="A677" s="70" t="n">
        <f aca="false">Data!A677</f>
        <v>676</v>
      </c>
      <c r="B677" s="70" t="str">
        <f aca="false">IFERROR(INDEX(対訳マスタ!$C$2:$C$136,MATCH(Data!B677,対訳マスタ!$B$2:$B$136,0)),Data!B677)</f>
        <v>コミュニケーション言語活動</v>
      </c>
      <c r="C677" s="70" t="str">
        <f aca="false">IF(Data!C677="—","—",IFERROR(INDEX(対訳マスタ!$C$2:$C$136,MATCH(Data!C677,対訳マスタ!$B$2:$B$136,0)),Data!C677))</f>
        <v>相互行為</v>
      </c>
      <c r="D677" s="70" t="str">
        <f aca="false">IF(Data!D677="—","—",IFERROR(INDEX(対訳マスタ!$C$2:$C$136,MATCH(Data!D677,対訳マスタ!$B$2:$B$136,0)),Data!D677))</f>
        <v>オンラインの相互行為</v>
      </c>
      <c r="E677" s="70" t="str">
        <f aca="false">IFERROR(INDEX(対訳マスタ!$C$2:$C$136,MATCH(Data!E677,対訳マスタ!$B$2:$B$136,0)),Data!E677)</f>
        <v>オンラインの会話と議論</v>
      </c>
      <c r="F677" s="70" t="str">
        <f aca="false">Data!F677</f>
        <v>B1+</v>
      </c>
      <c r="G677" s="31" t="str">
        <f aca="false">Data!G677</f>
        <v>Can post online accounts of social events, experiences and activities referring to embedded links and media and sharing personal feelings.</v>
      </c>
      <c r="H677" s="71" t="s">
        <v>2758</v>
      </c>
      <c r="I677" s="79" t="s">
        <v>3089</v>
      </c>
    </row>
    <row r="678" customFormat="false" ht="32.25" hidden="false" customHeight="true" outlineLevel="0" collapsed="false">
      <c r="A678" s="70" t="n">
        <f aca="false">Data!A678</f>
        <v>677</v>
      </c>
      <c r="B678" s="70" t="str">
        <f aca="false">IFERROR(INDEX(対訳マスタ!$C$2:$C$136,MATCH(Data!B678,対訳マスタ!$B$2:$B$136,0)),Data!B678)</f>
        <v>コミュニケーション言語活動</v>
      </c>
      <c r="C678" s="70" t="str">
        <f aca="false">IF(Data!C678="—","—",IFERROR(INDEX(対訳マスタ!$C$2:$C$136,MATCH(Data!C678,対訳マスタ!$B$2:$B$136,0)),Data!C678))</f>
        <v>相互行為</v>
      </c>
      <c r="D678" s="70" t="str">
        <f aca="false">IF(Data!D678="—","—",IFERROR(INDEX(対訳マスタ!$C$2:$C$136,MATCH(Data!D678,対訳マスタ!$B$2:$B$136,0)),Data!D678))</f>
        <v>オンラインの相互行為</v>
      </c>
      <c r="E678" s="70" t="str">
        <f aca="false">IFERROR(INDEX(対訳マスタ!$C$2:$C$136,MATCH(Data!E678,対訳マスタ!$B$2:$B$136,0)),Data!E678)</f>
        <v>オンラインの会話と議論</v>
      </c>
      <c r="F678" s="70" t="str">
        <f aca="false">Data!F678</f>
        <v>B1</v>
      </c>
      <c r="G678" s="31" t="str">
        <f aca="false">Data!G678</f>
        <v>Can post a comprehensible contribution in an online discussion on a familiar topic of interest, provided they can prepare the text beforehand and use online tools to fill gaps in language and check accuracy.</v>
      </c>
      <c r="H678" s="71" t="s">
        <v>2757</v>
      </c>
      <c r="I678" s="79" t="s">
        <v>3089</v>
      </c>
    </row>
    <row r="679" customFormat="false" ht="32.25" hidden="false" customHeight="true" outlineLevel="0" collapsed="false">
      <c r="A679" s="70" t="n">
        <f aca="false">Data!A679</f>
        <v>678</v>
      </c>
      <c r="B679" s="70" t="str">
        <f aca="false">IFERROR(INDEX(対訳マスタ!$C$2:$C$136,MATCH(Data!B679,対訳マスタ!$B$2:$B$136,0)),Data!B679)</f>
        <v>コミュニケーション言語活動</v>
      </c>
      <c r="C679" s="70" t="str">
        <f aca="false">IF(Data!C679="—","—",IFERROR(INDEX(対訳マスタ!$C$2:$C$136,MATCH(Data!C679,対訳マスタ!$B$2:$B$136,0)),Data!C679))</f>
        <v>相互行為</v>
      </c>
      <c r="D679" s="70" t="str">
        <f aca="false">IF(Data!D679="—","—",IFERROR(INDEX(対訳マスタ!$C$2:$C$136,MATCH(Data!D679,対訳マスタ!$B$2:$B$136,0)),Data!D679))</f>
        <v>オンラインの相互行為</v>
      </c>
      <c r="E679" s="70" t="str">
        <f aca="false">IFERROR(INDEX(対訳マスタ!$C$2:$C$136,MATCH(Data!E679,対訳マスタ!$B$2:$B$136,0)),Data!E679)</f>
        <v>オンラインの会話と議論</v>
      </c>
      <c r="F679" s="70" t="str">
        <f aca="false">Data!F679</f>
        <v>B1</v>
      </c>
      <c r="G679" s="31" t="str">
        <f aca="false">Data!G679</f>
        <v>Can make personal online postings about experiences, feelings and events and respond individually to the comments of others in some detail, though lexical limitations sometimes cause repetition and inappropriate formulation.</v>
      </c>
      <c r="H679" s="71" t="s">
        <v>3383</v>
      </c>
      <c r="I679" s="79" t="s">
        <v>3089</v>
      </c>
    </row>
    <row r="680" customFormat="false" ht="32.25" hidden="false" customHeight="true" outlineLevel="0" collapsed="false">
      <c r="A680" s="70" t="n">
        <f aca="false">Data!A680</f>
        <v>679</v>
      </c>
      <c r="B680" s="70" t="str">
        <f aca="false">IFERROR(INDEX(対訳マスタ!$C$2:$C$136,MATCH(Data!B680,対訳マスタ!$B$2:$B$136,0)),Data!B680)</f>
        <v>コミュニケーション言語活動</v>
      </c>
      <c r="C680" s="70" t="str">
        <f aca="false">IF(Data!C680="—","—",IFERROR(INDEX(対訳マスタ!$C$2:$C$136,MATCH(Data!C680,対訳マスタ!$B$2:$B$136,0)),Data!C680))</f>
        <v>相互行為</v>
      </c>
      <c r="D680" s="70" t="str">
        <f aca="false">IF(Data!D680="—","—",IFERROR(INDEX(対訳マスタ!$C$2:$C$136,MATCH(Data!D680,対訳マスタ!$B$2:$B$136,0)),Data!D680))</f>
        <v>オンラインの相互行為</v>
      </c>
      <c r="E680" s="70" t="str">
        <f aca="false">IFERROR(INDEX(対訳マスタ!$C$2:$C$136,MATCH(Data!E680,対訳マスタ!$B$2:$B$136,0)),Data!E680)</f>
        <v>オンラインの会話と議論</v>
      </c>
      <c r="F680" s="70" t="str">
        <f aca="false">Data!F680</f>
        <v>A2+</v>
      </c>
      <c r="G680" s="31" t="str">
        <f aca="false">Data!G680</f>
        <v>Can introduce themselves and manage simple exchanges online, asking and answering questions and exchanging ideas on predictable everyday topics, provided enough time is allowed to formulate responses, and that they interact with one interlocutor at a time.</v>
      </c>
      <c r="H680" s="71" t="s">
        <v>3384</v>
      </c>
      <c r="I680" s="79" t="s">
        <v>3089</v>
      </c>
    </row>
    <row r="681" customFormat="false" ht="26.25" hidden="false" customHeight="true" outlineLevel="0" collapsed="false">
      <c r="A681" s="70" t="n">
        <f aca="false">Data!A681</f>
        <v>680</v>
      </c>
      <c r="B681" s="70" t="str">
        <f aca="false">IFERROR(INDEX(対訳マスタ!$C$2:$C$136,MATCH(Data!B681,対訳マスタ!$B$2:$B$136,0)),Data!B681)</f>
        <v>コミュニケーション言語活動</v>
      </c>
      <c r="C681" s="70" t="str">
        <f aca="false">IF(Data!C681="—","—",IFERROR(INDEX(対訳マスタ!$C$2:$C$136,MATCH(Data!C681,対訳マスタ!$B$2:$B$136,0)),Data!C681))</f>
        <v>相互行為</v>
      </c>
      <c r="D681" s="70" t="str">
        <f aca="false">IF(Data!D681="—","—",IFERROR(INDEX(対訳マスタ!$C$2:$C$136,MATCH(Data!D681,対訳マスタ!$B$2:$B$136,0)),Data!D681))</f>
        <v>オンラインの相互行為</v>
      </c>
      <c r="E681" s="70" t="str">
        <f aca="false">IFERROR(INDEX(対訳マスタ!$C$2:$C$136,MATCH(Data!E681,対訳マスタ!$B$2:$B$136,0)),Data!E681)</f>
        <v>オンラインの会話と議論</v>
      </c>
      <c r="F681" s="70" t="str">
        <f aca="false">Data!F681</f>
        <v>A2+</v>
      </c>
      <c r="G681" s="31" t="str">
        <f aca="false">Data!G681</f>
        <v>Can make short descriptive online postings about everyday matters, social activities and feelings, with simple key details.</v>
      </c>
      <c r="H681" s="71" t="s">
        <v>2756</v>
      </c>
      <c r="I681" s="79" t="s">
        <v>3089</v>
      </c>
    </row>
    <row r="682" customFormat="false" ht="32.25" hidden="false" customHeight="true" outlineLevel="0" collapsed="false">
      <c r="A682" s="70" t="n">
        <f aca="false">Data!A682</f>
        <v>681</v>
      </c>
      <c r="B682" s="70" t="str">
        <f aca="false">IFERROR(INDEX(対訳マスタ!$C$2:$C$136,MATCH(Data!B682,対訳マスタ!$B$2:$B$136,0)),Data!B682)</f>
        <v>コミュニケーション言語活動</v>
      </c>
      <c r="C682" s="70" t="str">
        <f aca="false">IF(Data!C682="—","—",IFERROR(INDEX(対訳マスタ!$C$2:$C$136,MATCH(Data!C682,対訳マスタ!$B$2:$B$136,0)),Data!C682))</f>
        <v>相互行為</v>
      </c>
      <c r="D682" s="70" t="str">
        <f aca="false">IF(Data!D682="—","—",IFERROR(INDEX(対訳マスタ!$C$2:$C$136,MATCH(Data!D682,対訳マスタ!$B$2:$B$136,0)),Data!D682))</f>
        <v>オンラインの相互行為</v>
      </c>
      <c r="E682" s="70" t="str">
        <f aca="false">IFERROR(INDEX(対訳マスタ!$C$2:$C$136,MATCH(Data!E682,対訳マスタ!$B$2:$B$136,0)),Data!E682)</f>
        <v>オンラインの会話と議論</v>
      </c>
      <c r="F682" s="70" t="str">
        <f aca="false">Data!F682</f>
        <v>A2+</v>
      </c>
      <c r="G682" s="31" t="str">
        <f aca="false">Data!G682</f>
        <v>Can comment on other people’s online postings, provided they are written/signed in simple language, reacting to embedded media by expressing feelings of surprise, interest and indifference in a simple way.</v>
      </c>
      <c r="H682" s="71" t="s">
        <v>3385</v>
      </c>
      <c r="I682" s="79" t="s">
        <v>3089</v>
      </c>
    </row>
    <row r="683" customFormat="false" ht="26.25" hidden="false" customHeight="true" outlineLevel="0" collapsed="false">
      <c r="A683" s="70" t="n">
        <f aca="false">Data!A683</f>
        <v>682</v>
      </c>
      <c r="B683" s="70" t="str">
        <f aca="false">IFERROR(INDEX(対訳マスタ!$C$2:$C$136,MATCH(Data!B683,対訳マスタ!$B$2:$B$136,0)),Data!B683)</f>
        <v>コミュニケーション言語活動</v>
      </c>
      <c r="C683" s="70" t="str">
        <f aca="false">IF(Data!C683="—","—",IFERROR(INDEX(対訳マスタ!$C$2:$C$136,MATCH(Data!C683,対訳マスタ!$B$2:$B$136,0)),Data!C683))</f>
        <v>相互行為</v>
      </c>
      <c r="D683" s="70" t="str">
        <f aca="false">IF(Data!D683="—","—",IFERROR(INDEX(対訳マスタ!$C$2:$C$136,MATCH(Data!D683,対訳マスタ!$B$2:$B$136,0)),Data!D683))</f>
        <v>オンラインの相互行為</v>
      </c>
      <c r="E683" s="70" t="str">
        <f aca="false">IFERROR(INDEX(対訳マスタ!$C$2:$C$136,MATCH(Data!E683,対訳マスタ!$B$2:$B$136,0)),Data!E683)</f>
        <v>オンラインの会話と議論</v>
      </c>
      <c r="F683" s="70" t="str">
        <f aca="false">Data!F683</f>
        <v>A2</v>
      </c>
      <c r="G683" s="31" t="str">
        <f aca="false">Data!G683</f>
        <v>Can engage in basic social communication online (e.g. a simple message on a virtual card for special occasions, sharing news and making/confirming arrangements to meet).</v>
      </c>
      <c r="H683" s="71" t="s">
        <v>2755</v>
      </c>
      <c r="I683" s="79" t="s">
        <v>3089</v>
      </c>
    </row>
    <row r="684" customFormat="false" ht="32.25" hidden="false" customHeight="true" outlineLevel="0" collapsed="false">
      <c r="A684" s="70" t="n">
        <f aca="false">Data!A684</f>
        <v>683</v>
      </c>
      <c r="B684" s="70" t="str">
        <f aca="false">IFERROR(INDEX(対訳マスタ!$C$2:$C$136,MATCH(Data!B684,対訳マスタ!$B$2:$B$136,0)),Data!B684)</f>
        <v>コミュニケーション言語活動</v>
      </c>
      <c r="C684" s="70" t="str">
        <f aca="false">IF(Data!C684="—","—",IFERROR(INDEX(対訳マスタ!$C$2:$C$136,MATCH(Data!C684,対訳マスタ!$B$2:$B$136,0)),Data!C684))</f>
        <v>相互行為</v>
      </c>
      <c r="D684" s="70" t="str">
        <f aca="false">IF(Data!D684="—","—",IFERROR(INDEX(対訳マスタ!$C$2:$C$136,MATCH(Data!D684,対訳マスタ!$B$2:$B$136,0)),Data!D684))</f>
        <v>オンラインの相互行為</v>
      </c>
      <c r="E684" s="70" t="str">
        <f aca="false">IFERROR(INDEX(対訳マスタ!$C$2:$C$136,MATCH(Data!E684,対訳マスタ!$B$2:$B$136,0)),Data!E684)</f>
        <v>オンラインの会話と議論</v>
      </c>
      <c r="F684" s="70" t="str">
        <f aca="false">Data!F684</f>
        <v>A2</v>
      </c>
      <c r="G684" s="31" t="str">
        <f aca="false">Data!G684</f>
        <v>Can make brief positive or negative comments online about embedded links and media using a repertoire of basic language, though they will generally have to refer to an online translation tool and other resources.</v>
      </c>
      <c r="H684" s="71" t="s">
        <v>3386</v>
      </c>
      <c r="I684" s="79" t="s">
        <v>3089</v>
      </c>
    </row>
    <row r="685" customFormat="false" ht="26.25" hidden="false" customHeight="true" outlineLevel="0" collapsed="false">
      <c r="A685" s="70" t="n">
        <f aca="false">Data!A685</f>
        <v>684</v>
      </c>
      <c r="B685" s="70" t="str">
        <f aca="false">IFERROR(INDEX(対訳マスタ!$C$2:$C$136,MATCH(Data!B685,対訳マスタ!$B$2:$B$136,0)),Data!B685)</f>
        <v>コミュニケーション言語活動</v>
      </c>
      <c r="C685" s="70" t="str">
        <f aca="false">IF(Data!C685="—","—",IFERROR(INDEX(対訳マスタ!$C$2:$C$136,MATCH(Data!C685,対訳マスタ!$B$2:$B$136,0)),Data!C685))</f>
        <v>相互行為</v>
      </c>
      <c r="D685" s="70" t="str">
        <f aca="false">IF(Data!D685="—","—",IFERROR(INDEX(対訳マスタ!$C$2:$C$136,MATCH(Data!D685,対訳マスタ!$B$2:$B$136,0)),Data!D685))</f>
        <v>オンラインの相互行為</v>
      </c>
      <c r="E685" s="70" t="str">
        <f aca="false">IFERROR(INDEX(対訳マスタ!$C$2:$C$136,MATCH(Data!E685,対訳マスタ!$B$2:$B$136,0)),Data!E685)</f>
        <v>オンラインの会話と議論</v>
      </c>
      <c r="F685" s="70" t="str">
        <f aca="false">Data!F685</f>
        <v>A1</v>
      </c>
      <c r="G685" s="31" t="str">
        <f aca="false">Data!G685</f>
        <v>Can formulate very simple messages and personal online postings as a series of very short sentences about hobbies, likes/dislikes, etc., relying on the aid of a translation tool.</v>
      </c>
      <c r="H685" s="71" t="s">
        <v>2754</v>
      </c>
      <c r="I685" s="79" t="s">
        <v>3089</v>
      </c>
    </row>
    <row r="686" customFormat="false" ht="42.75" hidden="false" customHeight="true" outlineLevel="0" collapsed="false">
      <c r="A686" s="70" t="n">
        <f aca="false">Data!A686</f>
        <v>685</v>
      </c>
      <c r="B686" s="70" t="str">
        <f aca="false">IFERROR(INDEX(対訳マスタ!$C$2:$C$136,MATCH(Data!B686,対訳マスタ!$B$2:$B$136,0)),Data!B686)</f>
        <v>コミュニケーション言語活動</v>
      </c>
      <c r="C686" s="70" t="str">
        <f aca="false">IF(Data!C686="—","—",IFERROR(INDEX(対訳マスタ!$C$2:$C$136,MATCH(Data!C686,対訳マスタ!$B$2:$B$136,0)),Data!C686))</f>
        <v>相互行為</v>
      </c>
      <c r="D686" s="70" t="str">
        <f aca="false">IF(Data!D686="—","—",IFERROR(INDEX(対訳マスタ!$C$2:$C$136,MATCH(Data!D686,対訳マスタ!$B$2:$B$136,0)),Data!D686))</f>
        <v>オンラインの相互行為</v>
      </c>
      <c r="E686" s="70" t="str">
        <f aca="false">IFERROR(INDEX(対訳マスタ!$C$2:$C$136,MATCH(Data!E686,対訳マスタ!$B$2:$B$136,0)),Data!E686)</f>
        <v>オンラインの会話と議論</v>
      </c>
      <c r="F686" s="70" t="str">
        <f aca="false">Data!F686</f>
        <v>A1</v>
      </c>
      <c r="G686" s="31" t="str">
        <f aca="false">Data!G686</f>
        <v>Can use formulaic expressions and combinations of simple words/signs to post short positive and negative reactions to simple online postings and their embedded links and media, and can respond to further comments with standard expressions of thanks and apology.</v>
      </c>
      <c r="H686" s="71" t="s">
        <v>3387</v>
      </c>
      <c r="I686" s="79" t="s">
        <v>3089</v>
      </c>
    </row>
    <row r="687" customFormat="false" ht="15" hidden="false" customHeight="true" outlineLevel="0" collapsed="false">
      <c r="A687" s="70" t="n">
        <f aca="false">Data!A687</f>
        <v>686</v>
      </c>
      <c r="B687" s="70" t="str">
        <f aca="false">IFERROR(INDEX(対訳マスタ!$C$2:$C$136,MATCH(Data!B687,対訳マスタ!$B$2:$B$136,0)),Data!B687)</f>
        <v>コミュニケーション言語活動</v>
      </c>
      <c r="C687" s="70" t="str">
        <f aca="false">IF(Data!C687="—","—",IFERROR(INDEX(対訳マスタ!$C$2:$C$136,MATCH(Data!C687,対訳マスタ!$B$2:$B$136,0)),Data!C687))</f>
        <v>相互行為</v>
      </c>
      <c r="D687" s="70" t="str">
        <f aca="false">IF(Data!D687="—","—",IFERROR(INDEX(対訳マスタ!$C$2:$C$136,MATCH(Data!D687,対訳マスタ!$B$2:$B$136,0)),Data!D687))</f>
        <v>オンラインの相互行為</v>
      </c>
      <c r="E687" s="70" t="str">
        <f aca="false">IFERROR(INDEX(対訳マスタ!$C$2:$C$136,MATCH(Data!E687,対訳マスタ!$B$2:$B$136,0)),Data!E687)</f>
        <v>オンラインの会話と議論</v>
      </c>
      <c r="F687" s="70" t="str">
        <f aca="false">Data!F687</f>
        <v>Pre-A1</v>
      </c>
      <c r="G687" s="31" t="str">
        <f aca="false">Data!G687</f>
        <v>Can post simple online greetings, using basic formulaic expressions and emoticons.</v>
      </c>
      <c r="H687" s="71" t="s">
        <v>2753</v>
      </c>
      <c r="I687" s="79" t="s">
        <v>3089</v>
      </c>
    </row>
    <row r="688" customFormat="false" ht="32.25" hidden="false" customHeight="true" outlineLevel="0" collapsed="false">
      <c r="A688" s="70" t="n">
        <f aca="false">Data!A688</f>
        <v>687</v>
      </c>
      <c r="B688" s="70" t="str">
        <f aca="false">IFERROR(INDEX(対訳マスタ!$C$2:$C$136,MATCH(Data!B688,対訳マスタ!$B$2:$B$136,0)),Data!B688)</f>
        <v>コミュニケーション言語活動</v>
      </c>
      <c r="C688" s="70" t="str">
        <f aca="false">IF(Data!C688="—","—",IFERROR(INDEX(対訳マスタ!$C$2:$C$136,MATCH(Data!C688,対訳マスタ!$B$2:$B$136,0)),Data!C688))</f>
        <v>相互行為</v>
      </c>
      <c r="D688" s="70" t="str">
        <f aca="false">IF(Data!D688="—","—",IFERROR(INDEX(対訳マスタ!$C$2:$C$136,MATCH(Data!D688,対訳マスタ!$B$2:$B$136,0)),Data!D688))</f>
        <v>オンラインの相互行為</v>
      </c>
      <c r="E688" s="70" t="str">
        <f aca="false">IFERROR(INDEX(対訳マスタ!$C$2:$C$136,MATCH(Data!E688,対訳マスタ!$B$2:$B$136,0)),Data!E688)</f>
        <v>オンラインの会話と議論</v>
      </c>
      <c r="F688" s="70" t="str">
        <f aca="false">Data!F688</f>
        <v>Pre-A1</v>
      </c>
      <c r="G688" s="31" t="str">
        <f aca="false">Data!G688</f>
        <v>Can post online short simple statements about themselves (e.g. relationship status, nationality, occupation), provided they can select them from a menu and/or refer to an online translation tool.</v>
      </c>
      <c r="H688" s="71" t="s">
        <v>3388</v>
      </c>
      <c r="I688" s="79" t="s">
        <v>3089</v>
      </c>
    </row>
    <row r="689" customFormat="false" ht="21.75" hidden="false" customHeight="true" outlineLevel="0" collapsed="false">
      <c r="A689" s="70" t="n">
        <f aca="false">Data!A689</f>
        <v>688</v>
      </c>
      <c r="B689" s="70" t="str">
        <f aca="false">IFERROR(INDEX(対訳マスタ!$C$2:$C$136,MATCH(Data!B689,対訳マスタ!$B$2:$B$136,0)),Data!B689)</f>
        <v>コミュニケーション言語活動</v>
      </c>
      <c r="C689" s="70" t="str">
        <f aca="false">IF(Data!C689="—","—",IFERROR(INDEX(対訳マスタ!$C$2:$C$136,MATCH(Data!C689,対訳マスタ!$B$2:$B$136,0)),Data!C689))</f>
        <v>相互行為</v>
      </c>
      <c r="D689" s="70" t="str">
        <f aca="false">IF(Data!D689="—","—",IFERROR(INDEX(対訳マスタ!$C$2:$C$136,MATCH(Data!D689,対訳マスタ!$B$2:$B$136,0)),Data!D689))</f>
        <v>オンラインの相互行為</v>
      </c>
      <c r="E689" s="70" t="str">
        <f aca="false">IFERROR(INDEX(対訳マスタ!$C$2:$C$136,MATCH(Data!E689,対訳マスタ!$B$2:$B$136,0)),Data!E689)</f>
        <v>目的のあるオンライン取引・協働</v>
      </c>
      <c r="F689" s="70" t="str">
        <f aca="false">Data!F689</f>
        <v>C2</v>
      </c>
      <c r="G689" s="31" t="str">
        <f aca="false">Data!G689</f>
        <v>Can resolve misunderstandings and deal effectively with frictions that arise during the collaborative process.</v>
      </c>
      <c r="H689" s="71" t="s">
        <v>2772</v>
      </c>
      <c r="I689" s="79" t="s">
        <v>3089</v>
      </c>
    </row>
    <row r="690" customFormat="false" ht="21.75" hidden="false" customHeight="true" outlineLevel="0" collapsed="false">
      <c r="A690" s="70" t="n">
        <f aca="false">Data!A690</f>
        <v>689</v>
      </c>
      <c r="B690" s="70" t="str">
        <f aca="false">IFERROR(INDEX(対訳マスタ!$C$2:$C$136,MATCH(Data!B690,対訳マスタ!$B$2:$B$136,0)),Data!B690)</f>
        <v>コミュニケーション言語活動</v>
      </c>
      <c r="C690" s="70" t="str">
        <f aca="false">IF(Data!C690="—","—",IFERROR(INDEX(対訳マスタ!$C$2:$C$136,MATCH(Data!C690,対訳マスタ!$B$2:$B$136,0)),Data!C690))</f>
        <v>相互行為</v>
      </c>
      <c r="D690" s="70" t="str">
        <f aca="false">IF(Data!D690="—","—",IFERROR(INDEX(対訳マスタ!$C$2:$C$136,MATCH(Data!D690,対訳マスタ!$B$2:$B$136,0)),Data!D690))</f>
        <v>オンラインの相互行為</v>
      </c>
      <c r="E690" s="70" t="str">
        <f aca="false">IFERROR(INDEX(対訳マスタ!$C$2:$C$136,MATCH(Data!E690,対訳マスタ!$B$2:$B$136,0)),Data!E690)</f>
        <v>目的のあるオンライン取引・協働</v>
      </c>
      <c r="F690" s="70" t="str">
        <f aca="false">Data!F690</f>
        <v>C2</v>
      </c>
      <c r="G690" s="31" t="str">
        <f aca="false">Data!G690</f>
        <v>Can provide guidance and add precision to the work of a group at the redrafting and editing stages of collaborative work.</v>
      </c>
      <c r="H690" s="71" t="s">
        <v>3389</v>
      </c>
      <c r="I690" s="79" t="s">
        <v>3089</v>
      </c>
    </row>
    <row r="691" customFormat="false" ht="32.25" hidden="false" customHeight="true" outlineLevel="0" collapsed="false">
      <c r="A691" s="70" t="n">
        <f aca="false">Data!A691</f>
        <v>690</v>
      </c>
      <c r="B691" s="70" t="str">
        <f aca="false">IFERROR(INDEX(対訳マスタ!$C$2:$C$136,MATCH(Data!B691,対訳マスタ!$B$2:$B$136,0)),Data!B691)</f>
        <v>コミュニケーション言語活動</v>
      </c>
      <c r="C691" s="70" t="str">
        <f aca="false">IF(Data!C691="—","—",IFERROR(INDEX(対訳マスタ!$C$2:$C$136,MATCH(Data!C691,対訳マスタ!$B$2:$B$136,0)),Data!C691))</f>
        <v>相互行為</v>
      </c>
      <c r="D691" s="70" t="str">
        <f aca="false">IF(Data!D691="—","—",IFERROR(INDEX(対訳マスタ!$C$2:$C$136,MATCH(Data!D691,対訳マスタ!$B$2:$B$136,0)),Data!D691))</f>
        <v>オンラインの相互行為</v>
      </c>
      <c r="E691" s="70" t="str">
        <f aca="false">IFERROR(INDEX(対訳マスタ!$C$2:$C$136,MATCH(Data!E691,対訳マスタ!$B$2:$B$136,0)),Data!E691)</f>
        <v>目的のあるオンライン取引・協働</v>
      </c>
      <c r="F691" s="70" t="str">
        <f aca="false">Data!F691</f>
        <v>C1</v>
      </c>
      <c r="G691" s="31" t="str">
        <f aca="false">Data!G691</f>
        <v>Can co-ordinate a group that is working on a project online, formulating and revising detailed instructions, evaluating proposals from team members, and providing clarifications in order to accomplish the shared tasks.</v>
      </c>
      <c r="H691" s="71" t="s">
        <v>3390</v>
      </c>
      <c r="I691" s="79" t="s">
        <v>3089</v>
      </c>
    </row>
    <row r="692" customFormat="false" ht="32.25" hidden="false" customHeight="true" outlineLevel="0" collapsed="false">
      <c r="A692" s="70" t="n">
        <f aca="false">Data!A692</f>
        <v>691</v>
      </c>
      <c r="B692" s="70" t="str">
        <f aca="false">IFERROR(INDEX(対訳マスタ!$C$2:$C$136,MATCH(Data!B692,対訳マスタ!$B$2:$B$136,0)),Data!B692)</f>
        <v>コミュニケーション言語活動</v>
      </c>
      <c r="C692" s="70" t="str">
        <f aca="false">IF(Data!C692="—","—",IFERROR(INDEX(対訳マスタ!$C$2:$C$136,MATCH(Data!C692,対訳マスタ!$B$2:$B$136,0)),Data!C692))</f>
        <v>相互行為</v>
      </c>
      <c r="D692" s="70" t="str">
        <f aca="false">IF(Data!D692="—","—",IFERROR(INDEX(対訳マスタ!$C$2:$C$136,MATCH(Data!D692,対訳マスタ!$B$2:$B$136,0)),Data!D692))</f>
        <v>オンラインの相互行為</v>
      </c>
      <c r="E692" s="70" t="str">
        <f aca="false">IFERROR(INDEX(対訳マスタ!$C$2:$C$136,MATCH(Data!E692,対訳マスタ!$B$2:$B$136,0)),Data!E692)</f>
        <v>目的のあるオンライン取引・協働</v>
      </c>
      <c r="F692" s="70" t="str">
        <f aca="false">Data!F692</f>
        <v>C1</v>
      </c>
      <c r="G692" s="31" t="str">
        <f aca="false">Data!G692</f>
        <v>Can deal with complex online transactions in a service role (e.g. applications with complicated requirements), adjusting language flexibly to manage discussions and negotiations.</v>
      </c>
      <c r="H692" s="71" t="s">
        <v>2771</v>
      </c>
      <c r="I692" s="79" t="s">
        <v>3089</v>
      </c>
    </row>
    <row r="693" customFormat="false" ht="32.25" hidden="false" customHeight="true" outlineLevel="0" collapsed="false">
      <c r="A693" s="70" t="n">
        <f aca="false">Data!A693</f>
        <v>692</v>
      </c>
      <c r="B693" s="70" t="str">
        <f aca="false">IFERROR(INDEX(対訳マスタ!$C$2:$C$136,MATCH(Data!B693,対訳マスタ!$B$2:$B$136,0)),Data!B693)</f>
        <v>コミュニケーション言語活動</v>
      </c>
      <c r="C693" s="70" t="str">
        <f aca="false">IF(Data!C693="—","—",IFERROR(INDEX(対訳マスタ!$C$2:$C$136,MATCH(Data!C693,対訳マスタ!$B$2:$B$136,0)),Data!C693))</f>
        <v>相互行為</v>
      </c>
      <c r="D693" s="70" t="str">
        <f aca="false">IF(Data!D693="—","—",IFERROR(INDEX(対訳マスタ!$C$2:$C$136,MATCH(Data!D693,対訳マスタ!$B$2:$B$136,0)),Data!D693))</f>
        <v>オンラインの相互行為</v>
      </c>
      <c r="E693" s="70" t="str">
        <f aca="false">IFERROR(INDEX(対訳マスタ!$C$2:$C$136,MATCH(Data!E693,対訳マスタ!$B$2:$B$136,0)),Data!E693)</f>
        <v>目的のあるオンライン取引・協働</v>
      </c>
      <c r="F693" s="70" t="str">
        <f aca="false">Data!F693</f>
        <v>C1</v>
      </c>
      <c r="G693" s="31" t="str">
        <f aca="false">Data!G693</f>
        <v>Can participate in complex projects requiring collaborative writing and redrafting as well as other forms of online collaboration, following and relaying instructions with precision in order to reach the goal.</v>
      </c>
      <c r="H693" s="71" t="s">
        <v>3391</v>
      </c>
      <c r="I693" s="79" t="s">
        <v>3089</v>
      </c>
    </row>
    <row r="694" customFormat="false" ht="32.25" hidden="false" customHeight="true" outlineLevel="0" collapsed="false">
      <c r="A694" s="70" t="n">
        <f aca="false">Data!A694</f>
        <v>693</v>
      </c>
      <c r="B694" s="70" t="str">
        <f aca="false">IFERROR(INDEX(対訳マスタ!$C$2:$C$136,MATCH(Data!B694,対訳マスタ!$B$2:$B$136,0)),Data!B694)</f>
        <v>コミュニケーション言語活動</v>
      </c>
      <c r="C694" s="70" t="str">
        <f aca="false">IF(Data!C694="—","—",IFERROR(INDEX(対訳マスタ!$C$2:$C$136,MATCH(Data!C694,対訳マスタ!$B$2:$B$136,0)),Data!C694))</f>
        <v>相互行為</v>
      </c>
      <c r="D694" s="70" t="str">
        <f aca="false">IF(Data!D694="—","—",IFERROR(INDEX(対訳マスタ!$C$2:$C$136,MATCH(Data!D694,対訳マスタ!$B$2:$B$136,0)),Data!D694))</f>
        <v>オンラインの相互行為</v>
      </c>
      <c r="E694" s="70" t="str">
        <f aca="false">IFERROR(INDEX(対訳マスタ!$C$2:$C$136,MATCH(Data!E694,対訳マスタ!$B$2:$B$136,0)),Data!E694)</f>
        <v>目的のあるオンライン取引・協働</v>
      </c>
      <c r="F694" s="70" t="str">
        <f aca="false">Data!F694</f>
        <v>C1</v>
      </c>
      <c r="G694" s="31" t="str">
        <f aca="false">Data!G694</f>
        <v>Can deal effectively with communication problems and cultural issues that arise in an online collaborative or transactional exchange by reformulating, clarifying and providing examples through media (visual, audio, graphic).</v>
      </c>
      <c r="H694" s="71" t="s">
        <v>3392</v>
      </c>
      <c r="I694" s="79" t="s">
        <v>3089</v>
      </c>
    </row>
    <row r="695" customFormat="false" ht="32.25" hidden="false" customHeight="true" outlineLevel="0" collapsed="false">
      <c r="A695" s="70" t="n">
        <f aca="false">Data!A695</f>
        <v>694</v>
      </c>
      <c r="B695" s="70" t="str">
        <f aca="false">IFERROR(INDEX(対訳マスタ!$C$2:$C$136,MATCH(Data!B695,対訳マスタ!$B$2:$B$136,0)),Data!B695)</f>
        <v>コミュニケーション言語活動</v>
      </c>
      <c r="C695" s="70" t="str">
        <f aca="false">IF(Data!C695="—","—",IFERROR(INDEX(対訳マスタ!$C$2:$C$136,MATCH(Data!C695,対訳マスタ!$B$2:$B$136,0)),Data!C695))</f>
        <v>相互行為</v>
      </c>
      <c r="D695" s="70" t="str">
        <f aca="false">IF(Data!D695="—","—",IFERROR(INDEX(対訳マスタ!$C$2:$C$136,MATCH(Data!D695,対訳マスタ!$B$2:$B$136,0)),Data!D695))</f>
        <v>オンラインの相互行為</v>
      </c>
      <c r="E695" s="70" t="str">
        <f aca="false">IFERROR(INDEX(対訳マスタ!$C$2:$C$136,MATCH(Data!E695,対訳マスタ!$B$2:$B$136,0)),Data!E695)</f>
        <v>目的のあるオンライン取引・協働</v>
      </c>
      <c r="F695" s="70" t="str">
        <f aca="false">Data!F695</f>
        <v>B2+</v>
      </c>
      <c r="G695" s="31" t="str">
        <f aca="false">Data!G695</f>
        <v>Can take a lead role in online collaborative work within their area(s) of expertise, keeping the group on task by reminding it of roles, responsibilities and deadlines in order to achieve established goals.</v>
      </c>
      <c r="H695" s="71" t="s">
        <v>3393</v>
      </c>
      <c r="I695" s="79" t="s">
        <v>3089</v>
      </c>
    </row>
    <row r="696" customFormat="false" ht="32.25" hidden="false" customHeight="true" outlineLevel="0" collapsed="false">
      <c r="A696" s="70" t="n">
        <f aca="false">Data!A696</f>
        <v>695</v>
      </c>
      <c r="B696" s="70" t="str">
        <f aca="false">IFERROR(INDEX(対訳マスタ!$C$2:$C$136,MATCH(Data!B696,対訳マスタ!$B$2:$B$136,0)),Data!B696)</f>
        <v>コミュニケーション言語活動</v>
      </c>
      <c r="C696" s="70" t="str">
        <f aca="false">IF(Data!C696="—","—",IFERROR(INDEX(対訳マスタ!$C$2:$C$136,MATCH(Data!C696,対訳マスタ!$B$2:$B$136,0)),Data!C696))</f>
        <v>相互行為</v>
      </c>
      <c r="D696" s="70" t="str">
        <f aca="false">IF(Data!D696="—","—",IFERROR(INDEX(対訳マスタ!$C$2:$C$136,MATCH(Data!D696,対訳マスタ!$B$2:$B$136,0)),Data!D696))</f>
        <v>オンラインの相互行為</v>
      </c>
      <c r="E696" s="70" t="str">
        <f aca="false">IFERROR(INDEX(対訳マスタ!$C$2:$C$136,MATCH(Data!E696,対訳マスタ!$B$2:$B$136,0)),Data!E696)</f>
        <v>目的のあるオンライン取引・協働</v>
      </c>
      <c r="F696" s="70" t="str">
        <f aca="false">Data!F696</f>
        <v>B2+</v>
      </c>
      <c r="G696" s="31" t="str">
        <f aca="false">Data!G696</f>
        <v>Can engage in online collaborative or transactional exchanges within their area(s) of expertise that require negotiation of conditions and explanation of complicated details and special requirements.</v>
      </c>
      <c r="H696" s="71" t="s">
        <v>3394</v>
      </c>
      <c r="I696" s="79" t="s">
        <v>3089</v>
      </c>
    </row>
    <row r="697" customFormat="false" ht="32.25" hidden="false" customHeight="true" outlineLevel="0" collapsed="false">
      <c r="A697" s="70" t="n">
        <f aca="false">Data!A697</f>
        <v>696</v>
      </c>
      <c r="B697" s="70" t="str">
        <f aca="false">IFERROR(INDEX(対訳マスタ!$C$2:$C$136,MATCH(Data!B697,対訳マスタ!$B$2:$B$136,0)),Data!B697)</f>
        <v>コミュニケーション言語活動</v>
      </c>
      <c r="C697" s="70" t="str">
        <f aca="false">IF(Data!C697="—","—",IFERROR(INDEX(対訳マスタ!$C$2:$C$136,MATCH(Data!C697,対訳マスタ!$B$2:$B$136,0)),Data!C697))</f>
        <v>相互行為</v>
      </c>
      <c r="D697" s="70" t="str">
        <f aca="false">IF(Data!D697="—","—",IFERROR(INDEX(対訳マスタ!$C$2:$C$136,MATCH(Data!D697,対訳マスタ!$B$2:$B$136,0)),Data!D697))</f>
        <v>オンラインの相互行為</v>
      </c>
      <c r="E697" s="70" t="str">
        <f aca="false">IFERROR(INDEX(対訳マスタ!$C$2:$C$136,MATCH(Data!E697,対訳マスタ!$B$2:$B$136,0)),Data!E697)</f>
        <v>目的のあるオンライン取引・協働</v>
      </c>
      <c r="F697" s="70" t="str">
        <f aca="false">Data!F697</f>
        <v>B2+</v>
      </c>
      <c r="G697" s="31" t="str">
        <f aca="false">Data!G697</f>
        <v>Can deal with misunderstandings and unexpected problems that arise in online collaborative or transactional exchanges by responding politely and appropriately in order to help resolve the issue.</v>
      </c>
      <c r="H697" s="71" t="s">
        <v>2770</v>
      </c>
      <c r="I697" s="79" t="s">
        <v>3089</v>
      </c>
    </row>
    <row r="698" customFormat="false" ht="26.25" hidden="false" customHeight="true" outlineLevel="0" collapsed="false">
      <c r="A698" s="70" t="n">
        <f aca="false">Data!A698</f>
        <v>697</v>
      </c>
      <c r="B698" s="70" t="str">
        <f aca="false">IFERROR(INDEX(対訳マスタ!$C$2:$C$136,MATCH(Data!B698,対訳マスタ!$B$2:$B$136,0)),Data!B698)</f>
        <v>コミュニケーション言語活動</v>
      </c>
      <c r="C698" s="70" t="str">
        <f aca="false">IF(Data!C698="—","—",IFERROR(INDEX(対訳マスタ!$C$2:$C$136,MATCH(Data!C698,対訳マスタ!$B$2:$B$136,0)),Data!C698))</f>
        <v>相互行為</v>
      </c>
      <c r="D698" s="70" t="str">
        <f aca="false">IF(Data!D698="—","—",IFERROR(INDEX(対訳マスタ!$C$2:$C$136,MATCH(Data!D698,対訳マスタ!$B$2:$B$136,0)),Data!D698))</f>
        <v>オンラインの相互行為</v>
      </c>
      <c r="E698" s="70" t="str">
        <f aca="false">IFERROR(INDEX(対訳マスタ!$C$2:$C$136,MATCH(Data!E698,対訳マスタ!$B$2:$B$136,0)),Data!E698)</f>
        <v>目的のあるオンライン取引・協働</v>
      </c>
      <c r="F698" s="70" t="str">
        <f aca="false">Data!F698</f>
        <v>B2</v>
      </c>
      <c r="G698" s="31" t="str">
        <f aca="false">Data!G698</f>
        <v>Can collaborate online with a group that is working on a project, justifying proposals, seeking clarification and playing a supportive role in order to accomplish shared tasks.</v>
      </c>
      <c r="H698" s="71" t="s">
        <v>2769</v>
      </c>
      <c r="I698" s="79" t="s">
        <v>3089</v>
      </c>
    </row>
    <row r="699" customFormat="false" ht="32.25" hidden="false" customHeight="true" outlineLevel="0" collapsed="false">
      <c r="A699" s="70" t="n">
        <f aca="false">Data!A699</f>
        <v>698</v>
      </c>
      <c r="B699" s="70" t="str">
        <f aca="false">IFERROR(INDEX(対訳マスタ!$C$2:$C$136,MATCH(Data!B699,対訳マスタ!$B$2:$B$136,0)),Data!B699)</f>
        <v>コミュニケーション言語活動</v>
      </c>
      <c r="C699" s="70" t="str">
        <f aca="false">IF(Data!C699="—","—",IFERROR(INDEX(対訳マスタ!$C$2:$C$136,MATCH(Data!C699,対訳マスタ!$B$2:$B$136,0)),Data!C699))</f>
        <v>相互行為</v>
      </c>
      <c r="D699" s="70" t="str">
        <f aca="false">IF(Data!D699="—","—",IFERROR(INDEX(対訳マスタ!$C$2:$C$136,MATCH(Data!D699,対訳マスタ!$B$2:$B$136,0)),Data!D699))</f>
        <v>オンラインの相互行為</v>
      </c>
      <c r="E699" s="70" t="str">
        <f aca="false">IFERROR(INDEX(対訳マスタ!$C$2:$C$136,MATCH(Data!E699,対訳マスタ!$B$2:$B$136,0)),Data!E699)</f>
        <v>目的のあるオンライン取引・協働</v>
      </c>
      <c r="F699" s="70" t="str">
        <f aca="false">Data!F699</f>
        <v>B1+</v>
      </c>
      <c r="G699" s="31" t="str">
        <f aca="false">Data!G699</f>
        <v>Can engage in online transactions that require an extended exchange of information, provided the interlocutor(s) avoid complex language and are willing to repeat and reformulate when necessary.</v>
      </c>
      <c r="H699" s="71" t="s">
        <v>3395</v>
      </c>
      <c r="I699" s="79" t="s">
        <v>3089</v>
      </c>
    </row>
    <row r="700" customFormat="false" ht="26.25" hidden="false" customHeight="true" outlineLevel="0" collapsed="false">
      <c r="A700" s="70" t="n">
        <f aca="false">Data!A700</f>
        <v>699</v>
      </c>
      <c r="B700" s="70" t="str">
        <f aca="false">IFERROR(INDEX(対訳マスタ!$C$2:$C$136,MATCH(Data!B700,対訳マスタ!$B$2:$B$136,0)),Data!B700)</f>
        <v>コミュニケーション言語活動</v>
      </c>
      <c r="C700" s="70" t="str">
        <f aca="false">IF(Data!C700="—","—",IFERROR(INDEX(対訳マスタ!$C$2:$C$136,MATCH(Data!C700,対訳マスタ!$B$2:$B$136,0)),Data!C700))</f>
        <v>相互行為</v>
      </c>
      <c r="D700" s="70" t="str">
        <f aca="false">IF(Data!D700="—","—",IFERROR(INDEX(対訳マスタ!$C$2:$C$136,MATCH(Data!D700,対訳マスタ!$B$2:$B$136,0)),Data!D700))</f>
        <v>オンラインの相互行為</v>
      </c>
      <c r="E700" s="70" t="str">
        <f aca="false">IFERROR(INDEX(対訳マスタ!$C$2:$C$136,MATCH(Data!E700,対訳マスタ!$B$2:$B$136,0)),Data!E700)</f>
        <v>目的のあるオンライン取引・協働</v>
      </c>
      <c r="F700" s="70" t="str">
        <f aca="false">Data!F700</f>
        <v>B1+</v>
      </c>
      <c r="G700" s="31" t="str">
        <f aca="false">Data!G700</f>
        <v>Can interact online with a group that is working on a project, following straightforward instructions, seeking clarification and helping to accomplish the shared tasks.</v>
      </c>
      <c r="H700" s="71" t="s">
        <v>2768</v>
      </c>
      <c r="I700" s="79" t="s">
        <v>3089</v>
      </c>
    </row>
    <row r="701" customFormat="false" ht="32.25" hidden="false" customHeight="true" outlineLevel="0" collapsed="false">
      <c r="A701" s="70" t="n">
        <f aca="false">Data!A701</f>
        <v>700</v>
      </c>
      <c r="B701" s="70" t="str">
        <f aca="false">IFERROR(INDEX(対訳マスタ!$C$2:$C$136,MATCH(Data!B701,対訳マスタ!$B$2:$B$136,0)),Data!B701)</f>
        <v>コミュニケーション言語活動</v>
      </c>
      <c r="C701" s="70" t="str">
        <f aca="false">IF(Data!C701="—","—",IFERROR(INDEX(対訳マスタ!$C$2:$C$136,MATCH(Data!C701,対訳マスタ!$B$2:$B$136,0)),Data!C701))</f>
        <v>相互行為</v>
      </c>
      <c r="D701" s="70" t="str">
        <f aca="false">IF(Data!D701="—","—",IFERROR(INDEX(対訳マスタ!$C$2:$C$136,MATCH(Data!D701,対訳マスタ!$B$2:$B$136,0)),Data!D701))</f>
        <v>オンラインの相互行為</v>
      </c>
      <c r="E701" s="70" t="str">
        <f aca="false">IFERROR(INDEX(対訳マスタ!$C$2:$C$136,MATCH(Data!E701,対訳マスタ!$B$2:$B$136,0)),Data!E701)</f>
        <v>目的のあるオンライン取引・協働</v>
      </c>
      <c r="F701" s="70" t="str">
        <f aca="false">Data!F701</f>
        <v>B1</v>
      </c>
      <c r="G701" s="31" t="str">
        <f aca="false">Data!G701</f>
        <v>Can engage in online collaborative or transactional exchanges that require simple clarification or explanation of relevant details, such as registering for a course, tour or event, or applying for membership.</v>
      </c>
      <c r="H701" s="71" t="s">
        <v>3396</v>
      </c>
      <c r="I701" s="79" t="s">
        <v>3089</v>
      </c>
    </row>
    <row r="702" customFormat="false" ht="21.75" hidden="false" customHeight="true" outlineLevel="0" collapsed="false">
      <c r="A702" s="70" t="n">
        <f aca="false">Data!A702</f>
        <v>701</v>
      </c>
      <c r="B702" s="70" t="str">
        <f aca="false">IFERROR(INDEX(対訳マスタ!$C$2:$C$136,MATCH(Data!B702,対訳マスタ!$B$2:$B$136,0)),Data!B702)</f>
        <v>コミュニケーション言語活動</v>
      </c>
      <c r="C702" s="70" t="str">
        <f aca="false">IF(Data!C702="—","—",IFERROR(INDEX(対訳マスタ!$C$2:$C$136,MATCH(Data!C702,対訳マスタ!$B$2:$B$136,0)),Data!C702))</f>
        <v>相互行為</v>
      </c>
      <c r="D702" s="70" t="str">
        <f aca="false">IF(Data!D702="—","—",IFERROR(INDEX(対訳マスタ!$C$2:$C$136,MATCH(Data!D702,対訳マスタ!$B$2:$B$136,0)),Data!D702))</f>
        <v>オンラインの相互行為</v>
      </c>
      <c r="E702" s="70" t="str">
        <f aca="false">IFERROR(INDEX(対訳マスタ!$C$2:$C$136,MATCH(Data!E702,対訳マスタ!$B$2:$B$136,0)),Data!E702)</f>
        <v>目的のあるオンライン取引・協働</v>
      </c>
      <c r="F702" s="70" t="str">
        <f aca="false">Data!F702</f>
        <v>B1</v>
      </c>
      <c r="G702" s="31" t="str">
        <f aca="false">Data!G702</f>
        <v>Can interact online with a partner or small group working on a project, provided there are visual aids such as images, statistics and graphs to clarify more complex concepts.</v>
      </c>
      <c r="H702" s="71" t="s">
        <v>3397</v>
      </c>
      <c r="I702" s="79" t="s">
        <v>3089</v>
      </c>
    </row>
    <row r="703" customFormat="false" ht="21.75" hidden="false" customHeight="true" outlineLevel="0" collapsed="false">
      <c r="A703" s="70" t="n">
        <f aca="false">Data!A703</f>
        <v>702</v>
      </c>
      <c r="B703" s="70" t="str">
        <f aca="false">IFERROR(INDEX(対訳マスタ!$C$2:$C$136,MATCH(Data!B703,対訳マスタ!$B$2:$B$136,0)),Data!B703)</f>
        <v>コミュニケーション言語活動</v>
      </c>
      <c r="C703" s="70" t="str">
        <f aca="false">IF(Data!C703="—","—",IFERROR(INDEX(対訳マスタ!$C$2:$C$136,MATCH(Data!C703,対訳マスタ!$B$2:$B$136,0)),Data!C703))</f>
        <v>相互行為</v>
      </c>
      <c r="D703" s="70" t="str">
        <f aca="false">IF(Data!D703="—","—",IFERROR(INDEX(対訳マスタ!$C$2:$C$136,MATCH(Data!D703,対訳マスタ!$B$2:$B$136,0)),Data!D703))</f>
        <v>オンラインの相互行為</v>
      </c>
      <c r="E703" s="70" t="str">
        <f aca="false">IFERROR(INDEX(対訳マスタ!$C$2:$C$136,MATCH(Data!E703,対訳マスタ!$B$2:$B$136,0)),Data!E703)</f>
        <v>目的のあるオンライン取引・協働</v>
      </c>
      <c r="F703" s="70" t="str">
        <f aca="false">Data!F703</f>
        <v>B1</v>
      </c>
      <c r="G703" s="31" t="str">
        <f aca="false">Data!G703</f>
        <v>Can respond to instructions and ask questions or request clarifications in order to accomplish a shared task online.</v>
      </c>
      <c r="H703" s="71" t="s">
        <v>2767</v>
      </c>
      <c r="I703" s="79" t="s">
        <v>3089</v>
      </c>
    </row>
    <row r="704" customFormat="false" ht="26.25" hidden="false" customHeight="true" outlineLevel="0" collapsed="false">
      <c r="A704" s="70" t="n">
        <f aca="false">Data!A704</f>
        <v>703</v>
      </c>
      <c r="B704" s="70" t="str">
        <f aca="false">IFERROR(INDEX(対訳マスタ!$C$2:$C$136,MATCH(Data!B704,対訳マスタ!$B$2:$B$136,0)),Data!B704)</f>
        <v>コミュニケーション言語活動</v>
      </c>
      <c r="C704" s="70" t="str">
        <f aca="false">IF(Data!C704="—","—",IFERROR(INDEX(対訳マスタ!$C$2:$C$136,MATCH(Data!C704,対訳マスタ!$B$2:$B$136,0)),Data!C704))</f>
        <v>相互行為</v>
      </c>
      <c r="D704" s="70" t="str">
        <f aca="false">IF(Data!D704="—","—",IFERROR(INDEX(対訳マスタ!$C$2:$C$136,MATCH(Data!D704,対訳マスタ!$B$2:$B$136,0)),Data!D704))</f>
        <v>オンラインの相互行為</v>
      </c>
      <c r="E704" s="70" t="str">
        <f aca="false">IFERROR(INDEX(対訳マスタ!$C$2:$C$136,MATCH(Data!E704,対訳マスタ!$B$2:$B$136,0)),Data!E704)</f>
        <v>目的のあるオンライン取引・協働</v>
      </c>
      <c r="F704" s="70" t="str">
        <f aca="false">Data!F704</f>
        <v>A2+</v>
      </c>
      <c r="G704" s="31" t="str">
        <f aca="false">Data!G704</f>
        <v>Can use formulaic language to respond to routine problems arising in online transactions (e.g. concerning availability of models and special offers, delivery dates, addresses).</v>
      </c>
      <c r="H704" s="71" t="s">
        <v>2766</v>
      </c>
      <c r="I704" s="79" t="s">
        <v>3089</v>
      </c>
    </row>
    <row r="705" customFormat="false" ht="32.25" hidden="false" customHeight="true" outlineLevel="0" collapsed="false">
      <c r="A705" s="70" t="n">
        <f aca="false">Data!A705</f>
        <v>704</v>
      </c>
      <c r="B705" s="70" t="str">
        <f aca="false">IFERROR(INDEX(対訳マスタ!$C$2:$C$136,MATCH(Data!B705,対訳マスタ!$B$2:$B$136,0)),Data!B705)</f>
        <v>コミュニケーション言語活動</v>
      </c>
      <c r="C705" s="70" t="str">
        <f aca="false">IF(Data!C705="—","—",IFERROR(INDEX(対訳マスタ!$C$2:$C$136,MATCH(Data!C705,対訳マスタ!$B$2:$B$136,0)),Data!C705))</f>
        <v>相互行為</v>
      </c>
      <c r="D705" s="70" t="str">
        <f aca="false">IF(Data!D705="—","—",IFERROR(INDEX(対訳マスタ!$C$2:$C$136,MATCH(Data!D705,対訳マスタ!$B$2:$B$136,0)),Data!D705))</f>
        <v>オンラインの相互行為</v>
      </c>
      <c r="E705" s="70" t="str">
        <f aca="false">IFERROR(INDEX(対訳マスタ!$C$2:$C$136,MATCH(Data!E705,対訳マスタ!$B$2:$B$136,0)),Data!E705)</f>
        <v>目的のあるオンライン取引・協働</v>
      </c>
      <c r="F705" s="70" t="str">
        <f aca="false">Data!F705</f>
        <v>A2+</v>
      </c>
      <c r="G705" s="31" t="str">
        <f aca="false">Data!G705</f>
        <v>Can interact online with a supportive partner in a simple collaborative task, responding to basic instructions and seeking clarification, provided there are visual aids such as images, statistics or graphs to clarify the concepts involved.</v>
      </c>
      <c r="H705" s="71" t="s">
        <v>3398</v>
      </c>
      <c r="I705" s="79" t="s">
        <v>3089</v>
      </c>
    </row>
    <row r="706" customFormat="false" ht="32.25" hidden="false" customHeight="true" outlineLevel="0" collapsed="false">
      <c r="A706" s="70" t="n">
        <f aca="false">Data!A706</f>
        <v>705</v>
      </c>
      <c r="B706" s="70" t="str">
        <f aca="false">IFERROR(INDEX(対訳マスタ!$C$2:$C$136,MATCH(Data!B706,対訳マスタ!$B$2:$B$136,0)),Data!B706)</f>
        <v>コミュニケーション言語活動</v>
      </c>
      <c r="C706" s="70" t="str">
        <f aca="false">IF(Data!C706="—","—",IFERROR(INDEX(対訳マスタ!$C$2:$C$136,MATCH(Data!C706,対訳マスタ!$B$2:$B$136,0)),Data!C706))</f>
        <v>相互行為</v>
      </c>
      <c r="D706" s="70" t="str">
        <f aca="false">IF(Data!D706="—","—",IFERROR(INDEX(対訳マスタ!$C$2:$C$136,MATCH(Data!D706,対訳マスタ!$B$2:$B$136,0)),Data!D706))</f>
        <v>オンラインの相互行為</v>
      </c>
      <c r="E706" s="70" t="str">
        <f aca="false">IFERROR(INDEX(対訳マスタ!$C$2:$C$136,MATCH(Data!E706,対訳マスタ!$B$2:$B$136,0)),Data!E706)</f>
        <v>目的のあるオンライン取引・協働</v>
      </c>
      <c r="F706" s="70" t="str">
        <f aca="false">Data!F706</f>
        <v>A2</v>
      </c>
      <c r="G706" s="31" t="str">
        <f aca="false">Data!G706</f>
        <v>Can make simple online transactions (e.g. ordering goods or enrolling in a course) by filling in an online form or questionnaire, providing personal details and confirming acceptance of terms and conditions, declining extra services, etc.</v>
      </c>
      <c r="H706" s="71" t="s">
        <v>3399</v>
      </c>
      <c r="I706" s="79" t="s">
        <v>3089</v>
      </c>
    </row>
    <row r="707" customFormat="false" ht="15" hidden="false" customHeight="true" outlineLevel="0" collapsed="false">
      <c r="A707" s="70" t="n">
        <f aca="false">Data!A707</f>
        <v>706</v>
      </c>
      <c r="B707" s="70" t="str">
        <f aca="false">IFERROR(INDEX(対訳マスタ!$C$2:$C$136,MATCH(Data!B707,対訳マスタ!$B$2:$B$136,0)),Data!B707)</f>
        <v>コミュニケーション言語活動</v>
      </c>
      <c r="C707" s="70" t="str">
        <f aca="false">IF(Data!C707="—","—",IFERROR(INDEX(対訳マスタ!$C$2:$C$136,MATCH(Data!C707,対訳マスタ!$B$2:$B$136,0)),Data!C707))</f>
        <v>相互行為</v>
      </c>
      <c r="D707" s="70" t="str">
        <f aca="false">IF(Data!D707="—","—",IFERROR(INDEX(対訳マスタ!$C$2:$C$136,MATCH(Data!D707,対訳マスタ!$B$2:$B$136,0)),Data!D707))</f>
        <v>オンラインの相互行為</v>
      </c>
      <c r="E707" s="70" t="str">
        <f aca="false">IFERROR(INDEX(対訳マスタ!$C$2:$C$136,MATCH(Data!E707,対訳マスタ!$B$2:$B$136,0)),Data!E707)</f>
        <v>目的のあるオンライン取引・協働</v>
      </c>
      <c r="F707" s="70" t="str">
        <f aca="false">Data!F707</f>
        <v>A2</v>
      </c>
      <c r="G707" s="31" t="str">
        <f aca="false">Data!G707</f>
        <v>Can ask basic questions about the availability of a product or feature.</v>
      </c>
      <c r="H707" s="71" t="s">
        <v>2765</v>
      </c>
      <c r="I707" s="79" t="s">
        <v>3089</v>
      </c>
    </row>
    <row r="708" customFormat="false" ht="21.75" hidden="false" customHeight="true" outlineLevel="0" collapsed="false">
      <c r="A708" s="70" t="n">
        <f aca="false">Data!A708</f>
        <v>707</v>
      </c>
      <c r="B708" s="70" t="str">
        <f aca="false">IFERROR(INDEX(対訳マスタ!$C$2:$C$136,MATCH(Data!B708,対訳マスタ!$B$2:$B$136,0)),Data!B708)</f>
        <v>コミュニケーション言語活動</v>
      </c>
      <c r="C708" s="70" t="str">
        <f aca="false">IF(Data!C708="—","—",IFERROR(INDEX(対訳マスタ!$C$2:$C$136,MATCH(Data!C708,対訳マスタ!$B$2:$B$136,0)),Data!C708))</f>
        <v>相互行為</v>
      </c>
      <c r="D708" s="70" t="str">
        <f aca="false">IF(Data!D708="—","—",IFERROR(INDEX(対訳マスタ!$C$2:$C$136,MATCH(Data!D708,対訳マスタ!$B$2:$B$136,0)),Data!D708))</f>
        <v>オンラインの相互行為</v>
      </c>
      <c r="E708" s="70" t="str">
        <f aca="false">IFERROR(INDEX(対訳マスタ!$C$2:$C$136,MATCH(Data!E708,対訳マスタ!$B$2:$B$136,0)),Data!E708)</f>
        <v>目的のあるオンライン取引・協働</v>
      </c>
      <c r="F708" s="70" t="str">
        <f aca="false">Data!F708</f>
        <v>A2</v>
      </c>
      <c r="G708" s="31" t="str">
        <f aca="false">Data!G708</f>
        <v>Can respond to simple instructions and ask simple questions in order to accomplish a shared task online with the help of a supportive interlocutor.</v>
      </c>
      <c r="H708" s="71" t="s">
        <v>3400</v>
      </c>
      <c r="I708" s="79" t="s">
        <v>3089</v>
      </c>
    </row>
    <row r="709" customFormat="false" ht="26.25" hidden="false" customHeight="true" outlineLevel="0" collapsed="false">
      <c r="A709" s="70" t="n">
        <f aca="false">Data!A709</f>
        <v>708</v>
      </c>
      <c r="B709" s="70" t="str">
        <f aca="false">IFERROR(INDEX(対訳マスタ!$C$2:$C$136,MATCH(Data!B709,対訳マスタ!$B$2:$B$136,0)),Data!B709)</f>
        <v>コミュニケーション言語活動</v>
      </c>
      <c r="C709" s="70" t="str">
        <f aca="false">IF(Data!C709="—","—",IFERROR(INDEX(対訳マスタ!$C$2:$C$136,MATCH(Data!C709,対訳マスタ!$B$2:$B$136,0)),Data!C709))</f>
        <v>相互行為</v>
      </c>
      <c r="D709" s="70" t="str">
        <f aca="false">IF(Data!D709="—","—",IFERROR(INDEX(対訳マスタ!$C$2:$C$136,MATCH(Data!D709,対訳マスタ!$B$2:$B$136,0)),Data!D709))</f>
        <v>オンラインの相互行為</v>
      </c>
      <c r="E709" s="70" t="str">
        <f aca="false">IFERROR(INDEX(対訳マスタ!$C$2:$C$136,MATCH(Data!E709,対訳マスタ!$B$2:$B$136,0)),Data!E709)</f>
        <v>目的のあるオンライン取引・協働</v>
      </c>
      <c r="F709" s="70" t="str">
        <f aca="false">Data!F709</f>
        <v>A1</v>
      </c>
      <c r="G709" s="31" t="str">
        <f aca="false">Data!G709</f>
        <v>Can complete a very simple online purchase or application, providing basic personal information (e.g. name, e-mail or telephone number).</v>
      </c>
      <c r="H709" s="71" t="s">
        <v>2764</v>
      </c>
      <c r="I709" s="79" t="s">
        <v>3089</v>
      </c>
    </row>
    <row r="710" customFormat="false" ht="26.25" hidden="false" customHeight="true" outlineLevel="0" collapsed="false">
      <c r="A710" s="70" t="n">
        <f aca="false">Data!A710</f>
        <v>709</v>
      </c>
      <c r="B710" s="70" t="str">
        <f aca="false">IFERROR(INDEX(対訳マスタ!$C$2:$C$136,MATCH(Data!B710,対訳マスタ!$B$2:$B$136,0)),Data!B710)</f>
        <v>コミュニケーション言語活動</v>
      </c>
      <c r="C710" s="70" t="str">
        <f aca="false">IF(Data!C710="—","—",IFERROR(INDEX(対訳マスタ!$C$2:$C$136,MATCH(Data!C710,対訳マスタ!$B$2:$B$136,0)),Data!C710))</f>
        <v>相互行為</v>
      </c>
      <c r="D710" s="70" t="str">
        <f aca="false">IF(Data!D710="—","—",IFERROR(INDEX(対訳マスタ!$C$2:$C$136,MATCH(Data!D710,対訳マスタ!$B$2:$B$136,0)),Data!D710))</f>
        <v>オンラインの相互行為</v>
      </c>
      <c r="E710" s="70" t="str">
        <f aca="false">IFERROR(INDEX(対訳マスタ!$C$2:$C$136,MATCH(Data!E710,対訳マスタ!$B$2:$B$136,0)),Data!E710)</f>
        <v>目的のあるオンライン取引・協働</v>
      </c>
      <c r="F710" s="70" t="str">
        <f aca="false">Data!F710</f>
        <v>Pre-A1</v>
      </c>
      <c r="G710" s="31" t="str">
        <f aca="false">Data!G710</f>
        <v>Can make selections (e.g. choosing a product, size, colour) in a simple online purchase or application form, provided there is visual support.</v>
      </c>
      <c r="H710" s="71" t="s">
        <v>2763</v>
      </c>
      <c r="I710" s="79" t="s">
        <v>3089</v>
      </c>
    </row>
    <row r="711" customFormat="false" ht="15" hidden="false" customHeight="true" outlineLevel="0" collapsed="false">
      <c r="A711" s="80" t="n">
        <f aca="false">Data!A711</f>
        <v>710</v>
      </c>
      <c r="B711" s="80" t="str">
        <f aca="false">IFERROR(INDEX(対訳マスタ!$C$2:$C$136,MATCH(Data!B711,対訳マスタ!$B$2:$B$136,0)),Data!B711)</f>
        <v>コミュニケーション言語方略</v>
      </c>
      <c r="C711" s="80" t="str">
        <f aca="false">IF(Data!C711="—","—",IFERROR(INDEX(対訳マスタ!$C$2:$C$136,MATCH(Data!C711,対訳マスタ!$B$2:$B$136,0)),Data!C711))</f>
        <v>相互行為</v>
      </c>
      <c r="D711" s="80" t="str">
        <f aca="false">IF(Data!D711="—","—",IFERROR(INDEX(対訳マスタ!$C$2:$C$136,MATCH(Data!D711,対訳マスタ!$B$2:$B$136,0)),Data!D711))</f>
        <v>—</v>
      </c>
      <c r="E711" s="80" t="str">
        <f aca="false">IFERROR(INDEX(対訳マスタ!$C$2:$C$136,MATCH(Data!E711,対訳マスタ!$B$2:$B$136,0)),Data!E711)</f>
        <v>発言権のやりとり（ターンテイキング）</v>
      </c>
      <c r="F711" s="80" t="str">
        <f aca="false">Data!F711</f>
        <v>C2</v>
      </c>
      <c r="G711" s="81" t="str">
        <f aca="false">Data!G711</f>
        <v>No descriptors available; see C1</v>
      </c>
      <c r="H711" s="81" t="s">
        <v>624</v>
      </c>
      <c r="I711" s="80" t="s">
        <v>624</v>
      </c>
    </row>
    <row r="712" customFormat="false" ht="32.25" hidden="false" customHeight="true" outlineLevel="0" collapsed="false">
      <c r="A712" s="70" t="n">
        <f aca="false">Data!A712</f>
        <v>711</v>
      </c>
      <c r="B712" s="70" t="str">
        <f aca="false">IFERROR(INDEX(対訳マスタ!$C$2:$C$136,MATCH(Data!B712,対訳マスタ!$B$2:$B$136,0)),Data!B712)</f>
        <v>コミュニケーション言語方略</v>
      </c>
      <c r="C712" s="70" t="str">
        <f aca="false">IF(Data!C712="—","—",IFERROR(INDEX(対訳マスタ!$C$2:$C$136,MATCH(Data!C712,対訳マスタ!$B$2:$B$136,0)),Data!C712))</f>
        <v>相互行為</v>
      </c>
      <c r="D712" s="70" t="str">
        <f aca="false">IF(Data!D712="—","—",IFERROR(INDEX(対訳マスタ!$C$2:$C$136,MATCH(Data!D712,対訳マスタ!$B$2:$B$136,0)),Data!D712))</f>
        <v>—</v>
      </c>
      <c r="E712" s="70" t="str">
        <f aca="false">IFERROR(INDEX(対訳マスタ!$C$2:$C$136,MATCH(Data!E712,対訳マスタ!$B$2:$B$136,0)),Data!E712)</f>
        <v>発言権のやりとり（ターンテイキング）</v>
      </c>
      <c r="F712" s="70" t="str">
        <f aca="false">Data!F712</f>
        <v>C1</v>
      </c>
      <c r="G712" s="31" t="str">
        <f aca="false">Data!G712</f>
        <v>Can select a suitable phrase from a readily available range of discourse functions to preface their remarks appropriately in order to get the floor, or to gain time and keep the floor whilst thinking.</v>
      </c>
      <c r="H712" s="71" t="s">
        <v>2778</v>
      </c>
      <c r="I712" s="79" t="s">
        <v>3089</v>
      </c>
    </row>
    <row r="713" customFormat="false" ht="15" hidden="false" customHeight="true" outlineLevel="0" collapsed="false">
      <c r="A713" s="70" t="n">
        <f aca="false">Data!A713</f>
        <v>712</v>
      </c>
      <c r="B713" s="70" t="str">
        <f aca="false">IFERROR(INDEX(対訳マスタ!$C$2:$C$136,MATCH(Data!B713,対訳マスタ!$B$2:$B$136,0)),Data!B713)</f>
        <v>コミュニケーション言語方略</v>
      </c>
      <c r="C713" s="70" t="str">
        <f aca="false">IF(Data!C713="—","—",IFERROR(INDEX(対訳マスタ!$C$2:$C$136,MATCH(Data!C713,対訳マスタ!$B$2:$B$136,0)),Data!C713))</f>
        <v>相互行為</v>
      </c>
      <c r="D713" s="70" t="str">
        <f aca="false">IF(Data!D713="—","—",IFERROR(INDEX(対訳マスタ!$C$2:$C$136,MATCH(Data!D713,対訳マスタ!$B$2:$B$136,0)),Data!D713))</f>
        <v>—</v>
      </c>
      <c r="E713" s="70" t="str">
        <f aca="false">IFERROR(INDEX(対訳マスタ!$C$2:$C$136,MATCH(Data!E713,対訳マスタ!$B$2:$B$136,0)),Data!E713)</f>
        <v>発言権のやりとり（ターンテイキング）</v>
      </c>
      <c r="F713" s="70" t="str">
        <f aca="false">Data!F713</f>
        <v>B2</v>
      </c>
      <c r="G713" s="31" t="str">
        <f aca="false">Data!G713</f>
        <v>Can intervene appropriately in discussion, exploiting appropriate language to do so.</v>
      </c>
      <c r="H713" s="71" t="s">
        <v>3401</v>
      </c>
      <c r="I713" s="79" t="s">
        <v>3089</v>
      </c>
    </row>
    <row r="714" customFormat="false" ht="15" hidden="false" customHeight="true" outlineLevel="0" collapsed="false">
      <c r="A714" s="70" t="n">
        <f aca="false">Data!A714</f>
        <v>713</v>
      </c>
      <c r="B714" s="70" t="str">
        <f aca="false">IFERROR(INDEX(対訳マスタ!$C$2:$C$136,MATCH(Data!B714,対訳マスタ!$B$2:$B$136,0)),Data!B714)</f>
        <v>コミュニケーション言語方略</v>
      </c>
      <c r="C714" s="70" t="str">
        <f aca="false">IF(Data!C714="—","—",IFERROR(INDEX(対訳マスタ!$C$2:$C$136,MATCH(Data!C714,対訳マスタ!$B$2:$B$136,0)),Data!C714))</f>
        <v>相互行為</v>
      </c>
      <c r="D714" s="70" t="str">
        <f aca="false">IF(Data!D714="—","—",IFERROR(INDEX(対訳マスタ!$C$2:$C$136,MATCH(Data!D714,対訳マスタ!$B$2:$B$136,0)),Data!D714))</f>
        <v>—</v>
      </c>
      <c r="E714" s="70" t="str">
        <f aca="false">IFERROR(INDEX(対訳マスタ!$C$2:$C$136,MATCH(Data!E714,対訳マスタ!$B$2:$B$136,0)),Data!E714)</f>
        <v>発言権のやりとり（ターンテイキング）</v>
      </c>
      <c r="F714" s="70" t="str">
        <f aca="false">Data!F714</f>
        <v>B2</v>
      </c>
      <c r="G714" s="31" t="str">
        <f aca="false">Data!G714</f>
        <v>Can initiate, maintain and end discourse appropriately with effective turntaking.</v>
      </c>
      <c r="H714" s="71" t="s">
        <v>2777</v>
      </c>
      <c r="I714" s="79" t="s">
        <v>3089</v>
      </c>
    </row>
    <row r="715" customFormat="false" ht="21.75" hidden="false" customHeight="true" outlineLevel="0" collapsed="false">
      <c r="A715" s="70" t="n">
        <f aca="false">Data!A715</f>
        <v>714</v>
      </c>
      <c r="B715" s="70" t="str">
        <f aca="false">IFERROR(INDEX(対訳マスタ!$C$2:$C$136,MATCH(Data!B715,対訳マスタ!$B$2:$B$136,0)),Data!B715)</f>
        <v>コミュニケーション言語方略</v>
      </c>
      <c r="C715" s="70" t="str">
        <f aca="false">IF(Data!C715="—","—",IFERROR(INDEX(対訳マスタ!$C$2:$C$136,MATCH(Data!C715,対訳マスタ!$B$2:$B$136,0)),Data!C715))</f>
        <v>相互行為</v>
      </c>
      <c r="D715" s="70" t="str">
        <f aca="false">IF(Data!D715="—","—",IFERROR(INDEX(対訳マスタ!$C$2:$C$136,MATCH(Data!D715,対訳マスタ!$B$2:$B$136,0)),Data!D715))</f>
        <v>—</v>
      </c>
      <c r="E715" s="70" t="str">
        <f aca="false">IFERROR(INDEX(対訳マスタ!$C$2:$C$136,MATCH(Data!E715,対訳マスタ!$B$2:$B$136,0)),Data!E715)</f>
        <v>発言権のやりとり（ターンテイキング）</v>
      </c>
      <c r="F715" s="70" t="str">
        <f aca="false">Data!F715</f>
        <v>B2</v>
      </c>
      <c r="G715" s="31" t="str">
        <f aca="false">Data!G715</f>
        <v>Can initiate discourse, take their turn when appropriate and end conversation when they need to, though they may not always do this elegantly.</v>
      </c>
      <c r="H715" s="71" t="s">
        <v>3402</v>
      </c>
      <c r="I715" s="79" t="s">
        <v>3089</v>
      </c>
    </row>
    <row r="716" customFormat="false" ht="21.75" hidden="false" customHeight="true" outlineLevel="0" collapsed="false">
      <c r="A716" s="70" t="n">
        <f aca="false">Data!A716</f>
        <v>715</v>
      </c>
      <c r="B716" s="70" t="str">
        <f aca="false">IFERROR(INDEX(対訳マスタ!$C$2:$C$136,MATCH(Data!B716,対訳マスタ!$B$2:$B$136,0)),Data!B716)</f>
        <v>コミュニケーション言語方略</v>
      </c>
      <c r="C716" s="70" t="str">
        <f aca="false">IF(Data!C716="—","—",IFERROR(INDEX(対訳マスタ!$C$2:$C$136,MATCH(Data!C716,対訳マスタ!$B$2:$B$136,0)),Data!C716))</f>
        <v>相互行為</v>
      </c>
      <c r="D716" s="70" t="str">
        <f aca="false">IF(Data!D716="—","—",IFERROR(INDEX(対訳マスタ!$C$2:$C$136,MATCH(Data!D716,対訳マスタ!$B$2:$B$136,0)),Data!D716))</f>
        <v>—</v>
      </c>
      <c r="E716" s="70" t="str">
        <f aca="false">IFERROR(INDEX(対訳マスタ!$C$2:$C$136,MATCH(Data!E716,対訳マスタ!$B$2:$B$136,0)),Data!E716)</f>
        <v>発言権のやりとり（ターンテイキング）</v>
      </c>
      <c r="F716" s="70" t="str">
        <f aca="false">Data!F716</f>
        <v>B2</v>
      </c>
      <c r="G716" s="31" t="str">
        <f aca="false">Data!G716</f>
        <v>Can use stock phrases (e.g. “That’s a difficult question to answer”) to gain time and keep the turn whilst formulating what they want to express.</v>
      </c>
      <c r="H716" s="71" t="s">
        <v>3403</v>
      </c>
      <c r="I716" s="79" t="s">
        <v>3089</v>
      </c>
    </row>
    <row r="717" customFormat="false" ht="15" hidden="false" customHeight="true" outlineLevel="0" collapsed="false">
      <c r="A717" s="70" t="n">
        <f aca="false">Data!A717</f>
        <v>716</v>
      </c>
      <c r="B717" s="70" t="str">
        <f aca="false">IFERROR(INDEX(対訳マスタ!$C$2:$C$136,MATCH(Data!B717,対訳マスタ!$B$2:$B$136,0)),Data!B717)</f>
        <v>コミュニケーション言語方略</v>
      </c>
      <c r="C717" s="70" t="str">
        <f aca="false">IF(Data!C717="—","—",IFERROR(INDEX(対訳マスタ!$C$2:$C$136,MATCH(Data!C717,対訳マスタ!$B$2:$B$136,0)),Data!C717))</f>
        <v>相互行為</v>
      </c>
      <c r="D717" s="70" t="str">
        <f aca="false">IF(Data!D717="—","—",IFERROR(INDEX(対訳マスタ!$C$2:$C$136,MATCH(Data!D717,対訳マスタ!$B$2:$B$136,0)),Data!D717))</f>
        <v>—</v>
      </c>
      <c r="E717" s="70" t="str">
        <f aca="false">IFERROR(INDEX(対訳マスタ!$C$2:$C$136,MATCH(Data!E717,対訳マスタ!$B$2:$B$136,0)),Data!E717)</f>
        <v>発言権のやりとり（ターンテイキング）</v>
      </c>
      <c r="F717" s="70" t="str">
        <f aca="false">Data!F717</f>
        <v>B1+</v>
      </c>
      <c r="G717" s="31" t="str">
        <f aca="false">Data!G717</f>
        <v>Can intervene in a discussion on a familiar topic, using a suitable phrase to get the floor.</v>
      </c>
      <c r="H717" s="71" t="s">
        <v>2776</v>
      </c>
      <c r="I717" s="79" t="s">
        <v>3089</v>
      </c>
    </row>
    <row r="718" customFormat="false" ht="26.25" hidden="false" customHeight="true" outlineLevel="0" collapsed="false">
      <c r="A718" s="70" t="n">
        <f aca="false">Data!A718</f>
        <v>717</v>
      </c>
      <c r="B718" s="70" t="str">
        <f aca="false">IFERROR(INDEX(対訳マスタ!$C$2:$C$136,MATCH(Data!B718,対訳マスタ!$B$2:$B$136,0)),Data!B718)</f>
        <v>コミュニケーション言語方略</v>
      </c>
      <c r="C718" s="70" t="str">
        <f aca="false">IF(Data!C718="—","—",IFERROR(INDEX(対訳マスタ!$C$2:$C$136,MATCH(Data!C718,対訳マスタ!$B$2:$B$136,0)),Data!C718))</f>
        <v>相互行為</v>
      </c>
      <c r="D718" s="70" t="str">
        <f aca="false">IF(Data!D718="—","—",IFERROR(INDEX(対訳マスタ!$C$2:$C$136,MATCH(Data!D718,対訳マスタ!$B$2:$B$136,0)),Data!D718))</f>
        <v>—</v>
      </c>
      <c r="E718" s="70" t="str">
        <f aca="false">IFERROR(INDEX(対訳マスタ!$C$2:$C$136,MATCH(Data!E718,対訳マスタ!$B$2:$B$136,0)),Data!E718)</f>
        <v>発言権のやりとり（ターンテイキング）</v>
      </c>
      <c r="F718" s="70" t="str">
        <f aca="false">Data!F718</f>
        <v>B1</v>
      </c>
      <c r="G718" s="31" t="str">
        <f aca="false">Data!G718</f>
        <v>Can initiate, maintain and close simple, face-to-face conversation on topics that are familiar or of personal interest.</v>
      </c>
      <c r="H718" s="71" t="s">
        <v>2775</v>
      </c>
      <c r="I718" s="79" t="s">
        <v>3089</v>
      </c>
    </row>
    <row r="719" customFormat="false" ht="15" hidden="false" customHeight="true" outlineLevel="0" collapsed="false">
      <c r="A719" s="70" t="n">
        <f aca="false">Data!A719</f>
        <v>718</v>
      </c>
      <c r="B719" s="70" t="str">
        <f aca="false">IFERROR(INDEX(対訳マスタ!$C$2:$C$136,MATCH(Data!B719,対訳マスタ!$B$2:$B$136,0)),Data!B719)</f>
        <v>コミュニケーション言語方略</v>
      </c>
      <c r="C719" s="70" t="str">
        <f aca="false">IF(Data!C719="—","—",IFERROR(INDEX(対訳マスタ!$C$2:$C$136,MATCH(Data!C719,対訳マスタ!$B$2:$B$136,0)),Data!C719))</f>
        <v>相互行為</v>
      </c>
      <c r="D719" s="70" t="str">
        <f aca="false">IF(Data!D719="—","—",IFERROR(INDEX(対訳マスタ!$C$2:$C$136,MATCH(Data!D719,対訳マスタ!$B$2:$B$136,0)),Data!D719))</f>
        <v>—</v>
      </c>
      <c r="E719" s="70" t="str">
        <f aca="false">IFERROR(INDEX(対訳マスタ!$C$2:$C$136,MATCH(Data!E719,対訳マスタ!$B$2:$B$136,0)),Data!E719)</f>
        <v>発言権のやりとり（ターンテイキング）</v>
      </c>
      <c r="F719" s="70" t="str">
        <f aca="false">Data!F719</f>
        <v>A2+</v>
      </c>
      <c r="G719" s="31" t="str">
        <f aca="false">Data!G719</f>
        <v>Can use simple techniques to start, maintain or end a short conversation.</v>
      </c>
      <c r="H719" s="71" t="s">
        <v>3404</v>
      </c>
      <c r="I719" s="79" t="s">
        <v>3089</v>
      </c>
    </row>
    <row r="720" customFormat="false" ht="15" hidden="false" customHeight="true" outlineLevel="0" collapsed="false">
      <c r="A720" s="70" t="n">
        <f aca="false">Data!A720</f>
        <v>719</v>
      </c>
      <c r="B720" s="70" t="str">
        <f aca="false">IFERROR(INDEX(対訳マスタ!$C$2:$C$136,MATCH(Data!B720,対訳マスタ!$B$2:$B$136,0)),Data!B720)</f>
        <v>コミュニケーション言語方略</v>
      </c>
      <c r="C720" s="70" t="str">
        <f aca="false">IF(Data!C720="—","—",IFERROR(INDEX(対訳マスタ!$C$2:$C$136,MATCH(Data!C720,対訳マスタ!$B$2:$B$136,0)),Data!C720))</f>
        <v>相互行為</v>
      </c>
      <c r="D720" s="70" t="str">
        <f aca="false">IF(Data!D720="—","—",IFERROR(INDEX(対訳マスタ!$C$2:$C$136,MATCH(Data!D720,対訳マスタ!$B$2:$B$136,0)),Data!D720))</f>
        <v>—</v>
      </c>
      <c r="E720" s="70" t="str">
        <f aca="false">IFERROR(INDEX(対訳マスタ!$C$2:$C$136,MATCH(Data!E720,対訳マスタ!$B$2:$B$136,0)),Data!E720)</f>
        <v>発言権のやりとり（ターンテイキング）</v>
      </c>
      <c r="F720" s="70" t="str">
        <f aca="false">Data!F720</f>
        <v>A2+</v>
      </c>
      <c r="G720" s="31" t="str">
        <f aca="false">Data!G720</f>
        <v>Can initiate, maintain and close simple, face-to-face conversation.</v>
      </c>
      <c r="H720" s="71" t="s">
        <v>2774</v>
      </c>
      <c r="I720" s="79" t="s">
        <v>3089</v>
      </c>
    </row>
    <row r="721" customFormat="false" ht="15" hidden="false" customHeight="true" outlineLevel="0" collapsed="false">
      <c r="A721" s="70" t="n">
        <f aca="false">Data!A721</f>
        <v>720</v>
      </c>
      <c r="B721" s="70" t="str">
        <f aca="false">IFERROR(INDEX(対訳マスタ!$C$2:$C$136,MATCH(Data!B721,対訳マスタ!$B$2:$B$136,0)),Data!B721)</f>
        <v>コミュニケーション言語方略</v>
      </c>
      <c r="C721" s="70" t="str">
        <f aca="false">IF(Data!C721="—","—",IFERROR(INDEX(対訳マスタ!$C$2:$C$136,MATCH(Data!C721,対訳マスタ!$B$2:$B$136,0)),Data!C721))</f>
        <v>相互行為</v>
      </c>
      <c r="D721" s="70" t="str">
        <f aca="false">IF(Data!D721="—","—",IFERROR(INDEX(対訳マスタ!$C$2:$C$136,MATCH(Data!D721,対訳マスタ!$B$2:$B$136,0)),Data!D721))</f>
        <v>—</v>
      </c>
      <c r="E721" s="70" t="str">
        <f aca="false">IFERROR(INDEX(対訳マスタ!$C$2:$C$136,MATCH(Data!E721,対訳マスタ!$B$2:$B$136,0)),Data!E721)</f>
        <v>発言権のやりとり（ターンテイキング）</v>
      </c>
      <c r="F721" s="70" t="str">
        <f aca="false">Data!F721</f>
        <v>A2</v>
      </c>
      <c r="G721" s="31" t="str">
        <f aca="false">Data!G721</f>
        <v>Can ask for attention.</v>
      </c>
      <c r="H721" s="71" t="s">
        <v>2773</v>
      </c>
      <c r="I721" s="79" t="s">
        <v>3089</v>
      </c>
    </row>
    <row r="722" customFormat="false" ht="15" hidden="false" customHeight="true" outlineLevel="0" collapsed="false">
      <c r="A722" s="80" t="n">
        <f aca="false">Data!A722</f>
        <v>721</v>
      </c>
      <c r="B722" s="80" t="str">
        <f aca="false">IFERROR(INDEX(対訳マスタ!$C$2:$C$136,MATCH(Data!B722,対訳マスタ!$B$2:$B$136,0)),Data!B722)</f>
        <v>コミュニケーション言語方略</v>
      </c>
      <c r="C722" s="80" t="str">
        <f aca="false">IF(Data!C722="—","—",IFERROR(INDEX(対訳マスタ!$C$2:$C$136,MATCH(Data!C722,対訳マスタ!$B$2:$B$136,0)),Data!C722))</f>
        <v>相互行為</v>
      </c>
      <c r="D722" s="80" t="str">
        <f aca="false">IF(Data!D722="—","—",IFERROR(INDEX(対訳マスタ!$C$2:$C$136,MATCH(Data!D722,対訳マスタ!$B$2:$B$136,0)),Data!D722))</f>
        <v>—</v>
      </c>
      <c r="E722" s="80" t="str">
        <f aca="false">IFERROR(INDEX(対訳マスタ!$C$2:$C$136,MATCH(Data!E722,対訳マスタ!$B$2:$B$136,0)),Data!E722)</f>
        <v>発言権のやりとり（ターンテイキング）</v>
      </c>
      <c r="F722" s="80" t="str">
        <f aca="false">Data!F722</f>
        <v>A1</v>
      </c>
      <c r="G722" s="81" t="str">
        <f aca="false">Data!G722</f>
        <v>No descriptors available</v>
      </c>
      <c r="H722" s="81" t="s">
        <v>624</v>
      </c>
      <c r="I722" s="80" t="s">
        <v>624</v>
      </c>
    </row>
    <row r="723" customFormat="false" ht="15" hidden="false" customHeight="true" outlineLevel="0" collapsed="false">
      <c r="A723" s="80" t="n">
        <f aca="false">Data!A723</f>
        <v>722</v>
      </c>
      <c r="B723" s="80" t="str">
        <f aca="false">IFERROR(INDEX(対訳マスタ!$C$2:$C$136,MATCH(Data!B723,対訳マスタ!$B$2:$B$136,0)),Data!B723)</f>
        <v>コミュニケーション言語方略</v>
      </c>
      <c r="C723" s="80" t="str">
        <f aca="false">IF(Data!C723="—","—",IFERROR(INDEX(対訳マスタ!$C$2:$C$136,MATCH(Data!C723,対訳マスタ!$B$2:$B$136,0)),Data!C723))</f>
        <v>相互行為</v>
      </c>
      <c r="D723" s="80" t="str">
        <f aca="false">IF(Data!D723="—","—",IFERROR(INDEX(対訳マスタ!$C$2:$C$136,MATCH(Data!D723,対訳マスタ!$B$2:$B$136,0)),Data!D723))</f>
        <v>—</v>
      </c>
      <c r="E723" s="80" t="str">
        <f aca="false">IFERROR(INDEX(対訳マスタ!$C$2:$C$136,MATCH(Data!E723,対訳マスタ!$B$2:$B$136,0)),Data!E723)</f>
        <v>発言権のやりとり（ターンテイキング）</v>
      </c>
      <c r="F723" s="80" t="str">
        <f aca="false">Data!F723</f>
        <v>Pre-A1</v>
      </c>
      <c r="G723" s="81" t="str">
        <f aca="false">Data!G723</f>
        <v>No descriptors available</v>
      </c>
      <c r="H723" s="81" t="s">
        <v>624</v>
      </c>
      <c r="I723" s="80" t="s">
        <v>624</v>
      </c>
    </row>
    <row r="724" customFormat="false" ht="26.25" hidden="false" customHeight="true" outlineLevel="0" collapsed="false">
      <c r="A724" s="70" t="n">
        <f aca="false">Data!A724</f>
        <v>723</v>
      </c>
      <c r="B724" s="70" t="str">
        <f aca="false">IFERROR(INDEX(対訳マスタ!$C$2:$C$136,MATCH(Data!B724,対訳マスタ!$B$2:$B$136,0)),Data!B724)</f>
        <v>コミュニケーション言語方略</v>
      </c>
      <c r="C724" s="70" t="str">
        <f aca="false">IF(Data!C724="—","—",IFERROR(INDEX(対訳マスタ!$C$2:$C$136,MATCH(Data!C724,対訳マスタ!$B$2:$B$136,0)),Data!C724))</f>
        <v>相互行為</v>
      </c>
      <c r="D724" s="70" t="str">
        <f aca="false">IF(Data!D724="—","—",IFERROR(INDEX(対訳マスタ!$C$2:$C$136,MATCH(Data!D724,対訳マスタ!$B$2:$B$136,0)),Data!D724))</f>
        <v>—</v>
      </c>
      <c r="E724" s="70" t="str">
        <f aca="false">IFERROR(INDEX(対訳マスタ!$C$2:$C$136,MATCH(Data!E724,対訳マスタ!$B$2:$B$136,0)),Data!E724)</f>
        <v>協力（会話を協調して進める）</v>
      </c>
      <c r="F724" s="70" t="str">
        <f aca="false">Data!F724</f>
        <v>C2</v>
      </c>
      <c r="G724" s="31" t="str">
        <f aca="false">Data!G724</f>
        <v>Can link contributions skilfully to those of others, widen the scope of the interaction and help steer it towards an outcome.</v>
      </c>
      <c r="H724" s="71" t="s">
        <v>2785</v>
      </c>
      <c r="I724" s="79" t="s">
        <v>3089</v>
      </c>
    </row>
    <row r="725" customFormat="false" ht="15" hidden="false" customHeight="true" outlineLevel="0" collapsed="false">
      <c r="A725" s="70" t="n">
        <f aca="false">Data!A725</f>
        <v>724</v>
      </c>
      <c r="B725" s="70" t="str">
        <f aca="false">IFERROR(INDEX(対訳マスタ!$C$2:$C$136,MATCH(Data!B725,対訳マスタ!$B$2:$B$136,0)),Data!B725)</f>
        <v>コミュニケーション言語方略</v>
      </c>
      <c r="C725" s="70" t="str">
        <f aca="false">IF(Data!C725="—","—",IFERROR(INDEX(対訳マスタ!$C$2:$C$136,MATCH(Data!C725,対訳マスタ!$B$2:$B$136,0)),Data!C725))</f>
        <v>相互行為</v>
      </c>
      <c r="D725" s="70" t="str">
        <f aca="false">IF(Data!D725="—","—",IFERROR(INDEX(対訳マスタ!$C$2:$C$136,MATCH(Data!D725,対訳マスタ!$B$2:$B$136,0)),Data!D725))</f>
        <v>—</v>
      </c>
      <c r="E725" s="70" t="str">
        <f aca="false">IFERROR(INDEX(対訳マスタ!$C$2:$C$136,MATCH(Data!E725,対訳マスタ!$B$2:$B$136,0)),Data!E725)</f>
        <v>協力（会話を協調して進める）</v>
      </c>
      <c r="F725" s="70" t="str">
        <f aca="false">Data!F725</f>
        <v>C1</v>
      </c>
      <c r="G725" s="31" t="str">
        <f aca="false">Data!G725</f>
        <v>Can relate own contribution skilfully to that of others.</v>
      </c>
      <c r="H725" s="71" t="s">
        <v>2784</v>
      </c>
      <c r="I725" s="79" t="s">
        <v>3089</v>
      </c>
    </row>
    <row r="726" customFormat="false" ht="21.75" hidden="false" customHeight="true" outlineLevel="0" collapsed="false">
      <c r="A726" s="70" t="n">
        <f aca="false">Data!A726</f>
        <v>725</v>
      </c>
      <c r="B726" s="70" t="str">
        <f aca="false">IFERROR(INDEX(対訳マスタ!$C$2:$C$136,MATCH(Data!B726,対訳マスタ!$B$2:$B$136,0)),Data!B726)</f>
        <v>コミュニケーション言語方略</v>
      </c>
      <c r="C726" s="70" t="str">
        <f aca="false">IF(Data!C726="—","—",IFERROR(INDEX(対訳マスタ!$C$2:$C$136,MATCH(Data!C726,対訳マスタ!$B$2:$B$136,0)),Data!C726))</f>
        <v>相互行為</v>
      </c>
      <c r="D726" s="70" t="str">
        <f aca="false">IF(Data!D726="—","—",IFERROR(INDEX(対訳マスタ!$C$2:$C$136,MATCH(Data!D726,対訳マスタ!$B$2:$B$136,0)),Data!D726))</f>
        <v>—</v>
      </c>
      <c r="E726" s="70" t="str">
        <f aca="false">IFERROR(INDEX(対訳マスタ!$C$2:$C$136,MATCH(Data!E726,対訳マスタ!$B$2:$B$136,0)),Data!E726)</f>
        <v>協力（会話を協調して進める）</v>
      </c>
      <c r="F726" s="70" t="str">
        <f aca="false">Data!F726</f>
        <v>B2+</v>
      </c>
      <c r="G726" s="31" t="str">
        <f aca="false">Data!G726</f>
        <v>Can give feedback on and follow up statements and inferences and so help the development of the discussion.</v>
      </c>
      <c r="H726" s="71" t="s">
        <v>2783</v>
      </c>
      <c r="I726" s="79" t="s">
        <v>3089</v>
      </c>
    </row>
    <row r="727" customFormat="false" ht="21.75" hidden="false" customHeight="true" outlineLevel="0" collapsed="false">
      <c r="A727" s="70" t="n">
        <f aca="false">Data!A727</f>
        <v>726</v>
      </c>
      <c r="B727" s="70" t="str">
        <f aca="false">IFERROR(INDEX(対訳マスタ!$C$2:$C$136,MATCH(Data!B727,対訳マスタ!$B$2:$B$136,0)),Data!B727)</f>
        <v>コミュニケーション言語方略</v>
      </c>
      <c r="C727" s="70" t="str">
        <f aca="false">IF(Data!C727="—","—",IFERROR(INDEX(対訳マスタ!$C$2:$C$136,MATCH(Data!C727,対訳マスタ!$B$2:$B$136,0)),Data!C727))</f>
        <v>相互行為</v>
      </c>
      <c r="D727" s="70" t="str">
        <f aca="false">IF(Data!D727="—","—",IFERROR(INDEX(対訳マスタ!$C$2:$C$136,MATCH(Data!D727,対訳マスタ!$B$2:$B$136,0)),Data!D727))</f>
        <v>—</v>
      </c>
      <c r="E727" s="70" t="str">
        <f aca="false">IFERROR(INDEX(対訳マスタ!$C$2:$C$136,MATCH(Data!E727,対訳マスタ!$B$2:$B$136,0)),Data!E727)</f>
        <v>協力（会話を協調して進める）</v>
      </c>
      <c r="F727" s="70" t="str">
        <f aca="false">Data!F727</f>
        <v>B2+</v>
      </c>
      <c r="G727" s="31" t="str">
        <f aca="false">Data!G727</f>
        <v>Can summarise and evaluate the main points of discussion on matters within their academic or professional competence.</v>
      </c>
      <c r="H727" s="71" t="s">
        <v>3405</v>
      </c>
      <c r="I727" s="79" t="s">
        <v>3089</v>
      </c>
    </row>
    <row r="728" customFormat="false" ht="21.75" hidden="false" customHeight="true" outlineLevel="0" collapsed="false">
      <c r="A728" s="70" t="n">
        <f aca="false">Data!A728</f>
        <v>727</v>
      </c>
      <c r="B728" s="70" t="str">
        <f aca="false">IFERROR(INDEX(対訳マスタ!$C$2:$C$136,MATCH(Data!B728,対訳マスタ!$B$2:$B$136,0)),Data!B728)</f>
        <v>コミュニケーション言語方略</v>
      </c>
      <c r="C728" s="70" t="str">
        <f aca="false">IF(Data!C728="—","—",IFERROR(INDEX(対訳マスタ!$C$2:$C$136,MATCH(Data!C728,対訳マスタ!$B$2:$B$136,0)),Data!C728))</f>
        <v>相互行為</v>
      </c>
      <c r="D728" s="70" t="str">
        <f aca="false">IF(Data!D728="—","—",IFERROR(INDEX(対訳マスタ!$C$2:$C$136,MATCH(Data!D728,対訳マスタ!$B$2:$B$136,0)),Data!D728))</f>
        <v>—</v>
      </c>
      <c r="E728" s="70" t="str">
        <f aca="false">IFERROR(INDEX(対訳マスタ!$C$2:$C$136,MATCH(Data!E728,対訳マスタ!$B$2:$B$136,0)),Data!E728)</f>
        <v>協力（会話を協調して進める）</v>
      </c>
      <c r="F728" s="70" t="str">
        <f aca="false">Data!F728</f>
        <v>B2</v>
      </c>
      <c r="G728" s="31" t="str">
        <f aca="false">Data!G728</f>
        <v>Can help the discussion along on familiar ground, confirming comprehension, inviting others in, etc.</v>
      </c>
      <c r="H728" s="71" t="s">
        <v>3406</v>
      </c>
      <c r="I728" s="79" t="s">
        <v>3089</v>
      </c>
    </row>
    <row r="729" customFormat="false" ht="21.75" hidden="false" customHeight="true" outlineLevel="0" collapsed="false">
      <c r="A729" s="70" t="n">
        <f aca="false">Data!A729</f>
        <v>728</v>
      </c>
      <c r="B729" s="70" t="str">
        <f aca="false">IFERROR(INDEX(対訳マスタ!$C$2:$C$136,MATCH(Data!B729,対訳マスタ!$B$2:$B$136,0)),Data!B729)</f>
        <v>コミュニケーション言語方略</v>
      </c>
      <c r="C729" s="70" t="str">
        <f aca="false">IF(Data!C729="—","—",IFERROR(INDEX(対訳マスタ!$C$2:$C$136,MATCH(Data!C729,対訳マスタ!$B$2:$B$136,0)),Data!C729))</f>
        <v>相互行為</v>
      </c>
      <c r="D729" s="70" t="str">
        <f aca="false">IF(Data!D729="—","—",IFERROR(INDEX(対訳マスタ!$C$2:$C$136,MATCH(Data!D729,対訳マスタ!$B$2:$B$136,0)),Data!D729))</f>
        <v>—</v>
      </c>
      <c r="E729" s="70" t="str">
        <f aca="false">IFERROR(INDEX(対訳マスタ!$C$2:$C$136,MATCH(Data!E729,対訳マスタ!$B$2:$B$136,0)),Data!E729)</f>
        <v>協力（会話を協調して進める）</v>
      </c>
      <c r="F729" s="70" t="str">
        <f aca="false">Data!F729</f>
        <v>B2</v>
      </c>
      <c r="G729" s="31" t="str">
        <f aca="false">Data!G729</f>
        <v>Can summarise the point reached at a particular stage in a discussion and propose the next steps.</v>
      </c>
      <c r="H729" s="71" t="s">
        <v>2782</v>
      </c>
      <c r="I729" s="79" t="s">
        <v>3089</v>
      </c>
    </row>
    <row r="730" customFormat="false" ht="21.75" hidden="false" customHeight="true" outlineLevel="0" collapsed="false">
      <c r="A730" s="70" t="n">
        <f aca="false">Data!A730</f>
        <v>729</v>
      </c>
      <c r="B730" s="70" t="str">
        <f aca="false">IFERROR(INDEX(対訳マスタ!$C$2:$C$136,MATCH(Data!B730,対訳マスタ!$B$2:$B$136,0)),Data!B730)</f>
        <v>コミュニケーション言語方略</v>
      </c>
      <c r="C730" s="70" t="str">
        <f aca="false">IF(Data!C730="—","—",IFERROR(INDEX(対訳マスタ!$C$2:$C$136,MATCH(Data!C730,対訳マスタ!$B$2:$B$136,0)),Data!C730))</f>
        <v>相互行為</v>
      </c>
      <c r="D730" s="70" t="str">
        <f aca="false">IF(Data!D730="—","—",IFERROR(INDEX(対訳マスタ!$C$2:$C$136,MATCH(Data!D730,対訳マスタ!$B$2:$B$136,0)),Data!D730))</f>
        <v>—</v>
      </c>
      <c r="E730" s="70" t="str">
        <f aca="false">IFERROR(INDEX(対訳マスタ!$C$2:$C$136,MATCH(Data!E730,対訳マスタ!$B$2:$B$136,0)),Data!E730)</f>
        <v>協力（会話を協調して進める）</v>
      </c>
      <c r="F730" s="70" t="str">
        <f aca="false">Data!F730</f>
        <v>B1+</v>
      </c>
      <c r="G730" s="31" t="str">
        <f aca="false">Data!G730</f>
        <v>Can exploit a basic repertoire of language and strategies to help keep a conversation or discussion going.</v>
      </c>
      <c r="H730" s="71" t="s">
        <v>3407</v>
      </c>
      <c r="I730" s="79" t="s">
        <v>3089</v>
      </c>
    </row>
    <row r="731" customFormat="false" ht="15" hidden="false" customHeight="true" outlineLevel="0" collapsed="false">
      <c r="A731" s="70" t="n">
        <f aca="false">Data!A731</f>
        <v>730</v>
      </c>
      <c r="B731" s="70" t="str">
        <f aca="false">IFERROR(INDEX(対訳マスタ!$C$2:$C$136,MATCH(Data!B731,対訳マスタ!$B$2:$B$136,0)),Data!B731)</f>
        <v>コミュニケーション言語方略</v>
      </c>
      <c r="C731" s="70" t="str">
        <f aca="false">IF(Data!C731="—","—",IFERROR(INDEX(対訳マスタ!$C$2:$C$136,MATCH(Data!C731,対訳マスタ!$B$2:$B$136,0)),Data!C731))</f>
        <v>相互行為</v>
      </c>
      <c r="D731" s="70" t="str">
        <f aca="false">IF(Data!D731="—","—",IFERROR(INDEX(対訳マスタ!$C$2:$C$136,MATCH(Data!D731,対訳マスタ!$B$2:$B$136,0)),Data!D731))</f>
        <v>—</v>
      </c>
      <c r="E731" s="70" t="str">
        <f aca="false">IFERROR(INDEX(対訳マスタ!$C$2:$C$136,MATCH(Data!E731,対訳マスタ!$B$2:$B$136,0)),Data!E731)</f>
        <v>協力（会話を協調して進める）</v>
      </c>
      <c r="F731" s="70" t="str">
        <f aca="false">Data!F731</f>
        <v>B1+</v>
      </c>
      <c r="G731" s="31" t="str">
        <f aca="false">Data!G731</f>
        <v>Can summarise the point reached in a discussion and so help focus the argument.</v>
      </c>
      <c r="H731" s="71" t="s">
        <v>2781</v>
      </c>
      <c r="I731" s="79" t="s">
        <v>3089</v>
      </c>
    </row>
    <row r="732" customFormat="false" ht="21.75" hidden="false" customHeight="true" outlineLevel="0" collapsed="false">
      <c r="A732" s="70" t="n">
        <f aca="false">Data!A732</f>
        <v>731</v>
      </c>
      <c r="B732" s="70" t="str">
        <f aca="false">IFERROR(INDEX(対訳マスタ!$C$2:$C$136,MATCH(Data!B732,対訳マスタ!$B$2:$B$136,0)),Data!B732)</f>
        <v>コミュニケーション言語方略</v>
      </c>
      <c r="C732" s="70" t="str">
        <f aca="false">IF(Data!C732="—","—",IFERROR(INDEX(対訳マスタ!$C$2:$C$136,MATCH(Data!C732,対訳マスタ!$B$2:$B$136,0)),Data!C732))</f>
        <v>相互行為</v>
      </c>
      <c r="D732" s="70" t="str">
        <f aca="false">IF(Data!D732="—","—",IFERROR(INDEX(対訳マスタ!$C$2:$C$136,MATCH(Data!D732,対訳マスタ!$B$2:$B$136,0)),Data!D732))</f>
        <v>—</v>
      </c>
      <c r="E732" s="70" t="str">
        <f aca="false">IFERROR(INDEX(対訳マスタ!$C$2:$C$136,MATCH(Data!E732,対訳マスタ!$B$2:$B$136,0)),Data!E732)</f>
        <v>協力（会話を協調して進める）</v>
      </c>
      <c r="F732" s="70" t="str">
        <f aca="false">Data!F732</f>
        <v>B1</v>
      </c>
      <c r="G732" s="31" t="str">
        <f aca="false">Data!G732</f>
        <v>Can repeat back part of what someone has said to confirm mutual understanding and help keep the development of ideas on course.</v>
      </c>
      <c r="H732" s="71" t="s">
        <v>3408</v>
      </c>
      <c r="I732" s="79" t="s">
        <v>3089</v>
      </c>
    </row>
    <row r="733" customFormat="false" ht="15" hidden="false" customHeight="true" outlineLevel="0" collapsed="false">
      <c r="A733" s="70" t="n">
        <f aca="false">Data!A733</f>
        <v>732</v>
      </c>
      <c r="B733" s="70" t="str">
        <f aca="false">IFERROR(INDEX(対訳マスタ!$C$2:$C$136,MATCH(Data!B733,対訳マスタ!$B$2:$B$136,0)),Data!B733)</f>
        <v>コミュニケーション言語方略</v>
      </c>
      <c r="C733" s="70" t="str">
        <f aca="false">IF(Data!C733="—","—",IFERROR(INDEX(対訳マスタ!$C$2:$C$136,MATCH(Data!C733,対訳マスタ!$B$2:$B$136,0)),Data!C733))</f>
        <v>相互行為</v>
      </c>
      <c r="D733" s="70" t="str">
        <f aca="false">IF(Data!D733="—","—",IFERROR(INDEX(対訳マスタ!$C$2:$C$136,MATCH(Data!D733,対訳マスタ!$B$2:$B$136,0)),Data!D733))</f>
        <v>—</v>
      </c>
      <c r="E733" s="70" t="str">
        <f aca="false">IFERROR(INDEX(対訳マスタ!$C$2:$C$136,MATCH(Data!E733,対訳マスタ!$B$2:$B$136,0)),Data!E733)</f>
        <v>協力（会話を協調して進める）</v>
      </c>
      <c r="F733" s="70" t="str">
        <f aca="false">Data!F733</f>
        <v>B1</v>
      </c>
      <c r="G733" s="31" t="str">
        <f aca="false">Data!G733</f>
        <v>Can invite others into the discussion.</v>
      </c>
      <c r="H733" s="71" t="s">
        <v>2780</v>
      </c>
      <c r="I733" s="79" t="s">
        <v>3089</v>
      </c>
    </row>
    <row r="734" customFormat="false" ht="15" hidden="false" customHeight="true" outlineLevel="0" collapsed="false">
      <c r="A734" s="70" t="n">
        <f aca="false">Data!A734</f>
        <v>733</v>
      </c>
      <c r="B734" s="70" t="str">
        <f aca="false">IFERROR(INDEX(対訳マスタ!$C$2:$C$136,MATCH(Data!B734,対訳マスタ!$B$2:$B$136,0)),Data!B734)</f>
        <v>コミュニケーション言語方略</v>
      </c>
      <c r="C734" s="70" t="str">
        <f aca="false">IF(Data!C734="—","—",IFERROR(INDEX(対訳マスタ!$C$2:$C$136,MATCH(Data!C734,対訳マスタ!$B$2:$B$136,0)),Data!C734))</f>
        <v>相互行為</v>
      </c>
      <c r="D734" s="70" t="str">
        <f aca="false">IF(Data!D734="—","—",IFERROR(INDEX(対訳マスタ!$C$2:$C$136,MATCH(Data!D734,対訳マスタ!$B$2:$B$136,0)),Data!D734))</f>
        <v>—</v>
      </c>
      <c r="E734" s="70" t="str">
        <f aca="false">IFERROR(INDEX(対訳マスタ!$C$2:$C$136,MATCH(Data!E734,対訳マスタ!$B$2:$B$136,0)),Data!E734)</f>
        <v>協力（会話を協調して進める）</v>
      </c>
      <c r="F734" s="70" t="str">
        <f aca="false">Data!F734</f>
        <v>A2</v>
      </c>
      <c r="G734" s="31" t="str">
        <f aca="false">Data!G734</f>
        <v>Can indicate when they are following.</v>
      </c>
      <c r="H734" s="71" t="s">
        <v>2779</v>
      </c>
      <c r="I734" s="79" t="s">
        <v>3089</v>
      </c>
    </row>
    <row r="735" customFormat="false" ht="15" hidden="false" customHeight="true" outlineLevel="0" collapsed="false">
      <c r="A735" s="80" t="n">
        <f aca="false">Data!A735</f>
        <v>734</v>
      </c>
      <c r="B735" s="80" t="str">
        <f aca="false">IFERROR(INDEX(対訳マスタ!$C$2:$C$136,MATCH(Data!B735,対訳マスタ!$B$2:$B$136,0)),Data!B735)</f>
        <v>コミュニケーション言語方略</v>
      </c>
      <c r="C735" s="80" t="str">
        <f aca="false">IF(Data!C735="—","—",IFERROR(INDEX(対訳マスタ!$C$2:$C$136,MATCH(Data!C735,対訳マスタ!$B$2:$B$136,0)),Data!C735))</f>
        <v>相互行為</v>
      </c>
      <c r="D735" s="80" t="str">
        <f aca="false">IF(Data!D735="—","—",IFERROR(INDEX(対訳マスタ!$C$2:$C$136,MATCH(Data!D735,対訳マスタ!$B$2:$B$136,0)),Data!D735))</f>
        <v>—</v>
      </c>
      <c r="E735" s="80" t="str">
        <f aca="false">IFERROR(INDEX(対訳マスタ!$C$2:$C$136,MATCH(Data!E735,対訳マスタ!$B$2:$B$136,0)),Data!E735)</f>
        <v>協力（会話を協調して進める）</v>
      </c>
      <c r="F735" s="80" t="str">
        <f aca="false">Data!F735</f>
        <v>A1</v>
      </c>
      <c r="G735" s="81" t="str">
        <f aca="false">Data!G735</f>
        <v>No descriptors available</v>
      </c>
      <c r="H735" s="81" t="s">
        <v>624</v>
      </c>
      <c r="I735" s="80" t="s">
        <v>624</v>
      </c>
    </row>
    <row r="736" customFormat="false" ht="15" hidden="false" customHeight="true" outlineLevel="0" collapsed="false">
      <c r="A736" s="80" t="n">
        <f aca="false">Data!A736</f>
        <v>735</v>
      </c>
      <c r="B736" s="80" t="str">
        <f aca="false">IFERROR(INDEX(対訳マスタ!$C$2:$C$136,MATCH(Data!B736,対訳マスタ!$B$2:$B$136,0)),Data!B736)</f>
        <v>コミュニケーション言語方略</v>
      </c>
      <c r="C736" s="80" t="str">
        <f aca="false">IF(Data!C736="—","—",IFERROR(INDEX(対訳マスタ!$C$2:$C$136,MATCH(Data!C736,対訳マスタ!$B$2:$B$136,0)),Data!C736))</f>
        <v>相互行為</v>
      </c>
      <c r="D736" s="80" t="str">
        <f aca="false">IF(Data!D736="—","—",IFERROR(INDEX(対訳マスタ!$C$2:$C$136,MATCH(Data!D736,対訳マスタ!$B$2:$B$136,0)),Data!D736))</f>
        <v>—</v>
      </c>
      <c r="E736" s="80" t="str">
        <f aca="false">IFERROR(INDEX(対訳マスタ!$C$2:$C$136,MATCH(Data!E736,対訳マスタ!$B$2:$B$136,0)),Data!E736)</f>
        <v>協力（会話を協調して進める）</v>
      </c>
      <c r="F736" s="80" t="str">
        <f aca="false">Data!F736</f>
        <v>Pre-A1</v>
      </c>
      <c r="G736" s="81" t="str">
        <f aca="false">Data!G736</f>
        <v>No descriptors available</v>
      </c>
      <c r="H736" s="81" t="s">
        <v>624</v>
      </c>
      <c r="I736" s="80" t="s">
        <v>624</v>
      </c>
    </row>
    <row r="737" customFormat="false" ht="15" hidden="false" customHeight="true" outlineLevel="0" collapsed="false">
      <c r="A737" s="80" t="n">
        <f aca="false">Data!A737</f>
        <v>736</v>
      </c>
      <c r="B737" s="80" t="str">
        <f aca="false">IFERROR(INDEX(対訳マスタ!$C$2:$C$136,MATCH(Data!B737,対訳マスタ!$B$2:$B$136,0)),Data!B737)</f>
        <v>コミュニケーション言語方略</v>
      </c>
      <c r="C737" s="80" t="str">
        <f aca="false">IF(Data!C737="—","—",IFERROR(INDEX(対訳マスタ!$C$2:$C$136,MATCH(Data!C737,対訳マスタ!$B$2:$B$136,0)),Data!C737))</f>
        <v>相互行為</v>
      </c>
      <c r="D737" s="80" t="str">
        <f aca="false">IF(Data!D737="—","—",IFERROR(INDEX(対訳マスタ!$C$2:$C$136,MATCH(Data!D737,対訳マスタ!$B$2:$B$136,0)),Data!D737))</f>
        <v>—</v>
      </c>
      <c r="E737" s="80" t="str">
        <f aca="false">IFERROR(INDEX(対訳マスタ!$C$2:$C$136,MATCH(Data!E737,対訳マスタ!$B$2:$B$136,0)),Data!E737)</f>
        <v>明確化の要求（聞き返し）</v>
      </c>
      <c r="F737" s="80" t="str">
        <f aca="false">Data!F737</f>
        <v>C2</v>
      </c>
      <c r="G737" s="81" t="str">
        <f aca="false">Data!G737</f>
        <v>No descriptors available; see C1</v>
      </c>
      <c r="H737" s="81" t="s">
        <v>624</v>
      </c>
      <c r="I737" s="80" t="s">
        <v>624</v>
      </c>
    </row>
    <row r="738" customFormat="false" ht="26.25" hidden="false" customHeight="true" outlineLevel="0" collapsed="false">
      <c r="A738" s="70" t="n">
        <f aca="false">Data!A738</f>
        <v>737</v>
      </c>
      <c r="B738" s="70" t="str">
        <f aca="false">IFERROR(INDEX(対訳マスタ!$C$2:$C$136,MATCH(Data!B738,対訳マスタ!$B$2:$B$136,0)),Data!B738)</f>
        <v>コミュニケーション言語方略</v>
      </c>
      <c r="C738" s="70" t="str">
        <f aca="false">IF(Data!C738="—","—",IFERROR(INDEX(対訳マスタ!$C$2:$C$136,MATCH(Data!C738,対訳マスタ!$B$2:$B$136,0)),Data!C738))</f>
        <v>相互行為</v>
      </c>
      <c r="D738" s="70" t="str">
        <f aca="false">IF(Data!D738="—","—",IFERROR(INDEX(対訳マスタ!$C$2:$C$136,MATCH(Data!D738,対訳マスタ!$B$2:$B$136,0)),Data!D738))</f>
        <v>—</v>
      </c>
      <c r="E738" s="70" t="str">
        <f aca="false">IFERROR(INDEX(対訳マスタ!$C$2:$C$136,MATCH(Data!E738,対訳マスタ!$B$2:$B$136,0)),Data!E738)</f>
        <v>明確化の要求（聞き返し）</v>
      </c>
      <c r="F738" s="70" t="str">
        <f aca="false">Data!F738</f>
        <v>C1</v>
      </c>
      <c r="G738" s="31" t="str">
        <f aca="false">Data!G738</f>
        <v>Can ask for explanation or clarification to ensure they understand complex, abstract ideas in professional or academic contexts, live or online.</v>
      </c>
      <c r="H738" s="71" t="s">
        <v>2793</v>
      </c>
      <c r="I738" s="79" t="s">
        <v>3089</v>
      </c>
    </row>
    <row r="739" customFormat="false" ht="26.25" hidden="false" customHeight="true" outlineLevel="0" collapsed="false">
      <c r="A739" s="70" t="n">
        <f aca="false">Data!A739</f>
        <v>738</v>
      </c>
      <c r="B739" s="70" t="str">
        <f aca="false">IFERROR(INDEX(対訳マスタ!$C$2:$C$136,MATCH(Data!B739,対訳マスタ!$B$2:$B$136,0)),Data!B739)</f>
        <v>コミュニケーション言語方略</v>
      </c>
      <c r="C739" s="70" t="str">
        <f aca="false">IF(Data!C739="—","—",IFERROR(INDEX(対訳マスタ!$C$2:$C$136,MATCH(Data!C739,対訳マスタ!$B$2:$B$136,0)),Data!C739))</f>
        <v>相互行為</v>
      </c>
      <c r="D739" s="70" t="str">
        <f aca="false">IF(Data!D739="—","—",IFERROR(INDEX(対訳マスタ!$C$2:$C$136,MATCH(Data!D739,対訳マスタ!$B$2:$B$136,0)),Data!D739))</f>
        <v>—</v>
      </c>
      <c r="E739" s="70" t="str">
        <f aca="false">IFERROR(INDEX(対訳マスタ!$C$2:$C$136,MATCH(Data!E739,対訳マスタ!$B$2:$B$136,0)),Data!E739)</f>
        <v>明確化の要求（聞き返し）</v>
      </c>
      <c r="F739" s="70" t="str">
        <f aca="false">Data!F739</f>
        <v>B2+</v>
      </c>
      <c r="G739" s="31" t="str">
        <f aca="false">Data!G739</f>
        <v>Can ask follow-up questions to check that they have understood what someone intended to say, and get clarification of ambiguous points.</v>
      </c>
      <c r="H739" s="71" t="s">
        <v>2792</v>
      </c>
      <c r="I739" s="79" t="s">
        <v>3089</v>
      </c>
    </row>
    <row r="740" customFormat="false" ht="21.75" hidden="false" customHeight="true" outlineLevel="0" collapsed="false">
      <c r="A740" s="70" t="n">
        <f aca="false">Data!A740</f>
        <v>739</v>
      </c>
      <c r="B740" s="70" t="str">
        <f aca="false">IFERROR(INDEX(対訳マスタ!$C$2:$C$136,MATCH(Data!B740,対訳マスタ!$B$2:$B$136,0)),Data!B740)</f>
        <v>コミュニケーション言語方略</v>
      </c>
      <c r="C740" s="70" t="str">
        <f aca="false">IF(Data!C740="—","—",IFERROR(INDEX(対訳マスタ!$C$2:$C$136,MATCH(Data!C740,対訳マスタ!$B$2:$B$136,0)),Data!C740))</f>
        <v>相互行為</v>
      </c>
      <c r="D740" s="70" t="str">
        <f aca="false">IF(Data!D740="—","—",IFERROR(INDEX(対訳マスタ!$C$2:$C$136,MATCH(Data!D740,対訳マスタ!$B$2:$B$136,0)),Data!D740))</f>
        <v>—</v>
      </c>
      <c r="E740" s="70" t="str">
        <f aca="false">IFERROR(INDEX(対訳マスタ!$C$2:$C$136,MATCH(Data!E740,対訳マスタ!$B$2:$B$136,0)),Data!E740)</f>
        <v>明確化の要求（聞き返し）</v>
      </c>
      <c r="F740" s="70" t="str">
        <f aca="false">Data!F740</f>
        <v>B2</v>
      </c>
      <c r="G740" s="31" t="str">
        <f aca="false">Data!G740</f>
        <v>Can ask for explanation or clarification to ensure they understand complex, abstract ideas.</v>
      </c>
      <c r="H740" s="71" t="s">
        <v>2791</v>
      </c>
      <c r="I740" s="79" t="s">
        <v>3089</v>
      </c>
    </row>
    <row r="741" customFormat="false" ht="21.75" hidden="false" customHeight="true" outlineLevel="0" collapsed="false">
      <c r="A741" s="70" t="n">
        <f aca="false">Data!A741</f>
        <v>740</v>
      </c>
      <c r="B741" s="70" t="str">
        <f aca="false">IFERROR(INDEX(対訳マスタ!$C$2:$C$136,MATCH(Data!B741,対訳マスタ!$B$2:$B$136,0)),Data!B741)</f>
        <v>コミュニケーション言語方略</v>
      </c>
      <c r="C741" s="70" t="str">
        <f aca="false">IF(Data!C741="—","—",IFERROR(INDEX(対訳マスタ!$C$2:$C$136,MATCH(Data!C741,対訳マスタ!$B$2:$B$136,0)),Data!C741))</f>
        <v>相互行為</v>
      </c>
      <c r="D741" s="70" t="str">
        <f aca="false">IF(Data!D741="—","—",IFERROR(INDEX(対訳マスタ!$C$2:$C$136,MATCH(Data!D741,対訳マスタ!$B$2:$B$136,0)),Data!D741))</f>
        <v>—</v>
      </c>
      <c r="E741" s="70" t="str">
        <f aca="false">IFERROR(INDEX(対訳マスタ!$C$2:$C$136,MATCH(Data!E741,対訳マスタ!$B$2:$B$136,0)),Data!E741)</f>
        <v>明確化の要求（聞き返し）</v>
      </c>
      <c r="F741" s="70" t="str">
        <f aca="false">Data!F741</f>
        <v>B2</v>
      </c>
      <c r="G741" s="31" t="str">
        <f aca="false">Data!G741</f>
        <v>Can formulate follow-up questions to a member of a group to clarify an issue that is implicit or poorly articulated.</v>
      </c>
      <c r="H741" s="71" t="s">
        <v>3409</v>
      </c>
      <c r="I741" s="79" t="s">
        <v>3089</v>
      </c>
    </row>
    <row r="742" customFormat="false" ht="21.75" hidden="false" customHeight="true" outlineLevel="0" collapsed="false">
      <c r="A742" s="70" t="n">
        <f aca="false">Data!A742</f>
        <v>741</v>
      </c>
      <c r="B742" s="70" t="str">
        <f aca="false">IFERROR(INDEX(対訳マスタ!$C$2:$C$136,MATCH(Data!B742,対訳マスタ!$B$2:$B$136,0)),Data!B742)</f>
        <v>コミュニケーション言語方略</v>
      </c>
      <c r="C742" s="70" t="str">
        <f aca="false">IF(Data!C742="—","—",IFERROR(INDEX(対訳マスタ!$C$2:$C$136,MATCH(Data!C742,対訳マスタ!$B$2:$B$136,0)),Data!C742))</f>
        <v>相互行為</v>
      </c>
      <c r="D742" s="70" t="str">
        <f aca="false">IF(Data!D742="—","—",IFERROR(INDEX(対訳マスタ!$C$2:$C$136,MATCH(Data!D742,対訳マスタ!$B$2:$B$136,0)),Data!D742))</f>
        <v>—</v>
      </c>
      <c r="E742" s="70" t="str">
        <f aca="false">IFERROR(INDEX(対訳マスタ!$C$2:$C$136,MATCH(Data!E742,対訳マスタ!$B$2:$B$136,0)),Data!E742)</f>
        <v>明確化の要求（聞き返し）</v>
      </c>
      <c r="F742" s="70" t="str">
        <f aca="false">Data!F742</f>
        <v>B1+</v>
      </c>
      <c r="G742" s="31" t="str">
        <f aca="false">Data!G742</f>
        <v>Can ask for further details and clarifications from other group members in order to move a discussion forward.</v>
      </c>
      <c r="H742" s="71" t="s">
        <v>2790</v>
      </c>
      <c r="I742" s="79" t="s">
        <v>3089</v>
      </c>
    </row>
    <row r="743" customFormat="false" ht="15" hidden="false" customHeight="true" outlineLevel="0" collapsed="false">
      <c r="A743" s="70" t="n">
        <f aca="false">Data!A743</f>
        <v>742</v>
      </c>
      <c r="B743" s="70" t="str">
        <f aca="false">IFERROR(INDEX(対訳マスタ!$C$2:$C$136,MATCH(Data!B743,対訳マスタ!$B$2:$B$136,0)),Data!B743)</f>
        <v>コミュニケーション言語方略</v>
      </c>
      <c r="C743" s="70" t="str">
        <f aca="false">IF(Data!C743="—","—",IFERROR(INDEX(対訳マスタ!$C$2:$C$136,MATCH(Data!C743,対訳マスタ!$B$2:$B$136,0)),Data!C743))</f>
        <v>相互行為</v>
      </c>
      <c r="D743" s="70" t="str">
        <f aca="false">IF(Data!D743="—","—",IFERROR(INDEX(対訳マスタ!$C$2:$C$136,MATCH(Data!D743,対訳マスタ!$B$2:$B$136,0)),Data!D743))</f>
        <v>—</v>
      </c>
      <c r="E743" s="70" t="str">
        <f aca="false">IFERROR(INDEX(対訳マスタ!$C$2:$C$136,MATCH(Data!E743,対訳マスタ!$B$2:$B$136,0)),Data!E743)</f>
        <v>明確化の要求（聞き返し）</v>
      </c>
      <c r="F743" s="70" t="str">
        <f aca="false">Data!F743</f>
        <v>B1</v>
      </c>
      <c r="G743" s="31" t="str">
        <f aca="false">Data!G743</f>
        <v>Can ask someone to clarify or elaborate what they have just said.</v>
      </c>
      <c r="H743" s="71" t="s">
        <v>2789</v>
      </c>
      <c r="I743" s="79" t="s">
        <v>3089</v>
      </c>
    </row>
    <row r="744" customFormat="false" ht="15" hidden="false" customHeight="true" outlineLevel="0" collapsed="false">
      <c r="A744" s="70" t="n">
        <f aca="false">Data!A744</f>
        <v>743</v>
      </c>
      <c r="B744" s="70" t="str">
        <f aca="false">IFERROR(INDEX(対訳マスタ!$C$2:$C$136,MATCH(Data!B744,対訳マスタ!$B$2:$B$136,0)),Data!B744)</f>
        <v>コミュニケーション言語方略</v>
      </c>
      <c r="C744" s="70" t="str">
        <f aca="false">IF(Data!C744="—","—",IFERROR(INDEX(対訳マスタ!$C$2:$C$136,MATCH(Data!C744,対訳マスタ!$B$2:$B$136,0)),Data!C744))</f>
        <v>相互行為</v>
      </c>
      <c r="D744" s="70" t="str">
        <f aca="false">IF(Data!D744="—","—",IFERROR(INDEX(対訳マスタ!$C$2:$C$136,MATCH(Data!D744,対訳マスタ!$B$2:$B$136,0)),Data!D744))</f>
        <v>—</v>
      </c>
      <c r="E744" s="70" t="str">
        <f aca="false">IFERROR(INDEX(対訳マスタ!$C$2:$C$136,MATCH(Data!E744,対訳マスタ!$B$2:$B$136,0)),Data!E744)</f>
        <v>明確化の要求（聞き返し）</v>
      </c>
      <c r="F744" s="70" t="str">
        <f aca="false">Data!F744</f>
        <v>A2+</v>
      </c>
      <c r="G744" s="31" t="str">
        <f aca="false">Data!G744</f>
        <v>Can ask very simply for repetition when they do not understand.</v>
      </c>
      <c r="H744" s="71" t="s">
        <v>2788</v>
      </c>
      <c r="I744" s="79" t="s">
        <v>3089</v>
      </c>
    </row>
    <row r="745" customFormat="false" ht="21.75" hidden="false" customHeight="true" outlineLevel="0" collapsed="false">
      <c r="A745" s="70" t="n">
        <f aca="false">Data!A745</f>
        <v>744</v>
      </c>
      <c r="B745" s="70" t="str">
        <f aca="false">IFERROR(INDEX(対訳マスタ!$C$2:$C$136,MATCH(Data!B745,対訳マスタ!$B$2:$B$136,0)),Data!B745)</f>
        <v>コミュニケーション言語方略</v>
      </c>
      <c r="C745" s="70" t="str">
        <f aca="false">IF(Data!C745="—","—",IFERROR(INDEX(対訳マスタ!$C$2:$C$136,MATCH(Data!C745,対訳マスタ!$B$2:$B$136,0)),Data!C745))</f>
        <v>相互行為</v>
      </c>
      <c r="D745" s="70" t="str">
        <f aca="false">IF(Data!D745="—","—",IFERROR(INDEX(対訳マスタ!$C$2:$C$136,MATCH(Data!D745,対訳マスタ!$B$2:$B$136,0)),Data!D745))</f>
        <v>—</v>
      </c>
      <c r="E745" s="70" t="str">
        <f aca="false">IFERROR(INDEX(対訳マスタ!$C$2:$C$136,MATCH(Data!E745,対訳マスタ!$B$2:$B$136,0)),Data!E745)</f>
        <v>明確化の要求（聞き返し）</v>
      </c>
      <c r="F745" s="70" t="str">
        <f aca="false">Data!F745</f>
        <v>A2+</v>
      </c>
      <c r="G745" s="31" t="str">
        <f aca="false">Data!G745</f>
        <v>Can ask for clarification about key words/signs or phrases not understood, using stock phrases.</v>
      </c>
      <c r="H745" s="71" t="s">
        <v>3410</v>
      </c>
      <c r="I745" s="79" t="s">
        <v>3089</v>
      </c>
    </row>
    <row r="746" customFormat="false" ht="15" hidden="false" customHeight="true" outlineLevel="0" collapsed="false">
      <c r="A746" s="70" t="n">
        <f aca="false">Data!A746</f>
        <v>745</v>
      </c>
      <c r="B746" s="70" t="str">
        <f aca="false">IFERROR(INDEX(対訳マスタ!$C$2:$C$136,MATCH(Data!B746,対訳マスタ!$B$2:$B$136,0)),Data!B746)</f>
        <v>コミュニケーション言語方略</v>
      </c>
      <c r="C746" s="70" t="str">
        <f aca="false">IF(Data!C746="—","—",IFERROR(INDEX(対訳マスタ!$C$2:$C$136,MATCH(Data!C746,対訳マスタ!$B$2:$B$136,0)),Data!C746))</f>
        <v>相互行為</v>
      </c>
      <c r="D746" s="70" t="str">
        <f aca="false">IF(Data!D746="—","—",IFERROR(INDEX(対訳マスタ!$C$2:$C$136,MATCH(Data!D746,対訳マスタ!$B$2:$B$136,0)),Data!D746))</f>
        <v>—</v>
      </c>
      <c r="E746" s="70" t="str">
        <f aca="false">IFERROR(INDEX(対訳マスタ!$C$2:$C$136,MATCH(Data!E746,対訳マスタ!$B$2:$B$136,0)),Data!E746)</f>
        <v>明確化の要求（聞き返し）</v>
      </c>
      <c r="F746" s="70" t="str">
        <f aca="false">Data!F746</f>
        <v>A2</v>
      </c>
      <c r="G746" s="31" t="str">
        <f aca="false">Data!G746</f>
        <v>Can indicate that they did not follow.</v>
      </c>
      <c r="H746" s="71" t="s">
        <v>2787</v>
      </c>
      <c r="I746" s="79" t="s">
        <v>3089</v>
      </c>
    </row>
    <row r="747" customFormat="false" ht="15" hidden="false" customHeight="true" outlineLevel="0" collapsed="false">
      <c r="A747" s="70" t="n">
        <f aca="false">Data!A747</f>
        <v>746</v>
      </c>
      <c r="B747" s="70" t="str">
        <f aca="false">IFERROR(INDEX(対訳マスタ!$C$2:$C$136,MATCH(Data!B747,対訳マスタ!$B$2:$B$136,0)),Data!B747)</f>
        <v>コミュニケーション言語方略</v>
      </c>
      <c r="C747" s="70" t="str">
        <f aca="false">IF(Data!C747="—","—",IFERROR(INDEX(対訳マスタ!$C$2:$C$136,MATCH(Data!C747,対訳マスタ!$B$2:$B$136,0)),Data!C747))</f>
        <v>相互行為</v>
      </c>
      <c r="D747" s="70" t="str">
        <f aca="false">IF(Data!D747="—","—",IFERROR(INDEX(対訳マスタ!$C$2:$C$136,MATCH(Data!D747,対訳マスタ!$B$2:$B$136,0)),Data!D747))</f>
        <v>—</v>
      </c>
      <c r="E747" s="70" t="str">
        <f aca="false">IFERROR(INDEX(対訳マスタ!$C$2:$C$136,MATCH(Data!E747,対訳マスタ!$B$2:$B$136,0)),Data!E747)</f>
        <v>明確化の要求（聞き返し）</v>
      </c>
      <c r="F747" s="70" t="str">
        <f aca="false">Data!F747</f>
        <v>A2</v>
      </c>
      <c r="G747" s="31" t="str">
        <f aca="false">Data!G747</f>
        <v>Can signal non-understanding and ask for a word/sign to be spelt out.</v>
      </c>
      <c r="H747" s="71" t="s">
        <v>3411</v>
      </c>
      <c r="I747" s="79" t="s">
        <v>3089</v>
      </c>
    </row>
    <row r="748" customFormat="false" ht="21.75" hidden="false" customHeight="true" outlineLevel="0" collapsed="false">
      <c r="A748" s="70" t="n">
        <f aca="false">Data!A748</f>
        <v>747</v>
      </c>
      <c r="B748" s="70" t="str">
        <f aca="false">IFERROR(INDEX(対訳マスタ!$C$2:$C$136,MATCH(Data!B748,対訳マスタ!$B$2:$B$136,0)),Data!B748)</f>
        <v>コミュニケーション言語方略</v>
      </c>
      <c r="C748" s="70" t="str">
        <f aca="false">IF(Data!C748="—","—",IFERROR(INDEX(対訳マスタ!$C$2:$C$136,MATCH(Data!C748,対訳マスタ!$B$2:$B$136,0)),Data!C748))</f>
        <v>相互行為</v>
      </c>
      <c r="D748" s="70" t="str">
        <f aca="false">IF(Data!D748="—","—",IFERROR(INDEX(対訳マスタ!$C$2:$C$136,MATCH(Data!D748,対訳マスタ!$B$2:$B$136,0)),Data!D748))</f>
        <v>—</v>
      </c>
      <c r="E748" s="70" t="str">
        <f aca="false">IFERROR(INDEX(対訳マスタ!$C$2:$C$136,MATCH(Data!E748,対訳マスタ!$B$2:$B$136,0)),Data!E748)</f>
        <v>明確化の要求（聞き返し）</v>
      </c>
      <c r="F748" s="70" t="str">
        <f aca="false">Data!F748</f>
        <v>A1</v>
      </c>
      <c r="G748" s="31" t="str">
        <f aca="false">Data!G748</f>
        <v>Can indicate with simple words/signs, intonation and gestures that they do not understand.</v>
      </c>
      <c r="H748" s="71" t="s">
        <v>3412</v>
      </c>
      <c r="I748" s="79" t="s">
        <v>3089</v>
      </c>
    </row>
    <row r="749" customFormat="false" ht="15" hidden="false" customHeight="true" outlineLevel="0" collapsed="false">
      <c r="A749" s="70" t="n">
        <f aca="false">Data!A749</f>
        <v>748</v>
      </c>
      <c r="B749" s="70" t="str">
        <f aca="false">IFERROR(INDEX(対訳マスタ!$C$2:$C$136,MATCH(Data!B749,対訳マスタ!$B$2:$B$136,0)),Data!B749)</f>
        <v>コミュニケーション言語方略</v>
      </c>
      <c r="C749" s="70" t="str">
        <f aca="false">IF(Data!C749="—","—",IFERROR(INDEX(対訳マスタ!$C$2:$C$136,MATCH(Data!C749,対訳マスタ!$B$2:$B$136,0)),Data!C749))</f>
        <v>相互行為</v>
      </c>
      <c r="D749" s="70" t="str">
        <f aca="false">IF(Data!D749="—","—",IFERROR(INDEX(対訳マスタ!$C$2:$C$136,MATCH(Data!D749,対訳マスタ!$B$2:$B$136,0)),Data!D749))</f>
        <v>—</v>
      </c>
      <c r="E749" s="70" t="str">
        <f aca="false">IFERROR(INDEX(対訳マスタ!$C$2:$C$136,MATCH(Data!E749,対訳マスタ!$B$2:$B$136,0)),Data!E749)</f>
        <v>明確化の要求（聞き返し）</v>
      </c>
      <c r="F749" s="70" t="str">
        <f aca="false">Data!F749</f>
        <v>A1</v>
      </c>
      <c r="G749" s="31" t="str">
        <f aca="false">Data!G749</f>
        <v>Can express in a simple way that they do not understand.</v>
      </c>
      <c r="H749" s="71" t="s">
        <v>2786</v>
      </c>
      <c r="I749" s="79" t="s">
        <v>3089</v>
      </c>
    </row>
    <row r="750" customFormat="false" ht="15" hidden="false" customHeight="true" outlineLevel="0" collapsed="false">
      <c r="A750" s="80" t="n">
        <f aca="false">Data!A750</f>
        <v>749</v>
      </c>
      <c r="B750" s="80" t="str">
        <f aca="false">IFERROR(INDEX(対訳マスタ!$C$2:$C$136,MATCH(Data!B750,対訳マスタ!$B$2:$B$136,0)),Data!B750)</f>
        <v>コミュニケーション言語方略</v>
      </c>
      <c r="C750" s="80" t="str">
        <f aca="false">IF(Data!C750="—","—",IFERROR(INDEX(対訳マスタ!$C$2:$C$136,MATCH(Data!C750,対訳マスタ!$B$2:$B$136,0)),Data!C750))</f>
        <v>相互行為</v>
      </c>
      <c r="D750" s="80" t="str">
        <f aca="false">IF(Data!D750="—","—",IFERROR(INDEX(対訳マスタ!$C$2:$C$136,MATCH(Data!D750,対訳マスタ!$B$2:$B$136,0)),Data!D750))</f>
        <v>—</v>
      </c>
      <c r="E750" s="80" t="str">
        <f aca="false">IFERROR(INDEX(対訳マスタ!$C$2:$C$136,MATCH(Data!E750,対訳マスタ!$B$2:$B$136,0)),Data!E750)</f>
        <v>明確化の要求（聞き返し）</v>
      </c>
      <c r="F750" s="80" t="str">
        <f aca="false">Data!F750</f>
        <v>Pre-A1</v>
      </c>
      <c r="G750" s="81" t="str">
        <f aca="false">Data!G750</f>
        <v>No descriptors available</v>
      </c>
      <c r="H750" s="81" t="s">
        <v>624</v>
      </c>
      <c r="I750" s="80" t="s">
        <v>624</v>
      </c>
    </row>
    <row r="751" customFormat="false" ht="64.5" hidden="false" customHeight="true" outlineLevel="0" collapsed="false">
      <c r="A751" s="70" t="n">
        <f aca="false">Data!A751</f>
        <v>750</v>
      </c>
      <c r="B751" s="70" t="str">
        <f aca="false">IFERROR(INDEX(対訳マスタ!$C$2:$C$136,MATCH(Data!B751,対訳マスタ!$B$2:$B$136,0)),Data!B751)</f>
        <v>コミュニケーション言語活動</v>
      </c>
      <c r="C751" s="70" t="str">
        <f aca="false">IF(Data!C751="—","—",IFERROR(INDEX(対訳マスタ!$C$2:$C$136,MATCH(Data!C751,対訳マスタ!$B$2:$B$136,0)),Data!C751))</f>
        <v>仲介</v>
      </c>
      <c r="D751" s="70" t="str">
        <f aca="false">IF(Data!D751="—","—",IFERROR(INDEX(対訳マスタ!$C$2:$C$136,MATCH(Data!D751,対訳マスタ!$B$2:$B$136,0)),Data!D751))</f>
        <v>—</v>
      </c>
      <c r="E751" s="70" t="str">
        <f aca="false">IFERROR(INDEX(対訳マスタ!$C$2:$C$136,MATCH(Data!E751,対訳マスタ!$B$2:$B$136,0)),Data!E751)</f>
        <v>仲介（総合）</v>
      </c>
      <c r="F751" s="70" t="str">
        <f aca="false">Data!F751</f>
        <v>C2</v>
      </c>
      <c r="G751" s="31" t="str">
        <f aca="false">Data!G751</f>
        <v>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v>
      </c>
      <c r="H751" s="71" t="s">
        <v>2802</v>
      </c>
      <c r="I751" s="79" t="s">
        <v>3089</v>
      </c>
    </row>
    <row r="752" customFormat="false" ht="74.25" hidden="false" customHeight="true" outlineLevel="0" collapsed="false">
      <c r="A752" s="70" t="n">
        <f aca="false">Data!A752</f>
        <v>751</v>
      </c>
      <c r="B752" s="70" t="str">
        <f aca="false">IFERROR(INDEX(対訳マスタ!$C$2:$C$136,MATCH(Data!B752,対訳マスタ!$B$2:$B$136,0)),Data!B752)</f>
        <v>コミュニケーション言語活動</v>
      </c>
      <c r="C752" s="70" t="str">
        <f aca="false">IF(Data!C752="—","—",IFERROR(INDEX(対訳マスタ!$C$2:$C$136,MATCH(Data!C752,対訳マスタ!$B$2:$B$136,0)),Data!C752))</f>
        <v>仲介</v>
      </c>
      <c r="D752" s="70" t="str">
        <f aca="false">IF(Data!D752="—","—",IFERROR(INDEX(対訳マスタ!$C$2:$C$136,MATCH(Data!D752,対訳マスタ!$B$2:$B$136,0)),Data!D752))</f>
        <v>—</v>
      </c>
      <c r="E752" s="70" t="str">
        <f aca="false">IFERROR(INDEX(対訳マスタ!$C$2:$C$136,MATCH(Data!E752,対訳マスタ!$B$2:$B$136,0)),Data!E752)</f>
        <v>仲介（総合）</v>
      </c>
      <c r="F752" s="70" t="str">
        <f aca="false">Data!F752</f>
        <v>C1</v>
      </c>
      <c r="G752" s="31" t="str">
        <f aca="false">Data!G752</f>
        <v>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v>
      </c>
      <c r="H752" s="71" t="s">
        <v>2801</v>
      </c>
      <c r="I752" s="79" t="s">
        <v>3089</v>
      </c>
    </row>
    <row r="753" customFormat="false" ht="74.25" hidden="false" customHeight="true" outlineLevel="0" collapsed="false">
      <c r="A753" s="70" t="n">
        <f aca="false">Data!A753</f>
        <v>752</v>
      </c>
      <c r="B753" s="70" t="str">
        <f aca="false">IFERROR(INDEX(対訳マスタ!$C$2:$C$136,MATCH(Data!B753,対訳マスタ!$B$2:$B$136,0)),Data!B753)</f>
        <v>コミュニケーション言語活動</v>
      </c>
      <c r="C753" s="70" t="str">
        <f aca="false">IF(Data!C753="—","—",IFERROR(INDEX(対訳マスタ!$C$2:$C$136,MATCH(Data!C753,対訳マスタ!$B$2:$B$136,0)),Data!C753))</f>
        <v>仲介</v>
      </c>
      <c r="D753" s="70" t="str">
        <f aca="false">IF(Data!D753="—","—",IFERROR(INDEX(対訳マスタ!$C$2:$C$136,MATCH(Data!D753,対訳マスタ!$B$2:$B$136,0)),Data!D753))</f>
        <v>—</v>
      </c>
      <c r="E753" s="70" t="str">
        <f aca="false">IFERROR(INDEX(対訳マスタ!$C$2:$C$136,MATCH(Data!E753,対訳マスタ!$B$2:$B$136,0)),Data!E753)</f>
        <v>仲介（総合）</v>
      </c>
      <c r="F753" s="70" t="str">
        <f aca="false">Data!F753</f>
        <v>B2+</v>
      </c>
      <c r="G753" s="31" t="str">
        <f aca="false">Data!G753</f>
        <v>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v>
      </c>
      <c r="H753" s="71" t="s">
        <v>2800</v>
      </c>
      <c r="I753" s="79" t="s">
        <v>3089</v>
      </c>
    </row>
    <row r="754" customFormat="false" ht="74.25" hidden="false" customHeight="true" outlineLevel="0" collapsed="false">
      <c r="A754" s="70" t="n">
        <f aca="false">Data!A754</f>
        <v>753</v>
      </c>
      <c r="B754" s="70" t="str">
        <f aca="false">IFERROR(INDEX(対訳マスタ!$C$2:$C$136,MATCH(Data!B754,対訳マスタ!$B$2:$B$136,0)),Data!B754)</f>
        <v>コミュニケーション言語活動</v>
      </c>
      <c r="C754" s="70" t="str">
        <f aca="false">IF(Data!C754="—","—",IFERROR(INDEX(対訳マスタ!$C$2:$C$136,MATCH(Data!C754,対訳マスタ!$B$2:$B$136,0)),Data!C754))</f>
        <v>仲介</v>
      </c>
      <c r="D754" s="70" t="str">
        <f aca="false">IF(Data!D754="—","—",IFERROR(INDEX(対訳マスタ!$C$2:$C$136,MATCH(Data!D754,対訳マスタ!$B$2:$B$136,0)),Data!D754))</f>
        <v>—</v>
      </c>
      <c r="E754" s="70" t="str">
        <f aca="false">IFERROR(INDEX(対訳マスタ!$C$2:$C$136,MATCH(Data!E754,対訳マスタ!$B$2:$B$136,0)),Data!E754)</f>
        <v>仲介（総合）</v>
      </c>
      <c r="F754" s="70" t="str">
        <f aca="false">Data!F754</f>
        <v>B2</v>
      </c>
      <c r="G754" s="31" t="str">
        <f aca="false">Data!G754</f>
        <v>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v>
      </c>
      <c r="H754" s="71" t="s">
        <v>2799</v>
      </c>
      <c r="I754" s="79" t="s">
        <v>3089</v>
      </c>
    </row>
    <row r="755" customFormat="false" ht="53.25" hidden="false" customHeight="true" outlineLevel="0" collapsed="false">
      <c r="A755" s="70" t="n">
        <f aca="false">Data!A755</f>
        <v>754</v>
      </c>
      <c r="B755" s="70" t="str">
        <f aca="false">IFERROR(INDEX(対訳マスタ!$C$2:$C$136,MATCH(Data!B755,対訳マスタ!$B$2:$B$136,0)),Data!B755)</f>
        <v>コミュニケーション言語活動</v>
      </c>
      <c r="C755" s="70" t="str">
        <f aca="false">IF(Data!C755="—","—",IFERROR(INDEX(対訳マスタ!$C$2:$C$136,MATCH(Data!C755,対訳マスタ!$B$2:$B$136,0)),Data!C755))</f>
        <v>仲介</v>
      </c>
      <c r="D755" s="70" t="str">
        <f aca="false">IF(Data!D755="—","—",IFERROR(INDEX(対訳マスタ!$C$2:$C$136,MATCH(Data!D755,対訳マスタ!$B$2:$B$136,0)),Data!D755))</f>
        <v>—</v>
      </c>
      <c r="E755" s="70" t="str">
        <f aca="false">IFERROR(INDEX(対訳マスタ!$C$2:$C$136,MATCH(Data!E755,対訳マスタ!$B$2:$B$136,0)),Data!E755)</f>
        <v>仲介（総合）</v>
      </c>
      <c r="F755" s="70" t="str">
        <f aca="false">Data!F755</f>
        <v>B1+</v>
      </c>
      <c r="G755" s="31" t="str">
        <f aca="false">Data!G755</f>
        <v>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v>
      </c>
      <c r="H755" s="71" t="s">
        <v>2798</v>
      </c>
      <c r="I755" s="79" t="s">
        <v>3089</v>
      </c>
    </row>
    <row r="756" customFormat="false" ht="53.25" hidden="false" customHeight="true" outlineLevel="0" collapsed="false">
      <c r="A756" s="70" t="n">
        <f aca="false">Data!A756</f>
        <v>755</v>
      </c>
      <c r="B756" s="70" t="str">
        <f aca="false">IFERROR(INDEX(対訳マスタ!$C$2:$C$136,MATCH(Data!B756,対訳マスタ!$B$2:$B$136,0)),Data!B756)</f>
        <v>コミュニケーション言語活動</v>
      </c>
      <c r="C756" s="70" t="str">
        <f aca="false">IF(Data!C756="—","—",IFERROR(INDEX(対訳マスタ!$C$2:$C$136,MATCH(Data!C756,対訳マスタ!$B$2:$B$136,0)),Data!C756))</f>
        <v>仲介</v>
      </c>
      <c r="D756" s="70" t="str">
        <f aca="false">IF(Data!D756="—","—",IFERROR(INDEX(対訳マスタ!$C$2:$C$136,MATCH(Data!D756,対訳マスタ!$B$2:$B$136,0)),Data!D756))</f>
        <v>—</v>
      </c>
      <c r="E756" s="70" t="str">
        <f aca="false">IFERROR(INDEX(対訳マスタ!$C$2:$C$136,MATCH(Data!E756,対訳マスタ!$B$2:$B$136,0)),Data!E756)</f>
        <v>仲介（総合）</v>
      </c>
      <c r="F756" s="70" t="str">
        <f aca="false">Data!F756</f>
        <v>B1</v>
      </c>
      <c r="G756" s="31" t="str">
        <f aca="false">Data!G756</f>
        <v>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v>
      </c>
      <c r="H756" s="71" t="s">
        <v>2797</v>
      </c>
      <c r="I756" s="79" t="s">
        <v>3089</v>
      </c>
    </row>
    <row r="757" customFormat="false" ht="53.25" hidden="false" customHeight="true" outlineLevel="0" collapsed="false">
      <c r="A757" s="70" t="n">
        <f aca="false">Data!A757</f>
        <v>756</v>
      </c>
      <c r="B757" s="70" t="str">
        <f aca="false">IFERROR(INDEX(対訳マスタ!$C$2:$C$136,MATCH(Data!B757,対訳マスタ!$B$2:$B$136,0)),Data!B757)</f>
        <v>コミュニケーション言語活動</v>
      </c>
      <c r="C757" s="70" t="str">
        <f aca="false">IF(Data!C757="—","—",IFERROR(INDEX(対訳マスタ!$C$2:$C$136,MATCH(Data!C757,対訳マスタ!$B$2:$B$136,0)),Data!C757))</f>
        <v>仲介</v>
      </c>
      <c r="D757" s="70" t="str">
        <f aca="false">IF(Data!D757="—","—",IFERROR(INDEX(対訳マスタ!$C$2:$C$136,MATCH(Data!D757,対訳マスタ!$B$2:$B$136,0)),Data!D757))</f>
        <v>—</v>
      </c>
      <c r="E757" s="70" t="str">
        <f aca="false">IFERROR(INDEX(対訳マスタ!$C$2:$C$136,MATCH(Data!E757,対訳マスタ!$B$2:$B$136,0)),Data!E757)</f>
        <v>仲介（総合）</v>
      </c>
      <c r="F757" s="70" t="str">
        <f aca="false">Data!F757</f>
        <v>A2+</v>
      </c>
      <c r="G757" s="31" t="str">
        <f aca="false">Data!G757</f>
        <v>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v>
      </c>
      <c r="H757" s="71" t="s">
        <v>2796</v>
      </c>
      <c r="I757" s="79" t="s">
        <v>3089</v>
      </c>
    </row>
    <row r="758" customFormat="false" ht="42.75" hidden="false" customHeight="true" outlineLevel="0" collapsed="false">
      <c r="A758" s="70" t="n">
        <f aca="false">Data!A758</f>
        <v>757</v>
      </c>
      <c r="B758" s="70" t="str">
        <f aca="false">IFERROR(INDEX(対訳マスタ!$C$2:$C$136,MATCH(Data!B758,対訳マスタ!$B$2:$B$136,0)),Data!B758)</f>
        <v>コミュニケーション言語活動</v>
      </c>
      <c r="C758" s="70" t="str">
        <f aca="false">IF(Data!C758="—","—",IFERROR(INDEX(対訳マスタ!$C$2:$C$136,MATCH(Data!C758,対訳マスタ!$B$2:$B$136,0)),Data!C758))</f>
        <v>仲介</v>
      </c>
      <c r="D758" s="70" t="str">
        <f aca="false">IF(Data!D758="—","—",IFERROR(INDEX(対訳マスタ!$C$2:$C$136,MATCH(Data!D758,対訳マスタ!$B$2:$B$136,0)),Data!D758))</f>
        <v>—</v>
      </c>
      <c r="E758" s="70" t="str">
        <f aca="false">IFERROR(INDEX(対訳マスタ!$C$2:$C$136,MATCH(Data!E758,対訳マスタ!$B$2:$B$136,0)),Data!E758)</f>
        <v>仲介（総合）</v>
      </c>
      <c r="F758" s="70" t="str">
        <f aca="false">Data!F758</f>
        <v>A2</v>
      </c>
      <c r="G758" s="31" t="str">
        <f aca="false">Data!G758</f>
        <v>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v>
      </c>
      <c r="H758" s="71" t="s">
        <v>2795</v>
      </c>
      <c r="I758" s="79" t="s">
        <v>3089</v>
      </c>
    </row>
    <row r="759" customFormat="false" ht="39" hidden="false" customHeight="true" outlineLevel="0" collapsed="false">
      <c r="A759" s="70" t="n">
        <f aca="false">Data!A759</f>
        <v>758</v>
      </c>
      <c r="B759" s="70" t="str">
        <f aca="false">IFERROR(INDEX(対訳マスタ!$C$2:$C$136,MATCH(Data!B759,対訳マスタ!$B$2:$B$136,0)),Data!B759)</f>
        <v>コミュニケーション言語活動</v>
      </c>
      <c r="C759" s="70" t="str">
        <f aca="false">IF(Data!C759="—","—",IFERROR(INDEX(対訳マスタ!$C$2:$C$136,MATCH(Data!C759,対訳マスタ!$B$2:$B$136,0)),Data!C759))</f>
        <v>仲介</v>
      </c>
      <c r="D759" s="70" t="str">
        <f aca="false">IF(Data!D759="—","—",IFERROR(INDEX(対訳マスタ!$C$2:$C$136,MATCH(Data!D759,対訳マスタ!$B$2:$B$136,0)),Data!D759))</f>
        <v>—</v>
      </c>
      <c r="E759" s="70" t="str">
        <f aca="false">IFERROR(INDEX(対訳マスタ!$C$2:$C$136,MATCH(Data!E759,対訳マスタ!$B$2:$B$136,0)),Data!E759)</f>
        <v>仲介（総合）</v>
      </c>
      <c r="F759" s="70" t="str">
        <f aca="false">Data!F759</f>
        <v>A1</v>
      </c>
      <c r="G759" s="31" t="str">
        <f aca="false">Data!G759</f>
        <v>Can use simple words/signs and non-verbal signals to show interest in an idea. Can convey simple, predictable information of immediate interest given in short, simple signs and notices, posters and programmes.</v>
      </c>
      <c r="H759" s="71" t="s">
        <v>2794</v>
      </c>
      <c r="I759" s="79" t="s">
        <v>3089</v>
      </c>
    </row>
    <row r="760" customFormat="false" ht="15" hidden="false" customHeight="true" outlineLevel="0" collapsed="false">
      <c r="A760" s="80" t="n">
        <f aca="false">Data!A760</f>
        <v>759</v>
      </c>
      <c r="B760" s="80" t="str">
        <f aca="false">IFERROR(INDEX(対訳マスタ!$C$2:$C$136,MATCH(Data!B760,対訳マスタ!$B$2:$B$136,0)),Data!B760)</f>
        <v>コミュニケーション言語活動</v>
      </c>
      <c r="C760" s="80" t="str">
        <f aca="false">IF(Data!C760="—","—",IFERROR(INDEX(対訳マスタ!$C$2:$C$136,MATCH(Data!C760,対訳マスタ!$B$2:$B$136,0)),Data!C760))</f>
        <v>仲介</v>
      </c>
      <c r="D760" s="80" t="str">
        <f aca="false">IF(Data!D760="—","—",IFERROR(INDEX(対訳マスタ!$C$2:$C$136,MATCH(Data!D760,対訳マスタ!$B$2:$B$136,0)),Data!D760))</f>
        <v>—</v>
      </c>
      <c r="E760" s="80" t="str">
        <f aca="false">IFERROR(INDEX(対訳マスタ!$C$2:$C$136,MATCH(Data!E760,対訳マスタ!$B$2:$B$136,0)),Data!E760)</f>
        <v>仲介（総合）</v>
      </c>
      <c r="F760" s="80" t="str">
        <f aca="false">Data!F760</f>
        <v>Pre-A1</v>
      </c>
      <c r="G760" s="81" t="str">
        <f aca="false">Data!G760</f>
        <v>No descriptors available</v>
      </c>
      <c r="H760" s="81" t="s">
        <v>624</v>
      </c>
      <c r="I760" s="80" t="s">
        <v>624</v>
      </c>
    </row>
    <row r="761" customFormat="false" ht="15" hidden="false" customHeight="true" outlineLevel="0" collapsed="false">
      <c r="A761" s="80" t="n">
        <f aca="false">Data!A761</f>
        <v>760</v>
      </c>
      <c r="B761" s="80" t="str">
        <f aca="false">IFERROR(INDEX(対訳マスタ!$C$2:$C$136,MATCH(Data!B761,対訳マスタ!$B$2:$B$136,0)),Data!B761)</f>
        <v>コミュニケーション言語活動</v>
      </c>
      <c r="C761" s="80" t="str">
        <f aca="false">IF(Data!C761="—","—",IFERROR(INDEX(対訳マスタ!$C$2:$C$136,MATCH(Data!C761,対訳マスタ!$B$2:$B$136,0)),Data!C761))</f>
        <v>仲介</v>
      </c>
      <c r="D761" s="80" t="str">
        <f aca="false">IF(Data!D761="—","—",IFERROR(INDEX(対訳マスタ!$C$2:$C$136,MATCH(Data!D761,対訳マスタ!$B$2:$B$136,0)),Data!D761))</f>
        <v>テキストの仲介</v>
      </c>
      <c r="E761" s="80" t="str">
        <f aca="false">IFERROR(INDEX(対訳マスタ!$C$2:$C$136,MATCH(Data!E761,対訳マスタ!$B$2:$B$136,0)),Data!E761)</f>
        <v>特定情報の伝達（口頭・手話）</v>
      </c>
      <c r="F761" s="80" t="str">
        <f aca="false">Data!F761</f>
        <v>C2</v>
      </c>
      <c r="G761" s="81" t="str">
        <f aca="false">Data!G761</f>
        <v>No descriptors available; see C1</v>
      </c>
      <c r="H761" s="81" t="s">
        <v>624</v>
      </c>
      <c r="I761" s="80" t="s">
        <v>624</v>
      </c>
    </row>
    <row r="762" customFormat="false" ht="26.25" hidden="false" customHeight="true" outlineLevel="0" collapsed="false">
      <c r="A762" s="70" t="n">
        <f aca="false">Data!A762</f>
        <v>761</v>
      </c>
      <c r="B762" s="70" t="str">
        <f aca="false">IFERROR(INDEX(対訳マスタ!$C$2:$C$136,MATCH(Data!B762,対訳マスタ!$B$2:$B$136,0)),Data!B762)</f>
        <v>コミュニケーション言語活動</v>
      </c>
      <c r="C762" s="70" t="str">
        <f aca="false">IF(Data!C762="—","—",IFERROR(INDEX(対訳マスタ!$C$2:$C$136,MATCH(Data!C762,対訳マスタ!$B$2:$B$136,0)),Data!C762))</f>
        <v>仲介</v>
      </c>
      <c r="D762" s="70" t="str">
        <f aca="false">IF(Data!D762="—","—",IFERROR(INDEX(対訳マスタ!$C$2:$C$136,MATCH(Data!D762,対訳マスタ!$B$2:$B$136,0)),Data!D762))</f>
        <v>テキストの仲介</v>
      </c>
      <c r="E762" s="70" t="str">
        <f aca="false">IFERROR(INDEX(対訳マスタ!$C$2:$C$136,MATCH(Data!E762,対訳マスタ!$B$2:$B$136,0)),Data!E762)</f>
        <v>特定情報の伝達（口頭・手話）</v>
      </c>
      <c r="F762" s="70" t="str">
        <f aca="false">Data!F762</f>
        <v>C1</v>
      </c>
      <c r="G762" s="31" t="str">
        <f aca="false">Data!G762</f>
        <v>Can explain (in Language B) the relevance of specific information found in a particular section of a long, complex text (in Language A).</v>
      </c>
      <c r="H762" s="71" t="s">
        <v>2810</v>
      </c>
      <c r="I762" s="79" t="s">
        <v>3089</v>
      </c>
    </row>
    <row r="763" customFormat="false" ht="26.25" hidden="false" customHeight="true" outlineLevel="0" collapsed="false">
      <c r="A763" s="70" t="n">
        <f aca="false">Data!A763</f>
        <v>762</v>
      </c>
      <c r="B763" s="70" t="str">
        <f aca="false">IFERROR(INDEX(対訳マスタ!$C$2:$C$136,MATCH(Data!B763,対訳マスタ!$B$2:$B$136,0)),Data!B763)</f>
        <v>コミュニケーション言語活動</v>
      </c>
      <c r="C763" s="70" t="str">
        <f aca="false">IF(Data!C763="—","—",IFERROR(INDEX(対訳マスタ!$C$2:$C$136,MATCH(Data!C763,対訳マスタ!$B$2:$B$136,0)),Data!C763))</f>
        <v>仲介</v>
      </c>
      <c r="D763" s="70" t="str">
        <f aca="false">IF(Data!D763="—","—",IFERROR(INDEX(対訳マスタ!$C$2:$C$136,MATCH(Data!D763,対訳マスタ!$B$2:$B$136,0)),Data!D763))</f>
        <v>テキストの仲介</v>
      </c>
      <c r="E763" s="70" t="str">
        <f aca="false">IFERROR(INDEX(対訳マスタ!$C$2:$C$136,MATCH(Data!E763,対訳マスタ!$B$2:$B$136,0)),Data!E763)</f>
        <v>特定情報の伝達（口頭・手話）</v>
      </c>
      <c r="F763" s="70" t="str">
        <f aca="false">Data!F763</f>
        <v>B2+</v>
      </c>
      <c r="G763" s="31" t="str">
        <f aca="false">Data!G763</f>
        <v>Can relay (in Language B) which presentations given (in Language A) at a conference or which articles in a book (in Language A) are particularly relevant for a specific purpose.</v>
      </c>
      <c r="H763" s="71" t="s">
        <v>2809</v>
      </c>
      <c r="I763" s="79" t="s">
        <v>3089</v>
      </c>
    </row>
    <row r="764" customFormat="false" ht="32.25" hidden="false" customHeight="true" outlineLevel="0" collapsed="false">
      <c r="A764" s="70" t="n">
        <f aca="false">Data!A764</f>
        <v>763</v>
      </c>
      <c r="B764" s="70" t="str">
        <f aca="false">IFERROR(INDEX(対訳マスタ!$C$2:$C$136,MATCH(Data!B764,対訳マスタ!$B$2:$B$136,0)),Data!B764)</f>
        <v>コミュニケーション言語活動</v>
      </c>
      <c r="C764" s="70" t="str">
        <f aca="false">IF(Data!C764="—","—",IFERROR(INDEX(対訳マスタ!$C$2:$C$136,MATCH(Data!C764,対訳マスタ!$B$2:$B$136,0)),Data!C764))</f>
        <v>仲介</v>
      </c>
      <c r="D764" s="70" t="str">
        <f aca="false">IF(Data!D764="—","—",IFERROR(INDEX(対訳マスタ!$C$2:$C$136,MATCH(Data!D764,対訳マスタ!$B$2:$B$136,0)),Data!D764))</f>
        <v>テキストの仲介</v>
      </c>
      <c r="E764" s="70" t="str">
        <f aca="false">IFERROR(INDEX(対訳マスタ!$C$2:$C$136,MATCH(Data!E764,対訳マスタ!$B$2:$B$136,0)),Data!E764)</f>
        <v>特定情報の伝達（口頭・手話）</v>
      </c>
      <c r="F764" s="70" t="str">
        <f aca="false">Data!F764</f>
        <v>B2</v>
      </c>
      <c r="G764" s="31" t="str">
        <f aca="false">Data!G764</f>
        <v>Can relay (in Language B) the main point(s) contained in formal correspondence and/or reports (in Language A) on general subjects and on subjects related to their fields of interest.</v>
      </c>
      <c r="H764" s="71" t="s">
        <v>2808</v>
      </c>
      <c r="I764" s="79" t="s">
        <v>3089</v>
      </c>
    </row>
    <row r="765" customFormat="false" ht="26.25" hidden="false" customHeight="true" outlineLevel="0" collapsed="false">
      <c r="A765" s="70" t="n">
        <f aca="false">Data!A765</f>
        <v>764</v>
      </c>
      <c r="B765" s="70" t="str">
        <f aca="false">IFERROR(INDEX(対訳マスタ!$C$2:$C$136,MATCH(Data!B765,対訳マスタ!$B$2:$B$136,0)),Data!B765)</f>
        <v>コミュニケーション言語活動</v>
      </c>
      <c r="C765" s="70" t="str">
        <f aca="false">IF(Data!C765="—","—",IFERROR(INDEX(対訳マスタ!$C$2:$C$136,MATCH(Data!C765,対訳マスタ!$B$2:$B$136,0)),Data!C765))</f>
        <v>仲介</v>
      </c>
      <c r="D765" s="70" t="str">
        <f aca="false">IF(Data!D765="—","—",IFERROR(INDEX(対訳マスタ!$C$2:$C$136,MATCH(Data!D765,対訳マスタ!$B$2:$B$136,0)),Data!D765))</f>
        <v>テキストの仲介</v>
      </c>
      <c r="E765" s="70" t="str">
        <f aca="false">IFERROR(INDEX(対訳マスタ!$C$2:$C$136,MATCH(Data!E765,対訳マスタ!$B$2:$B$136,0)),Data!E765)</f>
        <v>特定情報の伝達（口頭・手話）</v>
      </c>
      <c r="F765" s="70" t="str">
        <f aca="false">Data!F765</f>
        <v>B1</v>
      </c>
      <c r="G765" s="31" t="str">
        <f aca="false">Data!G765</f>
        <v>Can relay (in Language B) the content of public announcements and messages delivered clearly at normal speed (in Language A).</v>
      </c>
      <c r="H765" s="71" t="s">
        <v>2807</v>
      </c>
      <c r="I765" s="79" t="s">
        <v>3089</v>
      </c>
    </row>
    <row r="766" customFormat="false" ht="21.75" hidden="false" customHeight="true" outlineLevel="0" collapsed="false">
      <c r="A766" s="70" t="n">
        <f aca="false">Data!A766</f>
        <v>765</v>
      </c>
      <c r="B766" s="70" t="str">
        <f aca="false">IFERROR(INDEX(対訳マスタ!$C$2:$C$136,MATCH(Data!B766,対訳マスタ!$B$2:$B$136,0)),Data!B766)</f>
        <v>コミュニケーション言語活動</v>
      </c>
      <c r="C766" s="70" t="str">
        <f aca="false">IF(Data!C766="—","—",IFERROR(INDEX(対訳マスタ!$C$2:$C$136,MATCH(Data!C766,対訳マスタ!$B$2:$B$136,0)),Data!C766))</f>
        <v>仲介</v>
      </c>
      <c r="D766" s="70" t="str">
        <f aca="false">IF(Data!D766="—","—",IFERROR(INDEX(対訳マスタ!$C$2:$C$136,MATCH(Data!D766,対訳マスタ!$B$2:$B$136,0)),Data!D766))</f>
        <v>テキストの仲介</v>
      </c>
      <c r="E766" s="70" t="str">
        <f aca="false">IFERROR(INDEX(対訳マスタ!$C$2:$C$136,MATCH(Data!E766,対訳マスタ!$B$2:$B$136,0)),Data!E766)</f>
        <v>特定情報の伝達（口頭・手話）</v>
      </c>
      <c r="F766" s="70" t="str">
        <f aca="false">Data!F766</f>
        <v>B1</v>
      </c>
      <c r="G766" s="31" t="str">
        <f aca="false">Data!G766</f>
        <v>Can relay (in Language B) the contents of detailed instructions or directions, provided these are clearly articulated (in Language A).</v>
      </c>
      <c r="H766" s="71" t="s">
        <v>3413</v>
      </c>
      <c r="I766" s="79" t="s">
        <v>3089</v>
      </c>
    </row>
    <row r="767" customFormat="false" ht="21.75" hidden="false" customHeight="true" outlineLevel="0" collapsed="false">
      <c r="A767" s="70" t="n">
        <f aca="false">Data!A767</f>
        <v>766</v>
      </c>
      <c r="B767" s="70" t="str">
        <f aca="false">IFERROR(INDEX(対訳マスタ!$C$2:$C$136,MATCH(Data!B767,対訳マスタ!$B$2:$B$136,0)),Data!B767)</f>
        <v>コミュニケーション言語活動</v>
      </c>
      <c r="C767" s="70" t="str">
        <f aca="false">IF(Data!C767="—","—",IFERROR(INDEX(対訳マスタ!$C$2:$C$136,MATCH(Data!C767,対訳マスタ!$B$2:$B$136,0)),Data!C767))</f>
        <v>仲介</v>
      </c>
      <c r="D767" s="70" t="str">
        <f aca="false">IF(Data!D767="—","—",IFERROR(INDEX(対訳マスタ!$C$2:$C$136,MATCH(Data!D767,対訳マスタ!$B$2:$B$136,0)),Data!D767))</f>
        <v>テキストの仲介</v>
      </c>
      <c r="E767" s="70" t="str">
        <f aca="false">IFERROR(INDEX(対訳マスタ!$C$2:$C$136,MATCH(Data!E767,対訳マスタ!$B$2:$B$136,0)),Data!E767)</f>
        <v>特定情報の伝達（口頭・手話）</v>
      </c>
      <c r="F767" s="70" t="str">
        <f aca="false">Data!F767</f>
        <v>B1</v>
      </c>
      <c r="G767" s="31" t="str">
        <f aca="false">Data!G767</f>
        <v>Can relay (in Language B) specific information given in straightforward informational texts (e.g. leaflets, brochure entries, notices and letters or e-mails) (in Language A).</v>
      </c>
      <c r="H767" s="71" t="s">
        <v>3414</v>
      </c>
      <c r="I767" s="79" t="s">
        <v>3089</v>
      </c>
    </row>
    <row r="768" customFormat="false" ht="32.25" hidden="false" customHeight="true" outlineLevel="0" collapsed="false">
      <c r="A768" s="70" t="n">
        <f aca="false">Data!A768</f>
        <v>767</v>
      </c>
      <c r="B768" s="70" t="str">
        <f aca="false">IFERROR(INDEX(対訳マスタ!$C$2:$C$136,MATCH(Data!B768,対訳マスタ!$B$2:$B$136,0)),Data!B768)</f>
        <v>コミュニケーション言語活動</v>
      </c>
      <c r="C768" s="70" t="str">
        <f aca="false">IF(Data!C768="—","—",IFERROR(INDEX(対訳マスタ!$C$2:$C$136,MATCH(Data!C768,対訳マスタ!$B$2:$B$136,0)),Data!C768))</f>
        <v>仲介</v>
      </c>
      <c r="D768" s="70" t="str">
        <f aca="false">IF(Data!D768="—","—",IFERROR(INDEX(対訳マスタ!$C$2:$C$136,MATCH(Data!D768,対訳マスタ!$B$2:$B$136,0)),Data!D768))</f>
        <v>テキストの仲介</v>
      </c>
      <c r="E768" s="70" t="str">
        <f aca="false">IFERROR(INDEX(対訳マスタ!$C$2:$C$136,MATCH(Data!E768,対訳マスタ!$B$2:$B$136,0)),Data!E768)</f>
        <v>特定情報の伝達（口頭・手話）</v>
      </c>
      <c r="F768" s="70" t="str">
        <f aca="false">Data!F768</f>
        <v>A2+</v>
      </c>
      <c r="G768" s="31" t="str">
        <f aca="false">Data!G768</f>
        <v>Can relay (in Language B) the point made in a clear announcement (in Language A) concerning familiar everyday subjects, though they may have to simplify the message and search for words/signs.</v>
      </c>
      <c r="H768" s="71" t="s">
        <v>3415</v>
      </c>
      <c r="I768" s="79" t="s">
        <v>3089</v>
      </c>
    </row>
    <row r="769" customFormat="false" ht="26.25" hidden="false" customHeight="true" outlineLevel="0" collapsed="false">
      <c r="A769" s="70" t="n">
        <f aca="false">Data!A769</f>
        <v>768</v>
      </c>
      <c r="B769" s="70" t="str">
        <f aca="false">IFERROR(INDEX(対訳マスタ!$C$2:$C$136,MATCH(Data!B769,対訳マスタ!$B$2:$B$136,0)),Data!B769)</f>
        <v>コミュニケーション言語活動</v>
      </c>
      <c r="C769" s="70" t="str">
        <f aca="false">IF(Data!C769="—","—",IFERROR(INDEX(対訳マスタ!$C$2:$C$136,MATCH(Data!C769,対訳マスタ!$B$2:$B$136,0)),Data!C769))</f>
        <v>仲介</v>
      </c>
      <c r="D769" s="70" t="str">
        <f aca="false">IF(Data!D769="—","—",IFERROR(INDEX(対訳マスタ!$C$2:$C$136,MATCH(Data!D769,対訳マスタ!$B$2:$B$136,0)),Data!D769))</f>
        <v>テキストの仲介</v>
      </c>
      <c r="E769" s="70" t="str">
        <f aca="false">IFERROR(INDEX(対訳マスタ!$C$2:$C$136,MATCH(Data!E769,対訳マスタ!$B$2:$B$136,0)),Data!E769)</f>
        <v>特定情報の伝達（口頭・手話）</v>
      </c>
      <c r="F769" s="70" t="str">
        <f aca="false">Data!F769</f>
        <v>A2+</v>
      </c>
      <c r="G769" s="31" t="str">
        <f aca="false">Data!G769</f>
        <v>Can relay (in Language B) specific, relevant information contained in short, simple texts, labels and notices (in Language A) on familiar subjects.</v>
      </c>
      <c r="H769" s="71" t="s">
        <v>2806</v>
      </c>
      <c r="I769" s="79" t="s">
        <v>3089</v>
      </c>
    </row>
    <row r="770" customFormat="false" ht="32.25" hidden="false" customHeight="true" outlineLevel="0" collapsed="false">
      <c r="A770" s="70" t="n">
        <f aca="false">Data!A770</f>
        <v>769</v>
      </c>
      <c r="B770" s="70" t="str">
        <f aca="false">IFERROR(INDEX(対訳マスタ!$C$2:$C$136,MATCH(Data!B770,対訳マスタ!$B$2:$B$136,0)),Data!B770)</f>
        <v>コミュニケーション言語活動</v>
      </c>
      <c r="C770" s="70" t="str">
        <f aca="false">IF(Data!C770="—","—",IFERROR(INDEX(対訳マスタ!$C$2:$C$136,MATCH(Data!C770,対訳マスタ!$B$2:$B$136,0)),Data!C770))</f>
        <v>仲介</v>
      </c>
      <c r="D770" s="70" t="str">
        <f aca="false">IF(Data!D770="—","—",IFERROR(INDEX(対訳マスタ!$C$2:$C$136,MATCH(Data!D770,対訳マスタ!$B$2:$B$136,0)),Data!D770))</f>
        <v>テキストの仲介</v>
      </c>
      <c r="E770" s="70" t="str">
        <f aca="false">IFERROR(INDEX(対訳マスタ!$C$2:$C$136,MATCH(Data!E770,対訳マスタ!$B$2:$B$136,0)),Data!E770)</f>
        <v>特定情報の伝達（口頭・手話）</v>
      </c>
      <c r="F770" s="70" t="str">
        <f aca="false">Data!F770</f>
        <v>A2</v>
      </c>
      <c r="G770" s="31" t="str">
        <f aca="false">Data!G770</f>
        <v>Can relay (in Language B) the point made in short, clear, simple messages, instructions and announcements, provided these are expressed slowly and clearly in simple language (in Language A).</v>
      </c>
      <c r="H770" s="71" t="s">
        <v>3416</v>
      </c>
      <c r="I770" s="79" t="s">
        <v>3089</v>
      </c>
    </row>
    <row r="771" customFormat="false" ht="26.25" hidden="false" customHeight="true" outlineLevel="0" collapsed="false">
      <c r="A771" s="70" t="n">
        <f aca="false">Data!A771</f>
        <v>770</v>
      </c>
      <c r="B771" s="70" t="str">
        <f aca="false">IFERROR(INDEX(対訳マスタ!$C$2:$C$136,MATCH(Data!B771,対訳マスタ!$B$2:$B$136,0)),Data!B771)</f>
        <v>コミュニケーション言語活動</v>
      </c>
      <c r="C771" s="70" t="str">
        <f aca="false">IF(Data!C771="—","—",IFERROR(INDEX(対訳マスタ!$C$2:$C$136,MATCH(Data!C771,対訳マスタ!$B$2:$B$136,0)),Data!C771))</f>
        <v>仲介</v>
      </c>
      <c r="D771" s="70" t="str">
        <f aca="false">IF(Data!D771="—","—",IFERROR(INDEX(対訳マスタ!$C$2:$C$136,MATCH(Data!D771,対訳マスタ!$B$2:$B$136,0)),Data!D771))</f>
        <v>テキストの仲介</v>
      </c>
      <c r="E771" s="70" t="str">
        <f aca="false">IFERROR(INDEX(対訳マスタ!$C$2:$C$136,MATCH(Data!E771,対訳マスタ!$B$2:$B$136,0)),Data!E771)</f>
        <v>特定情報の伝達（口頭・手話）</v>
      </c>
      <c r="F771" s="70" t="str">
        <f aca="false">Data!F771</f>
        <v>A2</v>
      </c>
      <c r="G771" s="31" t="str">
        <f aca="false">Data!G771</f>
        <v>Can relay (in Language B) in a simple way a series of short, simple instructions, provided the original (in Language A) is clearly and slowly articulated.</v>
      </c>
      <c r="H771" s="71" t="s">
        <v>2805</v>
      </c>
      <c r="I771" s="79" t="s">
        <v>3089</v>
      </c>
    </row>
    <row r="772" customFormat="false" ht="26.25" hidden="false" customHeight="true" outlineLevel="0" collapsed="false">
      <c r="A772" s="70" t="n">
        <f aca="false">Data!A772</f>
        <v>771</v>
      </c>
      <c r="B772" s="70" t="str">
        <f aca="false">IFERROR(INDEX(対訳マスタ!$C$2:$C$136,MATCH(Data!B772,対訳マスタ!$B$2:$B$136,0)),Data!B772)</f>
        <v>コミュニケーション言語活動</v>
      </c>
      <c r="C772" s="70" t="str">
        <f aca="false">IF(Data!C772="—","—",IFERROR(INDEX(対訳マスタ!$C$2:$C$136,MATCH(Data!C772,対訳マスタ!$B$2:$B$136,0)),Data!C772))</f>
        <v>仲介</v>
      </c>
      <c r="D772" s="70" t="str">
        <f aca="false">IF(Data!D772="—","—",IFERROR(INDEX(対訳マスタ!$C$2:$C$136,MATCH(Data!D772,対訳マスタ!$B$2:$B$136,0)),Data!D772))</f>
        <v>テキストの仲介</v>
      </c>
      <c r="E772" s="70" t="str">
        <f aca="false">IFERROR(INDEX(対訳マスタ!$C$2:$C$136,MATCH(Data!E772,対訳マスタ!$B$2:$B$136,0)),Data!E772)</f>
        <v>特定情報の伝達（口頭・手話）</v>
      </c>
      <c r="F772" s="70" t="str">
        <f aca="false">Data!F772</f>
        <v>A1</v>
      </c>
      <c r="G772" s="31" t="str">
        <f aca="false">Data!G772</f>
        <v>Can relay (in Language B) simple, predictable information about times and places given in short, simple statements (delivered in Language A).</v>
      </c>
      <c r="H772" s="71" t="s">
        <v>2804</v>
      </c>
      <c r="I772" s="79" t="s">
        <v>3089</v>
      </c>
    </row>
    <row r="773" customFormat="false" ht="21.75" hidden="false" customHeight="true" outlineLevel="0" collapsed="false">
      <c r="A773" s="70" t="n">
        <f aca="false">Data!A773</f>
        <v>772</v>
      </c>
      <c r="B773" s="70" t="str">
        <f aca="false">IFERROR(INDEX(対訳マスタ!$C$2:$C$136,MATCH(Data!B773,対訳マスタ!$B$2:$B$136,0)),Data!B773)</f>
        <v>コミュニケーション言語活動</v>
      </c>
      <c r="C773" s="70" t="str">
        <f aca="false">IF(Data!C773="—","—",IFERROR(INDEX(対訳マスタ!$C$2:$C$136,MATCH(Data!C773,対訳マスタ!$B$2:$B$136,0)),Data!C773))</f>
        <v>仲介</v>
      </c>
      <c r="D773" s="70" t="str">
        <f aca="false">IF(Data!D773="—","—",IFERROR(INDEX(対訳マスタ!$C$2:$C$136,MATCH(Data!D773,対訳マスタ!$B$2:$B$136,0)),Data!D773))</f>
        <v>テキストの仲介</v>
      </c>
      <c r="E773" s="70" t="str">
        <f aca="false">IFERROR(INDEX(対訳マスタ!$C$2:$C$136,MATCH(Data!E773,対訳マスタ!$B$2:$B$136,0)),Data!E773)</f>
        <v>特定情報の伝達（口頭・手話）</v>
      </c>
      <c r="F773" s="70" t="str">
        <f aca="false">Data!F773</f>
        <v>Pre-A1</v>
      </c>
      <c r="G773" s="31" t="str">
        <f aca="false">Data!G773</f>
        <v>Can relay (in Language B) simple instructions about places and times (given in Language A), provided these are repeated very slowly and clearly.</v>
      </c>
      <c r="H773" s="71" t="s">
        <v>3417</v>
      </c>
      <c r="I773" s="79" t="s">
        <v>3089</v>
      </c>
    </row>
    <row r="774" customFormat="false" ht="26.25" hidden="false" customHeight="true" outlineLevel="0" collapsed="false">
      <c r="A774" s="70" t="n">
        <f aca="false">Data!A774</f>
        <v>773</v>
      </c>
      <c r="B774" s="70" t="str">
        <f aca="false">IFERROR(INDEX(対訳マスタ!$C$2:$C$136,MATCH(Data!B774,対訳マスタ!$B$2:$B$136,0)),Data!B774)</f>
        <v>コミュニケーション言語活動</v>
      </c>
      <c r="C774" s="70" t="str">
        <f aca="false">IF(Data!C774="—","—",IFERROR(INDEX(対訳マスタ!$C$2:$C$136,MATCH(Data!C774,対訳マスタ!$B$2:$B$136,0)),Data!C774))</f>
        <v>仲介</v>
      </c>
      <c r="D774" s="70" t="str">
        <f aca="false">IF(Data!D774="—","—",IFERROR(INDEX(対訳マスタ!$C$2:$C$136,MATCH(Data!D774,対訳マスタ!$B$2:$B$136,0)),Data!D774))</f>
        <v>テキストの仲介</v>
      </c>
      <c r="E774" s="70" t="str">
        <f aca="false">IFERROR(INDEX(対訳マスタ!$C$2:$C$136,MATCH(Data!E774,対訳マスタ!$B$2:$B$136,0)),Data!E774)</f>
        <v>特定情報の伝達（口頭・手話）</v>
      </c>
      <c r="F774" s="70" t="str">
        <f aca="false">Data!F774</f>
        <v>Pre-A1</v>
      </c>
      <c r="G774" s="31" t="str">
        <f aca="false">Data!G774</f>
        <v>Can relay (in Language B) very basic information (e.g. numbers and prices) from short, simple, illustrated texts (in Language A).</v>
      </c>
      <c r="H774" s="71" t="s">
        <v>2803</v>
      </c>
      <c r="I774" s="79" t="s">
        <v>3089</v>
      </c>
    </row>
    <row r="775" customFormat="false" ht="15" hidden="false" customHeight="true" outlineLevel="0" collapsed="false">
      <c r="A775" s="80" t="n">
        <f aca="false">Data!A775</f>
        <v>774</v>
      </c>
      <c r="B775" s="80" t="str">
        <f aca="false">IFERROR(INDEX(対訳マスタ!$C$2:$C$136,MATCH(Data!B775,対訳マスタ!$B$2:$B$136,0)),Data!B775)</f>
        <v>コミュニケーション言語活動</v>
      </c>
      <c r="C775" s="80" t="str">
        <f aca="false">IF(Data!C775="—","—",IFERROR(INDEX(対訳マスタ!$C$2:$C$136,MATCH(Data!C775,対訳マスタ!$B$2:$B$136,0)),Data!C775))</f>
        <v>仲介</v>
      </c>
      <c r="D775" s="80" t="str">
        <f aca="false">IF(Data!D775="—","—",IFERROR(INDEX(対訳マスタ!$C$2:$C$136,MATCH(Data!D775,対訳マスタ!$B$2:$B$136,0)),Data!D775))</f>
        <v>テキストの仲介</v>
      </c>
      <c r="E775" s="80" t="str">
        <f aca="false">IFERROR(INDEX(対訳マスタ!$C$2:$C$136,MATCH(Data!E775,対訳マスタ!$B$2:$B$136,0)),Data!E775)</f>
        <v>特定情報の伝達（文章）</v>
      </c>
      <c r="F775" s="80" t="str">
        <f aca="false">Data!F775</f>
        <v>C2</v>
      </c>
      <c r="G775" s="81" t="str">
        <f aca="false">Data!G775</f>
        <v>No descriptors available; see B2</v>
      </c>
      <c r="H775" s="81" t="s">
        <v>624</v>
      </c>
      <c r="I775" s="80" t="s">
        <v>624</v>
      </c>
    </row>
    <row r="776" customFormat="false" ht="15" hidden="false" customHeight="true" outlineLevel="0" collapsed="false">
      <c r="A776" s="80" t="n">
        <f aca="false">Data!A776</f>
        <v>775</v>
      </c>
      <c r="B776" s="80" t="str">
        <f aca="false">IFERROR(INDEX(対訳マスタ!$C$2:$C$136,MATCH(Data!B776,対訳マスタ!$B$2:$B$136,0)),Data!B776)</f>
        <v>コミュニケーション言語活動</v>
      </c>
      <c r="C776" s="80" t="str">
        <f aca="false">IF(Data!C776="—","—",IFERROR(INDEX(対訳マスタ!$C$2:$C$136,MATCH(Data!C776,対訳マスタ!$B$2:$B$136,0)),Data!C776))</f>
        <v>仲介</v>
      </c>
      <c r="D776" s="80" t="str">
        <f aca="false">IF(Data!D776="—","—",IFERROR(INDEX(対訳マスタ!$C$2:$C$136,MATCH(Data!D776,対訳マスタ!$B$2:$B$136,0)),Data!D776))</f>
        <v>テキストの仲介</v>
      </c>
      <c r="E776" s="80" t="str">
        <f aca="false">IFERROR(INDEX(対訳マスタ!$C$2:$C$136,MATCH(Data!E776,対訳マスタ!$B$2:$B$136,0)),Data!E776)</f>
        <v>特定情報の伝達（文章）</v>
      </c>
      <c r="F776" s="80" t="str">
        <f aca="false">Data!F776</f>
        <v>C1</v>
      </c>
      <c r="G776" s="81" t="str">
        <f aca="false">Data!G776</f>
        <v>No descriptors available; see B2</v>
      </c>
      <c r="H776" s="81" t="s">
        <v>624</v>
      </c>
      <c r="I776" s="80" t="s">
        <v>624</v>
      </c>
    </row>
    <row r="777" customFormat="false" ht="21.75" hidden="false" customHeight="true" outlineLevel="0" collapsed="false">
      <c r="A777" s="70" t="n">
        <f aca="false">Data!A777</f>
        <v>776</v>
      </c>
      <c r="B777" s="70" t="str">
        <f aca="false">IFERROR(INDEX(対訳マスタ!$C$2:$C$136,MATCH(Data!B777,対訳マスタ!$B$2:$B$136,0)),Data!B777)</f>
        <v>コミュニケーション言語活動</v>
      </c>
      <c r="C777" s="70" t="str">
        <f aca="false">IF(Data!C777="—","—",IFERROR(INDEX(対訳マスタ!$C$2:$C$136,MATCH(Data!C777,対訳マスタ!$B$2:$B$136,0)),Data!C777))</f>
        <v>仲介</v>
      </c>
      <c r="D777" s="70" t="str">
        <f aca="false">IF(Data!D777="—","—",IFERROR(INDEX(対訳マスタ!$C$2:$C$136,MATCH(Data!D777,対訳マスタ!$B$2:$B$136,0)),Data!D777))</f>
        <v>テキストの仲介</v>
      </c>
      <c r="E777" s="70" t="str">
        <f aca="false">IFERROR(INDEX(対訳マスタ!$C$2:$C$136,MATCH(Data!E777,対訳マスタ!$B$2:$B$136,0)),Data!E777)</f>
        <v>特定情報の伝達（文章）</v>
      </c>
      <c r="F777" s="70" t="str">
        <f aca="false">Data!F777</f>
        <v>B2+</v>
      </c>
      <c r="G777" s="31" t="str">
        <f aca="false">Data!G777</f>
        <v>Can relay in writing (in Language B) which presentations at a conference (given in Language A) were relevant, pointing out which would be worth detailed consideration.</v>
      </c>
      <c r="H777" s="71" t="s">
        <v>3418</v>
      </c>
      <c r="I777" s="79" t="s">
        <v>3089</v>
      </c>
    </row>
    <row r="778" customFormat="false" ht="32.25" hidden="false" customHeight="true" outlineLevel="0" collapsed="false">
      <c r="A778" s="70" t="n">
        <f aca="false">Data!A778</f>
        <v>777</v>
      </c>
      <c r="B778" s="70" t="str">
        <f aca="false">IFERROR(INDEX(対訳マスタ!$C$2:$C$136,MATCH(Data!B778,対訳マスタ!$B$2:$B$136,0)),Data!B778)</f>
        <v>コミュニケーション言語活動</v>
      </c>
      <c r="C778" s="70" t="str">
        <f aca="false">IF(Data!C778="—","—",IFERROR(INDEX(対訳マスタ!$C$2:$C$136,MATCH(Data!C778,対訳マスタ!$B$2:$B$136,0)),Data!C778))</f>
        <v>仲介</v>
      </c>
      <c r="D778" s="70" t="str">
        <f aca="false">IF(Data!D778="—","—",IFERROR(INDEX(対訳マスタ!$C$2:$C$136,MATCH(Data!D778,対訳マスタ!$B$2:$B$136,0)),Data!D778))</f>
        <v>テキストの仲介</v>
      </c>
      <c r="E778" s="70" t="str">
        <f aca="false">IFERROR(INDEX(対訳マスタ!$C$2:$C$136,MATCH(Data!E778,対訳マスタ!$B$2:$B$136,0)),Data!E778)</f>
        <v>特定情報の伝達（文章）</v>
      </c>
      <c r="F778" s="70" t="str">
        <f aca="false">Data!F778</f>
        <v>B2+</v>
      </c>
      <c r="G778" s="31" t="str">
        <f aca="false">Data!G778</f>
        <v>Can relay in writing (in Language B) the relevant point(s) contained in propositionally complex but well-structured texts (in Language A) within their fields of professional, academic and personal interest.</v>
      </c>
      <c r="H778" s="71" t="s">
        <v>3419</v>
      </c>
      <c r="I778" s="79" t="s">
        <v>3089</v>
      </c>
    </row>
    <row r="779" customFormat="false" ht="21.75" hidden="false" customHeight="true" outlineLevel="0" collapsed="false">
      <c r="A779" s="70" t="n">
        <f aca="false">Data!A779</f>
        <v>778</v>
      </c>
      <c r="B779" s="70" t="str">
        <f aca="false">IFERROR(INDEX(対訳マスタ!$C$2:$C$136,MATCH(Data!B779,対訳マスタ!$B$2:$B$136,0)),Data!B779)</f>
        <v>コミュニケーション言語活動</v>
      </c>
      <c r="C779" s="70" t="str">
        <f aca="false">IF(Data!C779="—","—",IFERROR(INDEX(対訳マスタ!$C$2:$C$136,MATCH(Data!C779,対訳マスタ!$B$2:$B$136,0)),Data!C779))</f>
        <v>仲介</v>
      </c>
      <c r="D779" s="70" t="str">
        <f aca="false">IF(Data!D779="—","—",IFERROR(INDEX(対訳マスタ!$C$2:$C$136,MATCH(Data!D779,対訳マスタ!$B$2:$B$136,0)),Data!D779))</f>
        <v>テキストの仲介</v>
      </c>
      <c r="E779" s="70" t="str">
        <f aca="false">IFERROR(INDEX(対訳マスタ!$C$2:$C$136,MATCH(Data!E779,対訳マスタ!$B$2:$B$136,0)),Data!E779)</f>
        <v>特定情報の伝達（文章）</v>
      </c>
      <c r="F779" s="70" t="str">
        <f aca="false">Data!F779</f>
        <v>B2+</v>
      </c>
      <c r="G779" s="31" t="str">
        <f aca="false">Data!G779</f>
        <v>Can relay in writing (in Language B) the relevant point(s) contained in an article (in Language A) from an academic or professional journal.</v>
      </c>
      <c r="H779" s="71" t="s">
        <v>2817</v>
      </c>
      <c r="I779" s="79" t="s">
        <v>3089</v>
      </c>
    </row>
    <row r="780" customFormat="false" ht="21.75" hidden="false" customHeight="true" outlineLevel="0" collapsed="false">
      <c r="A780" s="70" t="n">
        <f aca="false">Data!A780</f>
        <v>779</v>
      </c>
      <c r="B780" s="70" t="str">
        <f aca="false">IFERROR(INDEX(対訳マスタ!$C$2:$C$136,MATCH(Data!B780,対訳マスタ!$B$2:$B$136,0)),Data!B780)</f>
        <v>コミュニケーション言語活動</v>
      </c>
      <c r="C780" s="70" t="str">
        <f aca="false">IF(Data!C780="—","—",IFERROR(INDEX(対訳マスタ!$C$2:$C$136,MATCH(Data!C780,対訳マスタ!$B$2:$B$136,0)),Data!C780))</f>
        <v>仲介</v>
      </c>
      <c r="D780" s="70" t="str">
        <f aca="false">IF(Data!D780="—","—",IFERROR(INDEX(対訳マスタ!$C$2:$C$136,MATCH(Data!D780,対訳マスタ!$B$2:$B$136,0)),Data!D780))</f>
        <v>テキストの仲介</v>
      </c>
      <c r="E780" s="70" t="str">
        <f aca="false">IFERROR(INDEX(対訳マスタ!$C$2:$C$136,MATCH(Data!E780,対訳マスタ!$B$2:$B$136,0)),Data!E780)</f>
        <v>特定情報の伝達（文章）</v>
      </c>
      <c r="F780" s="70" t="str">
        <f aca="false">Data!F780</f>
        <v>B2</v>
      </c>
      <c r="G780" s="31" t="str">
        <f aca="false">Data!G780</f>
        <v>Can relay in a written report (in Language B) relevant decisions that were taken in a meeting (in Language A).</v>
      </c>
      <c r="H780" s="71" t="s">
        <v>2816</v>
      </c>
      <c r="I780" s="79" t="s">
        <v>3089</v>
      </c>
    </row>
    <row r="781" customFormat="false" ht="21.75" hidden="false" customHeight="true" outlineLevel="0" collapsed="false">
      <c r="A781" s="70" t="n">
        <f aca="false">Data!A781</f>
        <v>780</v>
      </c>
      <c r="B781" s="70" t="str">
        <f aca="false">IFERROR(INDEX(対訳マスタ!$C$2:$C$136,MATCH(Data!B781,対訳マスタ!$B$2:$B$136,0)),Data!B781)</f>
        <v>コミュニケーション言語活動</v>
      </c>
      <c r="C781" s="70" t="str">
        <f aca="false">IF(Data!C781="—","—",IFERROR(INDEX(対訳マスタ!$C$2:$C$136,MATCH(Data!C781,対訳マスタ!$B$2:$B$136,0)),Data!C781))</f>
        <v>仲介</v>
      </c>
      <c r="D781" s="70" t="str">
        <f aca="false">IF(Data!D781="—","—",IFERROR(INDEX(対訳マスタ!$C$2:$C$136,MATCH(Data!D781,対訳マスタ!$B$2:$B$136,0)),Data!D781))</f>
        <v>テキストの仲介</v>
      </c>
      <c r="E781" s="70" t="str">
        <f aca="false">IFERROR(INDEX(対訳マスタ!$C$2:$C$136,MATCH(Data!E781,対訳マスタ!$B$2:$B$136,0)),Data!E781)</f>
        <v>特定情報の伝達（文章）</v>
      </c>
      <c r="F781" s="70" t="str">
        <f aca="false">Data!F781</f>
        <v>B2</v>
      </c>
      <c r="G781" s="31" t="str">
        <f aca="false">Data!G781</f>
        <v>Can relay in writing (in Language B) the significant point(s) contained in formal correspondence (in Language A).</v>
      </c>
      <c r="H781" s="71" t="s">
        <v>3420</v>
      </c>
      <c r="I781" s="79" t="s">
        <v>3089</v>
      </c>
    </row>
    <row r="782" customFormat="false" ht="32.25" hidden="false" customHeight="true" outlineLevel="0" collapsed="false">
      <c r="A782" s="70" t="n">
        <f aca="false">Data!A782</f>
        <v>781</v>
      </c>
      <c r="B782" s="70" t="str">
        <f aca="false">IFERROR(INDEX(対訳マスタ!$C$2:$C$136,MATCH(Data!B782,対訳マスタ!$B$2:$B$136,0)),Data!B782)</f>
        <v>コミュニケーション言語活動</v>
      </c>
      <c r="C782" s="70" t="str">
        <f aca="false">IF(Data!C782="—","—",IFERROR(INDEX(対訳マスタ!$C$2:$C$136,MATCH(Data!C782,対訳マスタ!$B$2:$B$136,0)),Data!C782))</f>
        <v>仲介</v>
      </c>
      <c r="D782" s="70" t="str">
        <f aca="false">IF(Data!D782="—","—",IFERROR(INDEX(対訳マスタ!$C$2:$C$136,MATCH(Data!D782,対訳マスタ!$B$2:$B$136,0)),Data!D782))</f>
        <v>テキストの仲介</v>
      </c>
      <c r="E782" s="70" t="str">
        <f aca="false">IFERROR(INDEX(対訳マスタ!$C$2:$C$136,MATCH(Data!E782,対訳マスタ!$B$2:$B$136,0)),Data!E782)</f>
        <v>特定情報の伝達（文章）</v>
      </c>
      <c r="F782" s="70" t="str">
        <f aca="false">Data!F782</f>
        <v>B1</v>
      </c>
      <c r="G782" s="31" t="str">
        <f aca="false">Data!G782</f>
        <v>Can relay in writing (in Language B) specific information points contained in texts delivered (in Language A) on familiar subjects (e.g. calls, announcements and instructions).</v>
      </c>
      <c r="H782" s="71" t="s">
        <v>3421</v>
      </c>
      <c r="I782" s="79" t="s">
        <v>3089</v>
      </c>
    </row>
    <row r="783" customFormat="false" ht="26.25" hidden="false" customHeight="true" outlineLevel="0" collapsed="false">
      <c r="A783" s="70" t="n">
        <f aca="false">Data!A783</f>
        <v>782</v>
      </c>
      <c r="B783" s="70" t="str">
        <f aca="false">IFERROR(INDEX(対訳マスタ!$C$2:$C$136,MATCH(Data!B783,対訳マスタ!$B$2:$B$136,0)),Data!B783)</f>
        <v>コミュニケーション言語活動</v>
      </c>
      <c r="C783" s="70" t="str">
        <f aca="false">IF(Data!C783="—","—",IFERROR(INDEX(対訳マスタ!$C$2:$C$136,MATCH(Data!C783,対訳マスタ!$B$2:$B$136,0)),Data!C783))</f>
        <v>仲介</v>
      </c>
      <c r="D783" s="70" t="str">
        <f aca="false">IF(Data!D783="—","—",IFERROR(INDEX(対訳マスタ!$C$2:$C$136,MATCH(Data!D783,対訳マスタ!$B$2:$B$136,0)),Data!D783))</f>
        <v>テキストの仲介</v>
      </c>
      <c r="E783" s="70" t="str">
        <f aca="false">IFERROR(INDEX(対訳マスタ!$C$2:$C$136,MATCH(Data!E783,対訳マスタ!$B$2:$B$136,0)),Data!E783)</f>
        <v>特定情報の伝達（文章）</v>
      </c>
      <c r="F783" s="70" t="str">
        <f aca="false">Data!F783</f>
        <v>B1</v>
      </c>
      <c r="G783" s="31" t="str">
        <f aca="false">Data!G783</f>
        <v>Can relay in writing (in Language B) specific, relevant information contained in straightforward informational texts (in Language A) on familiar subjects.</v>
      </c>
      <c r="H783" s="71" t="s">
        <v>2815</v>
      </c>
      <c r="I783" s="79" t="s">
        <v>3089</v>
      </c>
    </row>
    <row r="784" customFormat="false" ht="32.25" hidden="false" customHeight="true" outlineLevel="0" collapsed="false">
      <c r="A784" s="70" t="n">
        <f aca="false">Data!A784</f>
        <v>783</v>
      </c>
      <c r="B784" s="70" t="str">
        <f aca="false">IFERROR(INDEX(対訳マスタ!$C$2:$C$136,MATCH(Data!B784,対訳マスタ!$B$2:$B$136,0)),Data!B784)</f>
        <v>コミュニケーション言語活動</v>
      </c>
      <c r="C784" s="70" t="str">
        <f aca="false">IF(Data!C784="—","—",IFERROR(INDEX(対訳マスタ!$C$2:$C$136,MATCH(Data!C784,対訳マスタ!$B$2:$B$136,0)),Data!C784))</f>
        <v>仲介</v>
      </c>
      <c r="D784" s="70" t="str">
        <f aca="false">IF(Data!D784="—","—",IFERROR(INDEX(対訳マスタ!$C$2:$C$136,MATCH(Data!D784,対訳マスタ!$B$2:$B$136,0)),Data!D784))</f>
        <v>テキストの仲介</v>
      </c>
      <c r="E784" s="70" t="str">
        <f aca="false">IFERROR(INDEX(対訳マスタ!$C$2:$C$136,MATCH(Data!E784,対訳マスタ!$B$2:$B$136,0)),Data!E784)</f>
        <v>特定情報の伝達（文章）</v>
      </c>
      <c r="F784" s="70" t="str">
        <f aca="false">Data!F784</f>
        <v>B1</v>
      </c>
      <c r="G784" s="31" t="str">
        <f aca="false">Data!G784</f>
        <v>Can relay in writing (in Language B) specific information given in a straightforward recorded message (left in Language A), provided the topics concerned are familiar and the delivery is slow and clear.</v>
      </c>
      <c r="H784" s="71" t="s">
        <v>3422</v>
      </c>
      <c r="I784" s="79" t="s">
        <v>3089</v>
      </c>
    </row>
    <row r="785" customFormat="false" ht="32.25" hidden="false" customHeight="true" outlineLevel="0" collapsed="false">
      <c r="A785" s="70" t="n">
        <f aca="false">Data!A785</f>
        <v>784</v>
      </c>
      <c r="B785" s="70" t="str">
        <f aca="false">IFERROR(INDEX(対訳マスタ!$C$2:$C$136,MATCH(Data!B785,対訳マスタ!$B$2:$B$136,0)),Data!B785)</f>
        <v>コミュニケーション言語活動</v>
      </c>
      <c r="C785" s="70" t="str">
        <f aca="false">IF(Data!C785="—","—",IFERROR(INDEX(対訳マスタ!$C$2:$C$136,MATCH(Data!C785,対訳マスタ!$B$2:$B$136,0)),Data!C785))</f>
        <v>仲介</v>
      </c>
      <c r="D785" s="70" t="str">
        <f aca="false">IF(Data!D785="—","—",IFERROR(INDEX(対訳マスタ!$C$2:$C$136,MATCH(Data!D785,対訳マスタ!$B$2:$B$136,0)),Data!D785))</f>
        <v>テキストの仲介</v>
      </c>
      <c r="E785" s="70" t="str">
        <f aca="false">IFERROR(INDEX(対訳マスタ!$C$2:$C$136,MATCH(Data!E785,対訳マスタ!$B$2:$B$136,0)),Data!E785)</f>
        <v>特定情報の伝達（文章）</v>
      </c>
      <c r="F785" s="70" t="str">
        <f aca="false">Data!F785</f>
        <v>A2+</v>
      </c>
      <c r="G785" s="31" t="str">
        <f aca="false">Data!G785</f>
        <v>Can relay in writing (in Language B) specific information contained in short simple informational texts (in Language A), provided the texts concern concrete, familiar subjects and are composed in simple everyday language.</v>
      </c>
      <c r="H785" s="71" t="s">
        <v>2814</v>
      </c>
      <c r="I785" s="79" t="s">
        <v>3089</v>
      </c>
    </row>
    <row r="786" customFormat="false" ht="21.75" hidden="false" customHeight="true" outlineLevel="0" collapsed="false">
      <c r="A786" s="70" t="n">
        <f aca="false">Data!A786</f>
        <v>785</v>
      </c>
      <c r="B786" s="70" t="str">
        <f aca="false">IFERROR(INDEX(対訳マスタ!$C$2:$C$136,MATCH(Data!B786,対訳マスタ!$B$2:$B$136,0)),Data!B786)</f>
        <v>コミュニケーション言語活動</v>
      </c>
      <c r="C786" s="70" t="str">
        <f aca="false">IF(Data!C786="—","—",IFERROR(INDEX(対訳マスタ!$C$2:$C$136,MATCH(Data!C786,対訳マスタ!$B$2:$B$136,0)),Data!C786))</f>
        <v>仲介</v>
      </c>
      <c r="D786" s="70" t="str">
        <f aca="false">IF(Data!D786="—","—",IFERROR(INDEX(対訳マスタ!$C$2:$C$136,MATCH(Data!D786,対訳マスタ!$B$2:$B$136,0)),Data!D786))</f>
        <v>テキストの仲介</v>
      </c>
      <c r="E786" s="70" t="str">
        <f aca="false">IFERROR(INDEX(対訳マスタ!$C$2:$C$136,MATCH(Data!E786,対訳マスタ!$B$2:$B$136,0)),Data!E786)</f>
        <v>特定情報の伝達（文章）</v>
      </c>
      <c r="F786" s="70" t="str">
        <f aca="false">Data!F786</f>
        <v>A2</v>
      </c>
      <c r="G786" s="31" t="str">
        <f aca="false">Data!G786</f>
        <v>Can list (in Language B) the main points of short, clear, simple messages and announcements (given in Language A), provided they are clearly and slowly articulated.</v>
      </c>
      <c r="H786" s="71" t="s">
        <v>3423</v>
      </c>
      <c r="I786" s="79" t="s">
        <v>3089</v>
      </c>
    </row>
    <row r="787" customFormat="false" ht="26.25" hidden="false" customHeight="true" outlineLevel="0" collapsed="false">
      <c r="A787" s="70" t="n">
        <f aca="false">Data!A787</f>
        <v>786</v>
      </c>
      <c r="B787" s="70" t="str">
        <f aca="false">IFERROR(INDEX(対訳マスタ!$C$2:$C$136,MATCH(Data!B787,対訳マスタ!$B$2:$B$136,0)),Data!B787)</f>
        <v>コミュニケーション言語活動</v>
      </c>
      <c r="C787" s="70" t="str">
        <f aca="false">IF(Data!C787="—","—",IFERROR(INDEX(対訳マスタ!$C$2:$C$136,MATCH(Data!C787,対訳マスタ!$B$2:$B$136,0)),Data!C787))</f>
        <v>仲介</v>
      </c>
      <c r="D787" s="70" t="str">
        <f aca="false">IF(Data!D787="—","—",IFERROR(INDEX(対訳マスタ!$C$2:$C$136,MATCH(Data!D787,対訳マスタ!$B$2:$B$136,0)),Data!D787))</f>
        <v>テキストの仲介</v>
      </c>
      <c r="E787" s="70" t="str">
        <f aca="false">IFERROR(INDEX(対訳マスタ!$C$2:$C$136,MATCH(Data!E787,対訳マスタ!$B$2:$B$136,0)),Data!E787)</f>
        <v>特定情報の伝達（文章）</v>
      </c>
      <c r="F787" s="70" t="str">
        <f aca="false">Data!F787</f>
        <v>A2</v>
      </c>
      <c r="G787" s="31" t="str">
        <f aca="false">Data!G787</f>
        <v>Can list (in Language B) specific information contained in simple texts (in Language A) on everyday subjects of immediate interest or need.</v>
      </c>
      <c r="H787" s="71" t="s">
        <v>2813</v>
      </c>
      <c r="I787" s="79" t="s">
        <v>3089</v>
      </c>
    </row>
    <row r="788" customFormat="false" ht="32.25" hidden="false" customHeight="true" outlineLevel="0" collapsed="false">
      <c r="A788" s="70" t="n">
        <f aca="false">Data!A788</f>
        <v>787</v>
      </c>
      <c r="B788" s="70" t="str">
        <f aca="false">IFERROR(INDEX(対訳マスタ!$C$2:$C$136,MATCH(Data!B788,対訳マスタ!$B$2:$B$136,0)),Data!B788)</f>
        <v>コミュニケーション言語活動</v>
      </c>
      <c r="C788" s="70" t="str">
        <f aca="false">IF(Data!C788="—","—",IFERROR(INDEX(対訳マスタ!$C$2:$C$136,MATCH(Data!C788,対訳マスタ!$B$2:$B$136,0)),Data!C788))</f>
        <v>仲介</v>
      </c>
      <c r="D788" s="70" t="str">
        <f aca="false">IF(Data!D788="—","—",IFERROR(INDEX(対訳マスタ!$C$2:$C$136,MATCH(Data!D788,対訳マスタ!$B$2:$B$136,0)),Data!D788))</f>
        <v>テキストの仲介</v>
      </c>
      <c r="E788" s="70" t="str">
        <f aca="false">IFERROR(INDEX(対訳マスタ!$C$2:$C$136,MATCH(Data!E788,対訳マスタ!$B$2:$B$136,0)),Data!E788)</f>
        <v>特定情報の伝達（文章）</v>
      </c>
      <c r="F788" s="70" t="str">
        <f aca="false">Data!F788</f>
        <v>A1</v>
      </c>
      <c r="G788" s="31" t="str">
        <f aca="false">Data!G788</f>
        <v>Can list (in Language B) names, numbers, prices and very simple information of immediate interest in oral texts (in Language A), provided the articulation is very slow and clear, with repetition.</v>
      </c>
      <c r="H788" s="71" t="s">
        <v>2812</v>
      </c>
      <c r="I788" s="79" t="s">
        <v>3089</v>
      </c>
    </row>
    <row r="789" customFormat="false" ht="32.25" hidden="false" customHeight="true" outlineLevel="0" collapsed="false">
      <c r="A789" s="70" t="n">
        <f aca="false">Data!A789</f>
        <v>788</v>
      </c>
      <c r="B789" s="70" t="str">
        <f aca="false">IFERROR(INDEX(対訳マスタ!$C$2:$C$136,MATCH(Data!B789,対訳マスタ!$B$2:$B$136,0)),Data!B789)</f>
        <v>コミュニケーション言語活動</v>
      </c>
      <c r="C789" s="70" t="str">
        <f aca="false">IF(Data!C789="—","—",IFERROR(INDEX(対訳マスタ!$C$2:$C$136,MATCH(Data!C789,対訳マスタ!$B$2:$B$136,0)),Data!C789))</f>
        <v>仲介</v>
      </c>
      <c r="D789" s="70" t="str">
        <f aca="false">IF(Data!D789="—","—",IFERROR(INDEX(対訳マスタ!$C$2:$C$136,MATCH(Data!D789,対訳マスタ!$B$2:$B$136,0)),Data!D789))</f>
        <v>テキストの仲介</v>
      </c>
      <c r="E789" s="70" t="str">
        <f aca="false">IFERROR(INDEX(対訳マスタ!$C$2:$C$136,MATCH(Data!E789,対訳マスタ!$B$2:$B$136,0)),Data!E789)</f>
        <v>特定情報の伝達（文章）</v>
      </c>
      <c r="F789" s="70" t="str">
        <f aca="false">Data!F789</f>
        <v>Pre-A1</v>
      </c>
      <c r="G789" s="31" t="str">
        <f aca="false">Data!G789</f>
        <v>Can list (in Language B) names, numbers, prices and very simple information from texts (in Language A) that are of immediate interest, that are composed in very simple language and contain illustrations.</v>
      </c>
      <c r="H789" s="71" t="s">
        <v>2811</v>
      </c>
      <c r="I789" s="79" t="s">
        <v>3089</v>
      </c>
    </row>
    <row r="790" customFormat="false" ht="39" hidden="false" customHeight="true" outlineLevel="0" collapsed="false">
      <c r="A790" s="70" t="n">
        <f aca="false">Data!A790</f>
        <v>789</v>
      </c>
      <c r="B790" s="70" t="str">
        <f aca="false">IFERROR(INDEX(対訳マスタ!$C$2:$C$136,MATCH(Data!B790,対訳マスタ!$B$2:$B$136,0)),Data!B790)</f>
        <v>コミュニケーション言語活動</v>
      </c>
      <c r="C790" s="70" t="str">
        <f aca="false">IF(Data!C790="—","—",IFERROR(INDEX(対訳マスタ!$C$2:$C$136,MATCH(Data!C790,対訳マスタ!$B$2:$B$136,0)),Data!C790))</f>
        <v>仲介</v>
      </c>
      <c r="D790" s="70" t="str">
        <f aca="false">IF(Data!D790="—","—",IFERROR(INDEX(対訳マスタ!$C$2:$C$136,MATCH(Data!D790,対訳マスタ!$B$2:$B$136,0)),Data!D790))</f>
        <v>テキストの仲介</v>
      </c>
      <c r="E790" s="70" t="str">
        <f aca="false">IFERROR(INDEX(対訳マスタ!$C$2:$C$136,MATCH(Data!E790,対訳マスタ!$B$2:$B$136,0)),Data!E790)</f>
        <v>データの説明（口頭・手話）</v>
      </c>
      <c r="F790" s="70" t="str">
        <f aca="false">Data!F790</f>
        <v>C2</v>
      </c>
      <c r="G790" s="31" t="str">
        <f aca="false">Data!G790</f>
        <v>Can interpret and describe clearly and reliably (in Language B) various forms of empirical data and visually organised information (with text in Language A) from conceptually complex research concerning academic or professional topics.</v>
      </c>
      <c r="H790" s="71" t="s">
        <v>2823</v>
      </c>
      <c r="I790" s="79" t="s">
        <v>3089</v>
      </c>
    </row>
    <row r="791" customFormat="false" ht="32.25" hidden="false" customHeight="true" outlineLevel="0" collapsed="false">
      <c r="A791" s="70" t="n">
        <f aca="false">Data!A791</f>
        <v>790</v>
      </c>
      <c r="B791" s="70" t="str">
        <f aca="false">IFERROR(INDEX(対訳マスタ!$C$2:$C$136,MATCH(Data!B791,対訳マスタ!$B$2:$B$136,0)),Data!B791)</f>
        <v>コミュニケーション言語活動</v>
      </c>
      <c r="C791" s="70" t="str">
        <f aca="false">IF(Data!C791="—","—",IFERROR(INDEX(対訳マスタ!$C$2:$C$136,MATCH(Data!C791,対訳マスタ!$B$2:$B$136,0)),Data!C791))</f>
        <v>仲介</v>
      </c>
      <c r="D791" s="70" t="str">
        <f aca="false">IF(Data!D791="—","—",IFERROR(INDEX(対訳マスタ!$C$2:$C$136,MATCH(Data!D791,対訳マスタ!$B$2:$B$136,0)),Data!D791))</f>
        <v>テキストの仲介</v>
      </c>
      <c r="E791" s="70" t="str">
        <f aca="false">IFERROR(INDEX(対訳マスタ!$C$2:$C$136,MATCH(Data!E791,対訳マスタ!$B$2:$B$136,0)),Data!E791)</f>
        <v>データの説明（口頭・手話）</v>
      </c>
      <c r="F791" s="70" t="str">
        <f aca="false">Data!F791</f>
        <v>C1</v>
      </c>
      <c r="G791" s="31" t="str">
        <f aca="false">Data!G791</f>
        <v>Can interpret and describe clearly and reliably (in Language B) the salient points and details contained in complex diagrams and other visually organised information (with text in Language A) on complex academic or professional topics.</v>
      </c>
      <c r="H791" s="71" t="s">
        <v>2822</v>
      </c>
      <c r="I791" s="79" t="s">
        <v>3089</v>
      </c>
    </row>
    <row r="792" customFormat="false" ht="32.25" hidden="false" customHeight="true" outlineLevel="0" collapsed="false">
      <c r="A792" s="70" t="n">
        <f aca="false">Data!A792</f>
        <v>791</v>
      </c>
      <c r="B792" s="70" t="str">
        <f aca="false">IFERROR(INDEX(対訳マスタ!$C$2:$C$136,MATCH(Data!B792,対訳マスタ!$B$2:$B$136,0)),Data!B792)</f>
        <v>コミュニケーション言語活動</v>
      </c>
      <c r="C792" s="70" t="str">
        <f aca="false">IF(Data!C792="—","—",IFERROR(INDEX(対訳マスタ!$C$2:$C$136,MATCH(Data!C792,対訳マスタ!$B$2:$B$136,0)),Data!C792))</f>
        <v>仲介</v>
      </c>
      <c r="D792" s="70" t="str">
        <f aca="false">IF(Data!D792="—","—",IFERROR(INDEX(対訳マスタ!$C$2:$C$136,MATCH(Data!D792,対訳マスタ!$B$2:$B$136,0)),Data!D792))</f>
        <v>テキストの仲介</v>
      </c>
      <c r="E792" s="70" t="str">
        <f aca="false">IFERROR(INDEX(対訳マスタ!$C$2:$C$136,MATCH(Data!E792,対訳マスタ!$B$2:$B$136,0)),Data!E792)</f>
        <v>データの説明（口頭・手話）</v>
      </c>
      <c r="F792" s="70" t="str">
        <f aca="false">Data!F792</f>
        <v>B2</v>
      </c>
      <c r="G792" s="31" t="str">
        <f aca="false">Data!G792</f>
        <v>Can interpret and describe reliably (in Language B) detailed information contained in complex diagrams, charts and other visually organised information (with text in Language A) on topics in their fields of interest.</v>
      </c>
      <c r="H792" s="71" t="s">
        <v>2821</v>
      </c>
      <c r="I792" s="79" t="s">
        <v>3089</v>
      </c>
    </row>
    <row r="793" customFormat="false" ht="32.25" hidden="false" customHeight="true" outlineLevel="0" collapsed="false">
      <c r="A793" s="70" t="n">
        <f aca="false">Data!A793</f>
        <v>792</v>
      </c>
      <c r="B793" s="70" t="str">
        <f aca="false">IFERROR(INDEX(対訳マスタ!$C$2:$C$136,MATCH(Data!B793,対訳マスタ!$B$2:$B$136,0)),Data!B793)</f>
        <v>コミュニケーション言語活動</v>
      </c>
      <c r="C793" s="70" t="str">
        <f aca="false">IF(Data!C793="—","—",IFERROR(INDEX(対訳マスタ!$C$2:$C$136,MATCH(Data!C793,対訳マスタ!$B$2:$B$136,0)),Data!C793))</f>
        <v>仲介</v>
      </c>
      <c r="D793" s="70" t="str">
        <f aca="false">IF(Data!D793="—","—",IFERROR(INDEX(対訳マスタ!$C$2:$C$136,MATCH(Data!D793,対訳マスタ!$B$2:$B$136,0)),Data!D793))</f>
        <v>テキストの仲介</v>
      </c>
      <c r="E793" s="70" t="str">
        <f aca="false">IFERROR(INDEX(対訳マスタ!$C$2:$C$136,MATCH(Data!E793,対訳マスタ!$B$2:$B$136,0)),Data!E793)</f>
        <v>データの説明（口頭・手話）</v>
      </c>
      <c r="F793" s="70" t="str">
        <f aca="false">Data!F793</f>
        <v>B1+</v>
      </c>
      <c r="G793" s="31" t="str">
        <f aca="false">Data!G793</f>
        <v>Can interpret and describe (in Language B) detailed information in diagrams in their fields of interest (with text in Language A), even though lexical gaps may cause hesitation or imprecise formulation.</v>
      </c>
      <c r="H793" s="71" t="s">
        <v>2820</v>
      </c>
      <c r="I793" s="79" t="s">
        <v>3089</v>
      </c>
    </row>
    <row r="794" customFormat="false" ht="32.25" hidden="false" customHeight="true" outlineLevel="0" collapsed="false">
      <c r="A794" s="70" t="n">
        <f aca="false">Data!A794</f>
        <v>793</v>
      </c>
      <c r="B794" s="70" t="str">
        <f aca="false">IFERROR(INDEX(対訳マスタ!$C$2:$C$136,MATCH(Data!B794,対訳マスタ!$B$2:$B$136,0)),Data!B794)</f>
        <v>コミュニケーション言語活動</v>
      </c>
      <c r="C794" s="70" t="str">
        <f aca="false">IF(Data!C794="—","—",IFERROR(INDEX(対訳マスタ!$C$2:$C$136,MATCH(Data!C794,対訳マスタ!$B$2:$B$136,0)),Data!C794))</f>
        <v>仲介</v>
      </c>
      <c r="D794" s="70" t="str">
        <f aca="false">IF(Data!D794="—","—",IFERROR(INDEX(対訳マスタ!$C$2:$C$136,MATCH(Data!D794,対訳マスタ!$B$2:$B$136,0)),Data!D794))</f>
        <v>テキストの仲介</v>
      </c>
      <c r="E794" s="70" t="str">
        <f aca="false">IFERROR(INDEX(対訳マスタ!$C$2:$C$136,MATCH(Data!E794,対訳マスタ!$B$2:$B$136,0)),Data!E794)</f>
        <v>データの説明（口頭・手話）</v>
      </c>
      <c r="F794" s="70" t="str">
        <f aca="false">Data!F794</f>
        <v>B1</v>
      </c>
      <c r="G794" s="31" t="str">
        <f aca="false">Data!G794</f>
        <v>Can interpret and describe (in Language B) overall trends shown in simple diagrams (e.g. graphs, bar charts) (with text in Language A), even though lexical limitations cause difficulty with formulation at times.</v>
      </c>
      <c r="H794" s="71" t="s">
        <v>2819</v>
      </c>
      <c r="I794" s="79" t="s">
        <v>3089</v>
      </c>
    </row>
    <row r="795" customFormat="false" ht="39" hidden="false" customHeight="true" outlineLevel="0" collapsed="false">
      <c r="A795" s="70" t="n">
        <f aca="false">Data!A795</f>
        <v>794</v>
      </c>
      <c r="B795" s="70" t="str">
        <f aca="false">IFERROR(INDEX(対訳マスタ!$C$2:$C$136,MATCH(Data!B795,対訳マスタ!$B$2:$B$136,0)),Data!B795)</f>
        <v>コミュニケーション言語活動</v>
      </c>
      <c r="C795" s="70" t="str">
        <f aca="false">IF(Data!C795="—","—",IFERROR(INDEX(対訳マスタ!$C$2:$C$136,MATCH(Data!C795,対訳マスタ!$B$2:$B$136,0)),Data!C795))</f>
        <v>仲介</v>
      </c>
      <c r="D795" s="70" t="str">
        <f aca="false">IF(Data!D795="—","—",IFERROR(INDEX(対訳マスタ!$C$2:$C$136,MATCH(Data!D795,対訳マスタ!$B$2:$B$136,0)),Data!D795))</f>
        <v>テキストの仲介</v>
      </c>
      <c r="E795" s="70" t="str">
        <f aca="false">IFERROR(INDEX(対訳マスタ!$C$2:$C$136,MATCH(Data!E795,対訳マスタ!$B$2:$B$136,0)),Data!E795)</f>
        <v>データの説明（口頭・手話）</v>
      </c>
      <c r="F795" s="70" t="str">
        <f aca="false">Data!F795</f>
        <v>A2+</v>
      </c>
      <c r="G795" s="31" t="str">
        <f aca="false">Data!G795</f>
        <v>Can interpret and describe (in Language B) simple visuals on familiar topics (e.g. a weather map, a basic flow chart) (with text in Language A), even though pauses, false starts and reformulation may be very evident.</v>
      </c>
      <c r="H795" s="71" t="s">
        <v>2818</v>
      </c>
      <c r="I795" s="79" t="s">
        <v>3089</v>
      </c>
    </row>
    <row r="796" customFormat="false" ht="15" hidden="false" customHeight="true" outlineLevel="0" collapsed="false">
      <c r="A796" s="80" t="n">
        <f aca="false">Data!A796</f>
        <v>795</v>
      </c>
      <c r="B796" s="80" t="str">
        <f aca="false">IFERROR(INDEX(対訳マスタ!$C$2:$C$136,MATCH(Data!B796,対訳マスタ!$B$2:$B$136,0)),Data!B796)</f>
        <v>コミュニケーション言語活動</v>
      </c>
      <c r="C796" s="80" t="str">
        <f aca="false">IF(Data!C796="—","—",IFERROR(INDEX(対訳マスタ!$C$2:$C$136,MATCH(Data!C796,対訳マスタ!$B$2:$B$136,0)),Data!C796))</f>
        <v>仲介</v>
      </c>
      <c r="D796" s="80" t="str">
        <f aca="false">IF(Data!D796="—","—",IFERROR(INDEX(対訳マスタ!$C$2:$C$136,MATCH(Data!D796,対訳マスタ!$B$2:$B$136,0)),Data!D796))</f>
        <v>テキストの仲介</v>
      </c>
      <c r="E796" s="80" t="str">
        <f aca="false">IFERROR(INDEX(対訳マスタ!$C$2:$C$136,MATCH(Data!E796,対訳マスタ!$B$2:$B$136,0)),Data!E796)</f>
        <v>データの説明（口頭・手話）</v>
      </c>
      <c r="F796" s="80" t="str">
        <f aca="false">Data!F796</f>
        <v>A2</v>
      </c>
      <c r="G796" s="81" t="str">
        <f aca="false">Data!G796</f>
        <v>No descriptors available</v>
      </c>
      <c r="H796" s="81" t="s">
        <v>624</v>
      </c>
      <c r="I796" s="80" t="s">
        <v>624</v>
      </c>
    </row>
    <row r="797" customFormat="false" ht="15" hidden="false" customHeight="true" outlineLevel="0" collapsed="false">
      <c r="A797" s="80" t="n">
        <f aca="false">Data!A797</f>
        <v>796</v>
      </c>
      <c r="B797" s="80" t="str">
        <f aca="false">IFERROR(INDEX(対訳マスタ!$C$2:$C$136,MATCH(Data!B797,対訳マスタ!$B$2:$B$136,0)),Data!B797)</f>
        <v>コミュニケーション言語活動</v>
      </c>
      <c r="C797" s="80" t="str">
        <f aca="false">IF(Data!C797="—","—",IFERROR(INDEX(対訳マスタ!$C$2:$C$136,MATCH(Data!C797,対訳マスタ!$B$2:$B$136,0)),Data!C797))</f>
        <v>仲介</v>
      </c>
      <c r="D797" s="80" t="str">
        <f aca="false">IF(Data!D797="—","—",IFERROR(INDEX(対訳マスタ!$C$2:$C$136,MATCH(Data!D797,対訳マスタ!$B$2:$B$136,0)),Data!D797))</f>
        <v>テキストの仲介</v>
      </c>
      <c r="E797" s="80" t="str">
        <f aca="false">IFERROR(INDEX(対訳マスタ!$C$2:$C$136,MATCH(Data!E797,対訳マスタ!$B$2:$B$136,0)),Data!E797)</f>
        <v>データの説明（口頭・手話）</v>
      </c>
      <c r="F797" s="80" t="str">
        <f aca="false">Data!F797</f>
        <v>A1</v>
      </c>
      <c r="G797" s="81" t="str">
        <f aca="false">Data!G797</f>
        <v>No descriptors available</v>
      </c>
      <c r="H797" s="81" t="s">
        <v>624</v>
      </c>
      <c r="I797" s="80" t="s">
        <v>624</v>
      </c>
    </row>
    <row r="798" customFormat="false" ht="15" hidden="false" customHeight="true" outlineLevel="0" collapsed="false">
      <c r="A798" s="80" t="n">
        <f aca="false">Data!A798</f>
        <v>797</v>
      </c>
      <c r="B798" s="80" t="str">
        <f aca="false">IFERROR(INDEX(対訳マスタ!$C$2:$C$136,MATCH(Data!B798,対訳マスタ!$B$2:$B$136,0)),Data!B798)</f>
        <v>コミュニケーション言語活動</v>
      </c>
      <c r="C798" s="80" t="str">
        <f aca="false">IF(Data!C798="—","—",IFERROR(INDEX(対訳マスタ!$C$2:$C$136,MATCH(Data!C798,対訳マスタ!$B$2:$B$136,0)),Data!C798))</f>
        <v>仲介</v>
      </c>
      <c r="D798" s="80" t="str">
        <f aca="false">IF(Data!D798="—","—",IFERROR(INDEX(対訳マスタ!$C$2:$C$136,MATCH(Data!D798,対訳マスタ!$B$2:$B$136,0)),Data!D798))</f>
        <v>テキストの仲介</v>
      </c>
      <c r="E798" s="80" t="str">
        <f aca="false">IFERROR(INDEX(対訳マスタ!$C$2:$C$136,MATCH(Data!E798,対訳マスタ!$B$2:$B$136,0)),Data!E798)</f>
        <v>データの説明（口頭・手話）</v>
      </c>
      <c r="F798" s="80" t="str">
        <f aca="false">Data!F798</f>
        <v>Pre-A1</v>
      </c>
      <c r="G798" s="81" t="str">
        <f aca="false">Data!G798</f>
        <v>No descriptors available</v>
      </c>
      <c r="H798" s="81" t="s">
        <v>624</v>
      </c>
      <c r="I798" s="80" t="s">
        <v>624</v>
      </c>
    </row>
    <row r="799" customFormat="false" ht="32.25" hidden="false" customHeight="true" outlineLevel="0" collapsed="false">
      <c r="A799" s="70" t="n">
        <f aca="false">Data!A799</f>
        <v>798</v>
      </c>
      <c r="B799" s="70" t="str">
        <f aca="false">IFERROR(INDEX(対訳マスタ!$C$2:$C$136,MATCH(Data!B799,対訳マスタ!$B$2:$B$136,0)),Data!B799)</f>
        <v>コミュニケーション言語活動</v>
      </c>
      <c r="C799" s="70" t="str">
        <f aca="false">IF(Data!C799="—","—",IFERROR(INDEX(対訳マスタ!$C$2:$C$136,MATCH(Data!C799,対訳マスタ!$B$2:$B$136,0)),Data!C799))</f>
        <v>仲介</v>
      </c>
      <c r="D799" s="70" t="str">
        <f aca="false">IF(Data!D799="—","—",IFERROR(INDEX(対訳マスタ!$C$2:$C$136,MATCH(Data!D799,対訳マスタ!$B$2:$B$136,0)),Data!D799))</f>
        <v>テキストの仲介</v>
      </c>
      <c r="E799" s="70" t="str">
        <f aca="false">IFERROR(INDEX(対訳マスタ!$C$2:$C$136,MATCH(Data!E799,対訳マスタ!$B$2:$B$136,0)),Data!E799)</f>
        <v>データの説明（文章）</v>
      </c>
      <c r="F799" s="70" t="str">
        <f aca="false">Data!F799</f>
        <v>C2</v>
      </c>
      <c r="G799" s="31" t="str">
        <f aca="false">Data!G799</f>
        <v>Can interpret and present in writing (in Language B) various forms of empirical data (with text in Language A) from conceptually complex research on academic or professional topics.</v>
      </c>
      <c r="H799" s="71" t="s">
        <v>2828</v>
      </c>
      <c r="I799" s="79" t="s">
        <v>3089</v>
      </c>
    </row>
    <row r="800" customFormat="false" ht="32.25" hidden="false" customHeight="true" outlineLevel="0" collapsed="false">
      <c r="A800" s="70" t="n">
        <f aca="false">Data!A800</f>
        <v>799</v>
      </c>
      <c r="B800" s="70" t="str">
        <f aca="false">IFERROR(INDEX(対訳マスタ!$C$2:$C$136,MATCH(Data!B800,対訳マスタ!$B$2:$B$136,0)),Data!B800)</f>
        <v>コミュニケーション言語活動</v>
      </c>
      <c r="C800" s="70" t="str">
        <f aca="false">IF(Data!C800="—","—",IFERROR(INDEX(対訳マスタ!$C$2:$C$136,MATCH(Data!C800,対訳マスタ!$B$2:$B$136,0)),Data!C800))</f>
        <v>仲介</v>
      </c>
      <c r="D800" s="70" t="str">
        <f aca="false">IF(Data!D800="—","—",IFERROR(INDEX(対訳マスタ!$C$2:$C$136,MATCH(Data!D800,対訳マスタ!$B$2:$B$136,0)),Data!D800))</f>
        <v>テキストの仲介</v>
      </c>
      <c r="E800" s="70" t="str">
        <f aca="false">IFERROR(INDEX(対訳マスタ!$C$2:$C$136,MATCH(Data!E800,対訳マスタ!$B$2:$B$136,0)),Data!E800)</f>
        <v>データの説明（文章）</v>
      </c>
      <c r="F800" s="70" t="str">
        <f aca="false">Data!F800</f>
        <v>C1</v>
      </c>
      <c r="G800" s="31" t="str">
        <f aca="false">Data!G800</f>
        <v>Can interpret and present clearly and reliably in writing (in Language B) the salient, relevant points contained in complex diagrams and other visually organised data (with text in Language A) on complex academic or professional topics.</v>
      </c>
      <c r="H800" s="71" t="s">
        <v>2827</v>
      </c>
      <c r="I800" s="79" t="s">
        <v>3089</v>
      </c>
    </row>
    <row r="801" customFormat="false" ht="26.25" hidden="false" customHeight="true" outlineLevel="0" collapsed="false">
      <c r="A801" s="70" t="n">
        <f aca="false">Data!A801</f>
        <v>800</v>
      </c>
      <c r="B801" s="70" t="str">
        <f aca="false">IFERROR(INDEX(対訳マスタ!$C$2:$C$136,MATCH(Data!B801,対訳マスタ!$B$2:$B$136,0)),Data!B801)</f>
        <v>コミュニケーション言語活動</v>
      </c>
      <c r="C801" s="70" t="str">
        <f aca="false">IF(Data!C801="—","—",IFERROR(INDEX(対訳マスタ!$C$2:$C$136,MATCH(Data!C801,対訳マスタ!$B$2:$B$136,0)),Data!C801))</f>
        <v>仲介</v>
      </c>
      <c r="D801" s="70" t="str">
        <f aca="false">IF(Data!D801="—","—",IFERROR(INDEX(対訳マスタ!$C$2:$C$136,MATCH(Data!D801,対訳マスタ!$B$2:$B$136,0)),Data!D801))</f>
        <v>テキストの仲介</v>
      </c>
      <c r="E801" s="70" t="str">
        <f aca="false">IFERROR(INDEX(対訳マスタ!$C$2:$C$136,MATCH(Data!E801,対訳マスタ!$B$2:$B$136,0)),Data!E801)</f>
        <v>データの説明（文章）</v>
      </c>
      <c r="F801" s="70" t="str">
        <f aca="false">Data!F801</f>
        <v>B2</v>
      </c>
      <c r="G801" s="31" t="str">
        <f aca="false">Data!G801</f>
        <v>Can interpret and present reliably in writing (in Language B) detailed information from diagrams and visually organised data in their fields of interest (with text in Language A).</v>
      </c>
      <c r="H801" s="71" t="s">
        <v>2826</v>
      </c>
      <c r="I801" s="79" t="s">
        <v>3089</v>
      </c>
    </row>
    <row r="802" customFormat="false" ht="39" hidden="false" customHeight="true" outlineLevel="0" collapsed="false">
      <c r="A802" s="70" t="n">
        <f aca="false">Data!A802</f>
        <v>801</v>
      </c>
      <c r="B802" s="70" t="str">
        <f aca="false">IFERROR(INDEX(対訳マスタ!$C$2:$C$136,MATCH(Data!B802,対訳マスタ!$B$2:$B$136,0)),Data!B802)</f>
        <v>コミュニケーション言語活動</v>
      </c>
      <c r="C802" s="70" t="str">
        <f aca="false">IF(Data!C802="—","—",IFERROR(INDEX(対訳マスタ!$C$2:$C$136,MATCH(Data!C802,対訳マスタ!$B$2:$B$136,0)),Data!C802))</f>
        <v>仲介</v>
      </c>
      <c r="D802" s="70" t="str">
        <f aca="false">IF(Data!D802="—","—",IFERROR(INDEX(対訳マスタ!$C$2:$C$136,MATCH(Data!D802,対訳マスタ!$B$2:$B$136,0)),Data!D802))</f>
        <v>テキストの仲介</v>
      </c>
      <c r="E802" s="70" t="str">
        <f aca="false">IFERROR(INDEX(対訳マスタ!$C$2:$C$136,MATCH(Data!E802,対訳マスタ!$B$2:$B$136,0)),Data!E802)</f>
        <v>データの説明（文章）</v>
      </c>
      <c r="F802" s="70" t="str">
        <f aca="false">Data!F802</f>
        <v>B1+</v>
      </c>
      <c r="G802" s="31" t="str">
        <f aca="false">Data!G802</f>
        <v>Can interpret and present in writing (in Language B) the overall trends shown in simple diagrams (e.g. graphs, bar charts) (with text in Language A), explaining the important points in more detail, given the help of a dictionary or other reference materials.</v>
      </c>
      <c r="H802" s="71" t="s">
        <v>2825</v>
      </c>
      <c r="I802" s="79" t="s">
        <v>3089</v>
      </c>
    </row>
    <row r="803" customFormat="false" ht="26.25" hidden="false" customHeight="true" outlineLevel="0" collapsed="false">
      <c r="A803" s="70" t="n">
        <f aca="false">Data!A803</f>
        <v>802</v>
      </c>
      <c r="B803" s="70" t="str">
        <f aca="false">IFERROR(INDEX(対訳マスタ!$C$2:$C$136,MATCH(Data!B803,対訳マスタ!$B$2:$B$136,0)),Data!B803)</f>
        <v>コミュニケーション言語活動</v>
      </c>
      <c r="C803" s="70" t="str">
        <f aca="false">IF(Data!C803="—","—",IFERROR(INDEX(対訳マスタ!$C$2:$C$136,MATCH(Data!C803,対訳マスタ!$B$2:$B$136,0)),Data!C803))</f>
        <v>仲介</v>
      </c>
      <c r="D803" s="70" t="str">
        <f aca="false">IF(Data!D803="—","—",IFERROR(INDEX(対訳マスタ!$C$2:$C$136,MATCH(Data!D803,対訳マスタ!$B$2:$B$136,0)),Data!D803))</f>
        <v>テキストの仲介</v>
      </c>
      <c r="E803" s="70" t="str">
        <f aca="false">IFERROR(INDEX(対訳マスタ!$C$2:$C$136,MATCH(Data!E803,対訳マスタ!$B$2:$B$136,0)),Data!E803)</f>
        <v>データの説明（文章）</v>
      </c>
      <c r="F803" s="70" t="str">
        <f aca="false">Data!F803</f>
        <v>B1</v>
      </c>
      <c r="G803" s="31" t="str">
        <f aca="false">Data!G803</f>
        <v>Can describe in simple sentences (in Language B) the main facts shown in visuals on familiar topics (e.g. a weather map, a basic flow chart) (with text in Language A).</v>
      </c>
      <c r="H803" s="71" t="s">
        <v>2824</v>
      </c>
      <c r="I803" s="79" t="s">
        <v>3089</v>
      </c>
    </row>
    <row r="804" customFormat="false" ht="15" hidden="false" customHeight="true" outlineLevel="0" collapsed="false">
      <c r="A804" s="80" t="n">
        <f aca="false">Data!A804</f>
        <v>803</v>
      </c>
      <c r="B804" s="80" t="str">
        <f aca="false">IFERROR(INDEX(対訳マスタ!$C$2:$C$136,MATCH(Data!B804,対訳マスタ!$B$2:$B$136,0)),Data!B804)</f>
        <v>コミュニケーション言語活動</v>
      </c>
      <c r="C804" s="80" t="str">
        <f aca="false">IF(Data!C804="—","—",IFERROR(INDEX(対訳マスタ!$C$2:$C$136,MATCH(Data!C804,対訳マスタ!$B$2:$B$136,0)),Data!C804))</f>
        <v>仲介</v>
      </c>
      <c r="D804" s="80" t="str">
        <f aca="false">IF(Data!D804="—","—",IFERROR(INDEX(対訳マスタ!$C$2:$C$136,MATCH(Data!D804,対訳マスタ!$B$2:$B$136,0)),Data!D804))</f>
        <v>テキストの仲介</v>
      </c>
      <c r="E804" s="80" t="str">
        <f aca="false">IFERROR(INDEX(対訳マスタ!$C$2:$C$136,MATCH(Data!E804,対訳マスタ!$B$2:$B$136,0)),Data!E804)</f>
        <v>データの説明（文章）</v>
      </c>
      <c r="F804" s="80" t="str">
        <f aca="false">Data!F804</f>
        <v>A2</v>
      </c>
      <c r="G804" s="81" t="str">
        <f aca="false">Data!G804</f>
        <v>No descriptors available</v>
      </c>
      <c r="H804" s="81" t="s">
        <v>624</v>
      </c>
      <c r="I804" s="80" t="s">
        <v>624</v>
      </c>
    </row>
    <row r="805" customFormat="false" ht="15" hidden="false" customHeight="true" outlineLevel="0" collapsed="false">
      <c r="A805" s="80" t="n">
        <f aca="false">Data!A805</f>
        <v>804</v>
      </c>
      <c r="B805" s="80" t="str">
        <f aca="false">IFERROR(INDEX(対訳マスタ!$C$2:$C$136,MATCH(Data!B805,対訳マスタ!$B$2:$B$136,0)),Data!B805)</f>
        <v>コミュニケーション言語活動</v>
      </c>
      <c r="C805" s="80" t="str">
        <f aca="false">IF(Data!C805="—","—",IFERROR(INDEX(対訳マスタ!$C$2:$C$136,MATCH(Data!C805,対訳マスタ!$B$2:$B$136,0)),Data!C805))</f>
        <v>仲介</v>
      </c>
      <c r="D805" s="80" t="str">
        <f aca="false">IF(Data!D805="—","—",IFERROR(INDEX(対訳マスタ!$C$2:$C$136,MATCH(Data!D805,対訳マスタ!$B$2:$B$136,0)),Data!D805))</f>
        <v>テキストの仲介</v>
      </c>
      <c r="E805" s="80" t="str">
        <f aca="false">IFERROR(INDEX(対訳マスタ!$C$2:$C$136,MATCH(Data!E805,対訳マスタ!$B$2:$B$136,0)),Data!E805)</f>
        <v>データの説明（文章）</v>
      </c>
      <c r="F805" s="80" t="str">
        <f aca="false">Data!F805</f>
        <v>A1</v>
      </c>
      <c r="G805" s="81" t="str">
        <f aca="false">Data!G805</f>
        <v>No descriptors available</v>
      </c>
      <c r="H805" s="81" t="s">
        <v>624</v>
      </c>
      <c r="I805" s="80" t="s">
        <v>624</v>
      </c>
    </row>
    <row r="806" customFormat="false" ht="15" hidden="false" customHeight="true" outlineLevel="0" collapsed="false">
      <c r="A806" s="80" t="n">
        <f aca="false">Data!A806</f>
        <v>805</v>
      </c>
      <c r="B806" s="80" t="str">
        <f aca="false">IFERROR(INDEX(対訳マスタ!$C$2:$C$136,MATCH(Data!B806,対訳マスタ!$B$2:$B$136,0)),Data!B806)</f>
        <v>コミュニケーション言語活動</v>
      </c>
      <c r="C806" s="80" t="str">
        <f aca="false">IF(Data!C806="—","—",IFERROR(INDEX(対訳マスタ!$C$2:$C$136,MATCH(Data!C806,対訳マスタ!$B$2:$B$136,0)),Data!C806))</f>
        <v>仲介</v>
      </c>
      <c r="D806" s="80" t="str">
        <f aca="false">IF(Data!D806="—","—",IFERROR(INDEX(対訳マスタ!$C$2:$C$136,MATCH(Data!D806,対訳マスタ!$B$2:$B$136,0)),Data!D806))</f>
        <v>テキストの仲介</v>
      </c>
      <c r="E806" s="80" t="str">
        <f aca="false">IFERROR(INDEX(対訳マスタ!$C$2:$C$136,MATCH(Data!E806,対訳マスタ!$B$2:$B$136,0)),Data!E806)</f>
        <v>データの説明（文章）</v>
      </c>
      <c r="F806" s="80" t="str">
        <f aca="false">Data!F806</f>
        <v>Pre-A1</v>
      </c>
      <c r="G806" s="81" t="str">
        <f aca="false">Data!G806</f>
        <v>No descriptors available</v>
      </c>
      <c r="H806" s="81" t="s">
        <v>624</v>
      </c>
      <c r="I806" s="80" t="s">
        <v>624</v>
      </c>
    </row>
    <row r="807" customFormat="false" ht="32.25" hidden="false" customHeight="true" outlineLevel="0" collapsed="false">
      <c r="A807" s="70" t="n">
        <f aca="false">Data!A807</f>
        <v>806</v>
      </c>
      <c r="B807" s="70" t="str">
        <f aca="false">IFERROR(INDEX(対訳マスタ!$C$2:$C$136,MATCH(Data!B807,対訳マスタ!$B$2:$B$136,0)),Data!B807)</f>
        <v>コミュニケーション言語活動</v>
      </c>
      <c r="C807" s="70" t="str">
        <f aca="false">IF(Data!C807="—","—",IFERROR(INDEX(対訳マスタ!$C$2:$C$136,MATCH(Data!C807,対訳マスタ!$B$2:$B$136,0)),Data!C807))</f>
        <v>仲介</v>
      </c>
      <c r="D807" s="70" t="str">
        <f aca="false">IF(Data!D807="—","—",IFERROR(INDEX(対訳マスタ!$C$2:$C$136,MATCH(Data!D807,対訳マスタ!$B$2:$B$136,0)),Data!D807))</f>
        <v>テキストの仲介</v>
      </c>
      <c r="E807" s="70" t="str">
        <f aca="false">IFERROR(INDEX(対訳マスタ!$C$2:$C$136,MATCH(Data!E807,対訳マスタ!$B$2:$B$136,0)),Data!E807)</f>
        <v>テキストの加工・要約（口頭・手話）</v>
      </c>
      <c r="F807" s="70" t="str">
        <f aca="false">Data!F807</f>
        <v>C2</v>
      </c>
      <c r="G807" s="31" t="str">
        <f aca="false">Data!G807</f>
        <v>Can explain (in Language B) inferences when links or implications are not made explicit (in Language A), and point out the sociocultural implications of the form of expression (e.g. understatement, irony, sarcasm).</v>
      </c>
      <c r="H807" s="71" t="s">
        <v>2837</v>
      </c>
      <c r="I807" s="79" t="s">
        <v>3089</v>
      </c>
    </row>
    <row r="808" customFormat="false" ht="15" hidden="false" customHeight="true" outlineLevel="0" collapsed="false">
      <c r="A808" s="70" t="n">
        <f aca="false">Data!A808</f>
        <v>807</v>
      </c>
      <c r="B808" s="70" t="str">
        <f aca="false">IFERROR(INDEX(対訳マスタ!$C$2:$C$136,MATCH(Data!B808,対訳マスタ!$B$2:$B$136,0)),Data!B808)</f>
        <v>コミュニケーション言語活動</v>
      </c>
      <c r="C808" s="70" t="str">
        <f aca="false">IF(Data!C808="—","—",IFERROR(INDEX(対訳マスタ!$C$2:$C$136,MATCH(Data!C808,対訳マスタ!$B$2:$B$136,0)),Data!C808))</f>
        <v>仲介</v>
      </c>
      <c r="D808" s="70" t="str">
        <f aca="false">IF(Data!D808="—","—",IFERROR(INDEX(対訳マスタ!$C$2:$C$136,MATCH(Data!D808,対訳マスタ!$B$2:$B$136,0)),Data!D808))</f>
        <v>テキストの仲介</v>
      </c>
      <c r="E808" s="70" t="str">
        <f aca="false">IFERROR(INDEX(対訳マスタ!$C$2:$C$136,MATCH(Data!E808,対訳マスタ!$B$2:$B$136,0)),Data!E808)</f>
        <v>テキストの加工・要約（口頭・手話）</v>
      </c>
      <c r="F808" s="70" t="str">
        <f aca="false">Data!F808</f>
        <v>C1</v>
      </c>
      <c r="G808" s="31" t="str">
        <f aca="false">Data!G808</f>
        <v>Can summarise (in Language B) long, demanding texts (in Language A).</v>
      </c>
      <c r="H808" s="71" t="s">
        <v>2836</v>
      </c>
      <c r="I808" s="79" t="s">
        <v>3089</v>
      </c>
    </row>
    <row r="809" customFormat="false" ht="32.25" hidden="false" customHeight="true" outlineLevel="0" collapsed="false">
      <c r="A809" s="70" t="n">
        <f aca="false">Data!A809</f>
        <v>808</v>
      </c>
      <c r="B809" s="70" t="str">
        <f aca="false">IFERROR(INDEX(対訳マスタ!$C$2:$C$136,MATCH(Data!B809,対訳マスタ!$B$2:$B$136,0)),Data!B809)</f>
        <v>コミュニケーション言語活動</v>
      </c>
      <c r="C809" s="70" t="str">
        <f aca="false">IF(Data!C809="—","—",IFERROR(INDEX(対訳マスタ!$C$2:$C$136,MATCH(Data!C809,対訳マスタ!$B$2:$B$136,0)),Data!C809))</f>
        <v>仲介</v>
      </c>
      <c r="D809" s="70" t="str">
        <f aca="false">IF(Data!D809="—","—",IFERROR(INDEX(対訳マスタ!$C$2:$C$136,MATCH(Data!D809,対訳マスタ!$B$2:$B$136,0)),Data!D809))</f>
        <v>テキストの仲介</v>
      </c>
      <c r="E809" s="70" t="str">
        <f aca="false">IFERROR(INDEX(対訳マスタ!$C$2:$C$136,MATCH(Data!E809,対訳マスタ!$B$2:$B$136,0)),Data!E809)</f>
        <v>テキストの加工・要約（口頭・手話）</v>
      </c>
      <c r="F809" s="70" t="str">
        <f aca="false">Data!F809</f>
        <v>C1</v>
      </c>
      <c r="G809" s="31" t="str">
        <f aca="false">Data!G809</f>
        <v>Can summarise (in Language B) discussion (in Language A) on matters within their academic or professional competence, elaborating and weighing up different points of view and identifying the most significant points.</v>
      </c>
      <c r="H809" s="71" t="s">
        <v>3424</v>
      </c>
      <c r="I809" s="79" t="s">
        <v>3089</v>
      </c>
    </row>
    <row r="810" customFormat="false" ht="32.25" hidden="false" customHeight="true" outlineLevel="0" collapsed="false">
      <c r="A810" s="70" t="n">
        <f aca="false">Data!A810</f>
        <v>809</v>
      </c>
      <c r="B810" s="70" t="str">
        <f aca="false">IFERROR(INDEX(対訳マスタ!$C$2:$C$136,MATCH(Data!B810,対訳マスタ!$B$2:$B$136,0)),Data!B810)</f>
        <v>コミュニケーション言語活動</v>
      </c>
      <c r="C810" s="70" t="str">
        <f aca="false">IF(Data!C810="—","—",IFERROR(INDEX(対訳マスタ!$C$2:$C$136,MATCH(Data!C810,対訳マスタ!$B$2:$B$136,0)),Data!C810))</f>
        <v>仲介</v>
      </c>
      <c r="D810" s="70" t="str">
        <f aca="false">IF(Data!D810="—","—",IFERROR(INDEX(対訳マスタ!$C$2:$C$136,MATCH(Data!D810,対訳マスタ!$B$2:$B$136,0)),Data!D810))</f>
        <v>テキストの仲介</v>
      </c>
      <c r="E810" s="70" t="str">
        <f aca="false">IFERROR(INDEX(対訳マスタ!$C$2:$C$136,MATCH(Data!E810,対訳マスタ!$B$2:$B$136,0)),Data!E810)</f>
        <v>テキストの加工・要約（口頭・手話）</v>
      </c>
      <c r="F810" s="70" t="str">
        <f aca="false">Data!F810</f>
        <v>C1</v>
      </c>
      <c r="G810" s="31" t="str">
        <f aca="false">Data!G810</f>
        <v>Can summarise clearly in well-structured language (in Language B) the main points made in complex texts (in Language A) in fields of specialisation other than their own, although they may occasionally check particular technical concepts.</v>
      </c>
      <c r="H810" s="71" t="s">
        <v>3425</v>
      </c>
      <c r="I810" s="79" t="s">
        <v>3089</v>
      </c>
    </row>
    <row r="811" customFormat="false" ht="21.75" hidden="false" customHeight="true" outlineLevel="0" collapsed="false">
      <c r="A811" s="70" t="n">
        <f aca="false">Data!A811</f>
        <v>810</v>
      </c>
      <c r="B811" s="70" t="str">
        <f aca="false">IFERROR(INDEX(対訳マスタ!$C$2:$C$136,MATCH(Data!B811,対訳マスタ!$B$2:$B$136,0)),Data!B811)</f>
        <v>コミュニケーション言語活動</v>
      </c>
      <c r="C811" s="70" t="str">
        <f aca="false">IF(Data!C811="—","—",IFERROR(INDEX(対訳マスタ!$C$2:$C$136,MATCH(Data!C811,対訳マスタ!$B$2:$B$136,0)),Data!C811))</f>
        <v>仲介</v>
      </c>
      <c r="D811" s="70" t="str">
        <f aca="false">IF(Data!D811="—","—",IFERROR(INDEX(対訳マスタ!$C$2:$C$136,MATCH(Data!D811,対訳マスタ!$B$2:$B$136,0)),Data!D811))</f>
        <v>テキストの仲介</v>
      </c>
      <c r="E811" s="70" t="str">
        <f aca="false">IFERROR(INDEX(対訳マスタ!$C$2:$C$136,MATCH(Data!E811,対訳マスタ!$B$2:$B$136,0)),Data!E811)</f>
        <v>テキストの加工・要約（口頭・手話）</v>
      </c>
      <c r="F811" s="70" t="str">
        <f aca="false">Data!F811</f>
        <v>C1</v>
      </c>
      <c r="G811" s="31" t="str">
        <f aca="false">Data!G811</f>
        <v>Can explain (in Language B) subtle distinctions in the presentation of facts and arguments (in Language A).</v>
      </c>
      <c r="H811" s="71" t="s">
        <v>3426</v>
      </c>
      <c r="I811" s="79" t="s">
        <v>3089</v>
      </c>
    </row>
    <row r="812" customFormat="false" ht="21.75" hidden="false" customHeight="true" outlineLevel="0" collapsed="false">
      <c r="A812" s="70" t="n">
        <f aca="false">Data!A812</f>
        <v>811</v>
      </c>
      <c r="B812" s="70" t="str">
        <f aca="false">IFERROR(INDEX(対訳マスタ!$C$2:$C$136,MATCH(Data!B812,対訳マスタ!$B$2:$B$136,0)),Data!B812)</f>
        <v>コミュニケーション言語活動</v>
      </c>
      <c r="C812" s="70" t="str">
        <f aca="false">IF(Data!C812="—","—",IFERROR(INDEX(対訳マスタ!$C$2:$C$136,MATCH(Data!C812,対訳マスタ!$B$2:$B$136,0)),Data!C812))</f>
        <v>仲介</v>
      </c>
      <c r="D812" s="70" t="str">
        <f aca="false">IF(Data!D812="—","—",IFERROR(INDEX(対訳マスタ!$C$2:$C$136,MATCH(Data!D812,対訳マスタ!$B$2:$B$136,0)),Data!D812))</f>
        <v>テキストの仲介</v>
      </c>
      <c r="E812" s="70" t="str">
        <f aca="false">IFERROR(INDEX(対訳マスタ!$C$2:$C$136,MATCH(Data!E812,対訳マスタ!$B$2:$B$136,0)),Data!E812)</f>
        <v>テキストの加工・要約（口頭・手話）</v>
      </c>
      <c r="F812" s="70" t="str">
        <f aca="false">Data!F812</f>
        <v>C1</v>
      </c>
      <c r="G812" s="31" t="str">
        <f aca="false">Data!G812</f>
        <v>Can exploit information and arguments from a complex text (in Language A) to discuss a topic (in Language B), glossing with evaluative comments, adding their opinion, etc.</v>
      </c>
      <c r="H812" s="71" t="s">
        <v>3427</v>
      </c>
      <c r="I812" s="79" t="s">
        <v>3089</v>
      </c>
    </row>
    <row r="813" customFormat="false" ht="32.25" hidden="false" customHeight="true" outlineLevel="0" collapsed="false">
      <c r="A813" s="70" t="n">
        <f aca="false">Data!A813</f>
        <v>812</v>
      </c>
      <c r="B813" s="70" t="str">
        <f aca="false">IFERROR(INDEX(対訳マスタ!$C$2:$C$136,MATCH(Data!B813,対訳マスタ!$B$2:$B$136,0)),Data!B813)</f>
        <v>コミュニケーション言語活動</v>
      </c>
      <c r="C813" s="70" t="str">
        <f aca="false">IF(Data!C813="—","—",IFERROR(INDEX(対訳マスタ!$C$2:$C$136,MATCH(Data!C813,対訳マスタ!$B$2:$B$136,0)),Data!C813))</f>
        <v>仲介</v>
      </c>
      <c r="D813" s="70" t="str">
        <f aca="false">IF(Data!D813="—","—",IFERROR(INDEX(対訳マスタ!$C$2:$C$136,MATCH(Data!D813,対訳マスタ!$B$2:$B$136,0)),Data!D813))</f>
        <v>テキストの仲介</v>
      </c>
      <c r="E813" s="70" t="str">
        <f aca="false">IFERROR(INDEX(対訳マスタ!$C$2:$C$136,MATCH(Data!E813,対訳マスタ!$B$2:$B$136,0)),Data!E813)</f>
        <v>テキストの加工・要約（口頭・手話）</v>
      </c>
      <c r="F813" s="70" t="str">
        <f aca="false">Data!F813</f>
        <v>C1</v>
      </c>
      <c r="G813" s="31" t="str">
        <f aca="false">Data!G813</f>
        <v>Can explain (in Language B) the attitude or opinion expressed in a source text (in Language A) on a specialised topic, supporting inferences they make with reference to specific passages in the original.</v>
      </c>
      <c r="H813" s="71" t="s">
        <v>3428</v>
      </c>
      <c r="I813" s="79" t="s">
        <v>3089</v>
      </c>
    </row>
    <row r="814" customFormat="false" ht="32.25" hidden="false" customHeight="true" outlineLevel="0" collapsed="false">
      <c r="A814" s="70" t="n">
        <f aca="false">Data!A814</f>
        <v>813</v>
      </c>
      <c r="B814" s="70" t="str">
        <f aca="false">IFERROR(INDEX(対訳マスタ!$C$2:$C$136,MATCH(Data!B814,対訳マスタ!$B$2:$B$136,0)),Data!B814)</f>
        <v>コミュニケーション言語活動</v>
      </c>
      <c r="C814" s="70" t="str">
        <f aca="false">IF(Data!C814="—","—",IFERROR(INDEX(対訳マスタ!$C$2:$C$136,MATCH(Data!C814,対訳マスタ!$B$2:$B$136,0)),Data!C814))</f>
        <v>仲介</v>
      </c>
      <c r="D814" s="70" t="str">
        <f aca="false">IF(Data!D814="—","—",IFERROR(INDEX(対訳マスタ!$C$2:$C$136,MATCH(Data!D814,対訳マスタ!$B$2:$B$136,0)),Data!D814))</f>
        <v>テキストの仲介</v>
      </c>
      <c r="E814" s="70" t="str">
        <f aca="false">IFERROR(INDEX(対訳マスタ!$C$2:$C$136,MATCH(Data!E814,対訳マスタ!$B$2:$B$136,0)),Data!E814)</f>
        <v>テキストの加工・要約（口頭・手話）</v>
      </c>
      <c r="F814" s="70" t="str">
        <f aca="false">Data!F814</f>
        <v>B2+</v>
      </c>
      <c r="G814" s="31" t="str">
        <f aca="false">Data!G814</f>
        <v>Can summarise clearly in well-structured language (in Language B) the information and arguments contained in complex texts (in Language A) on a wide range of subjects related to their fields of interest and specialisation.</v>
      </c>
      <c r="H814" s="71" t="s">
        <v>3429</v>
      </c>
      <c r="I814" s="79" t="s">
        <v>3089</v>
      </c>
    </row>
    <row r="815" customFormat="false" ht="26.25" hidden="false" customHeight="true" outlineLevel="0" collapsed="false">
      <c r="A815" s="70" t="n">
        <f aca="false">Data!A815</f>
        <v>814</v>
      </c>
      <c r="B815" s="70" t="str">
        <f aca="false">IFERROR(INDEX(対訳マスタ!$C$2:$C$136,MATCH(Data!B815,対訳マスタ!$B$2:$B$136,0)),Data!B815)</f>
        <v>コミュニケーション言語活動</v>
      </c>
      <c r="C815" s="70" t="str">
        <f aca="false">IF(Data!C815="—","—",IFERROR(INDEX(対訳マスタ!$C$2:$C$136,MATCH(Data!C815,対訳マスタ!$B$2:$B$136,0)),Data!C815))</f>
        <v>仲介</v>
      </c>
      <c r="D815" s="70" t="str">
        <f aca="false">IF(Data!D815="—","—",IFERROR(INDEX(対訳マスタ!$C$2:$C$136,MATCH(Data!D815,対訳マスタ!$B$2:$B$136,0)),Data!D815))</f>
        <v>テキストの仲介</v>
      </c>
      <c r="E815" s="70" t="str">
        <f aca="false">IFERROR(INDEX(対訳マスタ!$C$2:$C$136,MATCH(Data!E815,対訳マスタ!$B$2:$B$136,0)),Data!E815)</f>
        <v>テキストの加工・要約（口頭・手話）</v>
      </c>
      <c r="F815" s="70" t="str">
        <f aca="false">Data!F815</f>
        <v>B2+</v>
      </c>
      <c r="G815" s="31" t="str">
        <f aca="false">Data!G815</f>
        <v>Can summarise (in Language B) the main points of complex discussions (in Language A), weighing up the different points of view presented.</v>
      </c>
      <c r="H815" s="71" t="s">
        <v>2835</v>
      </c>
      <c r="I815" s="79" t="s">
        <v>3089</v>
      </c>
    </row>
    <row r="816" customFormat="false" ht="21.75" hidden="false" customHeight="true" outlineLevel="0" collapsed="false">
      <c r="A816" s="70" t="n">
        <f aca="false">Data!A816</f>
        <v>815</v>
      </c>
      <c r="B816" s="70" t="str">
        <f aca="false">IFERROR(INDEX(対訳マスタ!$C$2:$C$136,MATCH(Data!B816,対訳マスタ!$B$2:$B$136,0)),Data!B816)</f>
        <v>コミュニケーション言語活動</v>
      </c>
      <c r="C816" s="70" t="str">
        <f aca="false">IF(Data!C816="—","—",IFERROR(INDEX(対訳マスタ!$C$2:$C$136,MATCH(Data!C816,対訳マスタ!$B$2:$B$136,0)),Data!C816))</f>
        <v>仲介</v>
      </c>
      <c r="D816" s="70" t="str">
        <f aca="false">IF(Data!D816="—","—",IFERROR(INDEX(対訳マスタ!$C$2:$C$136,MATCH(Data!D816,対訳マスタ!$B$2:$B$136,0)),Data!D816))</f>
        <v>テキストの仲介</v>
      </c>
      <c r="E816" s="70" t="str">
        <f aca="false">IFERROR(INDEX(対訳マスタ!$C$2:$C$136,MATCH(Data!E816,対訳マスタ!$B$2:$B$136,0)),Data!E816)</f>
        <v>テキストの加工・要約（口頭・手話）</v>
      </c>
      <c r="F816" s="70" t="str">
        <f aca="false">Data!F816</f>
        <v>B2</v>
      </c>
      <c r="G816" s="31" t="str">
        <f aca="false">Data!G816</f>
        <v>Can synthesise and report (in Language B) information and arguments from a number of sources (in Language A).</v>
      </c>
      <c r="H816" s="71" t="s">
        <v>3430</v>
      </c>
      <c r="I816" s="79" t="s">
        <v>3089</v>
      </c>
    </row>
    <row r="817" customFormat="false" ht="32.25" hidden="false" customHeight="true" outlineLevel="0" collapsed="false">
      <c r="A817" s="70" t="n">
        <f aca="false">Data!A817</f>
        <v>816</v>
      </c>
      <c r="B817" s="70" t="str">
        <f aca="false">IFERROR(INDEX(対訳マスタ!$C$2:$C$136,MATCH(Data!B817,対訳マスタ!$B$2:$B$136,0)),Data!B817)</f>
        <v>コミュニケーション言語活動</v>
      </c>
      <c r="C817" s="70" t="str">
        <f aca="false">IF(Data!C817="—","—",IFERROR(INDEX(対訳マスタ!$C$2:$C$136,MATCH(Data!C817,対訳マスタ!$B$2:$B$136,0)),Data!C817))</f>
        <v>仲介</v>
      </c>
      <c r="D817" s="70" t="str">
        <f aca="false">IF(Data!D817="—","—",IFERROR(INDEX(対訳マスタ!$C$2:$C$136,MATCH(Data!D817,対訳マスタ!$B$2:$B$136,0)),Data!D817))</f>
        <v>テキストの仲介</v>
      </c>
      <c r="E817" s="70" t="str">
        <f aca="false">IFERROR(INDEX(対訳マスタ!$C$2:$C$136,MATCH(Data!E817,対訳マスタ!$B$2:$B$136,0)),Data!E817)</f>
        <v>テキストの加工・要約（口頭・手話）</v>
      </c>
      <c r="F817" s="70" t="str">
        <f aca="false">Data!F817</f>
        <v>B2</v>
      </c>
      <c r="G817" s="31" t="str">
        <f aca="false">Data!G817</f>
        <v>Can summarise (in Language B) a wide range of factual and imaginative texts (in Language A), commenting on and discussing contrasting points of view and the main themes.</v>
      </c>
      <c r="H817" s="71" t="s">
        <v>3431</v>
      </c>
      <c r="I817" s="79" t="s">
        <v>3089</v>
      </c>
    </row>
    <row r="818" customFormat="false" ht="21.75" hidden="false" customHeight="true" outlineLevel="0" collapsed="false">
      <c r="A818" s="70" t="n">
        <f aca="false">Data!A818</f>
        <v>817</v>
      </c>
      <c r="B818" s="70" t="str">
        <f aca="false">IFERROR(INDEX(対訳マスタ!$C$2:$C$136,MATCH(Data!B818,対訳マスタ!$B$2:$B$136,0)),Data!B818)</f>
        <v>コミュニケーション言語活動</v>
      </c>
      <c r="C818" s="70" t="str">
        <f aca="false">IF(Data!C818="—","—",IFERROR(INDEX(対訳マスタ!$C$2:$C$136,MATCH(Data!C818,対訳マスタ!$B$2:$B$136,0)),Data!C818))</f>
        <v>仲介</v>
      </c>
      <c r="D818" s="70" t="str">
        <f aca="false">IF(Data!D818="—","—",IFERROR(INDEX(対訳マスタ!$C$2:$C$136,MATCH(Data!D818,対訳マスタ!$B$2:$B$136,0)),Data!D818))</f>
        <v>テキストの仲介</v>
      </c>
      <c r="E818" s="70" t="str">
        <f aca="false">IFERROR(INDEX(対訳マスタ!$C$2:$C$136,MATCH(Data!E818,対訳マスタ!$B$2:$B$136,0)),Data!E818)</f>
        <v>テキストの加工・要約（口頭・手話）</v>
      </c>
      <c r="F818" s="70" t="str">
        <f aca="false">Data!F818</f>
        <v>B2</v>
      </c>
      <c r="G818" s="31" t="str">
        <f aca="false">Data!G818</f>
        <v>Can summarise (in Language B) the important points made in longer, complex texts (in Language A) on subjects of current interest, including their fields of special interest.</v>
      </c>
      <c r="H818" s="71" t="s">
        <v>3432</v>
      </c>
      <c r="I818" s="79" t="s">
        <v>3089</v>
      </c>
    </row>
    <row r="819" customFormat="false" ht="21.75" hidden="false" customHeight="true" outlineLevel="0" collapsed="false">
      <c r="A819" s="70" t="n">
        <f aca="false">Data!A819</f>
        <v>818</v>
      </c>
      <c r="B819" s="70" t="str">
        <f aca="false">IFERROR(INDEX(対訳マスタ!$C$2:$C$136,MATCH(Data!B819,対訳マスタ!$B$2:$B$136,0)),Data!B819)</f>
        <v>コミュニケーション言語活動</v>
      </c>
      <c r="C819" s="70" t="str">
        <f aca="false">IF(Data!C819="—","—",IFERROR(INDEX(対訳マスタ!$C$2:$C$136,MATCH(Data!C819,対訳マスタ!$B$2:$B$136,0)),Data!C819))</f>
        <v>仲介</v>
      </c>
      <c r="D819" s="70" t="str">
        <f aca="false">IF(Data!D819="—","—",IFERROR(INDEX(対訳マスタ!$C$2:$C$136,MATCH(Data!D819,対訳マスタ!$B$2:$B$136,0)),Data!D819))</f>
        <v>テキストの仲介</v>
      </c>
      <c r="E819" s="70" t="str">
        <f aca="false">IFERROR(INDEX(対訳マスタ!$C$2:$C$136,MATCH(Data!E819,対訳マスタ!$B$2:$B$136,0)),Data!E819)</f>
        <v>テキストの加工・要約（口頭・手話）</v>
      </c>
      <c r="F819" s="70" t="str">
        <f aca="false">Data!F819</f>
        <v>B2</v>
      </c>
      <c r="G819" s="31" t="str">
        <f aca="false">Data!G819</f>
        <v>Can recognise the intended audience of a text (in Language A) on a topic of interest and explain (in Language B) the purpose, attitudes and opinion of the author.</v>
      </c>
      <c r="H819" s="71" t="s">
        <v>3433</v>
      </c>
      <c r="I819" s="79" t="s">
        <v>3089</v>
      </c>
    </row>
    <row r="820" customFormat="false" ht="21.75" hidden="false" customHeight="true" outlineLevel="0" collapsed="false">
      <c r="A820" s="70" t="n">
        <f aca="false">Data!A820</f>
        <v>819</v>
      </c>
      <c r="B820" s="70" t="str">
        <f aca="false">IFERROR(INDEX(対訳マスタ!$C$2:$C$136,MATCH(Data!B820,対訳マスタ!$B$2:$B$136,0)),Data!B820)</f>
        <v>コミュニケーション言語活動</v>
      </c>
      <c r="C820" s="70" t="str">
        <f aca="false">IF(Data!C820="—","—",IFERROR(INDEX(対訳マスタ!$C$2:$C$136,MATCH(Data!C820,対訳マスタ!$B$2:$B$136,0)),Data!C820))</f>
        <v>仲介</v>
      </c>
      <c r="D820" s="70" t="str">
        <f aca="false">IF(Data!D820="—","—",IFERROR(INDEX(対訳マスタ!$C$2:$C$136,MATCH(Data!D820,対訳マスタ!$B$2:$B$136,0)),Data!D820))</f>
        <v>テキストの仲介</v>
      </c>
      <c r="E820" s="70" t="str">
        <f aca="false">IFERROR(INDEX(対訳マスタ!$C$2:$C$136,MATCH(Data!E820,対訳マスタ!$B$2:$B$136,0)),Data!E820)</f>
        <v>テキストの加工・要約（口頭・手話）</v>
      </c>
      <c r="F820" s="70" t="str">
        <f aca="false">Data!F820</f>
        <v>B2</v>
      </c>
      <c r="G820" s="31" t="str">
        <f aca="false">Data!G820</f>
        <v>Can summarise (in Language B) extracts from news items, interviews or documentaries containing opinions, arguments and discussions (in Language A).</v>
      </c>
      <c r="H820" s="71" t="s">
        <v>3434</v>
      </c>
      <c r="I820" s="79" t="s">
        <v>3089</v>
      </c>
    </row>
    <row r="821" customFormat="false" ht="21.75" hidden="false" customHeight="true" outlineLevel="0" collapsed="false">
      <c r="A821" s="70" t="n">
        <f aca="false">Data!A821</f>
        <v>820</v>
      </c>
      <c r="B821" s="70" t="str">
        <f aca="false">IFERROR(INDEX(対訳マスタ!$C$2:$C$136,MATCH(Data!B821,対訳マスタ!$B$2:$B$136,0)),Data!B821)</f>
        <v>コミュニケーション言語活動</v>
      </c>
      <c r="C821" s="70" t="str">
        <f aca="false">IF(Data!C821="—","—",IFERROR(INDEX(対訳マスタ!$C$2:$C$136,MATCH(Data!C821,対訳マスタ!$B$2:$B$136,0)),Data!C821))</f>
        <v>仲介</v>
      </c>
      <c r="D821" s="70" t="str">
        <f aca="false">IF(Data!D821="—","—",IFERROR(INDEX(対訳マスタ!$C$2:$C$136,MATCH(Data!D821,対訳マスタ!$B$2:$B$136,0)),Data!D821))</f>
        <v>テキストの仲介</v>
      </c>
      <c r="E821" s="70" t="str">
        <f aca="false">IFERROR(INDEX(対訳マスタ!$C$2:$C$136,MATCH(Data!E821,対訳マスタ!$B$2:$B$136,0)),Data!E821)</f>
        <v>テキストの加工・要約（口頭・手話）</v>
      </c>
      <c r="F821" s="70" t="str">
        <f aca="false">Data!F821</f>
        <v>B2</v>
      </c>
      <c r="G821" s="31" t="str">
        <f aca="false">Data!G821</f>
        <v>Can summarise (in Language B) the plot and sequence of events in a film or play (in Language A).</v>
      </c>
      <c r="H821" s="71" t="s">
        <v>2834</v>
      </c>
      <c r="I821" s="79" t="s">
        <v>3089</v>
      </c>
    </row>
    <row r="822" customFormat="false" ht="32.25" hidden="false" customHeight="true" outlineLevel="0" collapsed="false">
      <c r="A822" s="70" t="n">
        <f aca="false">Data!A822</f>
        <v>821</v>
      </c>
      <c r="B822" s="70" t="str">
        <f aca="false">IFERROR(INDEX(対訳マスタ!$C$2:$C$136,MATCH(Data!B822,対訳マスタ!$B$2:$B$136,0)),Data!B822)</f>
        <v>コミュニケーション言語活動</v>
      </c>
      <c r="C822" s="70" t="str">
        <f aca="false">IF(Data!C822="—","—",IFERROR(INDEX(対訳マスタ!$C$2:$C$136,MATCH(Data!C822,対訳マスタ!$B$2:$B$136,0)),Data!C822))</f>
        <v>仲介</v>
      </c>
      <c r="D822" s="70" t="str">
        <f aca="false">IF(Data!D822="—","—",IFERROR(INDEX(対訳マスタ!$C$2:$C$136,MATCH(Data!D822,対訳マスタ!$B$2:$B$136,0)),Data!D822))</f>
        <v>テキストの仲介</v>
      </c>
      <c r="E822" s="70" t="str">
        <f aca="false">IFERROR(INDEX(対訳マスタ!$C$2:$C$136,MATCH(Data!E822,対訳マスタ!$B$2:$B$136,0)),Data!E822)</f>
        <v>テキストの加工・要約（口頭・手話）</v>
      </c>
      <c r="F822" s="70" t="str">
        <f aca="false">Data!F822</f>
        <v>B1+</v>
      </c>
      <c r="G822" s="31" t="str">
        <f aca="false">Data!G822</f>
        <v>Can summarise (in Language B) the main points made in long texts (in Language A) on topics in their fields of interest, provided they can check the meaning of certain expressions.</v>
      </c>
      <c r="H822" s="71" t="s">
        <v>3435</v>
      </c>
      <c r="I822" s="79" t="s">
        <v>3089</v>
      </c>
    </row>
    <row r="823" customFormat="false" ht="21.75" hidden="false" customHeight="true" outlineLevel="0" collapsed="false">
      <c r="A823" s="70" t="n">
        <f aca="false">Data!A823</f>
        <v>822</v>
      </c>
      <c r="B823" s="70" t="str">
        <f aca="false">IFERROR(INDEX(対訳マスタ!$C$2:$C$136,MATCH(Data!B823,対訳マスタ!$B$2:$B$136,0)),Data!B823)</f>
        <v>コミュニケーション言語活動</v>
      </c>
      <c r="C823" s="70" t="str">
        <f aca="false">IF(Data!C823="—","—",IFERROR(INDEX(対訳マスタ!$C$2:$C$136,MATCH(Data!C823,対訳マスタ!$B$2:$B$136,0)),Data!C823))</f>
        <v>仲介</v>
      </c>
      <c r="D823" s="70" t="str">
        <f aca="false">IF(Data!D823="—","—",IFERROR(INDEX(対訳マスタ!$C$2:$C$136,MATCH(Data!D823,対訳マスタ!$B$2:$B$136,0)),Data!D823))</f>
        <v>テキストの仲介</v>
      </c>
      <c r="E823" s="70" t="str">
        <f aca="false">IFERROR(INDEX(対訳マスタ!$C$2:$C$136,MATCH(Data!E823,対訳マスタ!$B$2:$B$136,0)),Data!E823)</f>
        <v>テキストの加工・要約（口頭・手話）</v>
      </c>
      <c r="F823" s="70" t="str">
        <f aca="false">Data!F823</f>
        <v>B1+</v>
      </c>
      <c r="G823" s="31" t="str">
        <f aca="false">Data!G823</f>
        <v>Can summarise (in Language B) a short narrative or article, talk, discussion, interview or documentary (in Language A) and answer further questions about details.</v>
      </c>
      <c r="H823" s="71" t="s">
        <v>3436</v>
      </c>
      <c r="I823" s="79" t="s">
        <v>3089</v>
      </c>
    </row>
    <row r="824" customFormat="false" ht="26.25" hidden="false" customHeight="true" outlineLevel="0" collapsed="false">
      <c r="A824" s="70" t="n">
        <f aca="false">Data!A824</f>
        <v>823</v>
      </c>
      <c r="B824" s="70" t="str">
        <f aca="false">IFERROR(INDEX(対訳マスタ!$C$2:$C$136,MATCH(Data!B824,対訳マスタ!$B$2:$B$136,0)),Data!B824)</f>
        <v>コミュニケーション言語活動</v>
      </c>
      <c r="C824" s="70" t="str">
        <f aca="false">IF(Data!C824="—","—",IFERROR(INDEX(対訳マスタ!$C$2:$C$136,MATCH(Data!C824,対訳マスタ!$B$2:$B$136,0)),Data!C824))</f>
        <v>仲介</v>
      </c>
      <c r="D824" s="70" t="str">
        <f aca="false">IF(Data!D824="—","—",IFERROR(INDEX(対訳マスタ!$C$2:$C$136,MATCH(Data!D824,対訳マスタ!$B$2:$B$136,0)),Data!D824))</f>
        <v>テキストの仲介</v>
      </c>
      <c r="E824" s="70" t="str">
        <f aca="false">IFERROR(INDEX(対訳マスタ!$C$2:$C$136,MATCH(Data!E824,対訳マスタ!$B$2:$B$136,0)),Data!E824)</f>
        <v>テキストの加工・要約（口頭・手話）</v>
      </c>
      <c r="F824" s="70" t="str">
        <f aca="false">Data!F824</f>
        <v>B1+</v>
      </c>
      <c r="G824" s="31" t="str">
        <f aca="false">Data!G824</f>
        <v>Can collate short pieces of information from several sources (in Language A) and summarise them (in Language B) for somebody else.</v>
      </c>
      <c r="H824" s="71" t="s">
        <v>2833</v>
      </c>
      <c r="I824" s="79" t="s">
        <v>3089</v>
      </c>
    </row>
    <row r="825" customFormat="false" ht="32.25" hidden="false" customHeight="true" outlineLevel="0" collapsed="false">
      <c r="A825" s="70" t="n">
        <f aca="false">Data!A825</f>
        <v>824</v>
      </c>
      <c r="B825" s="70" t="str">
        <f aca="false">IFERROR(INDEX(対訳マスタ!$C$2:$C$136,MATCH(Data!B825,対訳マスタ!$B$2:$B$136,0)),Data!B825)</f>
        <v>コミュニケーション言語活動</v>
      </c>
      <c r="C825" s="70" t="str">
        <f aca="false">IF(Data!C825="—","—",IFERROR(INDEX(対訳マスタ!$C$2:$C$136,MATCH(Data!C825,対訳マスタ!$B$2:$B$136,0)),Data!C825))</f>
        <v>仲介</v>
      </c>
      <c r="D825" s="70" t="str">
        <f aca="false">IF(Data!D825="—","—",IFERROR(INDEX(対訳マスタ!$C$2:$C$136,MATCH(Data!D825,対訳マスタ!$B$2:$B$136,0)),Data!D825))</f>
        <v>テキストの仲介</v>
      </c>
      <c r="E825" s="70" t="str">
        <f aca="false">IFERROR(INDEX(対訳マスタ!$C$2:$C$136,MATCH(Data!E825,対訳マスタ!$B$2:$B$136,0)),Data!E825)</f>
        <v>テキストの加工・要約（口頭・手話）</v>
      </c>
      <c r="F825" s="70" t="str">
        <f aca="false">Data!F825</f>
        <v>B1</v>
      </c>
      <c r="G825" s="31" t="str">
        <f aca="false">Data!G825</f>
        <v>Can summarise (in Language B) the main points made in clear, well-structured texts (in Language A) on subjects that are familiar or of personal interest, although lexical limitations cause difficulty with formulation at times.</v>
      </c>
      <c r="H825" s="71" t="s">
        <v>3437</v>
      </c>
      <c r="I825" s="79" t="s">
        <v>3089</v>
      </c>
    </row>
    <row r="826" customFormat="false" ht="32.25" hidden="false" customHeight="true" outlineLevel="0" collapsed="false">
      <c r="A826" s="70" t="n">
        <f aca="false">Data!A826</f>
        <v>825</v>
      </c>
      <c r="B826" s="70" t="str">
        <f aca="false">IFERROR(INDEX(対訳マスタ!$C$2:$C$136,MATCH(Data!B826,対訳マスタ!$B$2:$B$136,0)),Data!B826)</f>
        <v>コミュニケーション言語活動</v>
      </c>
      <c r="C826" s="70" t="str">
        <f aca="false">IF(Data!C826="—","—",IFERROR(INDEX(対訳マスタ!$C$2:$C$136,MATCH(Data!C826,対訳マスタ!$B$2:$B$136,0)),Data!C826))</f>
        <v>仲介</v>
      </c>
      <c r="D826" s="70" t="str">
        <f aca="false">IF(Data!D826="—","—",IFERROR(INDEX(対訳マスタ!$C$2:$C$136,MATCH(Data!D826,対訳マスタ!$B$2:$B$136,0)),Data!D826))</f>
        <v>テキストの仲介</v>
      </c>
      <c r="E826" s="70" t="str">
        <f aca="false">IFERROR(INDEX(対訳マスタ!$C$2:$C$136,MATCH(Data!E826,対訳マスタ!$B$2:$B$136,0)),Data!E826)</f>
        <v>テキストの加工・要約（口頭・手話）</v>
      </c>
      <c r="F826" s="70" t="str">
        <f aca="false">Data!F826</f>
        <v>B1</v>
      </c>
      <c r="G826" s="31" t="str">
        <f aca="false">Data!G826</f>
        <v>Can summarise simply (in Language B) the main information content of straightforward texts (in Language A) on familiar subjects (e.g. a short record of an interview, magazine article, travel brochure).</v>
      </c>
      <c r="H826" s="71" t="s">
        <v>3438</v>
      </c>
      <c r="I826" s="79" t="s">
        <v>3089</v>
      </c>
    </row>
    <row r="827" customFormat="false" ht="32.25" hidden="false" customHeight="true" outlineLevel="0" collapsed="false">
      <c r="A827" s="70" t="n">
        <f aca="false">Data!A827</f>
        <v>826</v>
      </c>
      <c r="B827" s="70" t="str">
        <f aca="false">IFERROR(INDEX(対訳マスタ!$C$2:$C$136,MATCH(Data!B827,対訳マスタ!$B$2:$B$136,0)),Data!B827)</f>
        <v>コミュニケーション言語活動</v>
      </c>
      <c r="C827" s="70" t="str">
        <f aca="false">IF(Data!C827="—","—",IFERROR(INDEX(対訳マスタ!$C$2:$C$136,MATCH(Data!C827,対訳マスタ!$B$2:$B$136,0)),Data!C827))</f>
        <v>仲介</v>
      </c>
      <c r="D827" s="70" t="str">
        <f aca="false">IF(Data!D827="—","—",IFERROR(INDEX(対訳マスタ!$C$2:$C$136,MATCH(Data!D827,対訳マスタ!$B$2:$B$136,0)),Data!D827))</f>
        <v>テキストの仲介</v>
      </c>
      <c r="E827" s="70" t="str">
        <f aca="false">IFERROR(INDEX(対訳マスタ!$C$2:$C$136,MATCH(Data!E827,対訳マスタ!$B$2:$B$136,0)),Data!E827)</f>
        <v>テキストの加工・要約（口頭・手話）</v>
      </c>
      <c r="F827" s="70" t="str">
        <f aca="false">Data!F827</f>
        <v>B1</v>
      </c>
      <c r="G827" s="31" t="str">
        <f aca="false">Data!G827</f>
        <v>Can summarise (in Language B) the main points made during a conversation (in Language A) on a subject of personal or current interest, provided people articulated clearly.</v>
      </c>
      <c r="H827" s="71" t="s">
        <v>3439</v>
      </c>
      <c r="I827" s="79" t="s">
        <v>3089</v>
      </c>
    </row>
    <row r="828" customFormat="false" ht="32.25" hidden="false" customHeight="true" outlineLevel="0" collapsed="false">
      <c r="A828" s="70" t="n">
        <f aca="false">Data!A828</f>
        <v>827</v>
      </c>
      <c r="B828" s="70" t="str">
        <f aca="false">IFERROR(INDEX(対訳マスタ!$C$2:$C$136,MATCH(Data!B828,対訳マスタ!$B$2:$B$136,0)),Data!B828)</f>
        <v>コミュニケーション言語活動</v>
      </c>
      <c r="C828" s="70" t="str">
        <f aca="false">IF(Data!C828="—","—",IFERROR(INDEX(対訳マスタ!$C$2:$C$136,MATCH(Data!C828,対訳マスタ!$B$2:$B$136,0)),Data!C828))</f>
        <v>仲介</v>
      </c>
      <c r="D828" s="70" t="str">
        <f aca="false">IF(Data!D828="—","—",IFERROR(INDEX(対訳マスタ!$C$2:$C$136,MATCH(Data!D828,対訳マスタ!$B$2:$B$136,0)),Data!D828))</f>
        <v>テキストの仲介</v>
      </c>
      <c r="E828" s="70" t="str">
        <f aca="false">IFERROR(INDEX(対訳マスタ!$C$2:$C$136,MATCH(Data!E828,対訳マスタ!$B$2:$B$136,0)),Data!E828)</f>
        <v>テキストの加工・要約（口頭・手話）</v>
      </c>
      <c r="F828" s="70" t="str">
        <f aca="false">Data!F828</f>
        <v>B1</v>
      </c>
      <c r="G828" s="31" t="str">
        <f aca="false">Data!G828</f>
        <v>Can summarise (in Language B) the main points made in long texts delivered orally (in Language A) on topics in their fields of interest, provided they can listen or view several times.</v>
      </c>
      <c r="H828" s="71" t="s">
        <v>3440</v>
      </c>
      <c r="I828" s="79" t="s">
        <v>3089</v>
      </c>
    </row>
    <row r="829" customFormat="false" ht="26.25" hidden="false" customHeight="true" outlineLevel="0" collapsed="false">
      <c r="A829" s="70" t="n">
        <f aca="false">Data!A829</f>
        <v>828</v>
      </c>
      <c r="B829" s="70" t="str">
        <f aca="false">IFERROR(INDEX(対訳マスタ!$C$2:$C$136,MATCH(Data!B829,対訳マスタ!$B$2:$B$136,0)),Data!B829)</f>
        <v>コミュニケーション言語活動</v>
      </c>
      <c r="C829" s="70" t="str">
        <f aca="false">IF(Data!C829="—","—",IFERROR(INDEX(対訳マスタ!$C$2:$C$136,MATCH(Data!C829,対訳マスタ!$B$2:$B$136,0)),Data!C829))</f>
        <v>仲介</v>
      </c>
      <c r="D829" s="70" t="str">
        <f aca="false">IF(Data!D829="—","—",IFERROR(INDEX(対訳マスタ!$C$2:$C$136,MATCH(Data!D829,対訳マスタ!$B$2:$B$136,0)),Data!D829))</f>
        <v>テキストの仲介</v>
      </c>
      <c r="E829" s="70" t="str">
        <f aca="false">IFERROR(INDEX(対訳マスタ!$C$2:$C$136,MATCH(Data!E829,対訳マスタ!$B$2:$B$136,0)),Data!E829)</f>
        <v>テキストの加工・要約（口頭・手話）</v>
      </c>
      <c r="F829" s="70" t="str">
        <f aca="false">Data!F829</f>
        <v>B1</v>
      </c>
      <c r="G829" s="31" t="str">
        <f aca="false">Data!G829</f>
        <v>Can summarise (in Language B) the main points or events in TV programmes and video clips (in Language A), provided they can view them several times.</v>
      </c>
      <c r="H829" s="71" t="s">
        <v>2832</v>
      </c>
      <c r="I829" s="79" t="s">
        <v>3089</v>
      </c>
    </row>
    <row r="830" customFormat="false" ht="32.25" hidden="false" customHeight="true" outlineLevel="0" collapsed="false">
      <c r="A830" s="70" t="n">
        <f aca="false">Data!A830</f>
        <v>829</v>
      </c>
      <c r="B830" s="70" t="str">
        <f aca="false">IFERROR(INDEX(対訳マスタ!$C$2:$C$136,MATCH(Data!B830,対訳マスタ!$B$2:$B$136,0)),Data!B830)</f>
        <v>コミュニケーション言語活動</v>
      </c>
      <c r="C830" s="70" t="str">
        <f aca="false">IF(Data!C830="—","—",IFERROR(INDEX(対訳マスタ!$C$2:$C$136,MATCH(Data!C830,対訳マスタ!$B$2:$B$136,0)),Data!C830))</f>
        <v>仲介</v>
      </c>
      <c r="D830" s="70" t="str">
        <f aca="false">IF(Data!D830="—","—",IFERROR(INDEX(対訳マスタ!$C$2:$C$136,MATCH(Data!D830,対訳マスタ!$B$2:$B$136,0)),Data!D830))</f>
        <v>テキストの仲介</v>
      </c>
      <c r="E830" s="70" t="str">
        <f aca="false">IFERROR(INDEX(対訳マスタ!$C$2:$C$136,MATCH(Data!E830,対訳マスタ!$B$2:$B$136,0)),Data!E830)</f>
        <v>テキストの加工・要約（口頭・手話）</v>
      </c>
      <c r="F830" s="70" t="str">
        <f aca="false">Data!F830</f>
        <v>A2+</v>
      </c>
      <c r="G830" s="31" t="str">
        <f aca="false">Data!G830</f>
        <v>Can report (in Language B) the main points made in simple TV or radio news items (in Language A) reporting events, sports, accidents, etc., provided the topics concerned are familiar and the delivery is slow and clear.</v>
      </c>
      <c r="H830" s="71" t="s">
        <v>3441</v>
      </c>
      <c r="I830" s="79" t="s">
        <v>3089</v>
      </c>
    </row>
    <row r="831" customFormat="false" ht="21.75" hidden="false" customHeight="true" outlineLevel="0" collapsed="false">
      <c r="A831" s="70" t="n">
        <f aca="false">Data!A831</f>
        <v>830</v>
      </c>
      <c r="B831" s="70" t="str">
        <f aca="false">IFERROR(INDEX(対訳マスタ!$C$2:$C$136,MATCH(Data!B831,対訳マスタ!$B$2:$B$136,0)),Data!B831)</f>
        <v>コミュニケーション言語活動</v>
      </c>
      <c r="C831" s="70" t="str">
        <f aca="false">IF(Data!C831="—","—",IFERROR(INDEX(対訳マスタ!$C$2:$C$136,MATCH(Data!C831,対訳マスタ!$B$2:$B$136,0)),Data!C831))</f>
        <v>仲介</v>
      </c>
      <c r="D831" s="70" t="str">
        <f aca="false">IF(Data!D831="—","—",IFERROR(INDEX(対訳マスタ!$C$2:$C$136,MATCH(Data!D831,対訳マスタ!$B$2:$B$136,0)),Data!D831))</f>
        <v>テキストの仲介</v>
      </c>
      <c r="E831" s="70" t="str">
        <f aca="false">IFERROR(INDEX(対訳マスタ!$C$2:$C$136,MATCH(Data!E831,対訳マスタ!$B$2:$B$136,0)),Data!E831)</f>
        <v>テキストの加工・要約（口頭・手話）</v>
      </c>
      <c r="F831" s="70" t="str">
        <f aca="false">Data!F831</f>
        <v>A2+</v>
      </c>
      <c r="G831" s="31" t="str">
        <f aca="false">Data!G831</f>
        <v>Can report in simple sentences (in Language B) the information contained in clearly structured, short, simple texts (in Language A) that have illustrations or tables.</v>
      </c>
      <c r="H831" s="71" t="s">
        <v>3442</v>
      </c>
      <c r="I831" s="79" t="s">
        <v>3089</v>
      </c>
    </row>
    <row r="832" customFormat="false" ht="21.75" hidden="false" customHeight="true" outlineLevel="0" collapsed="false">
      <c r="A832" s="70" t="n">
        <f aca="false">Data!A832</f>
        <v>831</v>
      </c>
      <c r="B832" s="70" t="str">
        <f aca="false">IFERROR(INDEX(対訳マスタ!$C$2:$C$136,MATCH(Data!B832,対訳マスタ!$B$2:$B$136,0)),Data!B832)</f>
        <v>コミュニケーション言語活動</v>
      </c>
      <c r="C832" s="70" t="str">
        <f aca="false">IF(Data!C832="—","—",IFERROR(INDEX(対訳マスタ!$C$2:$C$136,MATCH(Data!C832,対訳マスタ!$B$2:$B$136,0)),Data!C832))</f>
        <v>仲介</v>
      </c>
      <c r="D832" s="70" t="str">
        <f aca="false">IF(Data!D832="—","—",IFERROR(INDEX(対訳マスタ!$C$2:$C$136,MATCH(Data!D832,対訳マスタ!$B$2:$B$136,0)),Data!D832))</f>
        <v>テキストの仲介</v>
      </c>
      <c r="E832" s="70" t="str">
        <f aca="false">IFERROR(INDEX(対訳マスタ!$C$2:$C$136,MATCH(Data!E832,対訳マスタ!$B$2:$B$136,0)),Data!E832)</f>
        <v>テキストの加工・要約（口頭・手話）</v>
      </c>
      <c r="F832" s="70" t="str">
        <f aca="false">Data!F832</f>
        <v>A2+</v>
      </c>
      <c r="G832" s="31" t="str">
        <f aca="false">Data!G832</f>
        <v>Can summarise (in Language B) the main point(s) in simple, short informational texts (in Language A) on familiar topics.</v>
      </c>
      <c r="H832" s="71" t="s">
        <v>2831</v>
      </c>
      <c r="I832" s="79" t="s">
        <v>3089</v>
      </c>
    </row>
    <row r="833" customFormat="false" ht="32.25" hidden="false" customHeight="true" outlineLevel="0" collapsed="false">
      <c r="A833" s="70" t="n">
        <f aca="false">Data!A833</f>
        <v>832</v>
      </c>
      <c r="B833" s="70" t="str">
        <f aca="false">IFERROR(INDEX(対訳マスタ!$C$2:$C$136,MATCH(Data!B833,対訳マスタ!$B$2:$B$136,0)),Data!B833)</f>
        <v>コミュニケーション言語活動</v>
      </c>
      <c r="C833" s="70" t="str">
        <f aca="false">IF(Data!C833="—","—",IFERROR(INDEX(対訳マスタ!$C$2:$C$136,MATCH(Data!C833,対訳マスタ!$B$2:$B$136,0)),Data!C833))</f>
        <v>仲介</v>
      </c>
      <c r="D833" s="70" t="str">
        <f aca="false">IF(Data!D833="—","—",IFERROR(INDEX(対訳マスタ!$C$2:$C$136,MATCH(Data!D833,対訳マスタ!$B$2:$B$136,0)),Data!D833))</f>
        <v>テキストの仲介</v>
      </c>
      <c r="E833" s="70" t="str">
        <f aca="false">IFERROR(INDEX(対訳マスタ!$C$2:$C$136,MATCH(Data!E833,対訳マスタ!$B$2:$B$136,0)),Data!E833)</f>
        <v>テキストの加工・要約（口頭・手話）</v>
      </c>
      <c r="F833" s="70" t="str">
        <f aca="false">Data!F833</f>
        <v>A2</v>
      </c>
      <c r="G833" s="31" t="str">
        <f aca="false">Data!G833</f>
        <v>Can convey (in Language B) the main point(s) contained in clearly structured, short, simple texts (in Language A), supplementing their limited repertoire with other means (e.g. gestures, drawings, words/signs from other languages) in order to do so.</v>
      </c>
      <c r="H833" s="71" t="s">
        <v>2830</v>
      </c>
      <c r="I833" s="79" t="s">
        <v>3089</v>
      </c>
    </row>
    <row r="834" customFormat="false" ht="26.25" hidden="false" customHeight="true" outlineLevel="0" collapsed="false">
      <c r="A834" s="70" t="n">
        <f aca="false">Data!A834</f>
        <v>833</v>
      </c>
      <c r="B834" s="70" t="str">
        <f aca="false">IFERROR(INDEX(対訳マスタ!$C$2:$C$136,MATCH(Data!B834,対訳マスタ!$B$2:$B$136,0)),Data!B834)</f>
        <v>コミュニケーション言語活動</v>
      </c>
      <c r="C834" s="70" t="str">
        <f aca="false">IF(Data!C834="—","—",IFERROR(INDEX(対訳マスタ!$C$2:$C$136,MATCH(Data!C834,対訳マスタ!$B$2:$B$136,0)),Data!C834))</f>
        <v>仲介</v>
      </c>
      <c r="D834" s="70" t="str">
        <f aca="false">IF(Data!D834="—","—",IFERROR(INDEX(対訳マスタ!$C$2:$C$136,MATCH(Data!D834,対訳マスタ!$B$2:$B$136,0)),Data!D834))</f>
        <v>テキストの仲介</v>
      </c>
      <c r="E834" s="70" t="str">
        <f aca="false">IFERROR(INDEX(対訳マスタ!$C$2:$C$136,MATCH(Data!E834,対訳マスタ!$B$2:$B$136,0)),Data!E834)</f>
        <v>テキストの加工・要約（口頭・手話）</v>
      </c>
      <c r="F834" s="70" t="str">
        <f aca="false">Data!F834</f>
        <v>A1</v>
      </c>
      <c r="G834" s="31" t="str">
        <f aca="false">Data!G834</f>
        <v>Can convey (in Language B) simple, predictable information given in short, very simple signs and notices, posters and programmes (in Language A).</v>
      </c>
      <c r="H834" s="71" t="s">
        <v>2829</v>
      </c>
      <c r="I834" s="79" t="s">
        <v>3089</v>
      </c>
    </row>
    <row r="835" customFormat="false" ht="15" hidden="false" customHeight="true" outlineLevel="0" collapsed="false">
      <c r="A835" s="80" t="n">
        <f aca="false">Data!A835</f>
        <v>834</v>
      </c>
      <c r="B835" s="80" t="str">
        <f aca="false">IFERROR(INDEX(対訳マスタ!$C$2:$C$136,MATCH(Data!B835,対訳マスタ!$B$2:$B$136,0)),Data!B835)</f>
        <v>コミュニケーション言語活動</v>
      </c>
      <c r="C835" s="80" t="str">
        <f aca="false">IF(Data!C835="—","—",IFERROR(INDEX(対訳マスタ!$C$2:$C$136,MATCH(Data!C835,対訳マスタ!$B$2:$B$136,0)),Data!C835))</f>
        <v>仲介</v>
      </c>
      <c r="D835" s="80" t="str">
        <f aca="false">IF(Data!D835="—","—",IFERROR(INDEX(対訳マスタ!$C$2:$C$136,MATCH(Data!D835,対訳マスタ!$B$2:$B$136,0)),Data!D835))</f>
        <v>テキストの仲介</v>
      </c>
      <c r="E835" s="80" t="str">
        <f aca="false">IFERROR(INDEX(対訳マスタ!$C$2:$C$136,MATCH(Data!E835,対訳マスタ!$B$2:$B$136,0)),Data!E835)</f>
        <v>テキストの加工・要約（口頭・手話）</v>
      </c>
      <c r="F835" s="80" t="str">
        <f aca="false">Data!F835</f>
        <v>Pre-A1</v>
      </c>
      <c r="G835" s="81" t="str">
        <f aca="false">Data!G835</f>
        <v>No descriptors available</v>
      </c>
      <c r="H835" s="81" t="s">
        <v>624</v>
      </c>
      <c r="I835" s="80" t="s">
        <v>624</v>
      </c>
    </row>
    <row r="836" customFormat="false" ht="32.25" hidden="false" customHeight="true" outlineLevel="0" collapsed="false">
      <c r="A836" s="70" t="n">
        <f aca="false">Data!A836</f>
        <v>835</v>
      </c>
      <c r="B836" s="70" t="str">
        <f aca="false">IFERROR(INDEX(対訳マスタ!$C$2:$C$136,MATCH(Data!B836,対訳マスタ!$B$2:$B$136,0)),Data!B836)</f>
        <v>コミュニケーション言語活動</v>
      </c>
      <c r="C836" s="70" t="str">
        <f aca="false">IF(Data!C836="—","—",IFERROR(INDEX(対訳マスタ!$C$2:$C$136,MATCH(Data!C836,対訳マスタ!$B$2:$B$136,0)),Data!C836))</f>
        <v>仲介</v>
      </c>
      <c r="D836" s="70" t="str">
        <f aca="false">IF(Data!D836="—","—",IFERROR(INDEX(対訳マスタ!$C$2:$C$136,MATCH(Data!D836,対訳マスタ!$B$2:$B$136,0)),Data!D836))</f>
        <v>テキストの仲介</v>
      </c>
      <c r="E836" s="70" t="str">
        <f aca="false">IFERROR(INDEX(対訳マスタ!$C$2:$C$136,MATCH(Data!E836,対訳マスタ!$B$2:$B$136,0)),Data!E836)</f>
        <v>テキストの加工・要約（文章）</v>
      </c>
      <c r="F836" s="70" t="str">
        <f aca="false">Data!F836</f>
        <v>C2</v>
      </c>
      <c r="G836" s="31" t="str">
        <f aca="false">Data!G836</f>
        <v>Can explain in writing (in Language B) the way that facts and arguments are presented in a text (in Language A), particularly when someone else’s position is being reported, drawing attention to the use of understatement, veiled criticism, irony and sarcasm.</v>
      </c>
      <c r="H836" s="71" t="s">
        <v>3443</v>
      </c>
      <c r="I836" s="79" t="s">
        <v>3089</v>
      </c>
    </row>
    <row r="837" customFormat="false" ht="26.25" hidden="false" customHeight="true" outlineLevel="0" collapsed="false">
      <c r="A837" s="70" t="n">
        <f aca="false">Data!A837</f>
        <v>836</v>
      </c>
      <c r="B837" s="70" t="str">
        <f aca="false">IFERROR(INDEX(対訳マスタ!$C$2:$C$136,MATCH(Data!B837,対訳マスタ!$B$2:$B$136,0)),Data!B837)</f>
        <v>コミュニケーション言語活動</v>
      </c>
      <c r="C837" s="70" t="str">
        <f aca="false">IF(Data!C837="—","—",IFERROR(INDEX(対訳マスタ!$C$2:$C$136,MATCH(Data!C837,対訳マスタ!$B$2:$B$136,0)),Data!C837))</f>
        <v>仲介</v>
      </c>
      <c r="D837" s="70" t="str">
        <f aca="false">IF(Data!D837="—","—",IFERROR(INDEX(対訳マスタ!$C$2:$C$136,MATCH(Data!D837,対訳マスタ!$B$2:$B$136,0)),Data!D837))</f>
        <v>テキストの仲介</v>
      </c>
      <c r="E837" s="70" t="str">
        <f aca="false">IFERROR(INDEX(対訳マスタ!$C$2:$C$136,MATCH(Data!E837,対訳マスタ!$B$2:$B$136,0)),Data!E837)</f>
        <v>テキストの加工・要約（文章）</v>
      </c>
      <c r="F837" s="70" t="str">
        <f aca="false">Data!F837</f>
        <v>C2</v>
      </c>
      <c r="G837" s="31" t="str">
        <f aca="false">Data!G837</f>
        <v>Can summarise information from different sources, reconstructing arguments and accounts in a coherent presentation of the overall result.</v>
      </c>
      <c r="H837" s="71" t="s">
        <v>2846</v>
      </c>
      <c r="I837" s="79" t="s">
        <v>3089</v>
      </c>
    </row>
    <row r="838" customFormat="false" ht="32.25" hidden="false" customHeight="true" outlineLevel="0" collapsed="false">
      <c r="A838" s="70" t="n">
        <f aca="false">Data!A838</f>
        <v>837</v>
      </c>
      <c r="B838" s="70" t="str">
        <f aca="false">IFERROR(INDEX(対訳マスタ!$C$2:$C$136,MATCH(Data!B838,対訳マスタ!$B$2:$B$136,0)),Data!B838)</f>
        <v>コミュニケーション言語活動</v>
      </c>
      <c r="C838" s="70" t="str">
        <f aca="false">IF(Data!C838="—","—",IFERROR(INDEX(対訳マスタ!$C$2:$C$136,MATCH(Data!C838,対訳マスタ!$B$2:$B$136,0)),Data!C838))</f>
        <v>仲介</v>
      </c>
      <c r="D838" s="70" t="str">
        <f aca="false">IF(Data!D838="—","—",IFERROR(INDEX(対訳マスタ!$C$2:$C$136,MATCH(Data!D838,対訳マスタ!$B$2:$B$136,0)),Data!D838))</f>
        <v>テキストの仲介</v>
      </c>
      <c r="E838" s="70" t="str">
        <f aca="false">IFERROR(INDEX(対訳マスタ!$C$2:$C$136,MATCH(Data!E838,対訳マスタ!$B$2:$B$136,0)),Data!E838)</f>
        <v>テキストの加工・要約（文章）</v>
      </c>
      <c r="F838" s="70" t="str">
        <f aca="false">Data!F838</f>
        <v>C1</v>
      </c>
      <c r="G838" s="31" t="str">
        <f aca="false">Data!G838</f>
        <v>Can summarise in writing (in Language B) long, complex texts (in Language A), interpreting the content appropriately, provided they can occasionally check the precise meaning of unusual, technical terms.</v>
      </c>
      <c r="H838" s="71" t="s">
        <v>2845</v>
      </c>
      <c r="I838" s="79" t="s">
        <v>3089</v>
      </c>
    </row>
    <row r="839" customFormat="false" ht="42.75" hidden="false" customHeight="true" outlineLevel="0" collapsed="false">
      <c r="A839" s="70" t="n">
        <f aca="false">Data!A839</f>
        <v>838</v>
      </c>
      <c r="B839" s="70" t="str">
        <f aca="false">IFERROR(INDEX(対訳マスタ!$C$2:$C$136,MATCH(Data!B839,対訳マスタ!$B$2:$B$136,0)),Data!B839)</f>
        <v>コミュニケーション言語活動</v>
      </c>
      <c r="C839" s="70" t="str">
        <f aca="false">IF(Data!C839="—","—",IFERROR(INDEX(対訳マスタ!$C$2:$C$136,MATCH(Data!C839,対訳マスタ!$B$2:$B$136,0)),Data!C839))</f>
        <v>仲介</v>
      </c>
      <c r="D839" s="70" t="str">
        <f aca="false">IF(Data!D839="—","—",IFERROR(INDEX(対訳マスタ!$C$2:$C$136,MATCH(Data!D839,対訳マスタ!$B$2:$B$136,0)),Data!D839))</f>
        <v>テキストの仲介</v>
      </c>
      <c r="E839" s="70" t="str">
        <f aca="false">IFERROR(INDEX(対訳マスタ!$C$2:$C$136,MATCH(Data!E839,対訳マスタ!$B$2:$B$136,0)),Data!E839)</f>
        <v>テキストの加工・要約（文章）</v>
      </c>
      <c r="F839" s="70" t="str">
        <f aca="false">Data!F839</f>
        <v>C1</v>
      </c>
      <c r="G839" s="31" t="str">
        <f aca="false">Data!G839</f>
        <v>Can summarise in writing a long and complex text (in Language A) (e.g. an academic article, article providing political analysis, novel extract, editorial, literary review, report or extract from a scientific book) for a specific audience, respecting the style and register of the original.</v>
      </c>
      <c r="H839" s="71" t="s">
        <v>3444</v>
      </c>
      <c r="I839" s="79" t="s">
        <v>3089</v>
      </c>
    </row>
    <row r="840" customFormat="false" ht="32.25" hidden="false" customHeight="true" outlineLevel="0" collapsed="false">
      <c r="A840" s="70" t="n">
        <f aca="false">Data!A840</f>
        <v>839</v>
      </c>
      <c r="B840" s="70" t="str">
        <f aca="false">IFERROR(INDEX(対訳マスタ!$C$2:$C$136,MATCH(Data!B840,対訳マスタ!$B$2:$B$136,0)),Data!B840)</f>
        <v>コミュニケーション言語活動</v>
      </c>
      <c r="C840" s="70" t="str">
        <f aca="false">IF(Data!C840="—","—",IFERROR(INDEX(対訳マスタ!$C$2:$C$136,MATCH(Data!C840,対訳マスタ!$B$2:$B$136,0)),Data!C840))</f>
        <v>仲介</v>
      </c>
      <c r="D840" s="70" t="str">
        <f aca="false">IF(Data!D840="—","—",IFERROR(INDEX(対訳マスタ!$C$2:$C$136,MATCH(Data!D840,対訳マスタ!$B$2:$B$136,0)),Data!D840))</f>
        <v>テキストの仲介</v>
      </c>
      <c r="E840" s="70" t="str">
        <f aca="false">IFERROR(INDEX(対訳マスタ!$C$2:$C$136,MATCH(Data!E840,対訳マスタ!$B$2:$B$136,0)),Data!E840)</f>
        <v>テキストの加工・要約（文章）</v>
      </c>
      <c r="F840" s="70" t="str">
        <f aca="false">Data!F840</f>
        <v>B2+</v>
      </c>
      <c r="G840" s="31" t="str">
        <f aca="false">Data!G840</f>
        <v>Can summarise in writing (in Language B) the main content of well-structured but propositionally complex texts (in Language A) on subjects within their fields of professional, academic and personal interest.</v>
      </c>
      <c r="H840" s="71" t="s">
        <v>3445</v>
      </c>
      <c r="I840" s="79" t="s">
        <v>3089</v>
      </c>
    </row>
    <row r="841" customFormat="false" ht="32.25" hidden="false" customHeight="true" outlineLevel="0" collapsed="false">
      <c r="A841" s="70" t="n">
        <f aca="false">Data!A841</f>
        <v>840</v>
      </c>
      <c r="B841" s="70" t="str">
        <f aca="false">IFERROR(INDEX(対訳マスタ!$C$2:$C$136,MATCH(Data!B841,対訳マスタ!$B$2:$B$136,0)),Data!B841)</f>
        <v>コミュニケーション言語活動</v>
      </c>
      <c r="C841" s="70" t="str">
        <f aca="false">IF(Data!C841="—","—",IFERROR(INDEX(対訳マスタ!$C$2:$C$136,MATCH(Data!C841,対訳マスタ!$B$2:$B$136,0)),Data!C841))</f>
        <v>仲介</v>
      </c>
      <c r="D841" s="70" t="str">
        <f aca="false">IF(Data!D841="—","—",IFERROR(INDEX(対訳マスタ!$C$2:$C$136,MATCH(Data!D841,対訳マスタ!$B$2:$B$136,0)),Data!D841))</f>
        <v>テキストの仲介</v>
      </c>
      <c r="E841" s="70" t="str">
        <f aca="false">IFERROR(INDEX(対訳マスタ!$C$2:$C$136,MATCH(Data!E841,対訳マスタ!$B$2:$B$136,0)),Data!E841)</f>
        <v>テキストの加工・要約（文章）</v>
      </c>
      <c r="F841" s="70" t="str">
        <f aca="false">Data!F841</f>
        <v>B2+</v>
      </c>
      <c r="G841" s="31" t="str">
        <f aca="false">Data!G841</f>
        <v>Can compare, contrast and synthesise in writing (in Language B) the information and viewpoints contained in academic and professional publications (in Language A) in their fields of special interest.</v>
      </c>
      <c r="H841" s="71" t="s">
        <v>3446</v>
      </c>
      <c r="I841" s="79" t="s">
        <v>3089</v>
      </c>
    </row>
    <row r="842" customFormat="false" ht="32.25" hidden="false" customHeight="true" outlineLevel="0" collapsed="false">
      <c r="A842" s="70" t="n">
        <f aca="false">Data!A842</f>
        <v>841</v>
      </c>
      <c r="B842" s="70" t="str">
        <f aca="false">IFERROR(INDEX(対訳マスタ!$C$2:$C$136,MATCH(Data!B842,対訳マスタ!$B$2:$B$136,0)),Data!B842)</f>
        <v>コミュニケーション言語活動</v>
      </c>
      <c r="C842" s="70" t="str">
        <f aca="false">IF(Data!C842="—","—",IFERROR(INDEX(対訳マスタ!$C$2:$C$136,MATCH(Data!C842,対訳マスタ!$B$2:$B$136,0)),Data!C842))</f>
        <v>仲介</v>
      </c>
      <c r="D842" s="70" t="str">
        <f aca="false">IF(Data!D842="—","—",IFERROR(INDEX(対訳マスタ!$C$2:$C$136,MATCH(Data!D842,対訳マスタ!$B$2:$B$136,0)),Data!D842))</f>
        <v>テキストの仲介</v>
      </c>
      <c r="E842" s="70" t="str">
        <f aca="false">IFERROR(INDEX(対訳マスタ!$C$2:$C$136,MATCH(Data!E842,対訳マスタ!$B$2:$B$136,0)),Data!E842)</f>
        <v>テキストの加工・要約（文章）</v>
      </c>
      <c r="F842" s="70" t="str">
        <f aca="false">Data!F842</f>
        <v>B2+</v>
      </c>
      <c r="G842" s="31" t="str">
        <f aca="false">Data!G842</f>
        <v>Can explain in writing (in Language B) the viewpoint articulated in a complex text (in Language A), supporting inferences they make with reference to specific information in the original.</v>
      </c>
      <c r="H842" s="71" t="s">
        <v>2844</v>
      </c>
      <c r="I842" s="79" t="s">
        <v>3089</v>
      </c>
    </row>
    <row r="843" customFormat="false" ht="26.25" hidden="false" customHeight="true" outlineLevel="0" collapsed="false">
      <c r="A843" s="70" t="n">
        <f aca="false">Data!A843</f>
        <v>842</v>
      </c>
      <c r="B843" s="70" t="str">
        <f aca="false">IFERROR(INDEX(対訳マスタ!$C$2:$C$136,MATCH(Data!B843,対訳マスタ!$B$2:$B$136,0)),Data!B843)</f>
        <v>コミュニケーション言語活動</v>
      </c>
      <c r="C843" s="70" t="str">
        <f aca="false">IF(Data!C843="—","—",IFERROR(INDEX(対訳マスタ!$C$2:$C$136,MATCH(Data!C843,対訳マスタ!$B$2:$B$136,0)),Data!C843))</f>
        <v>仲介</v>
      </c>
      <c r="D843" s="70" t="str">
        <f aca="false">IF(Data!D843="—","—",IFERROR(INDEX(対訳マスタ!$C$2:$C$136,MATCH(Data!D843,対訳マスタ!$B$2:$B$136,0)),Data!D843))</f>
        <v>テキストの仲介</v>
      </c>
      <c r="E843" s="70" t="str">
        <f aca="false">IFERROR(INDEX(対訳マスタ!$C$2:$C$136,MATCH(Data!E843,対訳マスタ!$B$2:$B$136,0)),Data!E843)</f>
        <v>テキストの加工・要約（文章）</v>
      </c>
      <c r="F843" s="70" t="str">
        <f aca="false">Data!F843</f>
        <v>B2</v>
      </c>
      <c r="G843" s="31" t="str">
        <f aca="false">Data!G843</f>
        <v>Can summarise in writing (in Language B) the main content of complex texts (in Language A) on subjects related to their fields of interest and specialisation.</v>
      </c>
      <c r="H843" s="71" t="s">
        <v>2843</v>
      </c>
      <c r="I843" s="79" t="s">
        <v>3089</v>
      </c>
    </row>
    <row r="844" customFormat="false" ht="26.25" hidden="false" customHeight="true" outlineLevel="0" collapsed="false">
      <c r="A844" s="70" t="n">
        <f aca="false">Data!A844</f>
        <v>843</v>
      </c>
      <c r="B844" s="70" t="str">
        <f aca="false">IFERROR(INDEX(対訳マスタ!$C$2:$C$136,MATCH(Data!B844,対訳マスタ!$B$2:$B$136,0)),Data!B844)</f>
        <v>コミュニケーション言語活動</v>
      </c>
      <c r="C844" s="70" t="str">
        <f aca="false">IF(Data!C844="—","—",IFERROR(INDEX(対訳マスタ!$C$2:$C$136,MATCH(Data!C844,対訳マスタ!$B$2:$B$136,0)),Data!C844))</f>
        <v>仲介</v>
      </c>
      <c r="D844" s="70" t="str">
        <f aca="false">IF(Data!D844="—","—",IFERROR(INDEX(対訳マスタ!$C$2:$C$136,MATCH(Data!D844,対訳マスタ!$B$2:$B$136,0)),Data!D844))</f>
        <v>テキストの仲介</v>
      </c>
      <c r="E844" s="70" t="str">
        <f aca="false">IFERROR(INDEX(対訳マスタ!$C$2:$C$136,MATCH(Data!E844,対訳マスタ!$B$2:$B$136,0)),Data!E844)</f>
        <v>テキストの加工・要約（文章）</v>
      </c>
      <c r="F844" s="70" t="str">
        <f aca="false">Data!F844</f>
        <v>B1+</v>
      </c>
      <c r="G844" s="31" t="str">
        <f aca="false">Data!G844</f>
        <v>Can summarise in writing (in Language B) the information and arguments contained in texts (in Language A) on subjects of general or personal interest.</v>
      </c>
      <c r="H844" s="71" t="s">
        <v>2842</v>
      </c>
      <c r="I844" s="79" t="s">
        <v>3089</v>
      </c>
    </row>
    <row r="845" customFormat="false" ht="32.25" hidden="false" customHeight="true" outlineLevel="0" collapsed="false">
      <c r="A845" s="70" t="n">
        <f aca="false">Data!A845</f>
        <v>844</v>
      </c>
      <c r="B845" s="70" t="str">
        <f aca="false">IFERROR(INDEX(対訳マスタ!$C$2:$C$136,MATCH(Data!B845,対訳マスタ!$B$2:$B$136,0)),Data!B845)</f>
        <v>コミュニケーション言語活動</v>
      </c>
      <c r="C845" s="70" t="str">
        <f aca="false">IF(Data!C845="—","—",IFERROR(INDEX(対訳マスタ!$C$2:$C$136,MATCH(Data!C845,対訳マスタ!$B$2:$B$136,0)),Data!C845))</f>
        <v>仲介</v>
      </c>
      <c r="D845" s="70" t="str">
        <f aca="false">IF(Data!D845="—","—",IFERROR(INDEX(対訳マスタ!$C$2:$C$136,MATCH(Data!D845,対訳マスタ!$B$2:$B$136,0)),Data!D845))</f>
        <v>テキストの仲介</v>
      </c>
      <c r="E845" s="70" t="str">
        <f aca="false">IFERROR(INDEX(対訳マスタ!$C$2:$C$136,MATCH(Data!E845,対訳マスタ!$B$2:$B$136,0)),Data!E845)</f>
        <v>テキストの加工・要約（文章）</v>
      </c>
      <c r="F845" s="70" t="str">
        <f aca="false">Data!F845</f>
        <v>B1</v>
      </c>
      <c r="G845" s="31" t="str">
        <f aca="false">Data!G845</f>
        <v>Can summarise in writing (in Language B) the main points made in straightforward, informational texts (in Language A) on subjects that are of personal or current interest, provided oral texts are clearly articulated.</v>
      </c>
      <c r="H845" s="71" t="s">
        <v>3447</v>
      </c>
      <c r="I845" s="79" t="s">
        <v>3089</v>
      </c>
    </row>
    <row r="846" customFormat="false" ht="21.75" hidden="false" customHeight="true" outlineLevel="0" collapsed="false">
      <c r="A846" s="70" t="n">
        <f aca="false">Data!A846</f>
        <v>845</v>
      </c>
      <c r="B846" s="70" t="str">
        <f aca="false">IFERROR(INDEX(対訳マスタ!$C$2:$C$136,MATCH(Data!B846,対訳マスタ!$B$2:$B$136,0)),Data!B846)</f>
        <v>コミュニケーション言語活動</v>
      </c>
      <c r="C846" s="70" t="str">
        <f aca="false">IF(Data!C846="—","—",IFERROR(INDEX(対訳マスタ!$C$2:$C$136,MATCH(Data!C846,対訳マスタ!$B$2:$B$136,0)),Data!C846))</f>
        <v>仲介</v>
      </c>
      <c r="D846" s="70" t="str">
        <f aca="false">IF(Data!D846="—","—",IFERROR(INDEX(対訳マスタ!$C$2:$C$136,MATCH(Data!D846,対訳マスタ!$B$2:$B$136,0)),Data!D846))</f>
        <v>テキストの仲介</v>
      </c>
      <c r="E846" s="70" t="str">
        <f aca="false">IFERROR(INDEX(対訳マスタ!$C$2:$C$136,MATCH(Data!E846,対訳マスタ!$B$2:$B$136,0)),Data!E846)</f>
        <v>テキストの加工・要約（文章）</v>
      </c>
      <c r="F846" s="70" t="str">
        <f aca="false">Data!F846</f>
        <v>B1</v>
      </c>
      <c r="G846" s="31" t="str">
        <f aca="false">Data!G846</f>
        <v>Can paraphrase short passages in a simple fashion, using the original text wording and ordering.</v>
      </c>
      <c r="H846" s="71" t="s">
        <v>2841</v>
      </c>
      <c r="I846" s="79" t="s">
        <v>3089</v>
      </c>
    </row>
    <row r="847" customFormat="false" ht="32.25" hidden="false" customHeight="true" outlineLevel="0" collapsed="false">
      <c r="A847" s="70" t="n">
        <f aca="false">Data!A847</f>
        <v>846</v>
      </c>
      <c r="B847" s="70" t="str">
        <f aca="false">IFERROR(INDEX(対訳マスタ!$C$2:$C$136,MATCH(Data!B847,対訳マスタ!$B$2:$B$136,0)),Data!B847)</f>
        <v>コミュニケーション言語活動</v>
      </c>
      <c r="C847" s="70" t="str">
        <f aca="false">IF(Data!C847="—","—",IFERROR(INDEX(対訳マスタ!$C$2:$C$136,MATCH(Data!C847,対訳マスタ!$B$2:$B$136,0)),Data!C847))</f>
        <v>仲介</v>
      </c>
      <c r="D847" s="70" t="str">
        <f aca="false">IF(Data!D847="—","—",IFERROR(INDEX(対訳マスタ!$C$2:$C$136,MATCH(Data!D847,対訳マスタ!$B$2:$B$136,0)),Data!D847))</f>
        <v>テキストの仲介</v>
      </c>
      <c r="E847" s="70" t="str">
        <f aca="false">IFERROR(INDEX(対訳マスタ!$C$2:$C$136,MATCH(Data!E847,対訳マスタ!$B$2:$B$136,0)),Data!E847)</f>
        <v>テキストの加工・要約（文章）</v>
      </c>
      <c r="F847" s="70" t="str">
        <f aca="false">Data!F847</f>
        <v>A2+</v>
      </c>
      <c r="G847" s="31" t="str">
        <f aca="false">Data!G847</f>
        <v>Can list as a series of bullet points (in Language B) the relevant information contained in short simple texts (in Language A), provided the texts concern concrete, familiar subjects and contain only simple everyday language.</v>
      </c>
      <c r="H847" s="71" t="s">
        <v>3448</v>
      </c>
      <c r="I847" s="79" t="s">
        <v>3089</v>
      </c>
    </row>
    <row r="848" customFormat="false" ht="26.25" hidden="false" customHeight="true" outlineLevel="0" collapsed="false">
      <c r="A848" s="70" t="n">
        <f aca="false">Data!A848</f>
        <v>847</v>
      </c>
      <c r="B848" s="70" t="str">
        <f aca="false">IFERROR(INDEX(対訳マスタ!$C$2:$C$136,MATCH(Data!B848,対訳マスタ!$B$2:$B$136,0)),Data!B848)</f>
        <v>コミュニケーション言語活動</v>
      </c>
      <c r="C848" s="70" t="str">
        <f aca="false">IF(Data!C848="—","—",IFERROR(INDEX(対訳マスタ!$C$2:$C$136,MATCH(Data!C848,対訳マスタ!$B$2:$B$136,0)),Data!C848))</f>
        <v>仲介</v>
      </c>
      <c r="D848" s="70" t="str">
        <f aca="false">IF(Data!D848="—","—",IFERROR(INDEX(対訳マスタ!$C$2:$C$136,MATCH(Data!D848,対訳マスタ!$B$2:$B$136,0)),Data!D848))</f>
        <v>テキストの仲介</v>
      </c>
      <c r="E848" s="70" t="str">
        <f aca="false">IFERROR(INDEX(対訳マスタ!$C$2:$C$136,MATCH(Data!E848,対訳マスタ!$B$2:$B$136,0)),Data!E848)</f>
        <v>テキストの加工・要約（文章）</v>
      </c>
      <c r="F848" s="70" t="str">
        <f aca="false">Data!F848</f>
        <v>A2+</v>
      </c>
      <c r="G848" s="31" t="str">
        <f aca="false">Data!G848</f>
        <v>Can pick out and reproduce key words and phrases or short sentences from a short text within the learner’s limited competence and experience.</v>
      </c>
      <c r="H848" s="71" t="s">
        <v>2840</v>
      </c>
      <c r="I848" s="79" t="s">
        <v>3089</v>
      </c>
    </row>
    <row r="849" customFormat="false" ht="32.25" hidden="false" customHeight="true" outlineLevel="0" collapsed="false">
      <c r="A849" s="70" t="n">
        <f aca="false">Data!A849</f>
        <v>848</v>
      </c>
      <c r="B849" s="70" t="str">
        <f aca="false">IFERROR(INDEX(対訳マスタ!$C$2:$C$136,MATCH(Data!B849,対訳マスタ!$B$2:$B$136,0)),Data!B849)</f>
        <v>コミュニケーション言語活動</v>
      </c>
      <c r="C849" s="70" t="str">
        <f aca="false">IF(Data!C849="—","—",IFERROR(INDEX(対訳マスタ!$C$2:$C$136,MATCH(Data!C849,対訳マスタ!$B$2:$B$136,0)),Data!C849))</f>
        <v>仲介</v>
      </c>
      <c r="D849" s="70" t="str">
        <f aca="false">IF(Data!D849="—","—",IFERROR(INDEX(対訳マスタ!$C$2:$C$136,MATCH(Data!D849,対訳マスタ!$B$2:$B$136,0)),Data!D849))</f>
        <v>テキストの仲介</v>
      </c>
      <c r="E849" s="70" t="str">
        <f aca="false">IFERROR(INDEX(対訳マスタ!$C$2:$C$136,MATCH(Data!E849,対訳マスタ!$B$2:$B$136,0)),Data!E849)</f>
        <v>テキストの加工・要約（文章）</v>
      </c>
      <c r="F849" s="70" t="str">
        <f aca="false">Data!F849</f>
        <v>A2</v>
      </c>
      <c r="G849" s="31" t="str">
        <f aca="false">Data!G849</f>
        <v>Can use simple language to convey (in Language B) the main point(s) contained in very short texts (in Language A) on familiar and everyday themes that contain the highest frequency vocabulary; despite errors, the text remains comprehensible.</v>
      </c>
      <c r="H849" s="71" t="s">
        <v>3449</v>
      </c>
      <c r="I849" s="79" t="s">
        <v>3089</v>
      </c>
    </row>
    <row r="850" customFormat="false" ht="15" hidden="false" customHeight="true" outlineLevel="0" collapsed="false">
      <c r="A850" s="70" t="n">
        <f aca="false">Data!A850</f>
        <v>849</v>
      </c>
      <c r="B850" s="70" t="str">
        <f aca="false">IFERROR(INDEX(対訳マスタ!$C$2:$C$136,MATCH(Data!B850,対訳マスタ!$B$2:$B$136,0)),Data!B850)</f>
        <v>コミュニケーション言語活動</v>
      </c>
      <c r="C850" s="70" t="str">
        <f aca="false">IF(Data!C850="—","—",IFERROR(INDEX(対訳マスタ!$C$2:$C$136,MATCH(Data!C850,対訳マスタ!$B$2:$B$136,0)),Data!C850))</f>
        <v>仲介</v>
      </c>
      <c r="D850" s="70" t="str">
        <f aca="false">IF(Data!D850="—","—",IFERROR(INDEX(対訳マスタ!$C$2:$C$136,MATCH(Data!D850,対訳マスタ!$B$2:$B$136,0)),Data!D850))</f>
        <v>テキストの仲介</v>
      </c>
      <c r="E850" s="70" t="str">
        <f aca="false">IFERROR(INDEX(対訳マスタ!$C$2:$C$136,MATCH(Data!E850,対訳マスタ!$B$2:$B$136,0)),Data!E850)</f>
        <v>テキストの加工・要約（文章）</v>
      </c>
      <c r="F850" s="70" t="str">
        <f aca="false">Data!F850</f>
        <v>A2</v>
      </c>
      <c r="G850" s="31" t="str">
        <f aca="false">Data!G850</f>
        <v>Can copy out short texts in printed or clearly handwritten format.</v>
      </c>
      <c r="H850" s="71" t="s">
        <v>2839</v>
      </c>
      <c r="I850" s="79" t="s">
        <v>3089</v>
      </c>
    </row>
    <row r="851" customFormat="false" ht="21.75" hidden="false" customHeight="true" outlineLevel="0" collapsed="false">
      <c r="A851" s="70" t="n">
        <f aca="false">Data!A851</f>
        <v>850</v>
      </c>
      <c r="B851" s="70" t="str">
        <f aca="false">IFERROR(INDEX(対訳マスタ!$C$2:$C$136,MATCH(Data!B851,対訳マスタ!$B$2:$B$136,0)),Data!B851)</f>
        <v>コミュニケーション言語活動</v>
      </c>
      <c r="C851" s="70" t="str">
        <f aca="false">IF(Data!C851="—","—",IFERROR(INDEX(対訳マスタ!$C$2:$C$136,MATCH(Data!C851,対訳マスタ!$B$2:$B$136,0)),Data!C851))</f>
        <v>仲介</v>
      </c>
      <c r="D851" s="70" t="str">
        <f aca="false">IF(Data!D851="—","—",IFERROR(INDEX(対訳マスタ!$C$2:$C$136,MATCH(Data!D851,対訳マスタ!$B$2:$B$136,0)),Data!D851))</f>
        <v>テキストの仲介</v>
      </c>
      <c r="E851" s="70" t="str">
        <f aca="false">IFERROR(INDEX(対訳マスタ!$C$2:$C$136,MATCH(Data!E851,対訳マスタ!$B$2:$B$136,0)),Data!E851)</f>
        <v>テキストの加工・要約（文章）</v>
      </c>
      <c r="F851" s="70" t="str">
        <f aca="false">Data!F851</f>
        <v>A1</v>
      </c>
      <c r="G851" s="31" t="str">
        <f aca="false">Data!G851</f>
        <v>Can, with the help of a dictionary, convey (in Language B) the meaning of simple phrases (in Language A) on familiar and everyday themes.</v>
      </c>
      <c r="H851" s="71" t="s">
        <v>3450</v>
      </c>
      <c r="I851" s="79" t="s">
        <v>3089</v>
      </c>
    </row>
    <row r="852" customFormat="false" ht="15" hidden="false" customHeight="true" outlineLevel="0" collapsed="false">
      <c r="A852" s="70" t="n">
        <f aca="false">Data!A852</f>
        <v>851</v>
      </c>
      <c r="B852" s="70" t="str">
        <f aca="false">IFERROR(INDEX(対訳マスタ!$C$2:$C$136,MATCH(Data!B852,対訳マスタ!$B$2:$B$136,0)),Data!B852)</f>
        <v>コミュニケーション言語活動</v>
      </c>
      <c r="C852" s="70" t="str">
        <f aca="false">IF(Data!C852="—","—",IFERROR(INDEX(対訳マスタ!$C$2:$C$136,MATCH(Data!C852,対訳マスタ!$B$2:$B$136,0)),Data!C852))</f>
        <v>仲介</v>
      </c>
      <c r="D852" s="70" t="str">
        <f aca="false">IF(Data!D852="—","—",IFERROR(INDEX(対訳マスタ!$C$2:$C$136,MATCH(Data!D852,対訳マスタ!$B$2:$B$136,0)),Data!D852))</f>
        <v>テキストの仲介</v>
      </c>
      <c r="E852" s="70" t="str">
        <f aca="false">IFERROR(INDEX(対訳マスタ!$C$2:$C$136,MATCH(Data!E852,対訳マスタ!$B$2:$B$136,0)),Data!E852)</f>
        <v>テキストの加工・要約（文章）</v>
      </c>
      <c r="F852" s="70" t="str">
        <f aca="false">Data!F852</f>
        <v>A1</v>
      </c>
      <c r="G852" s="31" t="str">
        <f aca="false">Data!G852</f>
        <v>Can copy out single words and short texts presented in standard printed format.</v>
      </c>
      <c r="H852" s="71" t="s">
        <v>2838</v>
      </c>
      <c r="I852" s="79" t="s">
        <v>3089</v>
      </c>
    </row>
    <row r="853" customFormat="false" ht="15" hidden="false" customHeight="true" outlineLevel="0" collapsed="false">
      <c r="A853" s="80" t="n">
        <f aca="false">Data!A853</f>
        <v>852</v>
      </c>
      <c r="B853" s="80" t="str">
        <f aca="false">IFERROR(INDEX(対訳マスタ!$C$2:$C$136,MATCH(Data!B853,対訳マスタ!$B$2:$B$136,0)),Data!B853)</f>
        <v>コミュニケーション言語活動</v>
      </c>
      <c r="C853" s="80" t="str">
        <f aca="false">IF(Data!C853="—","—",IFERROR(INDEX(対訳マスタ!$C$2:$C$136,MATCH(Data!C853,対訳マスタ!$B$2:$B$136,0)),Data!C853))</f>
        <v>仲介</v>
      </c>
      <c r="D853" s="80" t="str">
        <f aca="false">IF(Data!D853="—","—",IFERROR(INDEX(対訳マスタ!$C$2:$C$136,MATCH(Data!D853,対訳マスタ!$B$2:$B$136,0)),Data!D853))</f>
        <v>テキストの仲介</v>
      </c>
      <c r="E853" s="80" t="str">
        <f aca="false">IFERROR(INDEX(対訳マスタ!$C$2:$C$136,MATCH(Data!E853,対訳マスタ!$B$2:$B$136,0)),Data!E853)</f>
        <v>テキストの加工・要約（文章）</v>
      </c>
      <c r="F853" s="80" t="str">
        <f aca="false">Data!F853</f>
        <v>Pre-A1</v>
      </c>
      <c r="G853" s="81" t="str">
        <f aca="false">Data!G853</f>
        <v>No descriptors available</v>
      </c>
      <c r="H853" s="81" t="s">
        <v>624</v>
      </c>
      <c r="I853" s="80" t="s">
        <v>624</v>
      </c>
    </row>
    <row r="854" customFormat="false" ht="42.75" hidden="false" customHeight="true" outlineLevel="0" collapsed="false">
      <c r="A854" s="70" t="n">
        <f aca="false">Data!A854</f>
        <v>853</v>
      </c>
      <c r="B854" s="70" t="str">
        <f aca="false">IFERROR(INDEX(対訳マスタ!$C$2:$C$136,MATCH(Data!B854,対訳マスタ!$B$2:$B$136,0)),Data!B854)</f>
        <v>コミュニケーション言語活動</v>
      </c>
      <c r="C854" s="70" t="str">
        <f aca="false">IF(Data!C854="—","—",IFERROR(INDEX(対訳マスタ!$C$2:$C$136,MATCH(Data!C854,対訳マスタ!$B$2:$B$136,0)),Data!C854))</f>
        <v>仲介</v>
      </c>
      <c r="D854" s="70" t="str">
        <f aca="false">IF(Data!D854="—","—",IFERROR(INDEX(対訳マスタ!$C$2:$C$136,MATCH(Data!D854,対訳マスタ!$B$2:$B$136,0)),Data!D854))</f>
        <v>テキストの仲介</v>
      </c>
      <c r="E854" s="70" t="str">
        <f aca="false">IFERROR(INDEX(対訳マスタ!$C$2:$C$136,MATCH(Data!E854,対訳マスタ!$B$2:$B$136,0)),Data!E854)</f>
        <v>書かれたテキストの翻訳（口頭・手話）</v>
      </c>
      <c r="F854" s="70" t="str">
        <f aca="false">Data!F854</f>
        <v>C2</v>
      </c>
      <c r="G854" s="31" t="str">
        <f aca="false">Data!G854</f>
        <v>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v>
      </c>
      <c r="H854" s="71" t="s">
        <v>2854</v>
      </c>
      <c r="I854" s="79" t="s">
        <v>3089</v>
      </c>
    </row>
    <row r="855" customFormat="false" ht="32.25" hidden="false" customHeight="true" outlineLevel="0" collapsed="false">
      <c r="A855" s="70" t="n">
        <f aca="false">Data!A855</f>
        <v>854</v>
      </c>
      <c r="B855" s="70" t="str">
        <f aca="false">IFERROR(INDEX(対訳マスタ!$C$2:$C$136,MATCH(Data!B855,対訳マスタ!$B$2:$B$136,0)),Data!B855)</f>
        <v>コミュニケーション言語活動</v>
      </c>
      <c r="C855" s="70" t="str">
        <f aca="false">IF(Data!C855="—","—",IFERROR(INDEX(対訳マスタ!$C$2:$C$136,MATCH(Data!C855,対訳マスタ!$B$2:$B$136,0)),Data!C855))</f>
        <v>仲介</v>
      </c>
      <c r="D855" s="70" t="str">
        <f aca="false">IF(Data!D855="—","—",IFERROR(INDEX(対訳マスタ!$C$2:$C$136,MATCH(Data!D855,対訳マスタ!$B$2:$B$136,0)),Data!D855))</f>
        <v>テキストの仲介</v>
      </c>
      <c r="E855" s="70" t="str">
        <f aca="false">IFERROR(INDEX(対訳マスタ!$C$2:$C$136,MATCH(Data!E855,対訳マスタ!$B$2:$B$136,0)),Data!E855)</f>
        <v>書かれたテキストの翻訳（口頭・手話）</v>
      </c>
      <c r="F855" s="70" t="str">
        <f aca="false">Data!F855</f>
        <v>C1</v>
      </c>
      <c r="G855" s="31" t="str">
        <f aca="false">Data!G855</f>
        <v>Can provide fluent oral translation (into Language B) of complex texts (written in Language A) on a wide range of general and specialised topics, capturing most nuances.</v>
      </c>
      <c r="H855" s="71" t="s">
        <v>2853</v>
      </c>
      <c r="I855" s="79" t="s">
        <v>3089</v>
      </c>
    </row>
    <row r="856" customFormat="false" ht="32.25" hidden="false" customHeight="true" outlineLevel="0" collapsed="false">
      <c r="A856" s="70" t="n">
        <f aca="false">Data!A856</f>
        <v>855</v>
      </c>
      <c r="B856" s="70" t="str">
        <f aca="false">IFERROR(INDEX(対訳マスタ!$C$2:$C$136,MATCH(Data!B856,対訳マスタ!$B$2:$B$136,0)),Data!B856)</f>
        <v>コミュニケーション言語活動</v>
      </c>
      <c r="C856" s="70" t="str">
        <f aca="false">IF(Data!C856="—","—",IFERROR(INDEX(対訳マスタ!$C$2:$C$136,MATCH(Data!C856,対訳マスタ!$B$2:$B$136,0)),Data!C856))</f>
        <v>仲介</v>
      </c>
      <c r="D856" s="70" t="str">
        <f aca="false">IF(Data!D856="—","—",IFERROR(INDEX(対訳マスタ!$C$2:$C$136,MATCH(Data!D856,対訳マスタ!$B$2:$B$136,0)),Data!D856))</f>
        <v>テキストの仲介</v>
      </c>
      <c r="E856" s="70" t="str">
        <f aca="false">IFERROR(INDEX(対訳マスタ!$C$2:$C$136,MATCH(Data!E856,対訳マスタ!$B$2:$B$136,0)),Data!E856)</f>
        <v>書かれたテキストの翻訳（口頭・手話）</v>
      </c>
      <c r="F856" s="70" t="str">
        <f aca="false">Data!F856</f>
        <v>B2+</v>
      </c>
      <c r="G856" s="31" t="str">
        <f aca="false">Data!G856</f>
        <v>Can provide oral translation (into Language B) of complex texts (written in Language A) containing information and arguments on subjects within their fields of professional, academic and personal interest.</v>
      </c>
      <c r="H856" s="71" t="s">
        <v>2852</v>
      </c>
      <c r="I856" s="79" t="s">
        <v>3089</v>
      </c>
    </row>
    <row r="857" customFormat="false" ht="42.75" hidden="false" customHeight="true" outlineLevel="0" collapsed="false">
      <c r="A857" s="70" t="n">
        <f aca="false">Data!A857</f>
        <v>856</v>
      </c>
      <c r="B857" s="70" t="str">
        <f aca="false">IFERROR(INDEX(対訳マスタ!$C$2:$C$136,MATCH(Data!B857,対訳マスタ!$B$2:$B$136,0)),Data!B857)</f>
        <v>コミュニケーション言語活動</v>
      </c>
      <c r="C857" s="70" t="str">
        <f aca="false">IF(Data!C857="—","—",IFERROR(INDEX(対訳マスタ!$C$2:$C$136,MATCH(Data!C857,対訳マスタ!$B$2:$B$136,0)),Data!C857))</f>
        <v>仲介</v>
      </c>
      <c r="D857" s="70" t="str">
        <f aca="false">IF(Data!D857="—","—",IFERROR(INDEX(対訳マスタ!$C$2:$C$136,MATCH(Data!D857,対訳マスタ!$B$2:$B$136,0)),Data!D857))</f>
        <v>テキストの仲介</v>
      </c>
      <c r="E857" s="70" t="str">
        <f aca="false">IFERROR(INDEX(対訳マスタ!$C$2:$C$136,MATCH(Data!E857,対訳マスタ!$B$2:$B$136,0)),Data!E857)</f>
        <v>書かれたテキストの翻訳（口頭・手話）</v>
      </c>
      <c r="F857" s="70" t="str">
        <f aca="false">Data!F857</f>
        <v>B1+</v>
      </c>
      <c r="G857" s="31" t="str">
        <f aca="false">Data!G857</f>
        <v>Can provide oral translation (into Language B) of texts (written in Language A) containing information and arguments on subjects within their fields of professional, academic and personal interest, provided they are written in uncomplicated, standard language.</v>
      </c>
      <c r="H857" s="71" t="s">
        <v>2851</v>
      </c>
      <c r="I857" s="79" t="s">
        <v>3089</v>
      </c>
    </row>
    <row r="858" customFormat="false" ht="32.25" hidden="false" customHeight="true" outlineLevel="0" collapsed="false">
      <c r="A858" s="70" t="n">
        <f aca="false">Data!A858</f>
        <v>857</v>
      </c>
      <c r="B858" s="70" t="str">
        <f aca="false">IFERROR(INDEX(対訳マスタ!$C$2:$C$136,MATCH(Data!B858,対訳マスタ!$B$2:$B$136,0)),Data!B858)</f>
        <v>コミュニケーション言語活動</v>
      </c>
      <c r="C858" s="70" t="str">
        <f aca="false">IF(Data!C858="—","—",IFERROR(INDEX(対訳マスタ!$C$2:$C$136,MATCH(Data!C858,対訳マスタ!$B$2:$B$136,0)),Data!C858))</f>
        <v>仲介</v>
      </c>
      <c r="D858" s="70" t="str">
        <f aca="false">IF(Data!D858="—","—",IFERROR(INDEX(対訳マスタ!$C$2:$C$136,MATCH(Data!D858,対訳マスタ!$B$2:$B$136,0)),Data!D858))</f>
        <v>テキストの仲介</v>
      </c>
      <c r="E858" s="70" t="str">
        <f aca="false">IFERROR(INDEX(対訳マスタ!$C$2:$C$136,MATCH(Data!E858,対訳マスタ!$B$2:$B$136,0)),Data!E858)</f>
        <v>書かれたテキストの翻訳（口頭・手話）</v>
      </c>
      <c r="F858" s="70" t="str">
        <f aca="false">Data!F858</f>
        <v>B1</v>
      </c>
      <c r="G858" s="31" t="str">
        <f aca="false">Data!G858</f>
        <v>Can provide an approximate oral translation (into Language B) of clear, well-structured informational texts (written in Language A) on subjects that are familiar or of personal interest, although lexical limitations cause difficulty with formulation at times.</v>
      </c>
      <c r="H858" s="71" t="s">
        <v>2850</v>
      </c>
      <c r="I858" s="79" t="s">
        <v>3089</v>
      </c>
    </row>
    <row r="859" customFormat="false" ht="32.25" hidden="false" customHeight="true" outlineLevel="0" collapsed="false">
      <c r="A859" s="70" t="n">
        <f aca="false">Data!A859</f>
        <v>858</v>
      </c>
      <c r="B859" s="70" t="str">
        <f aca="false">IFERROR(INDEX(対訳マスタ!$C$2:$C$136,MATCH(Data!B859,対訳マスタ!$B$2:$B$136,0)),Data!B859)</f>
        <v>コミュニケーション言語活動</v>
      </c>
      <c r="C859" s="70" t="str">
        <f aca="false">IF(Data!C859="—","—",IFERROR(INDEX(対訳マスタ!$C$2:$C$136,MATCH(Data!C859,対訳マスタ!$B$2:$B$136,0)),Data!C859))</f>
        <v>仲介</v>
      </c>
      <c r="D859" s="70" t="str">
        <f aca="false">IF(Data!D859="—","—",IFERROR(INDEX(対訳マスタ!$C$2:$C$136,MATCH(Data!D859,対訳マスタ!$B$2:$B$136,0)),Data!D859))</f>
        <v>テキストの仲介</v>
      </c>
      <c r="E859" s="70" t="str">
        <f aca="false">IFERROR(INDEX(対訳マスタ!$C$2:$C$136,MATCH(Data!E859,対訳マスタ!$B$2:$B$136,0)),Data!E859)</f>
        <v>書かれたテキストの翻訳（口頭・手話）</v>
      </c>
      <c r="F859" s="70" t="str">
        <f aca="false">Data!F859</f>
        <v>A2+</v>
      </c>
      <c r="G859" s="31" t="str">
        <f aca="false">Data!G859</f>
        <v>Can provide an approximate oral translation (into Language B) of short, simple, everyday texts (e.g. brochure entries, notices, instructions, letters or e-mails) (written in Language A).</v>
      </c>
      <c r="H859" s="71" t="s">
        <v>2849</v>
      </c>
      <c r="I859" s="79" t="s">
        <v>3089</v>
      </c>
    </row>
    <row r="860" customFormat="false" ht="32.25" hidden="false" customHeight="true" outlineLevel="0" collapsed="false">
      <c r="A860" s="70" t="n">
        <f aca="false">Data!A860</f>
        <v>859</v>
      </c>
      <c r="B860" s="70" t="str">
        <f aca="false">IFERROR(INDEX(対訳マスタ!$C$2:$C$136,MATCH(Data!B860,対訳マスタ!$B$2:$B$136,0)),Data!B860)</f>
        <v>コミュニケーション言語活動</v>
      </c>
      <c r="C860" s="70" t="str">
        <f aca="false">IF(Data!C860="—","—",IFERROR(INDEX(対訳マスタ!$C$2:$C$136,MATCH(Data!C860,対訳マスタ!$B$2:$B$136,0)),Data!C860))</f>
        <v>仲介</v>
      </c>
      <c r="D860" s="70" t="str">
        <f aca="false">IF(Data!D860="—","—",IFERROR(INDEX(対訳マスタ!$C$2:$C$136,MATCH(Data!D860,対訳マスタ!$B$2:$B$136,0)),Data!D860))</f>
        <v>テキストの仲介</v>
      </c>
      <c r="E860" s="70" t="str">
        <f aca="false">IFERROR(INDEX(対訳マスタ!$C$2:$C$136,MATCH(Data!E860,対訳マスタ!$B$2:$B$136,0)),Data!E860)</f>
        <v>書かれたテキストの翻訳（口頭・手話）</v>
      </c>
      <c r="F860" s="70" t="str">
        <f aca="false">Data!F860</f>
        <v>A2</v>
      </c>
      <c r="G860" s="31" t="str">
        <f aca="false">Data!G860</f>
        <v>Can provide a simple, rough oral translation (into Language B) of short, simple texts (e.g. notices on familiar subjects) (written in Language A), capturing the most essential point.</v>
      </c>
      <c r="H860" s="71" t="s">
        <v>2848</v>
      </c>
      <c r="I860" s="79" t="s">
        <v>3089</v>
      </c>
    </row>
    <row r="861" customFormat="false" ht="32.25" hidden="false" customHeight="true" outlineLevel="0" collapsed="false">
      <c r="A861" s="70" t="n">
        <f aca="false">Data!A861</f>
        <v>860</v>
      </c>
      <c r="B861" s="70" t="str">
        <f aca="false">IFERROR(INDEX(対訳マスタ!$C$2:$C$136,MATCH(Data!B861,対訳マスタ!$B$2:$B$136,0)),Data!B861)</f>
        <v>コミュニケーション言語活動</v>
      </c>
      <c r="C861" s="70" t="str">
        <f aca="false">IF(Data!C861="—","—",IFERROR(INDEX(対訳マスタ!$C$2:$C$136,MATCH(Data!C861,対訳マスタ!$B$2:$B$136,0)),Data!C861))</f>
        <v>仲介</v>
      </c>
      <c r="D861" s="70" t="str">
        <f aca="false">IF(Data!D861="—","—",IFERROR(INDEX(対訳マスタ!$C$2:$C$136,MATCH(Data!D861,対訳マスタ!$B$2:$B$136,0)),Data!D861))</f>
        <v>テキストの仲介</v>
      </c>
      <c r="E861" s="70" t="str">
        <f aca="false">IFERROR(INDEX(対訳マスタ!$C$2:$C$136,MATCH(Data!E861,対訳マスタ!$B$2:$B$136,0)),Data!E861)</f>
        <v>書かれたテキストの翻訳（口頭・手話）</v>
      </c>
      <c r="F861" s="70" t="str">
        <f aca="false">Data!F861</f>
        <v>A2</v>
      </c>
      <c r="G861" s="31" t="str">
        <f aca="false">Data!G861</f>
        <v>Can provide a simple, rough oral translation (into Language B) of routine information on familiar everyday subjects that is written in simple sentences (in Language A) (e.g. personal news, short narratives, directions, notices or instructions).</v>
      </c>
      <c r="H861" s="71" t="s">
        <v>3451</v>
      </c>
      <c r="I861" s="79" t="s">
        <v>3089</v>
      </c>
    </row>
    <row r="862" customFormat="false" ht="32.25" hidden="false" customHeight="true" outlineLevel="0" collapsed="false">
      <c r="A862" s="70" t="n">
        <f aca="false">Data!A862</f>
        <v>861</v>
      </c>
      <c r="B862" s="70" t="str">
        <f aca="false">IFERROR(INDEX(対訳マスタ!$C$2:$C$136,MATCH(Data!B862,対訳マスタ!$B$2:$B$136,0)),Data!B862)</f>
        <v>コミュニケーション言語活動</v>
      </c>
      <c r="C862" s="70" t="str">
        <f aca="false">IF(Data!C862="—","—",IFERROR(INDEX(対訳マスタ!$C$2:$C$136,MATCH(Data!C862,対訳マスタ!$B$2:$B$136,0)),Data!C862))</f>
        <v>仲介</v>
      </c>
      <c r="D862" s="70" t="str">
        <f aca="false">IF(Data!D862="—","—",IFERROR(INDEX(対訳マスタ!$C$2:$C$136,MATCH(Data!D862,対訳マスタ!$B$2:$B$136,0)),Data!D862))</f>
        <v>テキストの仲介</v>
      </c>
      <c r="E862" s="70" t="str">
        <f aca="false">IFERROR(INDEX(対訳マスタ!$C$2:$C$136,MATCH(Data!E862,対訳マスタ!$B$2:$B$136,0)),Data!E862)</f>
        <v>書かれたテキストの翻訳（口頭・手話）</v>
      </c>
      <c r="F862" s="70" t="str">
        <f aca="false">Data!F862</f>
        <v>A1</v>
      </c>
      <c r="G862" s="31" t="str">
        <f aca="false">Data!G862</f>
        <v>Can provide a simple, rough oral translation (into Language B) of simple everyday words/signs and phrases (written in Language A) that are encountered on signs and notices, posters, programmes, leaflets, etc.</v>
      </c>
      <c r="H862" s="71" t="s">
        <v>2847</v>
      </c>
      <c r="I862" s="79" t="s">
        <v>3089</v>
      </c>
    </row>
    <row r="863" customFormat="false" ht="15" hidden="false" customHeight="true" outlineLevel="0" collapsed="false">
      <c r="A863" s="80" t="n">
        <f aca="false">Data!A863</f>
        <v>862</v>
      </c>
      <c r="B863" s="80" t="str">
        <f aca="false">IFERROR(INDEX(対訳マスタ!$C$2:$C$136,MATCH(Data!B863,対訳マスタ!$B$2:$B$136,0)),Data!B863)</f>
        <v>コミュニケーション言語活動</v>
      </c>
      <c r="C863" s="80" t="str">
        <f aca="false">IF(Data!C863="—","—",IFERROR(INDEX(対訳マスタ!$C$2:$C$136,MATCH(Data!C863,対訳マスタ!$B$2:$B$136,0)),Data!C863))</f>
        <v>仲介</v>
      </c>
      <c r="D863" s="80" t="str">
        <f aca="false">IF(Data!D863="—","—",IFERROR(INDEX(対訳マスタ!$C$2:$C$136,MATCH(Data!D863,対訳マスタ!$B$2:$B$136,0)),Data!D863))</f>
        <v>テキストの仲介</v>
      </c>
      <c r="E863" s="80" t="str">
        <f aca="false">IFERROR(INDEX(対訳マスタ!$C$2:$C$136,MATCH(Data!E863,対訳マスタ!$B$2:$B$136,0)),Data!E863)</f>
        <v>書かれたテキストの翻訳（口頭・手話）</v>
      </c>
      <c r="F863" s="80" t="str">
        <f aca="false">Data!F863</f>
        <v>Pre-A1</v>
      </c>
      <c r="G863" s="81" t="str">
        <f aca="false">Data!G863</f>
        <v>No descriptors available</v>
      </c>
      <c r="H863" s="81" t="s">
        <v>624</v>
      </c>
      <c r="I863" s="80" t="s">
        <v>624</v>
      </c>
    </row>
    <row r="864" customFormat="false" ht="32.25" hidden="false" customHeight="true" outlineLevel="0" collapsed="false">
      <c r="A864" s="70" t="n">
        <f aca="false">Data!A864</f>
        <v>863</v>
      </c>
      <c r="B864" s="70" t="str">
        <f aca="false">IFERROR(INDEX(対訳マスタ!$C$2:$C$136,MATCH(Data!B864,対訳マスタ!$B$2:$B$136,0)),Data!B864)</f>
        <v>コミュニケーション言語活動</v>
      </c>
      <c r="C864" s="70" t="str">
        <f aca="false">IF(Data!C864="—","—",IFERROR(INDEX(対訳マスタ!$C$2:$C$136,MATCH(Data!C864,対訳マスタ!$B$2:$B$136,0)),Data!C864))</f>
        <v>仲介</v>
      </c>
      <c r="D864" s="70" t="str">
        <f aca="false">IF(Data!D864="—","—",IFERROR(INDEX(対訳マスタ!$C$2:$C$136,MATCH(Data!D864,対訳マスタ!$B$2:$B$136,0)),Data!D864))</f>
        <v>テキストの仲介</v>
      </c>
      <c r="E864" s="70" t="str">
        <f aca="false">IFERROR(INDEX(対訳マスタ!$C$2:$C$136,MATCH(Data!E864,対訳マスタ!$B$2:$B$136,0)),Data!E864)</f>
        <v>書かれたテキストの翻訳（文章）</v>
      </c>
      <c r="F864" s="70" t="str">
        <f aca="false">Data!F864</f>
        <v>C2</v>
      </c>
      <c r="G864" s="31" t="str">
        <f aca="false">Data!G864</f>
        <v>Can translate (into Language B) technical material outside their field of specialisation (written in Language A), provided subject matter accuracy is checked by a specialist in the field concerned.</v>
      </c>
      <c r="H864" s="71" t="s">
        <v>2862</v>
      </c>
      <c r="I864" s="79" t="s">
        <v>3089</v>
      </c>
    </row>
    <row r="865" customFormat="false" ht="42.75" hidden="false" customHeight="true" outlineLevel="0" collapsed="false">
      <c r="A865" s="70" t="n">
        <f aca="false">Data!A865</f>
        <v>864</v>
      </c>
      <c r="B865" s="70" t="str">
        <f aca="false">IFERROR(INDEX(対訳マスタ!$C$2:$C$136,MATCH(Data!B865,対訳マスタ!$B$2:$B$136,0)),Data!B865)</f>
        <v>コミュニケーション言語活動</v>
      </c>
      <c r="C865" s="70" t="str">
        <f aca="false">IF(Data!C865="—","—",IFERROR(INDEX(対訳マスタ!$C$2:$C$136,MATCH(Data!C865,対訳マスタ!$B$2:$B$136,0)),Data!C865))</f>
        <v>仲介</v>
      </c>
      <c r="D865" s="70" t="str">
        <f aca="false">IF(Data!D865="—","—",IFERROR(INDEX(対訳マスタ!$C$2:$C$136,MATCH(Data!D865,対訳マスタ!$B$2:$B$136,0)),Data!D865))</f>
        <v>テキストの仲介</v>
      </c>
      <c r="E865" s="70" t="str">
        <f aca="false">IFERROR(INDEX(対訳マスタ!$C$2:$C$136,MATCH(Data!E865,対訳マスタ!$B$2:$B$136,0)),Data!E865)</f>
        <v>書かれたテキストの翻訳（文章）</v>
      </c>
      <c r="F865" s="70" t="str">
        <f aca="false">Data!F865</f>
        <v>C1</v>
      </c>
      <c r="G865" s="31" t="str">
        <f aca="false">Data!G865</f>
        <v>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v>
      </c>
      <c r="H865" s="71" t="s">
        <v>2861</v>
      </c>
      <c r="I865" s="79" t="s">
        <v>3089</v>
      </c>
    </row>
    <row r="866" customFormat="false" ht="32.25" hidden="false" customHeight="true" outlineLevel="0" collapsed="false">
      <c r="A866" s="70" t="n">
        <f aca="false">Data!A866</f>
        <v>865</v>
      </c>
      <c r="B866" s="70" t="str">
        <f aca="false">IFERROR(INDEX(対訳マスタ!$C$2:$C$136,MATCH(Data!B866,対訳マスタ!$B$2:$B$136,0)),Data!B866)</f>
        <v>コミュニケーション言語活動</v>
      </c>
      <c r="C866" s="70" t="str">
        <f aca="false">IF(Data!C866="—","—",IFERROR(INDEX(対訳マスタ!$C$2:$C$136,MATCH(Data!C866,対訳マスタ!$B$2:$B$136,0)),Data!C866))</f>
        <v>仲介</v>
      </c>
      <c r="D866" s="70" t="str">
        <f aca="false">IF(Data!D866="—","—",IFERROR(INDEX(対訳マスタ!$C$2:$C$136,MATCH(Data!D866,対訳マスタ!$B$2:$B$136,0)),Data!D866))</f>
        <v>テキストの仲介</v>
      </c>
      <c r="E866" s="70" t="str">
        <f aca="false">IFERROR(INDEX(対訳マスタ!$C$2:$C$136,MATCH(Data!E866,対訳マスタ!$B$2:$B$136,0)),Data!E866)</f>
        <v>書かれたテキストの翻訳（文章）</v>
      </c>
      <c r="F866" s="70" t="str">
        <f aca="false">Data!F866</f>
        <v>B2+</v>
      </c>
      <c r="G866" s="31" t="str">
        <f aca="false">Data!G866</f>
        <v>Can produce clearly organised translations (from Language A into Language B) that reflect normal language usage but may be over-influenced by the order, paragraphing, punctuation and particular formulations of the original.</v>
      </c>
      <c r="H866" s="71" t="s">
        <v>2860</v>
      </c>
      <c r="I866" s="79" t="s">
        <v>3089</v>
      </c>
    </row>
    <row r="867" customFormat="false" ht="32.25" hidden="false" customHeight="true" outlineLevel="0" collapsed="false">
      <c r="A867" s="70" t="n">
        <f aca="false">Data!A867</f>
        <v>866</v>
      </c>
      <c r="B867" s="70" t="str">
        <f aca="false">IFERROR(INDEX(対訳マスタ!$C$2:$C$136,MATCH(Data!B867,対訳マスタ!$B$2:$B$136,0)),Data!B867)</f>
        <v>コミュニケーション言語活動</v>
      </c>
      <c r="C867" s="70" t="str">
        <f aca="false">IF(Data!C867="—","—",IFERROR(INDEX(対訳マスタ!$C$2:$C$136,MATCH(Data!C867,対訳マスタ!$B$2:$B$136,0)),Data!C867))</f>
        <v>仲介</v>
      </c>
      <c r="D867" s="70" t="str">
        <f aca="false">IF(Data!D867="—","—",IFERROR(INDEX(対訳マスタ!$C$2:$C$136,MATCH(Data!D867,対訳マスタ!$B$2:$B$136,0)),Data!D867))</f>
        <v>テキストの仲介</v>
      </c>
      <c r="E867" s="70" t="str">
        <f aca="false">IFERROR(INDEX(対訳マスタ!$C$2:$C$136,MATCH(Data!E867,対訳マスタ!$B$2:$B$136,0)),Data!E867)</f>
        <v>書かれたテキストの翻訳（文章）</v>
      </c>
      <c r="F867" s="70" t="str">
        <f aca="false">Data!F867</f>
        <v>B2</v>
      </c>
      <c r="G867" s="31" t="str">
        <f aca="false">Data!G867</f>
        <v>Can produce translations (into Language B) that closely follow the sentence and paragraph structure of the original text (in Language A), conveying the main points of the source text accurately, though the translation may read awkwardly.</v>
      </c>
      <c r="H867" s="71" t="s">
        <v>2859</v>
      </c>
      <c r="I867" s="79" t="s">
        <v>3089</v>
      </c>
    </row>
    <row r="868" customFormat="false" ht="42.75" hidden="false" customHeight="true" outlineLevel="0" collapsed="false">
      <c r="A868" s="70" t="n">
        <f aca="false">Data!A868</f>
        <v>867</v>
      </c>
      <c r="B868" s="70" t="str">
        <f aca="false">IFERROR(INDEX(対訳マスタ!$C$2:$C$136,MATCH(Data!B868,対訳マスタ!$B$2:$B$136,0)),Data!B868)</f>
        <v>コミュニケーション言語活動</v>
      </c>
      <c r="C868" s="70" t="str">
        <f aca="false">IF(Data!C868="—","—",IFERROR(INDEX(対訳マスタ!$C$2:$C$136,MATCH(Data!C868,対訳マスタ!$B$2:$B$136,0)),Data!C868))</f>
        <v>仲介</v>
      </c>
      <c r="D868" s="70" t="str">
        <f aca="false">IF(Data!D868="—","—",IFERROR(INDEX(対訳マスタ!$C$2:$C$136,MATCH(Data!D868,対訳マスタ!$B$2:$B$136,0)),Data!D868))</f>
        <v>テキストの仲介</v>
      </c>
      <c r="E868" s="70" t="str">
        <f aca="false">IFERROR(INDEX(対訳マスタ!$C$2:$C$136,MATCH(Data!E868,対訳マスタ!$B$2:$B$136,0)),Data!E868)</f>
        <v>書かれたテキストの翻訳（文章）</v>
      </c>
      <c r="F868" s="70" t="str">
        <f aca="false">Data!F868</f>
        <v>B1+</v>
      </c>
      <c r="G868" s="31" t="str">
        <f aca="false">Data!G868</f>
        <v>Can produce approximate translations (from Language A into Language B) of straightforward, factual texts that are written in uncomplicated, standard language, closely following the structure of the original; although linguistic errors may occur, the translation remains comprehensible.</v>
      </c>
      <c r="H868" s="71" t="s">
        <v>2858</v>
      </c>
      <c r="I868" s="79" t="s">
        <v>3089</v>
      </c>
    </row>
    <row r="869" customFormat="false" ht="32.25" hidden="false" customHeight="true" outlineLevel="0" collapsed="false">
      <c r="A869" s="70" t="n">
        <f aca="false">Data!A869</f>
        <v>868</v>
      </c>
      <c r="B869" s="70" t="str">
        <f aca="false">IFERROR(INDEX(対訳マスタ!$C$2:$C$136,MATCH(Data!B869,対訳マスタ!$B$2:$B$136,0)),Data!B869)</f>
        <v>コミュニケーション言語活動</v>
      </c>
      <c r="C869" s="70" t="str">
        <f aca="false">IF(Data!C869="—","—",IFERROR(INDEX(対訳マスタ!$C$2:$C$136,MATCH(Data!C869,対訳マスタ!$B$2:$B$136,0)),Data!C869))</f>
        <v>仲介</v>
      </c>
      <c r="D869" s="70" t="str">
        <f aca="false">IF(Data!D869="—","—",IFERROR(INDEX(対訳マスタ!$C$2:$C$136,MATCH(Data!D869,対訳マスタ!$B$2:$B$136,0)),Data!D869))</f>
        <v>テキストの仲介</v>
      </c>
      <c r="E869" s="70" t="str">
        <f aca="false">IFERROR(INDEX(対訳マスタ!$C$2:$C$136,MATCH(Data!E869,対訳マスタ!$B$2:$B$136,0)),Data!E869)</f>
        <v>書かれたテキストの翻訳（文章）</v>
      </c>
      <c r="F869" s="70" t="str">
        <f aca="false">Data!F869</f>
        <v>B1</v>
      </c>
      <c r="G869" s="31" t="str">
        <f aca="false">Data!G869</f>
        <v>Can produce approximate translations (from Language A into Language B) of information contained in short, factual texts written in uncomplicated, standard language; despite errors, the translation remains comprehensible.</v>
      </c>
      <c r="H869" s="71" t="s">
        <v>2857</v>
      </c>
      <c r="I869" s="79" t="s">
        <v>3089</v>
      </c>
    </row>
    <row r="870" customFormat="false" ht="32.25" hidden="false" customHeight="true" outlineLevel="0" collapsed="false">
      <c r="A870" s="70" t="n">
        <f aca="false">Data!A870</f>
        <v>869</v>
      </c>
      <c r="B870" s="70" t="str">
        <f aca="false">IFERROR(INDEX(対訳マスタ!$C$2:$C$136,MATCH(Data!B870,対訳マスタ!$B$2:$B$136,0)),Data!B870)</f>
        <v>コミュニケーション言語活動</v>
      </c>
      <c r="C870" s="70" t="str">
        <f aca="false">IF(Data!C870="—","—",IFERROR(INDEX(対訳マスタ!$C$2:$C$136,MATCH(Data!C870,対訳マスタ!$B$2:$B$136,0)),Data!C870))</f>
        <v>仲介</v>
      </c>
      <c r="D870" s="70" t="str">
        <f aca="false">IF(Data!D870="—","—",IFERROR(INDEX(対訳マスタ!$C$2:$C$136,MATCH(Data!D870,対訳マスタ!$B$2:$B$136,0)),Data!D870))</f>
        <v>テキストの仲介</v>
      </c>
      <c r="E870" s="70" t="str">
        <f aca="false">IFERROR(INDEX(対訳マスタ!$C$2:$C$136,MATCH(Data!E870,対訳マスタ!$B$2:$B$136,0)),Data!E870)</f>
        <v>書かれたテキストの翻訳（文章）</v>
      </c>
      <c r="F870" s="70" t="str">
        <f aca="false">Data!F870</f>
        <v>A2</v>
      </c>
      <c r="G870" s="31" t="str">
        <f aca="false">Data!G870</f>
        <v>Can use simple language to provide an approximate translation (from Language A into Language B) of very short texts on familiar and everyday themes that contain the highest frequency vocabulary; despite errors, the translation remains comprehensible.</v>
      </c>
      <c r="H870" s="71" t="s">
        <v>2856</v>
      </c>
      <c r="I870" s="79" t="s">
        <v>3089</v>
      </c>
    </row>
    <row r="871" customFormat="false" ht="26.25" hidden="false" customHeight="true" outlineLevel="0" collapsed="false">
      <c r="A871" s="70" t="n">
        <f aca="false">Data!A871</f>
        <v>870</v>
      </c>
      <c r="B871" s="70" t="str">
        <f aca="false">IFERROR(INDEX(対訳マスタ!$C$2:$C$136,MATCH(Data!B871,対訳マスタ!$B$2:$B$136,0)),Data!B871)</f>
        <v>コミュニケーション言語活動</v>
      </c>
      <c r="C871" s="70" t="str">
        <f aca="false">IF(Data!C871="—","—",IFERROR(INDEX(対訳マスタ!$C$2:$C$136,MATCH(Data!C871,対訳マスタ!$B$2:$B$136,0)),Data!C871))</f>
        <v>仲介</v>
      </c>
      <c r="D871" s="70" t="str">
        <f aca="false">IF(Data!D871="—","—",IFERROR(INDEX(対訳マスタ!$C$2:$C$136,MATCH(Data!D871,対訳マスタ!$B$2:$B$136,0)),Data!D871))</f>
        <v>テキストの仲介</v>
      </c>
      <c r="E871" s="70" t="str">
        <f aca="false">IFERROR(INDEX(対訳マスタ!$C$2:$C$136,MATCH(Data!E871,対訳マスタ!$B$2:$B$136,0)),Data!E871)</f>
        <v>書かれたテキストの翻訳（文章）</v>
      </c>
      <c r="F871" s="70" t="str">
        <f aca="false">Data!F871</f>
        <v>A1</v>
      </c>
      <c r="G871" s="31" t="str">
        <f aca="false">Data!G871</f>
        <v>Can, with the help of a dictionary, translate simple words/signs and phrases (from Language A into Language B), but may not always select the appropriate meaning.</v>
      </c>
      <c r="H871" s="71" t="s">
        <v>2855</v>
      </c>
      <c r="I871" s="79" t="s">
        <v>3089</v>
      </c>
    </row>
    <row r="872" customFormat="false" ht="15" hidden="false" customHeight="true" outlineLevel="0" collapsed="false">
      <c r="A872" s="80" t="n">
        <f aca="false">Data!A872</f>
        <v>871</v>
      </c>
      <c r="B872" s="80" t="str">
        <f aca="false">IFERROR(INDEX(対訳マスタ!$C$2:$C$136,MATCH(Data!B872,対訳マスタ!$B$2:$B$136,0)),Data!B872)</f>
        <v>コミュニケーション言語活動</v>
      </c>
      <c r="C872" s="80" t="str">
        <f aca="false">IF(Data!C872="—","—",IFERROR(INDEX(対訳マスタ!$C$2:$C$136,MATCH(Data!C872,対訳マスタ!$B$2:$B$136,0)),Data!C872))</f>
        <v>仲介</v>
      </c>
      <c r="D872" s="80" t="str">
        <f aca="false">IF(Data!D872="—","—",IFERROR(INDEX(対訳マスタ!$C$2:$C$136,MATCH(Data!D872,対訳マスタ!$B$2:$B$136,0)),Data!D872))</f>
        <v>テキストの仲介</v>
      </c>
      <c r="E872" s="80" t="str">
        <f aca="false">IFERROR(INDEX(対訳マスタ!$C$2:$C$136,MATCH(Data!E872,対訳マスタ!$B$2:$B$136,0)),Data!E872)</f>
        <v>書かれたテキストの翻訳（文章）</v>
      </c>
      <c r="F872" s="80" t="str">
        <f aca="false">Data!F872</f>
        <v>Pre-A1</v>
      </c>
      <c r="G872" s="81" t="str">
        <f aca="false">Data!G872</f>
        <v>No descriptors available</v>
      </c>
      <c r="H872" s="81" t="s">
        <v>624</v>
      </c>
      <c r="I872" s="80" t="s">
        <v>624</v>
      </c>
    </row>
    <row r="873" customFormat="false" ht="32.25" hidden="false" customHeight="true" outlineLevel="0" collapsed="false">
      <c r="A873" s="70" t="n">
        <f aca="false">Data!A873</f>
        <v>872</v>
      </c>
      <c r="B873" s="70" t="str">
        <f aca="false">IFERROR(INDEX(対訳マスタ!$C$2:$C$136,MATCH(Data!B873,対訳マスタ!$B$2:$B$136,0)),Data!B873)</f>
        <v>コミュニケーション言語活動</v>
      </c>
      <c r="C873" s="70" t="str">
        <f aca="false">IF(Data!C873="—","—",IFERROR(INDEX(対訳マスタ!$C$2:$C$136,MATCH(Data!C873,対訳マスタ!$B$2:$B$136,0)),Data!C873))</f>
        <v>仲介</v>
      </c>
      <c r="D873" s="70" t="str">
        <f aca="false">IF(Data!D873="—","—",IFERROR(INDEX(対訳マスタ!$C$2:$C$136,MATCH(Data!D873,対訳マスタ!$B$2:$B$136,0)),Data!D873))</f>
        <v>テキストの仲介</v>
      </c>
      <c r="E873" s="70" t="str">
        <f aca="false">IFERROR(INDEX(対訳マスタ!$C$2:$C$136,MATCH(Data!E873,対訳マスタ!$B$2:$B$136,0)),Data!E873)</f>
        <v>ノートテイキング（講義・会議など）</v>
      </c>
      <c r="F873" s="70" t="str">
        <f aca="false">Data!F873</f>
        <v>C2</v>
      </c>
      <c r="G873" s="31" t="str">
        <f aca="false">Data!G873</f>
        <v>Can, while continuing to participate in a meeting or seminar, create reliable notes (or minutes) for people who are not present, even when the subject matter is complex and/or unfamiliar.</v>
      </c>
      <c r="H873" s="71" t="s">
        <v>3452</v>
      </c>
      <c r="I873" s="79" t="s">
        <v>3089</v>
      </c>
    </row>
    <row r="874" customFormat="false" ht="21.75" hidden="false" customHeight="true" outlineLevel="0" collapsed="false">
      <c r="A874" s="70" t="n">
        <f aca="false">Data!A874</f>
        <v>873</v>
      </c>
      <c r="B874" s="70" t="str">
        <f aca="false">IFERROR(INDEX(対訳マスタ!$C$2:$C$136,MATCH(Data!B874,対訳マスタ!$B$2:$B$136,0)),Data!B874)</f>
        <v>コミュニケーション言語活動</v>
      </c>
      <c r="C874" s="70" t="str">
        <f aca="false">IF(Data!C874="—","—",IFERROR(INDEX(対訳マスタ!$C$2:$C$136,MATCH(Data!C874,対訳マスタ!$B$2:$B$136,0)),Data!C874))</f>
        <v>仲介</v>
      </c>
      <c r="D874" s="70" t="str">
        <f aca="false">IF(Data!D874="—","—",IFERROR(INDEX(対訳マスタ!$C$2:$C$136,MATCH(Data!D874,対訳マスタ!$B$2:$B$136,0)),Data!D874))</f>
        <v>テキストの仲介</v>
      </c>
      <c r="E874" s="70" t="str">
        <f aca="false">IFERROR(INDEX(対訳マスタ!$C$2:$C$136,MATCH(Data!E874,対訳マスタ!$B$2:$B$136,0)),Data!E874)</f>
        <v>ノートテイキング（講義・会議など）</v>
      </c>
      <c r="F874" s="70" t="str">
        <f aca="false">Data!F874</f>
        <v>C2</v>
      </c>
      <c r="G874" s="31" t="str">
        <f aca="false">Data!G874</f>
        <v>Is aware of the implications and allusions of what is said and can take notes on them as well as on the actual words used.</v>
      </c>
      <c r="H874" s="71" t="s">
        <v>2868</v>
      </c>
      <c r="I874" s="79" t="s">
        <v>3089</v>
      </c>
    </row>
    <row r="875" customFormat="false" ht="21.75" hidden="false" customHeight="true" outlineLevel="0" collapsed="false">
      <c r="A875" s="70" t="n">
        <f aca="false">Data!A875</f>
        <v>874</v>
      </c>
      <c r="B875" s="70" t="str">
        <f aca="false">IFERROR(INDEX(対訳マスタ!$C$2:$C$136,MATCH(Data!B875,対訳マスタ!$B$2:$B$136,0)),Data!B875)</f>
        <v>コミュニケーション言語活動</v>
      </c>
      <c r="C875" s="70" t="str">
        <f aca="false">IF(Data!C875="—","—",IFERROR(INDEX(対訳マスタ!$C$2:$C$136,MATCH(Data!C875,対訳マスタ!$B$2:$B$136,0)),Data!C875))</f>
        <v>仲介</v>
      </c>
      <c r="D875" s="70" t="str">
        <f aca="false">IF(Data!D875="—","—",IFERROR(INDEX(対訳マスタ!$C$2:$C$136,MATCH(Data!D875,対訳マスタ!$B$2:$B$136,0)),Data!D875))</f>
        <v>テキストの仲介</v>
      </c>
      <c r="E875" s="70" t="str">
        <f aca="false">IFERROR(INDEX(対訳マスタ!$C$2:$C$136,MATCH(Data!E875,対訳マスタ!$B$2:$B$136,0)),Data!E875)</f>
        <v>ノートテイキング（講義・会議など）</v>
      </c>
      <c r="F875" s="70" t="str">
        <f aca="false">Data!F875</f>
        <v>C2</v>
      </c>
      <c r="G875" s="31" t="str">
        <f aca="false">Data!G875</f>
        <v>Can take notes selectively, paraphrasing and abbreviating successfully to capture abstract concepts and relationships between ideas.</v>
      </c>
      <c r="H875" s="71" t="s">
        <v>3453</v>
      </c>
      <c r="I875" s="79" t="s">
        <v>3089</v>
      </c>
    </row>
    <row r="876" customFormat="false" ht="32.25" hidden="false" customHeight="true" outlineLevel="0" collapsed="false">
      <c r="A876" s="70" t="n">
        <f aca="false">Data!A876</f>
        <v>875</v>
      </c>
      <c r="B876" s="70" t="str">
        <f aca="false">IFERROR(INDEX(対訳マスタ!$C$2:$C$136,MATCH(Data!B876,対訳マスタ!$B$2:$B$136,0)),Data!B876)</f>
        <v>コミュニケーション言語活動</v>
      </c>
      <c r="C876" s="70" t="str">
        <f aca="false">IF(Data!C876="—","—",IFERROR(INDEX(対訳マスタ!$C$2:$C$136,MATCH(Data!C876,対訳マスタ!$B$2:$B$136,0)),Data!C876))</f>
        <v>仲介</v>
      </c>
      <c r="D876" s="70" t="str">
        <f aca="false">IF(Data!D876="—","—",IFERROR(INDEX(対訳マスタ!$C$2:$C$136,MATCH(Data!D876,対訳マスタ!$B$2:$B$136,0)),Data!D876))</f>
        <v>テキストの仲介</v>
      </c>
      <c r="E876" s="70" t="str">
        <f aca="false">IFERROR(INDEX(対訳マスタ!$C$2:$C$136,MATCH(Data!E876,対訳マスタ!$B$2:$B$136,0)),Data!E876)</f>
        <v>ノートテイキング（講義・会議など）</v>
      </c>
      <c r="F876" s="70" t="str">
        <f aca="false">Data!F876</f>
        <v>C1</v>
      </c>
      <c r="G876" s="31" t="str">
        <f aca="false">Data!G876</f>
        <v>Can take detailed notes during a lecture on topics in their field of interest, recording the information so accurately and so closely to the original that the notes could also be useful to other people.</v>
      </c>
      <c r="H876" s="71" t="s">
        <v>3454</v>
      </c>
      <c r="I876" s="79" t="s">
        <v>3089</v>
      </c>
    </row>
    <row r="877" customFormat="false" ht="26.25" hidden="false" customHeight="true" outlineLevel="0" collapsed="false">
      <c r="A877" s="70" t="n">
        <f aca="false">Data!A877</f>
        <v>876</v>
      </c>
      <c r="B877" s="70" t="str">
        <f aca="false">IFERROR(INDEX(対訳マスタ!$C$2:$C$136,MATCH(Data!B877,対訳マスタ!$B$2:$B$136,0)),Data!B877)</f>
        <v>コミュニケーション言語活動</v>
      </c>
      <c r="C877" s="70" t="str">
        <f aca="false">IF(Data!C877="—","—",IFERROR(INDEX(対訳マスタ!$C$2:$C$136,MATCH(Data!C877,対訳マスタ!$B$2:$B$136,0)),Data!C877))</f>
        <v>仲介</v>
      </c>
      <c r="D877" s="70" t="str">
        <f aca="false">IF(Data!D877="—","—",IFERROR(INDEX(対訳マスタ!$C$2:$C$136,MATCH(Data!D877,対訳マスタ!$B$2:$B$136,0)),Data!D877))</f>
        <v>テキストの仲介</v>
      </c>
      <c r="E877" s="70" t="str">
        <f aca="false">IFERROR(INDEX(対訳マスタ!$C$2:$C$136,MATCH(Data!E877,対訳マスタ!$B$2:$B$136,0)),Data!E877)</f>
        <v>ノートテイキング（講義・会議など）</v>
      </c>
      <c r="F877" s="70" t="str">
        <f aca="false">Data!F877</f>
        <v>C1</v>
      </c>
      <c r="G877" s="31" t="str">
        <f aca="false">Data!G877</f>
        <v>Can make decisions about what to note down and what to omit as the lecture or seminar proceeds, even on unfamiliar matters.</v>
      </c>
      <c r="H877" s="71" t="s">
        <v>2867</v>
      </c>
      <c r="I877" s="79" t="s">
        <v>3089</v>
      </c>
    </row>
    <row r="878" customFormat="false" ht="32.25" hidden="false" customHeight="true" outlineLevel="0" collapsed="false">
      <c r="A878" s="70" t="n">
        <f aca="false">Data!A878</f>
        <v>877</v>
      </c>
      <c r="B878" s="70" t="str">
        <f aca="false">IFERROR(INDEX(対訳マスタ!$C$2:$C$136,MATCH(Data!B878,対訳マスタ!$B$2:$B$136,0)),Data!B878)</f>
        <v>コミュニケーション言語活動</v>
      </c>
      <c r="C878" s="70" t="str">
        <f aca="false">IF(Data!C878="—","—",IFERROR(INDEX(対訳マスタ!$C$2:$C$136,MATCH(Data!C878,対訳マスタ!$B$2:$B$136,0)),Data!C878))</f>
        <v>仲介</v>
      </c>
      <c r="D878" s="70" t="str">
        <f aca="false">IF(Data!D878="—","—",IFERROR(INDEX(対訳マスタ!$C$2:$C$136,MATCH(Data!D878,対訳マスタ!$B$2:$B$136,0)),Data!D878))</f>
        <v>テキストの仲介</v>
      </c>
      <c r="E878" s="70" t="str">
        <f aca="false">IFERROR(INDEX(対訳マスタ!$C$2:$C$136,MATCH(Data!E878,対訳マスタ!$B$2:$B$136,0)),Data!E878)</f>
        <v>ノートテイキング（講義・会議など）</v>
      </c>
      <c r="F878" s="70" t="str">
        <f aca="false">Data!F878</f>
        <v>C1</v>
      </c>
      <c r="G878" s="31" t="str">
        <f aca="false">Data!G878</f>
        <v>Can select relevant, detailed information and arguments on complex, abstract topics from multiple oral sources (e.g. lectures, podcasts, formal discussions and debates, interviews), provided the delivery is at normal speed.</v>
      </c>
      <c r="H878" s="71" t="s">
        <v>3455</v>
      </c>
      <c r="I878" s="79" t="s">
        <v>3089</v>
      </c>
    </row>
    <row r="879" customFormat="false" ht="32.25" hidden="false" customHeight="true" outlineLevel="0" collapsed="false">
      <c r="A879" s="70" t="n">
        <f aca="false">Data!A879</f>
        <v>878</v>
      </c>
      <c r="B879" s="70" t="str">
        <f aca="false">IFERROR(INDEX(対訳マスタ!$C$2:$C$136,MATCH(Data!B879,対訳マスタ!$B$2:$B$136,0)),Data!B879)</f>
        <v>コミュニケーション言語活動</v>
      </c>
      <c r="C879" s="70" t="str">
        <f aca="false">IF(Data!C879="—","—",IFERROR(INDEX(対訳マスタ!$C$2:$C$136,MATCH(Data!C879,対訳マスタ!$B$2:$B$136,0)),Data!C879))</f>
        <v>仲介</v>
      </c>
      <c r="D879" s="70" t="str">
        <f aca="false">IF(Data!D879="—","—",IFERROR(INDEX(対訳マスタ!$C$2:$C$136,MATCH(Data!D879,対訳マスタ!$B$2:$B$136,0)),Data!D879))</f>
        <v>テキストの仲介</v>
      </c>
      <c r="E879" s="70" t="str">
        <f aca="false">IFERROR(INDEX(対訳マスタ!$C$2:$C$136,MATCH(Data!E879,対訳マスタ!$B$2:$B$136,0)),Data!E879)</f>
        <v>ノートテイキング（講義・会議など）</v>
      </c>
      <c r="F879" s="70" t="str">
        <f aca="false">Data!F879</f>
        <v>B2</v>
      </c>
      <c r="G879" s="31" t="str">
        <f aca="false">Data!G879</f>
        <v>Can understand a clearly structured lecture on a familiar subject, and can take notes on points which strike them as important, even though they tend to concentrate on the actual formulation and therefore to miss some information.</v>
      </c>
      <c r="H879" s="71" t="s">
        <v>3456</v>
      </c>
      <c r="I879" s="79" t="s">
        <v>3089</v>
      </c>
    </row>
    <row r="880" customFormat="false" ht="26.25" hidden="false" customHeight="true" outlineLevel="0" collapsed="false">
      <c r="A880" s="70" t="n">
        <f aca="false">Data!A880</f>
        <v>879</v>
      </c>
      <c r="B880" s="70" t="str">
        <f aca="false">IFERROR(INDEX(対訳マスタ!$C$2:$C$136,MATCH(Data!B880,対訳マスタ!$B$2:$B$136,0)),Data!B880)</f>
        <v>コミュニケーション言語活動</v>
      </c>
      <c r="C880" s="70" t="str">
        <f aca="false">IF(Data!C880="—","—",IFERROR(INDEX(対訳マスタ!$C$2:$C$136,MATCH(Data!C880,対訳マスタ!$B$2:$B$136,0)),Data!C880))</f>
        <v>仲介</v>
      </c>
      <c r="D880" s="70" t="str">
        <f aca="false">IF(Data!D880="—","—",IFERROR(INDEX(対訳マスタ!$C$2:$C$136,MATCH(Data!D880,対訳マスタ!$B$2:$B$136,0)),Data!D880))</f>
        <v>テキストの仲介</v>
      </c>
      <c r="E880" s="70" t="str">
        <f aca="false">IFERROR(INDEX(対訳マスタ!$C$2:$C$136,MATCH(Data!E880,対訳マスタ!$B$2:$B$136,0)),Data!E880)</f>
        <v>ノートテイキング（講義・会議など）</v>
      </c>
      <c r="F880" s="70" t="str">
        <f aca="false">Data!F880</f>
        <v>B2</v>
      </c>
      <c r="G880" s="31" t="str">
        <f aca="false">Data!G880</f>
        <v>Can take accurate notes in meetings and seminars on most matters likely to arise within their field of interest.</v>
      </c>
      <c r="H880" s="71" t="s">
        <v>2866</v>
      </c>
      <c r="I880" s="79" t="s">
        <v>3089</v>
      </c>
    </row>
    <row r="881" customFormat="false" ht="32.25" hidden="false" customHeight="true" outlineLevel="0" collapsed="false">
      <c r="A881" s="70" t="n">
        <f aca="false">Data!A881</f>
        <v>880</v>
      </c>
      <c r="B881" s="70" t="str">
        <f aca="false">IFERROR(INDEX(対訳マスタ!$C$2:$C$136,MATCH(Data!B881,対訳マスタ!$B$2:$B$136,0)),Data!B881)</f>
        <v>コミュニケーション言語活動</v>
      </c>
      <c r="C881" s="70" t="str">
        <f aca="false">IF(Data!C881="—","—",IFERROR(INDEX(対訳マスタ!$C$2:$C$136,MATCH(Data!C881,対訳マスタ!$B$2:$B$136,0)),Data!C881))</f>
        <v>仲介</v>
      </c>
      <c r="D881" s="70" t="str">
        <f aca="false">IF(Data!D881="—","—",IFERROR(INDEX(対訳マスタ!$C$2:$C$136,MATCH(Data!D881,対訳マスタ!$B$2:$B$136,0)),Data!D881))</f>
        <v>テキストの仲介</v>
      </c>
      <c r="E881" s="70" t="str">
        <f aca="false">IFERROR(INDEX(対訳マスタ!$C$2:$C$136,MATCH(Data!E881,対訳マスタ!$B$2:$B$136,0)),Data!E881)</f>
        <v>ノートテイキング（講義・会議など）</v>
      </c>
      <c r="F881" s="70" t="str">
        <f aca="false">Data!F881</f>
        <v>B1+</v>
      </c>
      <c r="G881" s="31" t="str">
        <f aca="false">Data!G881</f>
        <v>Can take notes during a lecture which are precise enough for their own use at a later date, provided the topic is within their field of interest and the lecture is clear and well structured.</v>
      </c>
      <c r="H881" s="71" t="s">
        <v>2865</v>
      </c>
      <c r="I881" s="79" t="s">
        <v>3089</v>
      </c>
    </row>
    <row r="882" customFormat="false" ht="21.75" hidden="false" customHeight="true" outlineLevel="0" collapsed="false">
      <c r="A882" s="70" t="n">
        <f aca="false">Data!A882</f>
        <v>881</v>
      </c>
      <c r="B882" s="70" t="str">
        <f aca="false">IFERROR(INDEX(対訳マスタ!$C$2:$C$136,MATCH(Data!B882,対訳マスタ!$B$2:$B$136,0)),Data!B882)</f>
        <v>コミュニケーション言語活動</v>
      </c>
      <c r="C882" s="70" t="str">
        <f aca="false">IF(Data!C882="—","—",IFERROR(INDEX(対訳マスタ!$C$2:$C$136,MATCH(Data!C882,対訳マスタ!$B$2:$B$136,0)),Data!C882))</f>
        <v>仲介</v>
      </c>
      <c r="D882" s="70" t="str">
        <f aca="false">IF(Data!D882="—","—",IFERROR(INDEX(対訳マスタ!$C$2:$C$136,MATCH(Data!D882,対訳マスタ!$B$2:$B$136,0)),Data!D882))</f>
        <v>テキストの仲介</v>
      </c>
      <c r="E882" s="70" t="str">
        <f aca="false">IFERROR(INDEX(対訳マスタ!$C$2:$C$136,MATCH(Data!E882,対訳マスタ!$B$2:$B$136,0)),Data!E882)</f>
        <v>ノートテイキング（講義・会議など）</v>
      </c>
      <c r="F882" s="70" t="str">
        <f aca="false">Data!F882</f>
        <v>B1</v>
      </c>
      <c r="G882" s="31" t="str">
        <f aca="false">Data!G882</f>
        <v>Can take notes as a list of key points during a straightforward lecture, provided the topic is familiar, and the lecture is both formulated in simple language and articulated clearly.</v>
      </c>
      <c r="H882" s="71" t="s">
        <v>3457</v>
      </c>
      <c r="I882" s="79" t="s">
        <v>3089</v>
      </c>
    </row>
    <row r="883" customFormat="false" ht="26.25" hidden="false" customHeight="true" outlineLevel="0" collapsed="false">
      <c r="A883" s="70" t="n">
        <f aca="false">Data!A883</f>
        <v>882</v>
      </c>
      <c r="B883" s="70" t="str">
        <f aca="false">IFERROR(INDEX(対訳マスタ!$C$2:$C$136,MATCH(Data!B883,対訳マスタ!$B$2:$B$136,0)),Data!B883)</f>
        <v>コミュニケーション言語活動</v>
      </c>
      <c r="C883" s="70" t="str">
        <f aca="false">IF(Data!C883="—","—",IFERROR(INDEX(対訳マスタ!$C$2:$C$136,MATCH(Data!C883,対訳マスタ!$B$2:$B$136,0)),Data!C883))</f>
        <v>仲介</v>
      </c>
      <c r="D883" s="70" t="str">
        <f aca="false">IF(Data!D883="—","—",IFERROR(INDEX(対訳マスタ!$C$2:$C$136,MATCH(Data!D883,対訳マスタ!$B$2:$B$136,0)),Data!D883))</f>
        <v>テキストの仲介</v>
      </c>
      <c r="E883" s="70" t="str">
        <f aca="false">IFERROR(INDEX(対訳マスタ!$C$2:$C$136,MATCH(Data!E883,対訳マスタ!$B$2:$B$136,0)),Data!E883)</f>
        <v>ノートテイキング（講義・会議など）</v>
      </c>
      <c r="F883" s="70" t="str">
        <f aca="false">Data!F883</f>
        <v>B1</v>
      </c>
      <c r="G883" s="31" t="str">
        <f aca="false">Data!G883</f>
        <v>Can note down routine instructions in a meeting on a familiar subject, provided these are formulated in simple language and they are given sufficient time to do so.</v>
      </c>
      <c r="H883" s="71" t="s">
        <v>2864</v>
      </c>
      <c r="I883" s="79" t="s">
        <v>3089</v>
      </c>
    </row>
    <row r="884" customFormat="false" ht="26.25" hidden="false" customHeight="true" outlineLevel="0" collapsed="false">
      <c r="A884" s="70" t="n">
        <f aca="false">Data!A884</f>
        <v>883</v>
      </c>
      <c r="B884" s="70" t="str">
        <f aca="false">IFERROR(INDEX(対訳マスタ!$C$2:$C$136,MATCH(Data!B884,対訳マスタ!$B$2:$B$136,0)),Data!B884)</f>
        <v>コミュニケーション言語活動</v>
      </c>
      <c r="C884" s="70" t="str">
        <f aca="false">IF(Data!C884="—","—",IFERROR(INDEX(対訳マスタ!$C$2:$C$136,MATCH(Data!C884,対訳マスタ!$B$2:$B$136,0)),Data!C884))</f>
        <v>仲介</v>
      </c>
      <c r="D884" s="70" t="str">
        <f aca="false">IF(Data!D884="—","—",IFERROR(INDEX(対訳マスタ!$C$2:$C$136,MATCH(Data!D884,対訳マスタ!$B$2:$B$136,0)),Data!D884))</f>
        <v>テキストの仲介</v>
      </c>
      <c r="E884" s="70" t="str">
        <f aca="false">IFERROR(INDEX(対訳マスタ!$C$2:$C$136,MATCH(Data!E884,対訳マスタ!$B$2:$B$136,0)),Data!E884)</f>
        <v>ノートテイキング（講義・会議など）</v>
      </c>
      <c r="F884" s="70" t="str">
        <f aca="false">Data!F884</f>
        <v>A2</v>
      </c>
      <c r="G884" s="31" t="str">
        <f aca="false">Data!G884</f>
        <v>Can take simple notes at a presentation/demonstration where the subject matter is familiar and predictable and the presenter allows for clarification and note-taking.</v>
      </c>
      <c r="H884" s="71" t="s">
        <v>2863</v>
      </c>
      <c r="I884" s="79" t="s">
        <v>3089</v>
      </c>
    </row>
    <row r="885" customFormat="false" ht="15" hidden="false" customHeight="true" outlineLevel="0" collapsed="false">
      <c r="A885" s="80" t="n">
        <f aca="false">Data!A885</f>
        <v>884</v>
      </c>
      <c r="B885" s="80" t="str">
        <f aca="false">IFERROR(INDEX(対訳マスタ!$C$2:$C$136,MATCH(Data!B885,対訳マスタ!$B$2:$B$136,0)),Data!B885)</f>
        <v>コミュニケーション言語活動</v>
      </c>
      <c r="C885" s="80" t="str">
        <f aca="false">IF(Data!C885="—","—",IFERROR(INDEX(対訳マスタ!$C$2:$C$136,MATCH(Data!C885,対訳マスタ!$B$2:$B$136,0)),Data!C885))</f>
        <v>仲介</v>
      </c>
      <c r="D885" s="80" t="str">
        <f aca="false">IF(Data!D885="—","—",IFERROR(INDEX(対訳マスタ!$C$2:$C$136,MATCH(Data!D885,対訳マスタ!$B$2:$B$136,0)),Data!D885))</f>
        <v>テキストの仲介</v>
      </c>
      <c r="E885" s="80" t="str">
        <f aca="false">IFERROR(INDEX(対訳マスタ!$C$2:$C$136,MATCH(Data!E885,対訳マスタ!$B$2:$B$136,0)),Data!E885)</f>
        <v>ノートテイキング（講義・会議など）</v>
      </c>
      <c r="F885" s="80" t="str">
        <f aca="false">Data!F885</f>
        <v>A1</v>
      </c>
      <c r="G885" s="81" t="str">
        <f aca="false">Data!G885</f>
        <v>No descriptors available</v>
      </c>
      <c r="H885" s="81" t="s">
        <v>624</v>
      </c>
      <c r="I885" s="80" t="s">
        <v>624</v>
      </c>
    </row>
    <row r="886" customFormat="false" ht="15" hidden="false" customHeight="true" outlineLevel="0" collapsed="false">
      <c r="A886" s="80" t="n">
        <f aca="false">Data!A886</f>
        <v>885</v>
      </c>
      <c r="B886" s="80" t="str">
        <f aca="false">IFERROR(INDEX(対訳マスタ!$C$2:$C$136,MATCH(Data!B886,対訳マスタ!$B$2:$B$136,0)),Data!B886)</f>
        <v>コミュニケーション言語活動</v>
      </c>
      <c r="C886" s="80" t="str">
        <f aca="false">IF(Data!C886="—","—",IFERROR(INDEX(対訳マスタ!$C$2:$C$136,MATCH(Data!C886,対訳マスタ!$B$2:$B$136,0)),Data!C886))</f>
        <v>仲介</v>
      </c>
      <c r="D886" s="80" t="str">
        <f aca="false">IF(Data!D886="—","—",IFERROR(INDEX(対訳マスタ!$C$2:$C$136,MATCH(Data!D886,対訳マスタ!$B$2:$B$136,0)),Data!D886))</f>
        <v>テキストの仲介</v>
      </c>
      <c r="E886" s="80" t="str">
        <f aca="false">IFERROR(INDEX(対訳マスタ!$C$2:$C$136,MATCH(Data!E886,対訳マスタ!$B$2:$B$136,0)),Data!E886)</f>
        <v>ノートテイキング（講義・会議など）</v>
      </c>
      <c r="F886" s="80" t="str">
        <f aca="false">Data!F886</f>
        <v>Pre-A1</v>
      </c>
      <c r="G886" s="81" t="str">
        <f aca="false">Data!G886</f>
        <v>No descriptors available</v>
      </c>
      <c r="H886" s="81" t="s">
        <v>624</v>
      </c>
      <c r="I886" s="80" t="s">
        <v>624</v>
      </c>
    </row>
    <row r="887" customFormat="false" ht="15" hidden="false" customHeight="true" outlineLevel="0" collapsed="false">
      <c r="A887" s="80" t="n">
        <f aca="false">Data!A887</f>
        <v>886</v>
      </c>
      <c r="B887" s="80" t="str">
        <f aca="false">IFERROR(INDEX(対訳マスタ!$C$2:$C$136,MATCH(Data!B887,対訳マスタ!$B$2:$B$136,0)),Data!B887)</f>
        <v>コミュニケーション言語活動</v>
      </c>
      <c r="C887" s="80" t="str">
        <f aca="false">IF(Data!C887="—","—",IFERROR(INDEX(対訳マスタ!$C$2:$C$136,MATCH(Data!C887,対訳マスタ!$B$2:$B$136,0)),Data!C887))</f>
        <v>仲介</v>
      </c>
      <c r="D887" s="80" t="str">
        <f aca="false">IF(Data!D887="—","—",IFERROR(INDEX(対訳マスタ!$C$2:$C$136,MATCH(Data!D887,対訳マスタ!$B$2:$B$136,0)),Data!D887))</f>
        <v>テキストの仲介</v>
      </c>
      <c r="E887" s="80" t="str">
        <f aca="false">IFERROR(INDEX(対訳マスタ!$C$2:$C$136,MATCH(Data!E887,対訳マスタ!$B$2:$B$136,0)),Data!E887)</f>
        <v>創作テキストへの個人的な反応の表現</v>
      </c>
      <c r="F887" s="80" t="str">
        <f aca="false">Data!F887</f>
        <v>C2</v>
      </c>
      <c r="G887" s="81" t="str">
        <f aca="false">Data!G887</f>
        <v>No descriptors available</v>
      </c>
      <c r="H887" s="81" t="s">
        <v>624</v>
      </c>
      <c r="I887" s="80" t="s">
        <v>624</v>
      </c>
    </row>
    <row r="888" customFormat="false" ht="26.25" hidden="false" customHeight="true" outlineLevel="0" collapsed="false">
      <c r="A888" s="70" t="n">
        <f aca="false">Data!A888</f>
        <v>887</v>
      </c>
      <c r="B888" s="70" t="str">
        <f aca="false">IFERROR(INDEX(対訳マスタ!$C$2:$C$136,MATCH(Data!B888,対訳マスタ!$B$2:$B$136,0)),Data!B888)</f>
        <v>コミュニケーション言語活動</v>
      </c>
      <c r="C888" s="70" t="str">
        <f aca="false">IF(Data!C888="—","—",IFERROR(INDEX(対訳マスタ!$C$2:$C$136,MATCH(Data!C888,対訳マスタ!$B$2:$B$136,0)),Data!C888))</f>
        <v>仲介</v>
      </c>
      <c r="D888" s="70" t="str">
        <f aca="false">IF(Data!D888="—","—",IFERROR(INDEX(対訳マスタ!$C$2:$C$136,MATCH(Data!D888,対訳マスタ!$B$2:$B$136,0)),Data!D888))</f>
        <v>テキストの仲介</v>
      </c>
      <c r="E888" s="70" t="str">
        <f aca="false">IFERROR(INDEX(対訳マスタ!$C$2:$C$136,MATCH(Data!E888,対訳マスタ!$B$2:$B$136,0)),Data!E888)</f>
        <v>創作テキストへの個人的な反応の表現</v>
      </c>
      <c r="F888" s="70" t="str">
        <f aca="false">Data!F888</f>
        <v>C1</v>
      </c>
      <c r="G888" s="31" t="str">
        <f aca="false">Data!G888</f>
        <v>Can describe in detail a personal interpretation of a work, outlining their reactions to certain features and explaining their significance.</v>
      </c>
      <c r="H888" s="71" t="s">
        <v>2873</v>
      </c>
      <c r="I888" s="79" t="s">
        <v>3089</v>
      </c>
    </row>
    <row r="889" customFormat="false" ht="32.25" hidden="false" customHeight="true" outlineLevel="0" collapsed="false">
      <c r="A889" s="70" t="n">
        <f aca="false">Data!A889</f>
        <v>888</v>
      </c>
      <c r="B889" s="70" t="str">
        <f aca="false">IFERROR(INDEX(対訳マスタ!$C$2:$C$136,MATCH(Data!B889,対訳マスタ!$B$2:$B$136,0)),Data!B889)</f>
        <v>コミュニケーション言語活動</v>
      </c>
      <c r="C889" s="70" t="str">
        <f aca="false">IF(Data!C889="—","—",IFERROR(INDEX(対訳マスタ!$C$2:$C$136,MATCH(Data!C889,対訳マスタ!$B$2:$B$136,0)),Data!C889))</f>
        <v>仲介</v>
      </c>
      <c r="D889" s="70" t="str">
        <f aca="false">IF(Data!D889="—","—",IFERROR(INDEX(対訳マスタ!$C$2:$C$136,MATCH(Data!D889,対訳マスタ!$B$2:$B$136,0)),Data!D889))</f>
        <v>テキストの仲介</v>
      </c>
      <c r="E889" s="70" t="str">
        <f aca="false">IFERROR(INDEX(対訳マスタ!$C$2:$C$136,MATCH(Data!E889,対訳マスタ!$B$2:$B$136,0)),Data!E889)</f>
        <v>創作テキストへの個人的な反応の表現</v>
      </c>
      <c r="F889" s="70" t="str">
        <f aca="false">Data!F889</f>
        <v>C1</v>
      </c>
      <c r="G889" s="31" t="str">
        <f aca="false">Data!G889</f>
        <v>Can outline a personal interpretation of a character in a work: their psychological/emotional state, the motives for their actions and the consequences of these actions.</v>
      </c>
      <c r="H889" s="71" t="s">
        <v>3458</v>
      </c>
      <c r="I889" s="79" t="s">
        <v>3089</v>
      </c>
    </row>
    <row r="890" customFormat="false" ht="21.75" hidden="false" customHeight="true" outlineLevel="0" collapsed="false">
      <c r="A890" s="70" t="n">
        <f aca="false">Data!A890</f>
        <v>889</v>
      </c>
      <c r="B890" s="70" t="str">
        <f aca="false">IFERROR(INDEX(対訳マスタ!$C$2:$C$136,MATCH(Data!B890,対訳マスタ!$B$2:$B$136,0)),Data!B890)</f>
        <v>コミュニケーション言語活動</v>
      </c>
      <c r="C890" s="70" t="str">
        <f aca="false">IF(Data!C890="—","—",IFERROR(INDEX(対訳マスタ!$C$2:$C$136,MATCH(Data!C890,対訳マスタ!$B$2:$B$136,0)),Data!C890))</f>
        <v>仲介</v>
      </c>
      <c r="D890" s="70" t="str">
        <f aca="false">IF(Data!D890="—","—",IFERROR(INDEX(対訳マスタ!$C$2:$C$136,MATCH(Data!D890,対訳マスタ!$B$2:$B$136,0)),Data!D890))</f>
        <v>テキストの仲介</v>
      </c>
      <c r="E890" s="70" t="str">
        <f aca="false">IFERROR(INDEX(対訳マスタ!$C$2:$C$136,MATCH(Data!E890,対訳マスタ!$B$2:$B$136,0)),Data!E890)</f>
        <v>創作テキストへの個人的な反応の表現</v>
      </c>
      <c r="F890" s="70" t="str">
        <f aca="false">Data!F890</f>
        <v>B2</v>
      </c>
      <c r="G890" s="31" t="str">
        <f aca="false">Data!G890</f>
        <v>Can give a clear presentation of their reactions to a work, developing their ideas and supporting them with examples and arguments.</v>
      </c>
      <c r="H890" s="71" t="s">
        <v>3459</v>
      </c>
      <c r="I890" s="79" t="s">
        <v>3089</v>
      </c>
    </row>
    <row r="891" customFormat="false" ht="21.75" hidden="false" customHeight="true" outlineLevel="0" collapsed="false">
      <c r="A891" s="70" t="n">
        <f aca="false">Data!A891</f>
        <v>890</v>
      </c>
      <c r="B891" s="70" t="str">
        <f aca="false">IFERROR(INDEX(対訳マスタ!$C$2:$C$136,MATCH(Data!B891,対訳マスタ!$B$2:$B$136,0)),Data!B891)</f>
        <v>コミュニケーション言語活動</v>
      </c>
      <c r="C891" s="70" t="str">
        <f aca="false">IF(Data!C891="—","—",IFERROR(INDEX(対訳マスタ!$C$2:$C$136,MATCH(Data!C891,対訳マスタ!$B$2:$B$136,0)),Data!C891))</f>
        <v>仲介</v>
      </c>
      <c r="D891" s="70" t="str">
        <f aca="false">IF(Data!D891="—","—",IFERROR(INDEX(対訳マスタ!$C$2:$C$136,MATCH(Data!D891,対訳マスタ!$B$2:$B$136,0)),Data!D891))</f>
        <v>テキストの仲介</v>
      </c>
      <c r="E891" s="70" t="str">
        <f aca="false">IFERROR(INDEX(対訳マスタ!$C$2:$C$136,MATCH(Data!E891,対訳マスタ!$B$2:$B$136,0)),Data!E891)</f>
        <v>創作テキストへの個人的な反応の表現</v>
      </c>
      <c r="F891" s="70" t="str">
        <f aca="false">Data!F891</f>
        <v>B2</v>
      </c>
      <c r="G891" s="31" t="str">
        <f aca="false">Data!G891</f>
        <v>Can give a personal interpretation of the development of a plot, the characters and themes in a story, novel, film or play.</v>
      </c>
      <c r="H891" s="71" t="s">
        <v>3460</v>
      </c>
      <c r="I891" s="79" t="s">
        <v>3089</v>
      </c>
    </row>
    <row r="892" customFormat="false" ht="21.75" hidden="false" customHeight="true" outlineLevel="0" collapsed="false">
      <c r="A892" s="70" t="n">
        <f aca="false">Data!A892</f>
        <v>891</v>
      </c>
      <c r="B892" s="70" t="str">
        <f aca="false">IFERROR(INDEX(対訳マスタ!$C$2:$C$136,MATCH(Data!B892,対訳マスタ!$B$2:$B$136,0)),Data!B892)</f>
        <v>コミュニケーション言語活動</v>
      </c>
      <c r="C892" s="70" t="str">
        <f aca="false">IF(Data!C892="—","—",IFERROR(INDEX(対訳マスタ!$C$2:$C$136,MATCH(Data!C892,対訳マスタ!$B$2:$B$136,0)),Data!C892))</f>
        <v>仲介</v>
      </c>
      <c r="D892" s="70" t="str">
        <f aca="false">IF(Data!D892="—","—",IFERROR(INDEX(対訳マスタ!$C$2:$C$136,MATCH(Data!D892,対訳マスタ!$B$2:$B$136,0)),Data!D892))</f>
        <v>テキストの仲介</v>
      </c>
      <c r="E892" s="70" t="str">
        <f aca="false">IFERROR(INDEX(対訳マスタ!$C$2:$C$136,MATCH(Data!E892,対訳マスタ!$B$2:$B$136,0)),Data!E892)</f>
        <v>創作テキストへの個人的な反応の表現</v>
      </c>
      <c r="F892" s="70" t="str">
        <f aca="false">Data!F892</f>
        <v>B2</v>
      </c>
      <c r="G892" s="31" t="str">
        <f aca="false">Data!G892</f>
        <v>Can describe their emotional response to a work and elaborate on the way in which it has evoked this response.</v>
      </c>
      <c r="H892" s="71" t="s">
        <v>2872</v>
      </c>
      <c r="I892" s="79" t="s">
        <v>3089</v>
      </c>
    </row>
    <row r="893" customFormat="false" ht="21.75" hidden="false" customHeight="true" outlineLevel="0" collapsed="false">
      <c r="A893" s="70" t="n">
        <f aca="false">Data!A893</f>
        <v>892</v>
      </c>
      <c r="B893" s="70" t="str">
        <f aca="false">IFERROR(INDEX(対訳マスタ!$C$2:$C$136,MATCH(Data!B893,対訳マスタ!$B$2:$B$136,0)),Data!B893)</f>
        <v>コミュニケーション言語活動</v>
      </c>
      <c r="C893" s="70" t="str">
        <f aca="false">IF(Data!C893="—","—",IFERROR(INDEX(対訳マスタ!$C$2:$C$136,MATCH(Data!C893,対訳マスタ!$B$2:$B$136,0)),Data!C893))</f>
        <v>仲介</v>
      </c>
      <c r="D893" s="70" t="str">
        <f aca="false">IF(Data!D893="—","—",IFERROR(INDEX(対訳マスタ!$C$2:$C$136,MATCH(Data!D893,対訳マスタ!$B$2:$B$136,0)),Data!D893))</f>
        <v>テキストの仲介</v>
      </c>
      <c r="E893" s="70" t="str">
        <f aca="false">IFERROR(INDEX(対訳マスタ!$C$2:$C$136,MATCH(Data!E893,対訳マスタ!$B$2:$B$136,0)),Data!E893)</f>
        <v>創作テキストへの個人的な反応の表現</v>
      </c>
      <c r="F893" s="70" t="str">
        <f aca="false">Data!F893</f>
        <v>B2</v>
      </c>
      <c r="G893" s="31" t="str">
        <f aca="false">Data!G893</f>
        <v>Can express in some detail their reactions to the form of expression, style and content of a work, explaining what they appreciated and why.</v>
      </c>
      <c r="H893" s="71" t="s">
        <v>3461</v>
      </c>
      <c r="I893" s="79" t="s">
        <v>3089</v>
      </c>
    </row>
    <row r="894" customFormat="false" ht="15" hidden="false" customHeight="true" outlineLevel="0" collapsed="false">
      <c r="A894" s="70" t="n">
        <f aca="false">Data!A894</f>
        <v>893</v>
      </c>
      <c r="B894" s="70" t="str">
        <f aca="false">IFERROR(INDEX(対訳マスタ!$C$2:$C$136,MATCH(Data!B894,対訳マスタ!$B$2:$B$136,0)),Data!B894)</f>
        <v>コミュニケーション言語活動</v>
      </c>
      <c r="C894" s="70" t="str">
        <f aca="false">IF(Data!C894="—","—",IFERROR(INDEX(対訳マスタ!$C$2:$C$136,MATCH(Data!C894,対訳マスタ!$B$2:$B$136,0)),Data!C894))</f>
        <v>仲介</v>
      </c>
      <c r="D894" s="70" t="str">
        <f aca="false">IF(Data!D894="—","—",IFERROR(INDEX(対訳マスタ!$C$2:$C$136,MATCH(Data!D894,対訳マスタ!$B$2:$B$136,0)),Data!D894))</f>
        <v>テキストの仲介</v>
      </c>
      <c r="E894" s="70" t="str">
        <f aca="false">IFERROR(INDEX(対訳マスタ!$C$2:$C$136,MATCH(Data!E894,対訳マスタ!$B$2:$B$136,0)),Data!E894)</f>
        <v>創作テキストへの個人的な反応の表現</v>
      </c>
      <c r="F894" s="70" t="str">
        <f aca="false">Data!F894</f>
        <v>B1</v>
      </c>
      <c r="G894" s="31" t="str">
        <f aca="false">Data!G894</f>
        <v>Can explain why certain parts or aspects of a work especially interested them.</v>
      </c>
      <c r="H894" s="71" t="s">
        <v>3462</v>
      </c>
      <c r="I894" s="79" t="s">
        <v>3089</v>
      </c>
    </row>
    <row r="895" customFormat="false" ht="15" hidden="false" customHeight="true" outlineLevel="0" collapsed="false">
      <c r="A895" s="70" t="n">
        <f aca="false">Data!A895</f>
        <v>894</v>
      </c>
      <c r="B895" s="70" t="str">
        <f aca="false">IFERROR(INDEX(対訳マスタ!$C$2:$C$136,MATCH(Data!B895,対訳マスタ!$B$2:$B$136,0)),Data!B895)</f>
        <v>コミュニケーション言語活動</v>
      </c>
      <c r="C895" s="70" t="str">
        <f aca="false">IF(Data!C895="—","—",IFERROR(INDEX(対訳マスタ!$C$2:$C$136,MATCH(Data!C895,対訳マスタ!$B$2:$B$136,0)),Data!C895))</f>
        <v>仲介</v>
      </c>
      <c r="D895" s="70" t="str">
        <f aca="false">IF(Data!D895="—","—",IFERROR(INDEX(対訳マスタ!$C$2:$C$136,MATCH(Data!D895,対訳マスタ!$B$2:$B$136,0)),Data!D895))</f>
        <v>テキストの仲介</v>
      </c>
      <c r="E895" s="70" t="str">
        <f aca="false">IFERROR(INDEX(対訳マスタ!$C$2:$C$136,MATCH(Data!E895,対訳マスタ!$B$2:$B$136,0)),Data!E895)</f>
        <v>創作テキストへの個人的な反応の表現</v>
      </c>
      <c r="F895" s="70" t="str">
        <f aca="false">Data!F895</f>
        <v>B1</v>
      </c>
      <c r="G895" s="31" t="str">
        <f aca="false">Data!G895</f>
        <v>Can explain in some detail which character they most identified with and why.</v>
      </c>
      <c r="H895" s="71" t="s">
        <v>3463</v>
      </c>
      <c r="I895" s="79" t="s">
        <v>3089</v>
      </c>
    </row>
    <row r="896" customFormat="false" ht="21.75" hidden="false" customHeight="true" outlineLevel="0" collapsed="false">
      <c r="A896" s="70" t="n">
        <f aca="false">Data!A896</f>
        <v>895</v>
      </c>
      <c r="B896" s="70" t="str">
        <f aca="false">IFERROR(INDEX(対訳マスタ!$C$2:$C$136,MATCH(Data!B896,対訳マスタ!$B$2:$B$136,0)),Data!B896)</f>
        <v>コミュニケーション言語活動</v>
      </c>
      <c r="C896" s="70" t="str">
        <f aca="false">IF(Data!C896="—","—",IFERROR(INDEX(対訳マスタ!$C$2:$C$136,MATCH(Data!C896,対訳マスタ!$B$2:$B$136,0)),Data!C896))</f>
        <v>仲介</v>
      </c>
      <c r="D896" s="70" t="str">
        <f aca="false">IF(Data!D896="—","—",IFERROR(INDEX(対訳マスタ!$C$2:$C$136,MATCH(Data!D896,対訳マスタ!$B$2:$B$136,0)),Data!D896))</f>
        <v>テキストの仲介</v>
      </c>
      <c r="E896" s="70" t="str">
        <f aca="false">IFERROR(INDEX(対訳マスタ!$C$2:$C$136,MATCH(Data!E896,対訳マスタ!$B$2:$B$136,0)),Data!E896)</f>
        <v>創作テキストへの個人的な反応の表現</v>
      </c>
      <c r="F896" s="70" t="str">
        <f aca="false">Data!F896</f>
        <v>B1</v>
      </c>
      <c r="G896" s="31" t="str">
        <f aca="false">Data!G896</f>
        <v>Can relate events in a story, film or play to similar events they have experienced or heard about.</v>
      </c>
      <c r="H896" s="71" t="s">
        <v>3464</v>
      </c>
      <c r="I896" s="79" t="s">
        <v>3089</v>
      </c>
    </row>
    <row r="897" customFormat="false" ht="15" hidden="false" customHeight="true" outlineLevel="0" collapsed="false">
      <c r="A897" s="70" t="n">
        <f aca="false">Data!A897</f>
        <v>896</v>
      </c>
      <c r="B897" s="70" t="str">
        <f aca="false">IFERROR(INDEX(対訳マスタ!$C$2:$C$136,MATCH(Data!B897,対訳マスタ!$B$2:$B$136,0)),Data!B897)</f>
        <v>コミュニケーション言語活動</v>
      </c>
      <c r="C897" s="70" t="str">
        <f aca="false">IF(Data!C897="—","—",IFERROR(INDEX(対訳マスタ!$C$2:$C$136,MATCH(Data!C897,対訳マスタ!$B$2:$B$136,0)),Data!C897))</f>
        <v>仲介</v>
      </c>
      <c r="D897" s="70" t="str">
        <f aca="false">IF(Data!D897="—","—",IFERROR(INDEX(対訳マスタ!$C$2:$C$136,MATCH(Data!D897,対訳マスタ!$B$2:$B$136,0)),Data!D897))</f>
        <v>テキストの仲介</v>
      </c>
      <c r="E897" s="70" t="str">
        <f aca="false">IFERROR(INDEX(対訳マスタ!$C$2:$C$136,MATCH(Data!E897,対訳マスタ!$B$2:$B$136,0)),Data!E897)</f>
        <v>創作テキストへの個人的な反応の表現</v>
      </c>
      <c r="F897" s="70" t="str">
        <f aca="false">Data!F897</f>
        <v>B1</v>
      </c>
      <c r="G897" s="31" t="str">
        <f aca="false">Data!G897</f>
        <v>Can relate the emotions experienced by a character to emotions they have experienced.</v>
      </c>
      <c r="H897" s="71" t="s">
        <v>3465</v>
      </c>
      <c r="I897" s="79" t="s">
        <v>3089</v>
      </c>
    </row>
    <row r="898" customFormat="false" ht="21.75" hidden="false" customHeight="true" outlineLevel="0" collapsed="false">
      <c r="A898" s="70" t="n">
        <f aca="false">Data!A898</f>
        <v>897</v>
      </c>
      <c r="B898" s="70" t="str">
        <f aca="false">IFERROR(INDEX(対訳マスタ!$C$2:$C$136,MATCH(Data!B898,対訳マスタ!$B$2:$B$136,0)),Data!B898)</f>
        <v>コミュニケーション言語活動</v>
      </c>
      <c r="C898" s="70" t="str">
        <f aca="false">IF(Data!C898="—","—",IFERROR(INDEX(対訳マスタ!$C$2:$C$136,MATCH(Data!C898,対訳マスタ!$B$2:$B$136,0)),Data!C898))</f>
        <v>仲介</v>
      </c>
      <c r="D898" s="70" t="str">
        <f aca="false">IF(Data!D898="—","—",IFERROR(INDEX(対訳マスタ!$C$2:$C$136,MATCH(Data!D898,対訳マスタ!$B$2:$B$136,0)),Data!D898))</f>
        <v>テキストの仲介</v>
      </c>
      <c r="E898" s="70" t="str">
        <f aca="false">IFERROR(INDEX(対訳マスタ!$C$2:$C$136,MATCH(Data!E898,対訳マスタ!$B$2:$B$136,0)),Data!E898)</f>
        <v>創作テキストへの個人的な反応の表現</v>
      </c>
      <c r="F898" s="70" t="str">
        <f aca="false">Data!F898</f>
        <v>B1</v>
      </c>
      <c r="G898" s="31" t="str">
        <f aca="false">Data!G898</f>
        <v>Can describe the emotions they experienced at a certain point in a story, e.g. the point(s) in a story when they became anxious for a character, and explain why.</v>
      </c>
      <c r="H898" s="71" t="s">
        <v>3466</v>
      </c>
      <c r="I898" s="79" t="s">
        <v>3089</v>
      </c>
    </row>
    <row r="899" customFormat="false" ht="15" hidden="false" customHeight="true" outlineLevel="0" collapsed="false">
      <c r="A899" s="70" t="n">
        <f aca="false">Data!A899</f>
        <v>898</v>
      </c>
      <c r="B899" s="70" t="str">
        <f aca="false">IFERROR(INDEX(対訳マスタ!$C$2:$C$136,MATCH(Data!B899,対訳マスタ!$B$2:$B$136,0)),Data!B899)</f>
        <v>コミュニケーション言語活動</v>
      </c>
      <c r="C899" s="70" t="str">
        <f aca="false">IF(Data!C899="—","—",IFERROR(INDEX(対訳マスタ!$C$2:$C$136,MATCH(Data!C899,対訳マスタ!$B$2:$B$136,0)),Data!C899))</f>
        <v>仲介</v>
      </c>
      <c r="D899" s="70" t="str">
        <f aca="false">IF(Data!D899="—","—",IFERROR(INDEX(対訳マスタ!$C$2:$C$136,MATCH(Data!D899,対訳マスタ!$B$2:$B$136,0)),Data!D899))</f>
        <v>テキストの仲介</v>
      </c>
      <c r="E899" s="70" t="str">
        <f aca="false">IFERROR(INDEX(対訳マスタ!$C$2:$C$136,MATCH(Data!E899,対訳マスタ!$B$2:$B$136,0)),Data!E899)</f>
        <v>創作テキストへの個人的な反応の表現</v>
      </c>
      <c r="F899" s="70" t="str">
        <f aca="false">Data!F899</f>
        <v>B1</v>
      </c>
      <c r="G899" s="31" t="str">
        <f aca="false">Data!G899</f>
        <v>Can explain briefly the feelings and opinions that a work provoked in them.</v>
      </c>
      <c r="H899" s="71" t="s">
        <v>3467</v>
      </c>
      <c r="I899" s="79" t="s">
        <v>3089</v>
      </c>
    </row>
    <row r="900" customFormat="false" ht="15" hidden="false" customHeight="true" outlineLevel="0" collapsed="false">
      <c r="A900" s="70" t="n">
        <f aca="false">Data!A900</f>
        <v>899</v>
      </c>
      <c r="B900" s="70" t="str">
        <f aca="false">IFERROR(INDEX(対訳マスタ!$C$2:$C$136,MATCH(Data!B900,対訳マスタ!$B$2:$B$136,0)),Data!B900)</f>
        <v>コミュニケーション言語活動</v>
      </c>
      <c r="C900" s="70" t="str">
        <f aca="false">IF(Data!C900="—","—",IFERROR(INDEX(対訳マスタ!$C$2:$C$136,MATCH(Data!C900,対訳マスタ!$B$2:$B$136,0)),Data!C900))</f>
        <v>仲介</v>
      </c>
      <c r="D900" s="70" t="str">
        <f aca="false">IF(Data!D900="—","—",IFERROR(INDEX(対訳マスタ!$C$2:$C$136,MATCH(Data!D900,対訳マスタ!$B$2:$B$136,0)),Data!D900))</f>
        <v>テキストの仲介</v>
      </c>
      <c r="E900" s="70" t="str">
        <f aca="false">IFERROR(INDEX(対訳マスタ!$C$2:$C$136,MATCH(Data!E900,対訳マスタ!$B$2:$B$136,0)),Data!E900)</f>
        <v>創作テキストへの個人的な反応の表現</v>
      </c>
      <c r="F900" s="70" t="str">
        <f aca="false">Data!F900</f>
        <v>B1</v>
      </c>
      <c r="G900" s="31" t="str">
        <f aca="false">Data!G900</f>
        <v>Can describe the personality of a character.</v>
      </c>
      <c r="H900" s="71" t="s">
        <v>2871</v>
      </c>
      <c r="I900" s="79" t="s">
        <v>3089</v>
      </c>
    </row>
    <row r="901" customFormat="false" ht="15" hidden="false" customHeight="true" outlineLevel="0" collapsed="false">
      <c r="A901" s="70" t="n">
        <f aca="false">Data!A901</f>
        <v>900</v>
      </c>
      <c r="B901" s="70" t="str">
        <f aca="false">IFERROR(INDEX(対訳マスタ!$C$2:$C$136,MATCH(Data!B901,対訳マスタ!$B$2:$B$136,0)),Data!B901)</f>
        <v>コミュニケーション言語活動</v>
      </c>
      <c r="C901" s="70" t="str">
        <f aca="false">IF(Data!C901="—","—",IFERROR(INDEX(対訳マスタ!$C$2:$C$136,MATCH(Data!C901,対訳マスタ!$B$2:$B$136,0)),Data!C901))</f>
        <v>仲介</v>
      </c>
      <c r="D901" s="70" t="str">
        <f aca="false">IF(Data!D901="—","—",IFERROR(INDEX(対訳マスタ!$C$2:$C$136,MATCH(Data!D901,対訳マスタ!$B$2:$B$136,0)),Data!D901))</f>
        <v>テキストの仲介</v>
      </c>
      <c r="E901" s="70" t="str">
        <f aca="false">IFERROR(INDEX(対訳マスタ!$C$2:$C$136,MATCH(Data!E901,対訳マスタ!$B$2:$B$136,0)),Data!E901)</f>
        <v>創作テキストへの個人的な反応の表現</v>
      </c>
      <c r="F901" s="70" t="str">
        <f aca="false">Data!F901</f>
        <v>B1</v>
      </c>
      <c r="G901" s="31" t="str">
        <f aca="false">Data!G901</f>
        <v>Can describe a character’s feelings and explain the reasons for them.</v>
      </c>
      <c r="H901" s="71" t="s">
        <v>3468</v>
      </c>
      <c r="I901" s="79" t="s">
        <v>3089</v>
      </c>
    </row>
    <row r="902" customFormat="false" ht="21.75" hidden="false" customHeight="true" outlineLevel="0" collapsed="false">
      <c r="A902" s="70" t="n">
        <f aca="false">Data!A902</f>
        <v>901</v>
      </c>
      <c r="B902" s="70" t="str">
        <f aca="false">IFERROR(INDEX(対訳マスタ!$C$2:$C$136,MATCH(Data!B902,対訳マスタ!$B$2:$B$136,0)),Data!B902)</f>
        <v>コミュニケーション言語活動</v>
      </c>
      <c r="C902" s="70" t="str">
        <f aca="false">IF(Data!C902="—","—",IFERROR(INDEX(対訳マスタ!$C$2:$C$136,MATCH(Data!C902,対訳マスタ!$B$2:$B$136,0)),Data!C902))</f>
        <v>仲介</v>
      </c>
      <c r="D902" s="70" t="str">
        <f aca="false">IF(Data!D902="—","—",IFERROR(INDEX(対訳マスタ!$C$2:$C$136,MATCH(Data!D902,対訳マスタ!$B$2:$B$136,0)),Data!D902))</f>
        <v>テキストの仲介</v>
      </c>
      <c r="E902" s="70" t="str">
        <f aca="false">IFERROR(INDEX(対訳マスタ!$C$2:$C$136,MATCH(Data!E902,対訳マスタ!$B$2:$B$136,0)),Data!E902)</f>
        <v>創作テキストへの個人的な反応の表現</v>
      </c>
      <c r="F902" s="70" t="str">
        <f aca="false">Data!F902</f>
        <v>A2</v>
      </c>
      <c r="G902" s="31" t="str">
        <f aca="false">Data!G902</f>
        <v>Can express their reactions to a work, reporting their feelings and ideas in simple language.</v>
      </c>
      <c r="H902" s="71" t="s">
        <v>3469</v>
      </c>
      <c r="I902" s="79" t="s">
        <v>3089</v>
      </c>
    </row>
    <row r="903" customFormat="false" ht="15" hidden="false" customHeight="true" outlineLevel="0" collapsed="false">
      <c r="A903" s="70" t="n">
        <f aca="false">Data!A903</f>
        <v>902</v>
      </c>
      <c r="B903" s="70" t="str">
        <f aca="false">IFERROR(INDEX(対訳マスタ!$C$2:$C$136,MATCH(Data!B903,対訳マスタ!$B$2:$B$136,0)),Data!B903)</f>
        <v>コミュニケーション言語活動</v>
      </c>
      <c r="C903" s="70" t="str">
        <f aca="false">IF(Data!C903="—","—",IFERROR(INDEX(対訳マスタ!$C$2:$C$136,MATCH(Data!C903,対訳マスタ!$B$2:$B$136,0)),Data!C903))</f>
        <v>仲介</v>
      </c>
      <c r="D903" s="70" t="str">
        <f aca="false">IF(Data!D903="—","—",IFERROR(INDEX(対訳マスタ!$C$2:$C$136,MATCH(Data!D903,対訳マスタ!$B$2:$B$136,0)),Data!D903))</f>
        <v>テキストの仲介</v>
      </c>
      <c r="E903" s="70" t="str">
        <f aca="false">IFERROR(INDEX(対訳マスタ!$C$2:$C$136,MATCH(Data!E903,対訳マスタ!$B$2:$B$136,0)),Data!E903)</f>
        <v>創作テキストへの個人的な反応の表現</v>
      </c>
      <c r="F903" s="70" t="str">
        <f aca="false">Data!F903</f>
        <v>A2</v>
      </c>
      <c r="G903" s="31" t="str">
        <f aca="false">Data!G903</f>
        <v>Can state in simple language which aspects of a work especially interested them.</v>
      </c>
      <c r="H903" s="71" t="s">
        <v>3470</v>
      </c>
      <c r="I903" s="79" t="s">
        <v>3089</v>
      </c>
    </row>
    <row r="904" customFormat="false" ht="15" hidden="false" customHeight="true" outlineLevel="0" collapsed="false">
      <c r="A904" s="70" t="n">
        <f aca="false">Data!A904</f>
        <v>903</v>
      </c>
      <c r="B904" s="70" t="str">
        <f aca="false">IFERROR(INDEX(対訳マスタ!$C$2:$C$136,MATCH(Data!B904,対訳マスタ!$B$2:$B$136,0)),Data!B904)</f>
        <v>コミュニケーション言語活動</v>
      </c>
      <c r="C904" s="70" t="str">
        <f aca="false">IF(Data!C904="—","—",IFERROR(INDEX(対訳マスタ!$C$2:$C$136,MATCH(Data!C904,対訳マスタ!$B$2:$B$136,0)),Data!C904))</f>
        <v>仲介</v>
      </c>
      <c r="D904" s="70" t="str">
        <f aca="false">IF(Data!D904="—","—",IFERROR(INDEX(対訳マスタ!$C$2:$C$136,MATCH(Data!D904,対訳マスタ!$B$2:$B$136,0)),Data!D904))</f>
        <v>テキストの仲介</v>
      </c>
      <c r="E904" s="70" t="str">
        <f aca="false">IFERROR(INDEX(対訳マスタ!$C$2:$C$136,MATCH(Data!E904,対訳マスタ!$B$2:$B$136,0)),Data!E904)</f>
        <v>創作テキストへの個人的な反応の表現</v>
      </c>
      <c r="F904" s="70" t="str">
        <f aca="false">Data!F904</f>
        <v>A2</v>
      </c>
      <c r="G904" s="31" t="str">
        <f aca="false">Data!G904</f>
        <v>Can state whether they liked a work or not and explain why in simple language.</v>
      </c>
      <c r="H904" s="71" t="s">
        <v>2870</v>
      </c>
      <c r="I904" s="79" t="s">
        <v>3089</v>
      </c>
    </row>
    <row r="905" customFormat="false" ht="15" hidden="false" customHeight="true" outlineLevel="0" collapsed="false">
      <c r="A905" s="70" t="n">
        <f aca="false">Data!A905</f>
        <v>904</v>
      </c>
      <c r="B905" s="70" t="str">
        <f aca="false">IFERROR(INDEX(対訳マスタ!$C$2:$C$136,MATCH(Data!B905,対訳マスタ!$B$2:$B$136,0)),Data!B905)</f>
        <v>コミュニケーション言語活動</v>
      </c>
      <c r="C905" s="70" t="str">
        <f aca="false">IF(Data!C905="—","—",IFERROR(INDEX(対訳マスタ!$C$2:$C$136,MATCH(Data!C905,対訳マスタ!$B$2:$B$136,0)),Data!C905))</f>
        <v>仲介</v>
      </c>
      <c r="D905" s="70" t="str">
        <f aca="false">IF(Data!D905="—","—",IFERROR(INDEX(対訳マスタ!$C$2:$C$136,MATCH(Data!D905,対訳マスタ!$B$2:$B$136,0)),Data!D905))</f>
        <v>テキストの仲介</v>
      </c>
      <c r="E905" s="70" t="str">
        <f aca="false">IFERROR(INDEX(対訳マスタ!$C$2:$C$136,MATCH(Data!E905,対訳マスタ!$B$2:$B$136,0)),Data!E905)</f>
        <v>創作テキストへの個人的な反応の表現</v>
      </c>
      <c r="F905" s="70" t="str">
        <f aca="false">Data!F905</f>
        <v>A1</v>
      </c>
      <c r="G905" s="31" t="str">
        <f aca="false">Data!G905</f>
        <v>Can use simple words/signs to state how a work made them feel.</v>
      </c>
      <c r="H905" s="71" t="s">
        <v>2869</v>
      </c>
      <c r="I905" s="79" t="s">
        <v>3089</v>
      </c>
    </row>
    <row r="906" customFormat="false" ht="15" hidden="false" customHeight="true" outlineLevel="0" collapsed="false">
      <c r="A906" s="80" t="n">
        <f aca="false">Data!A906</f>
        <v>905</v>
      </c>
      <c r="B906" s="80" t="str">
        <f aca="false">IFERROR(INDEX(対訳マスタ!$C$2:$C$136,MATCH(Data!B906,対訳マスタ!$B$2:$B$136,0)),Data!B906)</f>
        <v>コミュニケーション言語活動</v>
      </c>
      <c r="C906" s="80" t="str">
        <f aca="false">IF(Data!C906="—","—",IFERROR(INDEX(対訳マスタ!$C$2:$C$136,MATCH(Data!C906,対訳マスタ!$B$2:$B$136,0)),Data!C906))</f>
        <v>仲介</v>
      </c>
      <c r="D906" s="80" t="str">
        <f aca="false">IF(Data!D906="—","—",IFERROR(INDEX(対訳マスタ!$C$2:$C$136,MATCH(Data!D906,対訳マスタ!$B$2:$B$136,0)),Data!D906))</f>
        <v>テキストの仲介</v>
      </c>
      <c r="E906" s="80" t="str">
        <f aca="false">IFERROR(INDEX(対訳マスタ!$C$2:$C$136,MATCH(Data!E906,対訳マスタ!$B$2:$B$136,0)),Data!E906)</f>
        <v>創作テキストへの個人的な反応の表現</v>
      </c>
      <c r="F906" s="80" t="str">
        <f aca="false">Data!F906</f>
        <v>Pre-A1</v>
      </c>
      <c r="G906" s="81" t="str">
        <f aca="false">Data!G906</f>
        <v>No descriptors available</v>
      </c>
      <c r="H906" s="81" t="s">
        <v>624</v>
      </c>
      <c r="I906" s="80" t="s">
        <v>624</v>
      </c>
    </row>
    <row r="907" customFormat="false" ht="32.25" hidden="false" customHeight="true" outlineLevel="0" collapsed="false">
      <c r="A907" s="70" t="n">
        <f aca="false">Data!A907</f>
        <v>906</v>
      </c>
      <c r="B907" s="70" t="str">
        <f aca="false">IFERROR(INDEX(対訳マスタ!$C$2:$C$136,MATCH(Data!B907,対訳マスタ!$B$2:$B$136,0)),Data!B907)</f>
        <v>コミュニケーション言語活動</v>
      </c>
      <c r="C907" s="70" t="str">
        <f aca="false">IF(Data!C907="—","—",IFERROR(INDEX(対訳マスタ!$C$2:$C$136,MATCH(Data!C907,対訳マスタ!$B$2:$B$136,0)),Data!C907))</f>
        <v>仲介</v>
      </c>
      <c r="D907" s="70" t="str">
        <f aca="false">IF(Data!D907="—","—",IFERROR(INDEX(対訳マスタ!$C$2:$C$136,MATCH(Data!D907,対訳マスタ!$B$2:$B$136,0)),Data!D907))</f>
        <v>テキストの仲介</v>
      </c>
      <c r="E907" s="70" t="str">
        <f aca="false">IFERROR(INDEX(対訳マスタ!$C$2:$C$136,MATCH(Data!E907,対訳マスタ!$B$2:$B$136,0)),Data!E907)</f>
        <v>創作テキストの分析と批評（文学を含む）</v>
      </c>
      <c r="F907" s="70" t="str">
        <f aca="false">Data!F907</f>
        <v>C2</v>
      </c>
      <c r="G907" s="31" t="str">
        <f aca="false">Data!G907</f>
        <v>Can give a critical appraisal of work of different periods and genres (e.g. novels, poems and plays), appreciating subtle distinctions of style and implicit as well as explicit meaning.</v>
      </c>
      <c r="H907" s="71" t="s">
        <v>3471</v>
      </c>
      <c r="I907" s="79" t="s">
        <v>3089</v>
      </c>
    </row>
    <row r="908" customFormat="false" ht="32.25" hidden="false" customHeight="true" outlineLevel="0" collapsed="false">
      <c r="A908" s="70" t="n">
        <f aca="false">Data!A908</f>
        <v>907</v>
      </c>
      <c r="B908" s="70" t="str">
        <f aca="false">IFERROR(INDEX(対訳マスタ!$C$2:$C$136,MATCH(Data!B908,対訳マスタ!$B$2:$B$136,0)),Data!B908)</f>
        <v>コミュニケーション言語活動</v>
      </c>
      <c r="C908" s="70" t="str">
        <f aca="false">IF(Data!C908="—","—",IFERROR(INDEX(対訳マスタ!$C$2:$C$136,MATCH(Data!C908,対訳マスタ!$B$2:$B$136,0)),Data!C908))</f>
        <v>仲介</v>
      </c>
      <c r="D908" s="70" t="str">
        <f aca="false">IF(Data!D908="—","—",IFERROR(INDEX(対訳マスタ!$C$2:$C$136,MATCH(Data!D908,対訳マスタ!$B$2:$B$136,0)),Data!D908))</f>
        <v>テキストの仲介</v>
      </c>
      <c r="E908" s="70" t="str">
        <f aca="false">IFERROR(INDEX(対訳マスタ!$C$2:$C$136,MATCH(Data!E908,対訳マスタ!$B$2:$B$136,0)),Data!E908)</f>
        <v>創作テキストの分析と批評（文学を含む）</v>
      </c>
      <c r="F908" s="70" t="str">
        <f aca="false">Data!F908</f>
        <v>C2</v>
      </c>
      <c r="G908" s="31" t="str">
        <f aca="false">Data!G908</f>
        <v>Can recognise the finer subtleties of nuanced language, rhetorical effect and stylistic language use (e.g. metaphors, abnormal syntax, ambiguity), interpreting and “unpacking” meanings and connotations.</v>
      </c>
      <c r="H908" s="71" t="s">
        <v>3472</v>
      </c>
      <c r="I908" s="79" t="s">
        <v>3089</v>
      </c>
    </row>
    <row r="909" customFormat="false" ht="32.25" hidden="false" customHeight="true" outlineLevel="0" collapsed="false">
      <c r="A909" s="70" t="n">
        <f aca="false">Data!A909</f>
        <v>908</v>
      </c>
      <c r="B909" s="70" t="str">
        <f aca="false">IFERROR(INDEX(対訳マスタ!$C$2:$C$136,MATCH(Data!B909,対訳マスタ!$B$2:$B$136,0)),Data!B909)</f>
        <v>コミュニケーション言語活動</v>
      </c>
      <c r="C909" s="70" t="str">
        <f aca="false">IF(Data!C909="—","—",IFERROR(INDEX(対訳マスタ!$C$2:$C$136,MATCH(Data!C909,対訳マスタ!$B$2:$B$136,0)),Data!C909))</f>
        <v>仲介</v>
      </c>
      <c r="D909" s="70" t="str">
        <f aca="false">IF(Data!D909="—","—",IFERROR(INDEX(対訳マスタ!$C$2:$C$136,MATCH(Data!D909,対訳マスタ!$B$2:$B$136,0)),Data!D909))</f>
        <v>テキストの仲介</v>
      </c>
      <c r="E909" s="70" t="str">
        <f aca="false">IFERROR(INDEX(対訳マスタ!$C$2:$C$136,MATCH(Data!E909,対訳マスタ!$B$2:$B$136,0)),Data!E909)</f>
        <v>創作テキストの分析と批評（文学を含む）</v>
      </c>
      <c r="F909" s="70" t="str">
        <f aca="false">Data!F909</f>
        <v>C2</v>
      </c>
      <c r="G909" s="31" t="str">
        <f aca="false">Data!G909</f>
        <v>Can critically evaluate the way in which structure, language and rhetorical devices are exploited in a work for a particular purpose and give a reasoned argument concerning their appropriateness and effectiveness.</v>
      </c>
      <c r="H909" s="71" t="s">
        <v>3473</v>
      </c>
      <c r="I909" s="79" t="s">
        <v>3089</v>
      </c>
    </row>
    <row r="910" customFormat="false" ht="21.75" hidden="false" customHeight="true" outlineLevel="0" collapsed="false">
      <c r="A910" s="70" t="n">
        <f aca="false">Data!A910</f>
        <v>909</v>
      </c>
      <c r="B910" s="70" t="str">
        <f aca="false">IFERROR(INDEX(対訳マスタ!$C$2:$C$136,MATCH(Data!B910,対訳マスタ!$B$2:$B$136,0)),Data!B910)</f>
        <v>コミュニケーション言語活動</v>
      </c>
      <c r="C910" s="70" t="str">
        <f aca="false">IF(Data!C910="—","—",IFERROR(INDEX(対訳マスタ!$C$2:$C$136,MATCH(Data!C910,対訳マスタ!$B$2:$B$136,0)),Data!C910))</f>
        <v>仲介</v>
      </c>
      <c r="D910" s="70" t="str">
        <f aca="false">IF(Data!D910="—","—",IFERROR(INDEX(対訳マスタ!$C$2:$C$136,MATCH(Data!D910,対訳マスタ!$B$2:$B$136,0)),Data!D910))</f>
        <v>テキストの仲介</v>
      </c>
      <c r="E910" s="70" t="str">
        <f aca="false">IFERROR(INDEX(対訳マスタ!$C$2:$C$136,MATCH(Data!E910,対訳マスタ!$B$2:$B$136,0)),Data!E910)</f>
        <v>創作テキストの分析と批評（文学を含む）</v>
      </c>
      <c r="F910" s="70" t="str">
        <f aca="false">Data!F910</f>
        <v>C2</v>
      </c>
      <c r="G910" s="31" t="str">
        <f aca="false">Data!G910</f>
        <v>Can give a critical appreciation of deliberate breaches of linguistic conventions in a piece of writing.</v>
      </c>
      <c r="H910" s="71" t="s">
        <v>2878</v>
      </c>
      <c r="I910" s="79" t="s">
        <v>3089</v>
      </c>
    </row>
    <row r="911" customFormat="false" ht="21.75" hidden="false" customHeight="true" outlineLevel="0" collapsed="false">
      <c r="A911" s="70" t="n">
        <f aca="false">Data!A911</f>
        <v>910</v>
      </c>
      <c r="B911" s="70" t="str">
        <f aca="false">IFERROR(INDEX(対訳マスタ!$C$2:$C$136,MATCH(Data!B911,対訳マスタ!$B$2:$B$136,0)),Data!B911)</f>
        <v>コミュニケーション言語活動</v>
      </c>
      <c r="C911" s="70" t="str">
        <f aca="false">IF(Data!C911="—","—",IFERROR(INDEX(対訳マスタ!$C$2:$C$136,MATCH(Data!C911,対訳マスタ!$B$2:$B$136,0)),Data!C911))</f>
        <v>仲介</v>
      </c>
      <c r="D911" s="70" t="str">
        <f aca="false">IF(Data!D911="—","—",IFERROR(INDEX(対訳マスタ!$C$2:$C$136,MATCH(Data!D911,対訳マスタ!$B$2:$B$136,0)),Data!D911))</f>
        <v>テキストの仲介</v>
      </c>
      <c r="E911" s="70" t="str">
        <f aca="false">IFERROR(INDEX(対訳マスタ!$C$2:$C$136,MATCH(Data!E911,対訳マスタ!$B$2:$B$136,0)),Data!E911)</f>
        <v>創作テキストの分析と批評（文学を含む）</v>
      </c>
      <c r="F911" s="70" t="str">
        <f aca="false">Data!F911</f>
        <v>C1</v>
      </c>
      <c r="G911" s="31" t="str">
        <f aca="false">Data!G911</f>
        <v>Can critically appraise a wide variety of texts including literary works of different periods and genres.</v>
      </c>
      <c r="H911" s="71" t="s">
        <v>3474</v>
      </c>
      <c r="I911" s="79" t="s">
        <v>3089</v>
      </c>
    </row>
    <row r="912" customFormat="false" ht="15" hidden="false" customHeight="true" outlineLevel="0" collapsed="false">
      <c r="A912" s="70" t="n">
        <f aca="false">Data!A912</f>
        <v>911</v>
      </c>
      <c r="B912" s="70" t="str">
        <f aca="false">IFERROR(INDEX(対訳マスタ!$C$2:$C$136,MATCH(Data!B912,対訳マスタ!$B$2:$B$136,0)),Data!B912)</f>
        <v>コミュニケーション言語活動</v>
      </c>
      <c r="C912" s="70" t="str">
        <f aca="false">IF(Data!C912="—","—",IFERROR(INDEX(対訳マスタ!$C$2:$C$136,MATCH(Data!C912,対訳マスタ!$B$2:$B$136,0)),Data!C912))</f>
        <v>仲介</v>
      </c>
      <c r="D912" s="70" t="str">
        <f aca="false">IF(Data!D912="—","—",IFERROR(INDEX(対訳マスタ!$C$2:$C$136,MATCH(Data!D912,対訳マスタ!$B$2:$B$136,0)),Data!D912))</f>
        <v>テキストの仲介</v>
      </c>
      <c r="E912" s="70" t="str">
        <f aca="false">IFERROR(INDEX(対訳マスタ!$C$2:$C$136,MATCH(Data!E912,対訳マスタ!$B$2:$B$136,0)),Data!E912)</f>
        <v>創作テキストの分析と批評（文学を含む）</v>
      </c>
      <c r="F912" s="70" t="str">
        <f aca="false">Data!F912</f>
        <v>C1</v>
      </c>
      <c r="G912" s="31" t="str">
        <f aca="false">Data!G912</f>
        <v>Can evaluate the extent to which a work follows the conventions of its genre.</v>
      </c>
      <c r="H912" s="71" t="s">
        <v>2877</v>
      </c>
      <c r="I912" s="79" t="s">
        <v>3089</v>
      </c>
    </row>
    <row r="913" customFormat="false" ht="21.75" hidden="false" customHeight="true" outlineLevel="0" collapsed="false">
      <c r="A913" s="70" t="n">
        <f aca="false">Data!A913</f>
        <v>912</v>
      </c>
      <c r="B913" s="70" t="str">
        <f aca="false">IFERROR(INDEX(対訳マスタ!$C$2:$C$136,MATCH(Data!B913,対訳マスタ!$B$2:$B$136,0)),Data!B913)</f>
        <v>コミュニケーション言語活動</v>
      </c>
      <c r="C913" s="70" t="str">
        <f aca="false">IF(Data!C913="—","—",IFERROR(INDEX(対訳マスタ!$C$2:$C$136,MATCH(Data!C913,対訳マスタ!$B$2:$B$136,0)),Data!C913))</f>
        <v>仲介</v>
      </c>
      <c r="D913" s="70" t="str">
        <f aca="false">IF(Data!D913="—","—",IFERROR(INDEX(対訳マスタ!$C$2:$C$136,MATCH(Data!D913,対訳マスタ!$B$2:$B$136,0)),Data!D913))</f>
        <v>テキストの仲介</v>
      </c>
      <c r="E913" s="70" t="str">
        <f aca="false">IFERROR(INDEX(対訳マスタ!$C$2:$C$136,MATCH(Data!E913,対訳マスタ!$B$2:$B$136,0)),Data!E913)</f>
        <v>創作テキストの分析と批評（文学を含む）</v>
      </c>
      <c r="F913" s="70" t="str">
        <f aca="false">Data!F913</f>
        <v>C1</v>
      </c>
      <c r="G913" s="31" t="str">
        <f aca="false">Data!G913</f>
        <v>Can describe and comment on ways in which the work engages the audience (e.g. by building up and subverting expectations).</v>
      </c>
      <c r="H913" s="71" t="s">
        <v>3475</v>
      </c>
      <c r="I913" s="79" t="s">
        <v>3089</v>
      </c>
    </row>
    <row r="914" customFormat="false" ht="21.75" hidden="false" customHeight="true" outlineLevel="0" collapsed="false">
      <c r="A914" s="70" t="n">
        <f aca="false">Data!A914</f>
        <v>913</v>
      </c>
      <c r="B914" s="70" t="str">
        <f aca="false">IFERROR(INDEX(対訳マスタ!$C$2:$C$136,MATCH(Data!B914,対訳マスタ!$B$2:$B$136,0)),Data!B914)</f>
        <v>コミュニケーション言語活動</v>
      </c>
      <c r="C914" s="70" t="str">
        <f aca="false">IF(Data!C914="—","—",IFERROR(INDEX(対訳マスタ!$C$2:$C$136,MATCH(Data!C914,対訳マスタ!$B$2:$B$136,0)),Data!C914))</f>
        <v>仲介</v>
      </c>
      <c r="D914" s="70" t="str">
        <f aca="false">IF(Data!D914="—","—",IFERROR(INDEX(対訳マスタ!$C$2:$C$136,MATCH(Data!D914,対訳マスタ!$B$2:$B$136,0)),Data!D914))</f>
        <v>テキストの仲介</v>
      </c>
      <c r="E914" s="70" t="str">
        <f aca="false">IFERROR(INDEX(対訳マスタ!$C$2:$C$136,MATCH(Data!E914,対訳マスタ!$B$2:$B$136,0)),Data!E914)</f>
        <v>創作テキストの分析と批評（文学を含む）</v>
      </c>
      <c r="F914" s="70" t="str">
        <f aca="false">Data!F914</f>
        <v>B2</v>
      </c>
      <c r="G914" s="31" t="str">
        <f aca="false">Data!G914</f>
        <v>Can compare two works, considering themes, characters and scenes, exploring similarities and contrasts and explaining the relevance of the connections between them.</v>
      </c>
      <c r="H914" s="71" t="s">
        <v>3476</v>
      </c>
      <c r="I914" s="79" t="s">
        <v>3089</v>
      </c>
    </row>
    <row r="915" customFormat="false" ht="21.75" hidden="false" customHeight="true" outlineLevel="0" collapsed="false">
      <c r="A915" s="70" t="n">
        <f aca="false">Data!A915</f>
        <v>914</v>
      </c>
      <c r="B915" s="70" t="str">
        <f aca="false">IFERROR(INDEX(対訳マスタ!$C$2:$C$136,MATCH(Data!B915,対訳マスタ!$B$2:$B$136,0)),Data!B915)</f>
        <v>コミュニケーション言語活動</v>
      </c>
      <c r="C915" s="70" t="str">
        <f aca="false">IF(Data!C915="—","—",IFERROR(INDEX(対訳マスタ!$C$2:$C$136,MATCH(Data!C915,対訳マスタ!$B$2:$B$136,0)),Data!C915))</f>
        <v>仲介</v>
      </c>
      <c r="D915" s="70" t="str">
        <f aca="false">IF(Data!D915="—","—",IFERROR(INDEX(対訳マスタ!$C$2:$C$136,MATCH(Data!D915,対訳マスタ!$B$2:$B$136,0)),Data!D915))</f>
        <v>テキストの仲介</v>
      </c>
      <c r="E915" s="70" t="str">
        <f aca="false">IFERROR(INDEX(対訳マスタ!$C$2:$C$136,MATCH(Data!E915,対訳マスタ!$B$2:$B$136,0)),Data!E915)</f>
        <v>創作テキストの分析と批評（文学を含む）</v>
      </c>
      <c r="F915" s="70" t="str">
        <f aca="false">Data!F915</f>
        <v>B2</v>
      </c>
      <c r="G915" s="31" t="str">
        <f aca="false">Data!G915</f>
        <v>Can give a reasoned opinion of a work, showing awareness of the thematic, structural and formal features and referring to the opinions and arguments of others.</v>
      </c>
      <c r="H915" s="71" t="s">
        <v>3477</v>
      </c>
      <c r="I915" s="79" t="s">
        <v>3089</v>
      </c>
    </row>
    <row r="916" customFormat="false" ht="21.75" hidden="false" customHeight="true" outlineLevel="0" collapsed="false">
      <c r="A916" s="70" t="n">
        <f aca="false">Data!A916</f>
        <v>915</v>
      </c>
      <c r="B916" s="70" t="str">
        <f aca="false">IFERROR(INDEX(対訳マスタ!$C$2:$C$136,MATCH(Data!B916,対訳マスタ!$B$2:$B$136,0)),Data!B916)</f>
        <v>コミュニケーション言語活動</v>
      </c>
      <c r="C916" s="70" t="str">
        <f aca="false">IF(Data!C916="—","—",IFERROR(INDEX(対訳マスタ!$C$2:$C$136,MATCH(Data!C916,対訳マスタ!$B$2:$B$136,0)),Data!C916))</f>
        <v>仲介</v>
      </c>
      <c r="D916" s="70" t="str">
        <f aca="false">IF(Data!D916="—","—",IFERROR(INDEX(対訳マスタ!$C$2:$C$136,MATCH(Data!D916,対訳マスタ!$B$2:$B$136,0)),Data!D916))</f>
        <v>テキストの仲介</v>
      </c>
      <c r="E916" s="70" t="str">
        <f aca="false">IFERROR(INDEX(対訳マスタ!$C$2:$C$136,MATCH(Data!E916,対訳マスタ!$B$2:$B$136,0)),Data!E916)</f>
        <v>創作テキストの分析と批評（文学を含む）</v>
      </c>
      <c r="F916" s="70" t="str">
        <f aca="false">Data!F916</f>
        <v>B2</v>
      </c>
      <c r="G916" s="31" t="str">
        <f aca="false">Data!G916</f>
        <v>Can evaluate the way the work encourages identification with characters, giving examples.</v>
      </c>
      <c r="H916" s="71" t="s">
        <v>2876</v>
      </c>
      <c r="I916" s="79" t="s">
        <v>3089</v>
      </c>
    </row>
    <row r="917" customFormat="false" ht="21.75" hidden="false" customHeight="true" outlineLevel="0" collapsed="false">
      <c r="A917" s="70" t="n">
        <f aca="false">Data!A917</f>
        <v>916</v>
      </c>
      <c r="B917" s="70" t="str">
        <f aca="false">IFERROR(INDEX(対訳マスタ!$C$2:$C$136,MATCH(Data!B917,対訳マスタ!$B$2:$B$136,0)),Data!B917)</f>
        <v>コミュニケーション言語活動</v>
      </c>
      <c r="C917" s="70" t="str">
        <f aca="false">IF(Data!C917="—","—",IFERROR(INDEX(対訳マスタ!$C$2:$C$136,MATCH(Data!C917,対訳マスタ!$B$2:$B$136,0)),Data!C917))</f>
        <v>仲介</v>
      </c>
      <c r="D917" s="70" t="str">
        <f aca="false">IF(Data!D917="—","—",IFERROR(INDEX(対訳マスタ!$C$2:$C$136,MATCH(Data!D917,対訳マスタ!$B$2:$B$136,0)),Data!D917))</f>
        <v>テキストの仲介</v>
      </c>
      <c r="E917" s="70" t="str">
        <f aca="false">IFERROR(INDEX(対訳マスタ!$C$2:$C$136,MATCH(Data!E917,対訳マスタ!$B$2:$B$136,0)),Data!E917)</f>
        <v>創作テキストの分析と批評（文学を含む）</v>
      </c>
      <c r="F917" s="70" t="str">
        <f aca="false">Data!F917</f>
        <v>B2</v>
      </c>
      <c r="G917" s="31" t="str">
        <f aca="false">Data!G917</f>
        <v>Can describe the way in which different works differ in their treatment of the same theme.</v>
      </c>
      <c r="H917" s="71" t="s">
        <v>3478</v>
      </c>
      <c r="I917" s="79" t="s">
        <v>3089</v>
      </c>
    </row>
    <row r="918" customFormat="false" ht="32.25" hidden="false" customHeight="true" outlineLevel="0" collapsed="false">
      <c r="A918" s="70" t="n">
        <f aca="false">Data!A918</f>
        <v>917</v>
      </c>
      <c r="B918" s="70" t="str">
        <f aca="false">IFERROR(INDEX(対訳マスタ!$C$2:$C$136,MATCH(Data!B918,対訳マスタ!$B$2:$B$136,0)),Data!B918)</f>
        <v>コミュニケーション言語活動</v>
      </c>
      <c r="C918" s="70" t="str">
        <f aca="false">IF(Data!C918="—","—",IFERROR(INDEX(対訳マスタ!$C$2:$C$136,MATCH(Data!C918,対訳マスタ!$B$2:$B$136,0)),Data!C918))</f>
        <v>仲介</v>
      </c>
      <c r="D918" s="70" t="str">
        <f aca="false">IF(Data!D918="—","—",IFERROR(INDEX(対訳マスタ!$C$2:$C$136,MATCH(Data!D918,対訳マスタ!$B$2:$B$136,0)),Data!D918))</f>
        <v>テキストの仲介</v>
      </c>
      <c r="E918" s="70" t="str">
        <f aca="false">IFERROR(INDEX(対訳マスタ!$C$2:$C$136,MATCH(Data!E918,対訳マスタ!$B$2:$B$136,0)),Data!E918)</f>
        <v>創作テキストの分析と批評（文学を含む）</v>
      </c>
      <c r="F918" s="70" t="str">
        <f aca="false">Data!F918</f>
        <v>B1</v>
      </c>
      <c r="G918" s="31" t="str">
        <f aca="false">Data!G918</f>
        <v>Can point out the most important episodes and events in a clearly structured narrative in everyday language and explain the significance of events and the connections between them.</v>
      </c>
      <c r="H918" s="71" t="s">
        <v>3479</v>
      </c>
      <c r="I918" s="79" t="s">
        <v>3089</v>
      </c>
    </row>
    <row r="919" customFormat="false" ht="26.25" hidden="false" customHeight="true" outlineLevel="0" collapsed="false">
      <c r="A919" s="70" t="n">
        <f aca="false">Data!A919</f>
        <v>918</v>
      </c>
      <c r="B919" s="70" t="str">
        <f aca="false">IFERROR(INDEX(対訳マスタ!$C$2:$C$136,MATCH(Data!B919,対訳マスタ!$B$2:$B$136,0)),Data!B919)</f>
        <v>コミュニケーション言語活動</v>
      </c>
      <c r="C919" s="70" t="str">
        <f aca="false">IF(Data!C919="—","—",IFERROR(INDEX(対訳マスタ!$C$2:$C$136,MATCH(Data!C919,対訳マスタ!$B$2:$B$136,0)),Data!C919))</f>
        <v>仲介</v>
      </c>
      <c r="D919" s="70" t="str">
        <f aca="false">IF(Data!D919="—","—",IFERROR(INDEX(対訳マスタ!$C$2:$C$136,MATCH(Data!D919,対訳マスタ!$B$2:$B$136,0)),Data!D919))</f>
        <v>テキストの仲介</v>
      </c>
      <c r="E919" s="70" t="str">
        <f aca="false">IFERROR(INDEX(対訳マスタ!$C$2:$C$136,MATCH(Data!E919,対訳マスタ!$B$2:$B$136,0)),Data!E919)</f>
        <v>創作テキストの分析と批評（文学を含む）</v>
      </c>
      <c r="F919" s="70" t="str">
        <f aca="false">Data!F919</f>
        <v>B1</v>
      </c>
      <c r="G919" s="31" t="str">
        <f aca="false">Data!G919</f>
        <v>Can describe the key themes and characters in short narratives involving familiar situations that contain only high frequency everyday language.</v>
      </c>
      <c r="H919" s="71" t="s">
        <v>2875</v>
      </c>
      <c r="I919" s="79" t="s">
        <v>3089</v>
      </c>
    </row>
    <row r="920" customFormat="false" ht="32.25" hidden="false" customHeight="true" outlineLevel="0" collapsed="false">
      <c r="A920" s="70" t="n">
        <f aca="false">Data!A920</f>
        <v>919</v>
      </c>
      <c r="B920" s="70" t="str">
        <f aca="false">IFERROR(INDEX(対訳マスタ!$C$2:$C$136,MATCH(Data!B920,対訳マスタ!$B$2:$B$136,0)),Data!B920)</f>
        <v>コミュニケーション言語活動</v>
      </c>
      <c r="C920" s="70" t="str">
        <f aca="false">IF(Data!C920="—","—",IFERROR(INDEX(対訳マスタ!$C$2:$C$136,MATCH(Data!C920,対訳マスタ!$B$2:$B$136,0)),Data!C920))</f>
        <v>仲介</v>
      </c>
      <c r="D920" s="70" t="str">
        <f aca="false">IF(Data!D920="—","—",IFERROR(INDEX(対訳マスタ!$C$2:$C$136,MATCH(Data!D920,対訳マスタ!$B$2:$B$136,0)),Data!D920))</f>
        <v>テキストの仲介</v>
      </c>
      <c r="E920" s="70" t="str">
        <f aca="false">IFERROR(INDEX(対訳マスタ!$C$2:$C$136,MATCH(Data!E920,対訳マスタ!$B$2:$B$136,0)),Data!E920)</f>
        <v>創作テキストの分析と批評（文学を含む）</v>
      </c>
      <c r="F920" s="70" t="str">
        <f aca="false">Data!F920</f>
        <v>A2</v>
      </c>
      <c r="G920" s="31" t="str">
        <f aca="false">Data!G920</f>
        <v>Can identify and briefly describe, in basic formulaic language, the key themes and characters in short, simple narratives involving familiar situations that contain only high frequency everyday language.</v>
      </c>
      <c r="H920" s="71" t="s">
        <v>2874</v>
      </c>
      <c r="I920" s="79" t="s">
        <v>3089</v>
      </c>
    </row>
    <row r="921" customFormat="false" ht="15" hidden="false" customHeight="true" outlineLevel="0" collapsed="false">
      <c r="A921" s="80" t="n">
        <f aca="false">Data!A921</f>
        <v>920</v>
      </c>
      <c r="B921" s="80" t="str">
        <f aca="false">IFERROR(INDEX(対訳マスタ!$C$2:$C$136,MATCH(Data!B921,対訳マスタ!$B$2:$B$136,0)),Data!B921)</f>
        <v>コミュニケーション言語活動</v>
      </c>
      <c r="C921" s="80" t="str">
        <f aca="false">IF(Data!C921="—","—",IFERROR(INDEX(対訳マスタ!$C$2:$C$136,MATCH(Data!C921,対訳マスタ!$B$2:$B$136,0)),Data!C921))</f>
        <v>仲介</v>
      </c>
      <c r="D921" s="80" t="str">
        <f aca="false">IF(Data!D921="—","—",IFERROR(INDEX(対訳マスタ!$C$2:$C$136,MATCH(Data!D921,対訳マスタ!$B$2:$B$136,0)),Data!D921))</f>
        <v>テキストの仲介</v>
      </c>
      <c r="E921" s="80" t="str">
        <f aca="false">IFERROR(INDEX(対訳マスタ!$C$2:$C$136,MATCH(Data!E921,対訳マスタ!$B$2:$B$136,0)),Data!E921)</f>
        <v>創作テキストの分析と批評（文学を含む）</v>
      </c>
      <c r="F921" s="80" t="str">
        <f aca="false">Data!F921</f>
        <v>A1</v>
      </c>
      <c r="G921" s="81" t="str">
        <f aca="false">Data!G921</f>
        <v>No descriptors available</v>
      </c>
      <c r="H921" s="81" t="s">
        <v>624</v>
      </c>
      <c r="I921" s="80" t="s">
        <v>624</v>
      </c>
    </row>
    <row r="922" customFormat="false" ht="15" hidden="false" customHeight="true" outlineLevel="0" collapsed="false">
      <c r="A922" s="80" t="n">
        <f aca="false">Data!A922</f>
        <v>921</v>
      </c>
      <c r="B922" s="80" t="str">
        <f aca="false">IFERROR(INDEX(対訳マスタ!$C$2:$C$136,MATCH(Data!B922,対訳マスタ!$B$2:$B$136,0)),Data!B922)</f>
        <v>コミュニケーション言語活動</v>
      </c>
      <c r="C922" s="80" t="str">
        <f aca="false">IF(Data!C922="—","—",IFERROR(INDEX(対訳マスタ!$C$2:$C$136,MATCH(Data!C922,対訳マスタ!$B$2:$B$136,0)),Data!C922))</f>
        <v>仲介</v>
      </c>
      <c r="D922" s="80" t="str">
        <f aca="false">IF(Data!D922="—","—",IFERROR(INDEX(対訳マスタ!$C$2:$C$136,MATCH(Data!D922,対訳マスタ!$B$2:$B$136,0)),Data!D922))</f>
        <v>テキストの仲介</v>
      </c>
      <c r="E922" s="80" t="str">
        <f aca="false">IFERROR(INDEX(対訳マスタ!$C$2:$C$136,MATCH(Data!E922,対訳マスタ!$B$2:$B$136,0)),Data!E922)</f>
        <v>創作テキストの分析と批評（文学を含む）</v>
      </c>
      <c r="F922" s="80" t="str">
        <f aca="false">Data!F922</f>
        <v>Pre-A1</v>
      </c>
      <c r="G922" s="81" t="str">
        <f aca="false">Data!G922</f>
        <v>No descriptors available</v>
      </c>
      <c r="H922" s="81" t="s">
        <v>624</v>
      </c>
      <c r="I922" s="80" t="s">
        <v>624</v>
      </c>
    </row>
    <row r="923" customFormat="false" ht="15" hidden="false" customHeight="true" outlineLevel="0" collapsed="false">
      <c r="A923" s="80" t="n">
        <f aca="false">Data!A923</f>
        <v>922</v>
      </c>
      <c r="B923" s="80" t="str">
        <f aca="false">IFERROR(INDEX(対訳マスタ!$C$2:$C$136,MATCH(Data!B923,対訳マスタ!$B$2:$B$136,0)),Data!B923)</f>
        <v>コミュニケーション言語活動</v>
      </c>
      <c r="C923" s="80" t="str">
        <f aca="false">IF(Data!C923="—","—",IFERROR(INDEX(対訳マスタ!$C$2:$C$136,MATCH(Data!C923,対訳マスタ!$B$2:$B$136,0)),Data!C923))</f>
        <v>仲介</v>
      </c>
      <c r="D923" s="80" t="str">
        <f aca="false">IF(Data!D923="—","—",IFERROR(INDEX(対訳マスタ!$C$2:$C$136,MATCH(Data!D923,対訳マスタ!$B$2:$B$136,0)),Data!D923))</f>
        <v>概念の仲介</v>
      </c>
      <c r="E923" s="80" t="str">
        <f aca="false">IFERROR(INDEX(対訳マスタ!$C$2:$C$136,MATCH(Data!E923,対訳マスタ!$B$2:$B$136,0)),Data!E923)</f>
        <v>仲間との協働的やりとりの促進</v>
      </c>
      <c r="F923" s="80" t="str">
        <f aca="false">Data!F923</f>
        <v>C2</v>
      </c>
      <c r="G923" s="81" t="str">
        <f aca="false">Data!G923</f>
        <v>No descriptors available</v>
      </c>
      <c r="H923" s="81" t="s">
        <v>624</v>
      </c>
      <c r="I923" s="80" t="s">
        <v>624</v>
      </c>
    </row>
    <row r="924" customFormat="false" ht="32.25" hidden="false" customHeight="true" outlineLevel="0" collapsed="false">
      <c r="A924" s="70" t="n">
        <f aca="false">Data!A924</f>
        <v>923</v>
      </c>
      <c r="B924" s="70" t="str">
        <f aca="false">IFERROR(INDEX(対訳マスタ!$C$2:$C$136,MATCH(Data!B924,対訳マスタ!$B$2:$B$136,0)),Data!B924)</f>
        <v>コミュニケーション言語活動</v>
      </c>
      <c r="C924" s="70" t="str">
        <f aca="false">IF(Data!C924="—","—",IFERROR(INDEX(対訳マスタ!$C$2:$C$136,MATCH(Data!C924,対訳マスタ!$B$2:$B$136,0)),Data!C924))</f>
        <v>仲介</v>
      </c>
      <c r="D924" s="70" t="str">
        <f aca="false">IF(Data!D924="—","—",IFERROR(INDEX(対訳マスタ!$C$2:$C$136,MATCH(Data!D924,対訳マスタ!$B$2:$B$136,0)),Data!D924))</f>
        <v>概念の仲介</v>
      </c>
      <c r="E924" s="70" t="str">
        <f aca="false">IFERROR(INDEX(対訳マスタ!$C$2:$C$136,MATCH(Data!E924,対訳マスタ!$B$2:$B$136,0)),Data!E924)</f>
        <v>仲間との協働的やりとりの促進</v>
      </c>
      <c r="F924" s="70" t="str">
        <f aca="false">Data!F924</f>
        <v>C1</v>
      </c>
      <c r="G924" s="31" t="str">
        <f aca="false">Data!G924</f>
        <v>Can show sensitivity to different perspectives within a group, acknowledging contributions and formulating any reservations, disagreements or criticisms in such a way as to avoid or minimise any offence.</v>
      </c>
      <c r="H924" s="71" t="s">
        <v>3480</v>
      </c>
      <c r="I924" s="79" t="s">
        <v>3089</v>
      </c>
    </row>
    <row r="925" customFormat="false" ht="15" hidden="false" customHeight="true" outlineLevel="0" collapsed="false">
      <c r="A925" s="70" t="n">
        <f aca="false">Data!A925</f>
        <v>924</v>
      </c>
      <c r="B925" s="70" t="str">
        <f aca="false">IFERROR(INDEX(対訳マスタ!$C$2:$C$136,MATCH(Data!B925,対訳マスタ!$B$2:$B$136,0)),Data!B925)</f>
        <v>コミュニケーション言語活動</v>
      </c>
      <c r="C925" s="70" t="str">
        <f aca="false">IF(Data!C925="—","—",IFERROR(INDEX(対訳マスタ!$C$2:$C$136,MATCH(Data!C925,対訳マスタ!$B$2:$B$136,0)),Data!C925))</f>
        <v>仲介</v>
      </c>
      <c r="D925" s="70" t="str">
        <f aca="false">IF(Data!D925="—","—",IFERROR(INDEX(対訳マスタ!$C$2:$C$136,MATCH(Data!D925,対訳マスタ!$B$2:$B$136,0)),Data!D925))</f>
        <v>概念の仲介</v>
      </c>
      <c r="E925" s="70" t="str">
        <f aca="false">IFERROR(INDEX(対訳マスタ!$C$2:$C$136,MATCH(Data!E925,対訳マスタ!$B$2:$B$136,0)),Data!E925)</f>
        <v>仲間との協働的やりとりの促進</v>
      </c>
      <c r="F925" s="70" t="str">
        <f aca="false">Data!F925</f>
        <v>C1</v>
      </c>
      <c r="G925" s="31" t="str">
        <f aca="false">Data!G925</f>
        <v>Can develop the interaction and tactfully help steer it towards a conclusion.</v>
      </c>
      <c r="H925" s="71" t="s">
        <v>2886</v>
      </c>
      <c r="I925" s="79" t="s">
        <v>3089</v>
      </c>
    </row>
    <row r="926" customFormat="false" ht="26.25" hidden="false" customHeight="true" outlineLevel="0" collapsed="false">
      <c r="A926" s="70" t="n">
        <f aca="false">Data!A926</f>
        <v>925</v>
      </c>
      <c r="B926" s="70" t="str">
        <f aca="false">IFERROR(INDEX(対訳マスタ!$C$2:$C$136,MATCH(Data!B926,対訳マスタ!$B$2:$B$136,0)),Data!B926)</f>
        <v>コミュニケーション言語活動</v>
      </c>
      <c r="C926" s="70" t="str">
        <f aca="false">IF(Data!C926="—","—",IFERROR(INDEX(対訳マスタ!$C$2:$C$136,MATCH(Data!C926,対訳マスタ!$B$2:$B$136,0)),Data!C926))</f>
        <v>仲介</v>
      </c>
      <c r="D926" s="70" t="str">
        <f aca="false">IF(Data!D926="—","—",IFERROR(INDEX(対訳マスタ!$C$2:$C$136,MATCH(Data!D926,対訳マスタ!$B$2:$B$136,0)),Data!D926))</f>
        <v>概念の仲介</v>
      </c>
      <c r="E926" s="70" t="str">
        <f aca="false">IFERROR(INDEX(対訳マスタ!$C$2:$C$136,MATCH(Data!E926,対訳マスタ!$B$2:$B$136,0)),Data!E926)</f>
        <v>仲間との協働的やりとりの促進</v>
      </c>
      <c r="F926" s="70" t="str">
        <f aca="false">Data!F926</f>
        <v>B2+</v>
      </c>
      <c r="G926" s="31" t="str">
        <f aca="false">Data!G926</f>
        <v>Can, based on people’s reactions, adjust the way they formulate questions and/or intervene in a group interaction.</v>
      </c>
      <c r="H926" s="71" t="s">
        <v>2885</v>
      </c>
      <c r="I926" s="79" t="s">
        <v>3089</v>
      </c>
    </row>
    <row r="927" customFormat="false" ht="21.75" hidden="false" customHeight="true" outlineLevel="0" collapsed="false">
      <c r="A927" s="70" t="n">
        <f aca="false">Data!A927</f>
        <v>926</v>
      </c>
      <c r="B927" s="70" t="str">
        <f aca="false">IFERROR(INDEX(対訳マスタ!$C$2:$C$136,MATCH(Data!B927,対訳マスタ!$B$2:$B$136,0)),Data!B927)</f>
        <v>コミュニケーション言語活動</v>
      </c>
      <c r="C927" s="70" t="str">
        <f aca="false">IF(Data!C927="—","—",IFERROR(INDEX(対訳マスタ!$C$2:$C$136,MATCH(Data!C927,対訳マスタ!$B$2:$B$136,0)),Data!C927))</f>
        <v>仲介</v>
      </c>
      <c r="D927" s="70" t="str">
        <f aca="false">IF(Data!D927="—","—",IFERROR(INDEX(対訳マスタ!$C$2:$C$136,MATCH(Data!D927,対訳マスタ!$B$2:$B$136,0)),Data!D927))</f>
        <v>概念の仲介</v>
      </c>
      <c r="E927" s="70" t="str">
        <f aca="false">IFERROR(INDEX(対訳マスタ!$C$2:$C$136,MATCH(Data!E927,対訳マスタ!$B$2:$B$136,0)),Data!E927)</f>
        <v>仲間との協働的やりとりの促進</v>
      </c>
      <c r="F927" s="70" t="str">
        <f aca="false">Data!F927</f>
        <v>B2+</v>
      </c>
      <c r="G927" s="31" t="str">
        <f aca="false">Data!G927</f>
        <v>Can act as rapporteur in a group discussion, noting ideas and decisions, discussing these with the group and later giving a summary of the group’s view(s) in a plenary.</v>
      </c>
      <c r="H927" s="71" t="s">
        <v>3481</v>
      </c>
      <c r="I927" s="79" t="s">
        <v>3089</v>
      </c>
    </row>
    <row r="928" customFormat="false" ht="15" hidden="false" customHeight="true" outlineLevel="0" collapsed="false">
      <c r="A928" s="70" t="n">
        <f aca="false">Data!A928</f>
        <v>927</v>
      </c>
      <c r="B928" s="70" t="str">
        <f aca="false">IFERROR(INDEX(対訳マスタ!$C$2:$C$136,MATCH(Data!B928,対訳マスタ!$B$2:$B$136,0)),Data!B928)</f>
        <v>コミュニケーション言語活動</v>
      </c>
      <c r="C928" s="70" t="str">
        <f aca="false">IF(Data!C928="—","—",IFERROR(INDEX(対訳マスタ!$C$2:$C$136,MATCH(Data!C928,対訳マスタ!$B$2:$B$136,0)),Data!C928))</f>
        <v>仲介</v>
      </c>
      <c r="D928" s="70" t="str">
        <f aca="false">IF(Data!D928="—","—",IFERROR(INDEX(対訳マスタ!$C$2:$C$136,MATCH(Data!D928,対訳マスタ!$B$2:$B$136,0)),Data!D928))</f>
        <v>概念の仲介</v>
      </c>
      <c r="E928" s="70" t="str">
        <f aca="false">IFERROR(INDEX(対訳マスタ!$C$2:$C$136,MATCH(Data!E928,対訳マスタ!$B$2:$B$136,0)),Data!E928)</f>
        <v>仲間との協働的やりとりの促進</v>
      </c>
      <c r="F928" s="70" t="str">
        <f aca="false">Data!F928</f>
        <v>B2</v>
      </c>
      <c r="G928" s="31" t="str">
        <f aca="false">Data!G928</f>
        <v>Can ask questions to stimulate discussion on how to organise collaborative work.</v>
      </c>
      <c r="H928" s="71" t="s">
        <v>3482</v>
      </c>
      <c r="I928" s="79" t="s">
        <v>3089</v>
      </c>
    </row>
    <row r="929" customFormat="false" ht="15" hidden="false" customHeight="true" outlineLevel="0" collapsed="false">
      <c r="A929" s="70" t="n">
        <f aca="false">Data!A929</f>
        <v>928</v>
      </c>
      <c r="B929" s="70" t="str">
        <f aca="false">IFERROR(INDEX(対訳マスタ!$C$2:$C$136,MATCH(Data!B929,対訳マスタ!$B$2:$B$136,0)),Data!B929)</f>
        <v>コミュニケーション言語活動</v>
      </c>
      <c r="C929" s="70" t="str">
        <f aca="false">IF(Data!C929="—","—",IFERROR(INDEX(対訳マスタ!$C$2:$C$136,MATCH(Data!C929,対訳マスタ!$B$2:$B$136,0)),Data!C929))</f>
        <v>仲介</v>
      </c>
      <c r="D929" s="70" t="str">
        <f aca="false">IF(Data!D929="—","—",IFERROR(INDEX(対訳マスタ!$C$2:$C$136,MATCH(Data!D929,対訳マスタ!$B$2:$B$136,0)),Data!D929))</f>
        <v>概念の仲介</v>
      </c>
      <c r="E929" s="70" t="str">
        <f aca="false">IFERROR(INDEX(対訳マスタ!$C$2:$C$136,MATCH(Data!E929,対訳マスタ!$B$2:$B$136,0)),Data!E929)</f>
        <v>仲間との協働的やりとりの促進</v>
      </c>
      <c r="F929" s="70" t="str">
        <f aca="false">Data!F929</f>
        <v>B2</v>
      </c>
      <c r="G929" s="31" t="str">
        <f aca="false">Data!G929</f>
        <v>Can help define goals for teamwork and compare options for how to achieve them.</v>
      </c>
      <c r="H929" s="71" t="s">
        <v>2884</v>
      </c>
      <c r="I929" s="79" t="s">
        <v>3089</v>
      </c>
    </row>
    <row r="930" customFormat="false" ht="15" hidden="false" customHeight="true" outlineLevel="0" collapsed="false">
      <c r="A930" s="70" t="n">
        <f aca="false">Data!A930</f>
        <v>929</v>
      </c>
      <c r="B930" s="70" t="str">
        <f aca="false">IFERROR(INDEX(対訳マスタ!$C$2:$C$136,MATCH(Data!B930,対訳マスタ!$B$2:$B$136,0)),Data!B930)</f>
        <v>コミュニケーション言語活動</v>
      </c>
      <c r="C930" s="70" t="str">
        <f aca="false">IF(Data!C930="—","—",IFERROR(INDEX(対訳マスタ!$C$2:$C$136,MATCH(Data!C930,対訳マスタ!$B$2:$B$136,0)),Data!C930))</f>
        <v>仲介</v>
      </c>
      <c r="D930" s="70" t="str">
        <f aca="false">IF(Data!D930="—","—",IFERROR(INDEX(対訳マスタ!$C$2:$C$136,MATCH(Data!D930,対訳マスタ!$B$2:$B$136,0)),Data!D930))</f>
        <v>概念の仲介</v>
      </c>
      <c r="E930" s="70" t="str">
        <f aca="false">IFERROR(INDEX(対訳マスタ!$C$2:$C$136,MATCH(Data!E930,対訳マスタ!$B$2:$B$136,0)),Data!E930)</f>
        <v>仲間との協働的やりとりの促進</v>
      </c>
      <c r="F930" s="70" t="str">
        <f aca="false">Data!F930</f>
        <v>B2</v>
      </c>
      <c r="G930" s="31" t="str">
        <f aca="false">Data!G930</f>
        <v>Can refocus a discussion by suggesting what to consider next, and how to proceed.</v>
      </c>
      <c r="H930" s="71" t="s">
        <v>3483</v>
      </c>
      <c r="I930" s="79" t="s">
        <v>3089</v>
      </c>
    </row>
    <row r="931" customFormat="false" ht="21.75" hidden="false" customHeight="true" outlineLevel="0" collapsed="false">
      <c r="A931" s="70" t="n">
        <f aca="false">Data!A931</f>
        <v>930</v>
      </c>
      <c r="B931" s="70" t="str">
        <f aca="false">IFERROR(INDEX(対訳マスタ!$C$2:$C$136,MATCH(Data!B931,対訳マスタ!$B$2:$B$136,0)),Data!B931)</f>
        <v>コミュニケーション言語活動</v>
      </c>
      <c r="C931" s="70" t="str">
        <f aca="false">IF(Data!C931="—","—",IFERROR(INDEX(対訳マスタ!$C$2:$C$136,MATCH(Data!C931,対訳マスタ!$B$2:$B$136,0)),Data!C931))</f>
        <v>仲介</v>
      </c>
      <c r="D931" s="70" t="str">
        <f aca="false">IF(Data!D931="—","—",IFERROR(INDEX(対訳マスタ!$C$2:$C$136,MATCH(Data!D931,対訳マスタ!$B$2:$B$136,0)),Data!D931))</f>
        <v>概念の仲介</v>
      </c>
      <c r="E931" s="70" t="str">
        <f aca="false">IFERROR(INDEX(対訳マスタ!$C$2:$C$136,MATCH(Data!E931,対訳マスタ!$B$2:$B$136,0)),Data!E931)</f>
        <v>仲間との協働的やりとりの促進</v>
      </c>
      <c r="F931" s="70" t="str">
        <f aca="false">Data!F931</f>
        <v>B1+</v>
      </c>
      <c r="G931" s="31" t="str">
        <f aca="false">Data!G931</f>
        <v>Can collaborate on a shared task, e.g. formulating and responding to suggestions, asking whether people agree, and proposing alternative approaches.</v>
      </c>
      <c r="H931" s="71" t="s">
        <v>3484</v>
      </c>
      <c r="I931" s="79" t="s">
        <v>3089</v>
      </c>
    </row>
    <row r="932" customFormat="false" ht="21.75" hidden="false" customHeight="true" outlineLevel="0" collapsed="false">
      <c r="A932" s="70" t="n">
        <f aca="false">Data!A932</f>
        <v>931</v>
      </c>
      <c r="B932" s="70" t="str">
        <f aca="false">IFERROR(INDEX(対訳マスタ!$C$2:$C$136,MATCH(Data!B932,対訳マスタ!$B$2:$B$136,0)),Data!B932)</f>
        <v>コミュニケーション言語活動</v>
      </c>
      <c r="C932" s="70" t="str">
        <f aca="false">IF(Data!C932="—","—",IFERROR(INDEX(対訳マスタ!$C$2:$C$136,MATCH(Data!C932,対訳マスタ!$B$2:$B$136,0)),Data!C932))</f>
        <v>仲介</v>
      </c>
      <c r="D932" s="70" t="str">
        <f aca="false">IF(Data!D932="—","—",IFERROR(INDEX(対訳マスタ!$C$2:$C$136,MATCH(Data!D932,対訳マスタ!$B$2:$B$136,0)),Data!D932))</f>
        <v>概念の仲介</v>
      </c>
      <c r="E932" s="70" t="str">
        <f aca="false">IFERROR(INDEX(対訳マスタ!$C$2:$C$136,MATCH(Data!E932,対訳マスタ!$B$2:$B$136,0)),Data!E932)</f>
        <v>仲間との協働的やりとりの促進</v>
      </c>
      <c r="F932" s="70" t="str">
        <f aca="false">Data!F932</f>
        <v>B1+</v>
      </c>
      <c r="G932" s="31" t="str">
        <f aca="false">Data!G932</f>
        <v>Can collaborate in simple, shared tasks and work towards a common goal in a group by asking and answering straightforward questions.</v>
      </c>
      <c r="H932" s="71" t="s">
        <v>3485</v>
      </c>
      <c r="I932" s="79" t="s">
        <v>3089</v>
      </c>
    </row>
    <row r="933" customFormat="false" ht="26.25" hidden="false" customHeight="true" outlineLevel="0" collapsed="false">
      <c r="A933" s="70" t="n">
        <f aca="false">Data!A933</f>
        <v>932</v>
      </c>
      <c r="B933" s="70" t="str">
        <f aca="false">IFERROR(INDEX(対訳マスタ!$C$2:$C$136,MATCH(Data!B933,対訳マスタ!$B$2:$B$136,0)),Data!B933)</f>
        <v>コミュニケーション言語活動</v>
      </c>
      <c r="C933" s="70" t="str">
        <f aca="false">IF(Data!C933="—","—",IFERROR(INDEX(対訳マスタ!$C$2:$C$136,MATCH(Data!C933,対訳マスタ!$B$2:$B$136,0)),Data!C933))</f>
        <v>仲介</v>
      </c>
      <c r="D933" s="70" t="str">
        <f aca="false">IF(Data!D933="—","—",IFERROR(INDEX(対訳マスタ!$C$2:$C$136,MATCH(Data!D933,対訳マスタ!$B$2:$B$136,0)),Data!D933))</f>
        <v>概念の仲介</v>
      </c>
      <c r="E933" s="70" t="str">
        <f aca="false">IFERROR(INDEX(対訳マスタ!$C$2:$C$136,MATCH(Data!E933,対訳マスタ!$B$2:$B$136,0)),Data!E933)</f>
        <v>仲間との協働的やりとりの促進</v>
      </c>
      <c r="F933" s="70" t="str">
        <f aca="false">Data!F933</f>
        <v>B1+</v>
      </c>
      <c r="G933" s="31" t="str">
        <f aca="false">Data!G933</f>
        <v>Can define the task in basic terms in a discussion and ask others to contribute their expertise and experience.</v>
      </c>
      <c r="H933" s="71" t="s">
        <v>2883</v>
      </c>
      <c r="I933" s="79" t="s">
        <v>3089</v>
      </c>
    </row>
    <row r="934" customFormat="false" ht="15" hidden="false" customHeight="true" outlineLevel="0" collapsed="false">
      <c r="A934" s="70" t="n">
        <f aca="false">Data!A934</f>
        <v>933</v>
      </c>
      <c r="B934" s="70" t="str">
        <f aca="false">IFERROR(INDEX(対訳マスタ!$C$2:$C$136,MATCH(Data!B934,対訳マスタ!$B$2:$B$136,0)),Data!B934)</f>
        <v>コミュニケーション言語活動</v>
      </c>
      <c r="C934" s="70" t="str">
        <f aca="false">IF(Data!C934="—","—",IFERROR(INDEX(対訳マスタ!$C$2:$C$136,MATCH(Data!C934,対訳マスタ!$B$2:$B$136,0)),Data!C934))</f>
        <v>仲介</v>
      </c>
      <c r="D934" s="70" t="str">
        <f aca="false">IF(Data!D934="—","—",IFERROR(INDEX(対訳マスタ!$C$2:$C$136,MATCH(Data!D934,対訳マスタ!$B$2:$B$136,0)),Data!D934))</f>
        <v>概念の仲介</v>
      </c>
      <c r="E934" s="70" t="str">
        <f aca="false">IFERROR(INDEX(対訳マスタ!$C$2:$C$136,MATCH(Data!E934,対訳マスタ!$B$2:$B$136,0)),Data!E934)</f>
        <v>仲間との協働的やりとりの促進</v>
      </c>
      <c r="F934" s="70" t="str">
        <f aca="false">Data!F934</f>
        <v>B1</v>
      </c>
      <c r="G934" s="31" t="str">
        <f aca="false">Data!G934</f>
        <v>Can invite other people in a group to contribute their views.</v>
      </c>
      <c r="H934" s="71" t="s">
        <v>2882</v>
      </c>
      <c r="I934" s="79" t="s">
        <v>3089</v>
      </c>
    </row>
    <row r="935" customFormat="false" ht="26.25" hidden="false" customHeight="true" outlineLevel="0" collapsed="false">
      <c r="A935" s="70" t="n">
        <f aca="false">Data!A935</f>
        <v>934</v>
      </c>
      <c r="B935" s="70" t="str">
        <f aca="false">IFERROR(INDEX(対訳マスタ!$C$2:$C$136,MATCH(Data!B935,対訳マスタ!$B$2:$B$136,0)),Data!B935)</f>
        <v>コミュニケーション言語活動</v>
      </c>
      <c r="C935" s="70" t="str">
        <f aca="false">IF(Data!C935="—","—",IFERROR(INDEX(対訳マスタ!$C$2:$C$136,MATCH(Data!C935,対訳マスタ!$B$2:$B$136,0)),Data!C935))</f>
        <v>仲介</v>
      </c>
      <c r="D935" s="70" t="str">
        <f aca="false">IF(Data!D935="—","—",IFERROR(INDEX(対訳マスタ!$C$2:$C$136,MATCH(Data!D935,対訳マスタ!$B$2:$B$136,0)),Data!D935))</f>
        <v>概念の仲介</v>
      </c>
      <c r="E935" s="70" t="str">
        <f aca="false">IFERROR(INDEX(対訳マスタ!$C$2:$C$136,MATCH(Data!E935,対訳マスタ!$B$2:$B$136,0)),Data!E935)</f>
        <v>仲間との協働的やりとりの促進</v>
      </c>
      <c r="F935" s="70" t="str">
        <f aca="false">Data!F935</f>
        <v>A2+</v>
      </c>
      <c r="G935" s="31" t="str">
        <f aca="false">Data!G935</f>
        <v>Can collaborate in simple, shared tasks, provided other participants articulate slowly and one or more people help them contribute and express their suggestions.</v>
      </c>
      <c r="H935" s="71" t="s">
        <v>2881</v>
      </c>
      <c r="I935" s="79" t="s">
        <v>3089</v>
      </c>
    </row>
    <row r="936" customFormat="false" ht="32.25" hidden="false" customHeight="true" outlineLevel="0" collapsed="false">
      <c r="A936" s="70" t="n">
        <f aca="false">Data!A936</f>
        <v>935</v>
      </c>
      <c r="B936" s="70" t="str">
        <f aca="false">IFERROR(INDEX(対訳マスタ!$C$2:$C$136,MATCH(Data!B936,対訳マスタ!$B$2:$B$136,0)),Data!B936)</f>
        <v>コミュニケーション言語活動</v>
      </c>
      <c r="C936" s="70" t="str">
        <f aca="false">IF(Data!C936="—","—",IFERROR(INDEX(対訳マスタ!$C$2:$C$136,MATCH(Data!C936,対訳マスタ!$B$2:$B$136,0)),Data!C936))</f>
        <v>仲介</v>
      </c>
      <c r="D936" s="70" t="str">
        <f aca="false">IF(Data!D936="—","—",IFERROR(INDEX(対訳マスタ!$C$2:$C$136,MATCH(Data!D936,対訳マスタ!$B$2:$B$136,0)),Data!D936))</f>
        <v>概念の仲介</v>
      </c>
      <c r="E936" s="70" t="str">
        <f aca="false">IFERROR(INDEX(対訳マスタ!$C$2:$C$136,MATCH(Data!E936,対訳マスタ!$B$2:$B$136,0)),Data!E936)</f>
        <v>仲間との協働的やりとりの促進</v>
      </c>
      <c r="F936" s="70" t="str">
        <f aca="false">Data!F936</f>
        <v>A2</v>
      </c>
      <c r="G936" s="31" t="str">
        <f aca="false">Data!G936</f>
        <v>Can collaborate in simple, practical tasks, asking what others think, making suggestions and understanding responses, provided they can ask for repetition or reformulation from time to time.</v>
      </c>
      <c r="H936" s="71" t="s">
        <v>2880</v>
      </c>
      <c r="I936" s="79" t="s">
        <v>3089</v>
      </c>
    </row>
    <row r="937" customFormat="false" ht="32.25" hidden="false" customHeight="true" outlineLevel="0" collapsed="false">
      <c r="A937" s="70" t="n">
        <f aca="false">Data!A937</f>
        <v>936</v>
      </c>
      <c r="B937" s="70" t="str">
        <f aca="false">IFERROR(INDEX(対訳マスタ!$C$2:$C$136,MATCH(Data!B937,対訳マスタ!$B$2:$B$136,0)),Data!B937)</f>
        <v>コミュニケーション言語活動</v>
      </c>
      <c r="C937" s="70" t="str">
        <f aca="false">IF(Data!C937="—","—",IFERROR(INDEX(対訳マスタ!$C$2:$C$136,MATCH(Data!C937,対訳マスタ!$B$2:$B$136,0)),Data!C937))</f>
        <v>仲介</v>
      </c>
      <c r="D937" s="70" t="str">
        <f aca="false">IF(Data!D937="—","—",IFERROR(INDEX(対訳マスタ!$C$2:$C$136,MATCH(Data!D937,対訳マスタ!$B$2:$B$136,0)),Data!D937))</f>
        <v>概念の仲介</v>
      </c>
      <c r="E937" s="70" t="str">
        <f aca="false">IFERROR(INDEX(対訳マスタ!$C$2:$C$136,MATCH(Data!E937,対訳マスタ!$B$2:$B$136,0)),Data!E937)</f>
        <v>仲間との協働的やりとりの促進</v>
      </c>
      <c r="F937" s="70" t="str">
        <f aca="false">Data!F937</f>
        <v>A1</v>
      </c>
      <c r="G937" s="31" t="str">
        <f aca="false">Data!G937</f>
        <v>Can invite others’ contributions to very simple tasks using short, simple phrases prepared in advance. Can indicate that they understand and ask whether others understand.</v>
      </c>
      <c r="H937" s="71" t="s">
        <v>2879</v>
      </c>
      <c r="I937" s="79" t="s">
        <v>3089</v>
      </c>
    </row>
    <row r="938" customFormat="false" ht="15" hidden="false" customHeight="true" outlineLevel="0" collapsed="false">
      <c r="A938" s="80" t="n">
        <f aca="false">Data!A938</f>
        <v>937</v>
      </c>
      <c r="B938" s="80" t="str">
        <f aca="false">IFERROR(INDEX(対訳マスタ!$C$2:$C$136,MATCH(Data!B938,対訳マスタ!$B$2:$B$136,0)),Data!B938)</f>
        <v>コミュニケーション言語活動</v>
      </c>
      <c r="C938" s="80" t="str">
        <f aca="false">IF(Data!C938="—","—",IFERROR(INDEX(対訳マスタ!$C$2:$C$136,MATCH(Data!C938,対訳マスタ!$B$2:$B$136,0)),Data!C938))</f>
        <v>仲介</v>
      </c>
      <c r="D938" s="80" t="str">
        <f aca="false">IF(Data!D938="—","—",IFERROR(INDEX(対訳マスタ!$C$2:$C$136,MATCH(Data!D938,対訳マスタ!$B$2:$B$136,0)),Data!D938))</f>
        <v>概念の仲介</v>
      </c>
      <c r="E938" s="80" t="str">
        <f aca="false">IFERROR(INDEX(対訳マスタ!$C$2:$C$136,MATCH(Data!E938,対訳マスタ!$B$2:$B$136,0)),Data!E938)</f>
        <v>仲間との協働的やりとりの促進</v>
      </c>
      <c r="F938" s="80" t="str">
        <f aca="false">Data!F938</f>
        <v>Pre-A1</v>
      </c>
      <c r="G938" s="81" t="str">
        <f aca="false">Data!G938</f>
        <v>No descriptors available</v>
      </c>
      <c r="H938" s="81" t="s">
        <v>624</v>
      </c>
      <c r="I938" s="80" t="s">
        <v>624</v>
      </c>
    </row>
    <row r="939" customFormat="false" ht="26.25" hidden="false" customHeight="true" outlineLevel="0" collapsed="false">
      <c r="A939" s="70" t="n">
        <f aca="false">Data!A939</f>
        <v>938</v>
      </c>
      <c r="B939" s="70" t="str">
        <f aca="false">IFERROR(INDEX(対訳マスタ!$C$2:$C$136,MATCH(Data!B939,対訳マスタ!$B$2:$B$136,0)),Data!B939)</f>
        <v>コミュニケーション言語活動</v>
      </c>
      <c r="C939" s="70" t="str">
        <f aca="false">IF(Data!C939="—","—",IFERROR(INDEX(対訳マスタ!$C$2:$C$136,MATCH(Data!C939,対訳マスタ!$B$2:$B$136,0)),Data!C939))</f>
        <v>仲介</v>
      </c>
      <c r="D939" s="70" t="str">
        <f aca="false">IF(Data!D939="—","—",IFERROR(INDEX(対訳マスタ!$C$2:$C$136,MATCH(Data!D939,対訳マスタ!$B$2:$B$136,0)),Data!D939))</f>
        <v>概念の仲介</v>
      </c>
      <c r="E939" s="70" t="str">
        <f aca="false">IFERROR(INDEX(対訳マスタ!$C$2:$C$136,MATCH(Data!E939,対訳マスタ!$B$2:$B$136,0)),Data!E939)</f>
        <v>意味の共同構築</v>
      </c>
      <c r="F939" s="70" t="str">
        <f aca="false">Data!F939</f>
        <v>C2</v>
      </c>
      <c r="G939" s="31" t="str">
        <f aca="false">Data!G939</f>
        <v>Can summarise, evaluate and link the various contributions in order to facilitate agreement on a solution or a way forward.</v>
      </c>
      <c r="H939" s="71" t="s">
        <v>2895</v>
      </c>
      <c r="I939" s="79" t="s">
        <v>3089</v>
      </c>
    </row>
    <row r="940" customFormat="false" ht="32.25" hidden="false" customHeight="true" outlineLevel="0" collapsed="false">
      <c r="A940" s="70" t="n">
        <f aca="false">Data!A940</f>
        <v>939</v>
      </c>
      <c r="B940" s="70" t="str">
        <f aca="false">IFERROR(INDEX(対訳マスタ!$C$2:$C$136,MATCH(Data!B940,対訳マスタ!$B$2:$B$136,0)),Data!B940)</f>
        <v>コミュニケーション言語活動</v>
      </c>
      <c r="C940" s="70" t="str">
        <f aca="false">IF(Data!C940="—","—",IFERROR(INDEX(対訳マスタ!$C$2:$C$136,MATCH(Data!C940,対訳マスタ!$B$2:$B$136,0)),Data!C940))</f>
        <v>仲介</v>
      </c>
      <c r="D940" s="70" t="str">
        <f aca="false">IF(Data!D940="—","—",IFERROR(INDEX(対訳マスタ!$C$2:$C$136,MATCH(Data!D940,対訳マスタ!$B$2:$B$136,0)),Data!D940))</f>
        <v>概念の仲介</v>
      </c>
      <c r="E940" s="70" t="str">
        <f aca="false">IFERROR(INDEX(対訳マスタ!$C$2:$C$136,MATCH(Data!E940,対訳マスタ!$B$2:$B$136,0)),Data!E940)</f>
        <v>意味の共同構築</v>
      </c>
      <c r="F940" s="70" t="str">
        <f aca="false">Data!F940</f>
        <v>C1</v>
      </c>
      <c r="G940" s="31" t="str">
        <f aca="false">Data!G940</f>
        <v>Can frame a discussion to decide on a course of action with a partner or group, reporting on what others have said, summarising, elaborating and weighing up multiple points of view.</v>
      </c>
      <c r="H940" s="71" t="s">
        <v>2701</v>
      </c>
      <c r="I940" s="79" t="s">
        <v>3089</v>
      </c>
    </row>
    <row r="941" customFormat="false" ht="21.75" hidden="false" customHeight="true" outlineLevel="0" collapsed="false">
      <c r="A941" s="70" t="n">
        <f aca="false">Data!A941</f>
        <v>940</v>
      </c>
      <c r="B941" s="70" t="str">
        <f aca="false">IFERROR(INDEX(対訳マスタ!$C$2:$C$136,MATCH(Data!B941,対訳マスタ!$B$2:$B$136,0)),Data!B941)</f>
        <v>コミュニケーション言語活動</v>
      </c>
      <c r="C941" s="70" t="str">
        <f aca="false">IF(Data!C941="—","—",IFERROR(INDEX(対訳マスタ!$C$2:$C$136,MATCH(Data!C941,対訳マスタ!$B$2:$B$136,0)),Data!C941))</f>
        <v>仲介</v>
      </c>
      <c r="D941" s="70" t="str">
        <f aca="false">IF(Data!D941="—","—",IFERROR(INDEX(対訳マスタ!$C$2:$C$136,MATCH(Data!D941,対訳マスタ!$B$2:$B$136,0)),Data!D941))</f>
        <v>概念の仲介</v>
      </c>
      <c r="E941" s="70" t="str">
        <f aca="false">IFERROR(INDEX(対訳マスタ!$C$2:$C$136,MATCH(Data!E941,対訳マスタ!$B$2:$B$136,0)),Data!E941)</f>
        <v>意味の共同構築</v>
      </c>
      <c r="F941" s="70" t="str">
        <f aca="false">Data!F941</f>
        <v>C1</v>
      </c>
      <c r="G941" s="31" t="str">
        <f aca="false">Data!G941</f>
        <v>Can evaluate problems, challenges and proposals in a collaborative discussion in order to decide on the way forward.</v>
      </c>
      <c r="H941" s="71" t="s">
        <v>2894</v>
      </c>
      <c r="I941" s="79" t="s">
        <v>3089</v>
      </c>
    </row>
    <row r="942" customFormat="false" ht="21.75" hidden="false" customHeight="true" outlineLevel="0" collapsed="false">
      <c r="A942" s="70" t="n">
        <f aca="false">Data!A942</f>
        <v>941</v>
      </c>
      <c r="B942" s="70" t="str">
        <f aca="false">IFERROR(INDEX(対訳マスタ!$C$2:$C$136,MATCH(Data!B942,対訳マスタ!$B$2:$B$136,0)),Data!B942)</f>
        <v>コミュニケーション言語活動</v>
      </c>
      <c r="C942" s="70" t="str">
        <f aca="false">IF(Data!C942="—","—",IFERROR(INDEX(対訳マスタ!$C$2:$C$136,MATCH(Data!C942,対訳マスタ!$B$2:$B$136,0)),Data!C942))</f>
        <v>仲介</v>
      </c>
      <c r="D942" s="70" t="str">
        <f aca="false">IF(Data!D942="—","—",IFERROR(INDEX(対訳マスタ!$C$2:$C$136,MATCH(Data!D942,対訳マスタ!$B$2:$B$136,0)),Data!D942))</f>
        <v>概念の仲介</v>
      </c>
      <c r="E942" s="70" t="str">
        <f aca="false">IFERROR(INDEX(対訳マスタ!$C$2:$C$136,MATCH(Data!E942,対訳マスタ!$B$2:$B$136,0)),Data!E942)</f>
        <v>意味の共同構築</v>
      </c>
      <c r="F942" s="70" t="str">
        <f aca="false">Data!F942</f>
        <v>C1</v>
      </c>
      <c r="G942" s="31" t="str">
        <f aca="false">Data!G942</f>
        <v>Can highlight inconsistencies in thinking, and challenge others’ ideas in the process of trying to reach a consensus.</v>
      </c>
      <c r="H942" s="71" t="s">
        <v>3486</v>
      </c>
      <c r="I942" s="79" t="s">
        <v>3089</v>
      </c>
    </row>
    <row r="943" customFormat="false" ht="21.75" hidden="false" customHeight="true" outlineLevel="0" collapsed="false">
      <c r="A943" s="70" t="n">
        <f aca="false">Data!A943</f>
        <v>942</v>
      </c>
      <c r="B943" s="70" t="str">
        <f aca="false">IFERROR(INDEX(対訳マスタ!$C$2:$C$136,MATCH(Data!B943,対訳マスタ!$B$2:$B$136,0)),Data!B943)</f>
        <v>コミュニケーション言語活動</v>
      </c>
      <c r="C943" s="70" t="str">
        <f aca="false">IF(Data!C943="—","—",IFERROR(INDEX(対訳マスタ!$C$2:$C$136,MATCH(Data!C943,対訳マスタ!$B$2:$B$136,0)),Data!C943))</f>
        <v>仲介</v>
      </c>
      <c r="D943" s="70" t="str">
        <f aca="false">IF(Data!D943="—","—",IFERROR(INDEX(対訳マスタ!$C$2:$C$136,MATCH(Data!D943,対訳マスタ!$B$2:$B$136,0)),Data!D943))</f>
        <v>概念の仲介</v>
      </c>
      <c r="E943" s="70" t="str">
        <f aca="false">IFERROR(INDEX(対訳マスタ!$C$2:$C$136,MATCH(Data!E943,対訳マスタ!$B$2:$B$136,0)),Data!E943)</f>
        <v>意味の共同構築</v>
      </c>
      <c r="F943" s="70" t="str">
        <f aca="false">Data!F943</f>
        <v>B2+</v>
      </c>
      <c r="G943" s="31" t="str">
        <f aca="false">Data!G943</f>
        <v>Can highlight the main issue that needs to be resolved in a complex task and the important aspects that need to be taken into account.</v>
      </c>
      <c r="H943" s="71" t="s">
        <v>2893</v>
      </c>
      <c r="I943" s="79" t="s">
        <v>3089</v>
      </c>
    </row>
    <row r="944" customFormat="false" ht="21.75" hidden="false" customHeight="true" outlineLevel="0" collapsed="false">
      <c r="A944" s="70" t="n">
        <f aca="false">Data!A944</f>
        <v>943</v>
      </c>
      <c r="B944" s="70" t="str">
        <f aca="false">IFERROR(INDEX(対訳マスタ!$C$2:$C$136,MATCH(Data!B944,対訳マスタ!$B$2:$B$136,0)),Data!B944)</f>
        <v>コミュニケーション言語活動</v>
      </c>
      <c r="C944" s="70" t="str">
        <f aca="false">IF(Data!C944="—","—",IFERROR(INDEX(対訳マスタ!$C$2:$C$136,MATCH(Data!C944,対訳マスタ!$B$2:$B$136,0)),Data!C944))</f>
        <v>仲介</v>
      </c>
      <c r="D944" s="70" t="str">
        <f aca="false">IF(Data!D944="—","—",IFERROR(INDEX(対訳マスタ!$C$2:$C$136,MATCH(Data!D944,対訳マスタ!$B$2:$B$136,0)),Data!D944))</f>
        <v>概念の仲介</v>
      </c>
      <c r="E944" s="70" t="str">
        <f aca="false">IFERROR(INDEX(対訳マスタ!$C$2:$C$136,MATCH(Data!E944,対訳マスタ!$B$2:$B$136,0)),Data!E944)</f>
        <v>意味の共同構築</v>
      </c>
      <c r="F944" s="70" t="str">
        <f aca="false">Data!F944</f>
        <v>B2+</v>
      </c>
      <c r="G944" s="31" t="str">
        <f aca="false">Data!G944</f>
        <v>Can contribute to collaborative decision making and problem solving, expressing and co-developing ideas, explaining details and making suggestions for future action.</v>
      </c>
      <c r="H944" s="71" t="s">
        <v>3487</v>
      </c>
      <c r="I944" s="79" t="s">
        <v>3089</v>
      </c>
    </row>
    <row r="945" customFormat="false" ht="21.75" hidden="false" customHeight="true" outlineLevel="0" collapsed="false">
      <c r="A945" s="70" t="n">
        <f aca="false">Data!A945</f>
        <v>944</v>
      </c>
      <c r="B945" s="70" t="str">
        <f aca="false">IFERROR(INDEX(対訳マスタ!$C$2:$C$136,MATCH(Data!B945,対訳マスタ!$B$2:$B$136,0)),Data!B945)</f>
        <v>コミュニケーション言語活動</v>
      </c>
      <c r="C945" s="70" t="str">
        <f aca="false">IF(Data!C945="—","—",IFERROR(INDEX(対訳マスタ!$C$2:$C$136,MATCH(Data!C945,対訳マスタ!$B$2:$B$136,0)),Data!C945))</f>
        <v>仲介</v>
      </c>
      <c r="D945" s="70" t="str">
        <f aca="false">IF(Data!D945="—","—",IFERROR(INDEX(対訳マスタ!$C$2:$C$136,MATCH(Data!D945,対訳マスタ!$B$2:$B$136,0)),Data!D945))</f>
        <v>概念の仲介</v>
      </c>
      <c r="E945" s="70" t="str">
        <f aca="false">IFERROR(INDEX(対訳マスタ!$C$2:$C$136,MATCH(Data!E945,対訳マスタ!$B$2:$B$136,0)),Data!E945)</f>
        <v>意味の共同構築</v>
      </c>
      <c r="F945" s="70" t="str">
        <f aca="false">Data!F945</f>
        <v>B2+</v>
      </c>
      <c r="G945" s="31" t="str">
        <f aca="false">Data!G945</f>
        <v>Can help organise the discussion in a group by reporting what others have said, summarising, elaborating and weighing up different points of view.</v>
      </c>
      <c r="H945" s="71" t="s">
        <v>3488</v>
      </c>
      <c r="I945" s="79" t="s">
        <v>3089</v>
      </c>
    </row>
    <row r="946" customFormat="false" ht="15" hidden="false" customHeight="true" outlineLevel="0" collapsed="false">
      <c r="A946" s="70" t="n">
        <f aca="false">Data!A946</f>
        <v>945</v>
      </c>
      <c r="B946" s="70" t="str">
        <f aca="false">IFERROR(INDEX(対訳マスタ!$C$2:$C$136,MATCH(Data!B946,対訳マスタ!$B$2:$B$136,0)),Data!B946)</f>
        <v>コミュニケーション言語活動</v>
      </c>
      <c r="C946" s="70" t="str">
        <f aca="false">IF(Data!C946="—","—",IFERROR(INDEX(対訳マスタ!$C$2:$C$136,MATCH(Data!C946,対訳マスタ!$B$2:$B$136,0)),Data!C946))</f>
        <v>仲介</v>
      </c>
      <c r="D946" s="70" t="str">
        <f aca="false">IF(Data!D946="—","—",IFERROR(INDEX(対訳マスタ!$C$2:$C$136,MATCH(Data!D946,対訳マスタ!$B$2:$B$136,0)),Data!D946))</f>
        <v>概念の仲介</v>
      </c>
      <c r="E946" s="70" t="str">
        <f aca="false">IFERROR(INDEX(対訳マスタ!$C$2:$C$136,MATCH(Data!E946,対訳マスタ!$B$2:$B$136,0)),Data!E946)</f>
        <v>意味の共同構築</v>
      </c>
      <c r="F946" s="70" t="str">
        <f aca="false">Data!F946</f>
        <v>B2</v>
      </c>
      <c r="G946" s="31" t="str">
        <f aca="false">Data!G946</f>
        <v>Can further develop other people’s ideas and opinions.</v>
      </c>
      <c r="H946" s="71" t="s">
        <v>2892</v>
      </c>
      <c r="I946" s="79" t="s">
        <v>3089</v>
      </c>
    </row>
    <row r="947" customFormat="false" ht="21.75" hidden="false" customHeight="true" outlineLevel="0" collapsed="false">
      <c r="A947" s="70" t="n">
        <f aca="false">Data!A947</f>
        <v>946</v>
      </c>
      <c r="B947" s="70" t="str">
        <f aca="false">IFERROR(INDEX(対訳マスタ!$C$2:$C$136,MATCH(Data!B947,対訳マスタ!$B$2:$B$136,0)),Data!B947)</f>
        <v>コミュニケーション言語活動</v>
      </c>
      <c r="C947" s="70" t="str">
        <f aca="false">IF(Data!C947="—","—",IFERROR(INDEX(対訳マスタ!$C$2:$C$136,MATCH(Data!C947,対訳マスタ!$B$2:$B$136,0)),Data!C947))</f>
        <v>仲介</v>
      </c>
      <c r="D947" s="70" t="str">
        <f aca="false">IF(Data!D947="—","—",IFERROR(INDEX(対訳マスタ!$C$2:$C$136,MATCH(Data!D947,対訳マスタ!$B$2:$B$136,0)),Data!D947))</f>
        <v>概念の仲介</v>
      </c>
      <c r="E947" s="70" t="str">
        <f aca="false">IFERROR(INDEX(対訳マスタ!$C$2:$C$136,MATCH(Data!E947,対訳マスタ!$B$2:$B$136,0)),Data!E947)</f>
        <v>意味の共同構築</v>
      </c>
      <c r="F947" s="70" t="str">
        <f aca="false">Data!F947</f>
        <v>B2</v>
      </c>
      <c r="G947" s="31" t="str">
        <f aca="false">Data!G947</f>
        <v>Can present their ideas in a group and pose questions that invite reactions from other group members’ perspectives.</v>
      </c>
      <c r="H947" s="71" t="s">
        <v>3489</v>
      </c>
      <c r="I947" s="79" t="s">
        <v>3089</v>
      </c>
    </row>
    <row r="948" customFormat="false" ht="21.75" hidden="false" customHeight="true" outlineLevel="0" collapsed="false">
      <c r="A948" s="70" t="n">
        <f aca="false">Data!A948</f>
        <v>947</v>
      </c>
      <c r="B948" s="70" t="str">
        <f aca="false">IFERROR(INDEX(対訳マスタ!$C$2:$C$136,MATCH(Data!B948,対訳マスタ!$B$2:$B$136,0)),Data!B948)</f>
        <v>コミュニケーション言語活動</v>
      </c>
      <c r="C948" s="70" t="str">
        <f aca="false">IF(Data!C948="—","—",IFERROR(INDEX(対訳マスタ!$C$2:$C$136,MATCH(Data!C948,対訳マスタ!$B$2:$B$136,0)),Data!C948))</f>
        <v>仲介</v>
      </c>
      <c r="D948" s="70" t="str">
        <f aca="false">IF(Data!D948="—","—",IFERROR(INDEX(対訳マスタ!$C$2:$C$136,MATCH(Data!D948,対訳マスタ!$B$2:$B$136,0)),Data!D948))</f>
        <v>概念の仲介</v>
      </c>
      <c r="E948" s="70" t="str">
        <f aca="false">IFERROR(INDEX(対訳マスタ!$C$2:$C$136,MATCH(Data!E948,対訳マスタ!$B$2:$B$136,0)),Data!E948)</f>
        <v>意味の共同構築</v>
      </c>
      <c r="F948" s="70" t="str">
        <f aca="false">Data!F948</f>
        <v>B2</v>
      </c>
      <c r="G948" s="31" t="str">
        <f aca="false">Data!G948</f>
        <v>Can consider two different sides of an issue, giving arguments for and against, and propose a solution or compromise.</v>
      </c>
      <c r="H948" s="71" t="s">
        <v>3490</v>
      </c>
      <c r="I948" s="79" t="s">
        <v>3089</v>
      </c>
    </row>
    <row r="949" customFormat="false" ht="21.75" hidden="false" customHeight="true" outlineLevel="0" collapsed="false">
      <c r="A949" s="70" t="n">
        <f aca="false">Data!A949</f>
        <v>948</v>
      </c>
      <c r="B949" s="70" t="str">
        <f aca="false">IFERROR(INDEX(対訳マスタ!$C$2:$C$136,MATCH(Data!B949,対訳マスタ!$B$2:$B$136,0)),Data!B949)</f>
        <v>コミュニケーション言語活動</v>
      </c>
      <c r="C949" s="70" t="str">
        <f aca="false">IF(Data!C949="—","—",IFERROR(INDEX(対訳マスタ!$C$2:$C$136,MATCH(Data!C949,対訳マスタ!$B$2:$B$136,0)),Data!C949))</f>
        <v>仲介</v>
      </c>
      <c r="D949" s="70" t="str">
        <f aca="false">IF(Data!D949="—","—",IFERROR(INDEX(対訳マスタ!$C$2:$C$136,MATCH(Data!D949,対訳マスタ!$B$2:$B$136,0)),Data!D949))</f>
        <v>概念の仲介</v>
      </c>
      <c r="E949" s="70" t="str">
        <f aca="false">IFERROR(INDEX(対訳マスタ!$C$2:$C$136,MATCH(Data!E949,対訳マスタ!$B$2:$B$136,0)),Data!E949)</f>
        <v>意味の共同構築</v>
      </c>
      <c r="F949" s="70" t="str">
        <f aca="false">Data!F949</f>
        <v>B1+</v>
      </c>
      <c r="G949" s="31" t="str">
        <f aca="false">Data!G949</f>
        <v>Can organise the work in a straightforward collaborative task by stating the aim and explaining in a simple manner the main issue that needs to be resolved.</v>
      </c>
      <c r="H949" s="71" t="s">
        <v>3491</v>
      </c>
      <c r="I949" s="79" t="s">
        <v>3089</v>
      </c>
    </row>
    <row r="950" customFormat="false" ht="21.75" hidden="false" customHeight="true" outlineLevel="0" collapsed="false">
      <c r="A950" s="70" t="n">
        <f aca="false">Data!A950</f>
        <v>949</v>
      </c>
      <c r="B950" s="70" t="str">
        <f aca="false">IFERROR(INDEX(対訳マスタ!$C$2:$C$136,MATCH(Data!B950,対訳マスタ!$B$2:$B$136,0)),Data!B950)</f>
        <v>コミュニケーション言語活動</v>
      </c>
      <c r="C950" s="70" t="str">
        <f aca="false">IF(Data!C950="—","—",IFERROR(INDEX(対訳マスタ!$C$2:$C$136,MATCH(Data!C950,対訳マスタ!$B$2:$B$136,0)),Data!C950))</f>
        <v>仲介</v>
      </c>
      <c r="D950" s="70" t="str">
        <f aca="false">IF(Data!D950="—","—",IFERROR(INDEX(対訳マスタ!$C$2:$C$136,MATCH(Data!D950,対訳マスタ!$B$2:$B$136,0)),Data!D950))</f>
        <v>概念の仲介</v>
      </c>
      <c r="E950" s="70" t="str">
        <f aca="false">IFERROR(INDEX(対訳マスタ!$C$2:$C$136,MATCH(Data!E950,対訳マスタ!$B$2:$B$136,0)),Data!E950)</f>
        <v>意味の共同構築</v>
      </c>
      <c r="F950" s="70" t="str">
        <f aca="false">Data!F950</f>
        <v>B1+</v>
      </c>
      <c r="G950" s="31" t="str">
        <f aca="false">Data!G950</f>
        <v>Can use questions, comments and simple reformulations to maintain the focus of a discussion.</v>
      </c>
      <c r="H950" s="71" t="s">
        <v>2891</v>
      </c>
      <c r="I950" s="79" t="s">
        <v>3089</v>
      </c>
    </row>
    <row r="951" customFormat="false" ht="15" hidden="false" customHeight="true" outlineLevel="0" collapsed="false">
      <c r="A951" s="70" t="n">
        <f aca="false">Data!A951</f>
        <v>950</v>
      </c>
      <c r="B951" s="70" t="str">
        <f aca="false">IFERROR(INDEX(対訳マスタ!$C$2:$C$136,MATCH(Data!B951,対訳マスタ!$B$2:$B$136,0)),Data!B951)</f>
        <v>コミュニケーション言語活動</v>
      </c>
      <c r="C951" s="70" t="str">
        <f aca="false">IF(Data!C951="—","—",IFERROR(INDEX(対訳マスタ!$C$2:$C$136,MATCH(Data!C951,対訳マスタ!$B$2:$B$136,0)),Data!C951))</f>
        <v>仲介</v>
      </c>
      <c r="D951" s="70" t="str">
        <f aca="false">IF(Data!D951="—","—",IFERROR(INDEX(対訳マスタ!$C$2:$C$136,MATCH(Data!D951,対訳マスタ!$B$2:$B$136,0)),Data!D951))</f>
        <v>概念の仲介</v>
      </c>
      <c r="E951" s="70" t="str">
        <f aca="false">IFERROR(INDEX(対訳マスタ!$C$2:$C$136,MATCH(Data!E951,対訳マスタ!$B$2:$B$136,0)),Data!E951)</f>
        <v>意味の共同構築</v>
      </c>
      <c r="F951" s="70" t="str">
        <f aca="false">Data!F951</f>
        <v>B1</v>
      </c>
      <c r="G951" s="31" t="str">
        <f aca="false">Data!G951</f>
        <v>Can ask a group member to give the reason(s) for their views.</v>
      </c>
      <c r="H951" s="71" t="s">
        <v>2890</v>
      </c>
      <c r="I951" s="79" t="s">
        <v>3089</v>
      </c>
    </row>
    <row r="952" customFormat="false" ht="21.75" hidden="false" customHeight="true" outlineLevel="0" collapsed="false">
      <c r="A952" s="70" t="n">
        <f aca="false">Data!A952</f>
        <v>951</v>
      </c>
      <c r="B952" s="70" t="str">
        <f aca="false">IFERROR(INDEX(対訳マスタ!$C$2:$C$136,MATCH(Data!B952,対訳マスタ!$B$2:$B$136,0)),Data!B952)</f>
        <v>コミュニケーション言語活動</v>
      </c>
      <c r="C952" s="70" t="str">
        <f aca="false">IF(Data!C952="—","—",IFERROR(INDEX(対訳マスタ!$C$2:$C$136,MATCH(Data!C952,対訳マスタ!$B$2:$B$136,0)),Data!C952))</f>
        <v>仲介</v>
      </c>
      <c r="D952" s="70" t="str">
        <f aca="false">IF(Data!D952="—","—",IFERROR(INDEX(対訳マスタ!$C$2:$C$136,MATCH(Data!D952,対訳マスタ!$B$2:$B$136,0)),Data!D952))</f>
        <v>概念の仲介</v>
      </c>
      <c r="E952" s="70" t="str">
        <f aca="false">IFERROR(INDEX(対訳マスタ!$C$2:$C$136,MATCH(Data!E952,対訳マスタ!$B$2:$B$136,0)),Data!E952)</f>
        <v>意味の共同構築</v>
      </c>
      <c r="F952" s="70" t="str">
        <f aca="false">Data!F952</f>
        <v>B1</v>
      </c>
      <c r="G952" s="31" t="str">
        <f aca="false">Data!G952</f>
        <v>Can repeat part of what someone has said to confirm mutual understanding and help keep the development of ideas on course.</v>
      </c>
      <c r="H952" s="71" t="s">
        <v>3408</v>
      </c>
      <c r="I952" s="79" t="s">
        <v>3089</v>
      </c>
    </row>
    <row r="953" customFormat="false" ht="21.75" hidden="false" customHeight="true" outlineLevel="0" collapsed="false">
      <c r="A953" s="70" t="n">
        <f aca="false">Data!A953</f>
        <v>952</v>
      </c>
      <c r="B953" s="70" t="str">
        <f aca="false">IFERROR(INDEX(対訳マスタ!$C$2:$C$136,MATCH(Data!B953,対訳マスタ!$B$2:$B$136,0)),Data!B953)</f>
        <v>コミュニケーション言語活動</v>
      </c>
      <c r="C953" s="70" t="str">
        <f aca="false">IF(Data!C953="—","—",IFERROR(INDEX(対訳マスタ!$C$2:$C$136,MATCH(Data!C953,対訳マスタ!$B$2:$B$136,0)),Data!C953))</f>
        <v>仲介</v>
      </c>
      <c r="D953" s="70" t="str">
        <f aca="false">IF(Data!D953="—","—",IFERROR(INDEX(対訳マスタ!$C$2:$C$136,MATCH(Data!D953,対訳マスタ!$B$2:$B$136,0)),Data!D953))</f>
        <v>概念の仲介</v>
      </c>
      <c r="E953" s="70" t="str">
        <f aca="false">IFERROR(INDEX(対訳マスタ!$C$2:$C$136,MATCH(Data!E953,対訳マスタ!$B$2:$B$136,0)),Data!E953)</f>
        <v>意味の共同構築</v>
      </c>
      <c r="F953" s="70" t="str">
        <f aca="false">Data!F953</f>
        <v>A2+</v>
      </c>
      <c r="G953" s="31" t="str">
        <f aca="false">Data!G953</f>
        <v>Can ensure that the person they are addressing understands what they mean by asking appropriate questions.</v>
      </c>
      <c r="H953" s="71" t="s">
        <v>2889</v>
      </c>
      <c r="I953" s="79" t="s">
        <v>3089</v>
      </c>
    </row>
    <row r="954" customFormat="false" ht="21.75" hidden="false" customHeight="true" outlineLevel="0" collapsed="false">
      <c r="A954" s="70" t="n">
        <f aca="false">Data!A954</f>
        <v>953</v>
      </c>
      <c r="B954" s="70" t="str">
        <f aca="false">IFERROR(INDEX(対訳マスタ!$C$2:$C$136,MATCH(Data!B954,対訳マスタ!$B$2:$B$136,0)),Data!B954)</f>
        <v>コミュニケーション言語活動</v>
      </c>
      <c r="C954" s="70" t="str">
        <f aca="false">IF(Data!C954="—","—",IFERROR(INDEX(対訳マスタ!$C$2:$C$136,MATCH(Data!C954,対訳マスタ!$B$2:$B$136,0)),Data!C954))</f>
        <v>仲介</v>
      </c>
      <c r="D954" s="70" t="str">
        <f aca="false">IF(Data!D954="—","—",IFERROR(INDEX(対訳マスタ!$C$2:$C$136,MATCH(Data!D954,対訳マスタ!$B$2:$B$136,0)),Data!D954))</f>
        <v>概念の仲介</v>
      </c>
      <c r="E954" s="70" t="str">
        <f aca="false">IFERROR(INDEX(対訳マスタ!$C$2:$C$136,MATCH(Data!E954,対訳マスタ!$B$2:$B$136,0)),Data!E954)</f>
        <v>意味の共同構築</v>
      </c>
      <c r="F954" s="70" t="str">
        <f aca="false">Data!F954</f>
        <v>A2</v>
      </c>
      <c r="G954" s="31" t="str">
        <f aca="false">Data!G954</f>
        <v>Can make simple remarks and pose occasional questions to indicate that they are following.</v>
      </c>
      <c r="H954" s="71" t="s">
        <v>3492</v>
      </c>
      <c r="I954" s="79" t="s">
        <v>3089</v>
      </c>
    </row>
    <row r="955" customFormat="false" ht="15" hidden="false" customHeight="true" outlineLevel="0" collapsed="false">
      <c r="A955" s="70" t="n">
        <f aca="false">Data!A955</f>
        <v>954</v>
      </c>
      <c r="B955" s="70" t="str">
        <f aca="false">IFERROR(INDEX(対訳マスタ!$C$2:$C$136,MATCH(Data!B955,対訳マスタ!$B$2:$B$136,0)),Data!B955)</f>
        <v>コミュニケーション言語活動</v>
      </c>
      <c r="C955" s="70" t="str">
        <f aca="false">IF(Data!C955="—","—",IFERROR(INDEX(対訳マスタ!$C$2:$C$136,MATCH(Data!C955,対訳マスタ!$B$2:$B$136,0)),Data!C955))</f>
        <v>仲介</v>
      </c>
      <c r="D955" s="70" t="str">
        <f aca="false">IF(Data!D955="—","—",IFERROR(INDEX(対訳マスタ!$C$2:$C$136,MATCH(Data!D955,対訳マスタ!$B$2:$B$136,0)),Data!D955))</f>
        <v>概念の仲介</v>
      </c>
      <c r="E955" s="70" t="str">
        <f aca="false">IFERROR(INDEX(対訳マスタ!$C$2:$C$136,MATCH(Data!E955,対訳マスタ!$B$2:$B$136,0)),Data!E955)</f>
        <v>意味の共同構築</v>
      </c>
      <c r="F955" s="70" t="str">
        <f aca="false">Data!F955</f>
        <v>A2</v>
      </c>
      <c r="G955" s="31" t="str">
        <f aca="false">Data!G955</f>
        <v>Can make suggestions in a simple way.</v>
      </c>
      <c r="H955" s="71" t="s">
        <v>2888</v>
      </c>
      <c r="I955" s="79" t="s">
        <v>3089</v>
      </c>
    </row>
    <row r="956" customFormat="false" ht="26.25" hidden="false" customHeight="true" outlineLevel="0" collapsed="false">
      <c r="A956" s="70" t="n">
        <f aca="false">Data!A956</f>
        <v>955</v>
      </c>
      <c r="B956" s="70" t="str">
        <f aca="false">IFERROR(INDEX(対訳マスタ!$C$2:$C$136,MATCH(Data!B956,対訳マスタ!$B$2:$B$136,0)),Data!B956)</f>
        <v>コミュニケーション言語活動</v>
      </c>
      <c r="C956" s="70" t="str">
        <f aca="false">IF(Data!C956="—","—",IFERROR(INDEX(対訳マスタ!$C$2:$C$136,MATCH(Data!C956,対訳マスタ!$B$2:$B$136,0)),Data!C956))</f>
        <v>仲介</v>
      </c>
      <c r="D956" s="70" t="str">
        <f aca="false">IF(Data!D956="—","—",IFERROR(INDEX(対訳マスタ!$C$2:$C$136,MATCH(Data!D956,対訳マスタ!$B$2:$B$136,0)),Data!D956))</f>
        <v>概念の仲介</v>
      </c>
      <c r="E956" s="70" t="str">
        <f aca="false">IFERROR(INDEX(対訳マスタ!$C$2:$C$136,MATCH(Data!E956,対訳マスタ!$B$2:$B$136,0)),Data!E956)</f>
        <v>意味の共同構築</v>
      </c>
      <c r="F956" s="70" t="str">
        <f aca="false">Data!F956</f>
        <v>A1</v>
      </c>
      <c r="G956" s="31" t="str">
        <f aca="false">Data!G956</f>
        <v>Can express an idea and ask what others think, using very simple words/signs and phrases, provided they can prepare in advance.</v>
      </c>
      <c r="H956" s="71" t="s">
        <v>2887</v>
      </c>
      <c r="I956" s="79" t="s">
        <v>3089</v>
      </c>
    </row>
    <row r="957" customFormat="false" ht="15" hidden="false" customHeight="true" outlineLevel="0" collapsed="false">
      <c r="A957" s="80" t="n">
        <f aca="false">Data!A957</f>
        <v>956</v>
      </c>
      <c r="B957" s="80" t="str">
        <f aca="false">IFERROR(INDEX(対訳マスタ!$C$2:$C$136,MATCH(Data!B957,対訳マスタ!$B$2:$B$136,0)),Data!B957)</f>
        <v>コミュニケーション言語活動</v>
      </c>
      <c r="C957" s="80" t="str">
        <f aca="false">IF(Data!C957="—","—",IFERROR(INDEX(対訳マスタ!$C$2:$C$136,MATCH(Data!C957,対訳マスタ!$B$2:$B$136,0)),Data!C957))</f>
        <v>仲介</v>
      </c>
      <c r="D957" s="80" t="str">
        <f aca="false">IF(Data!D957="—","—",IFERROR(INDEX(対訳マスタ!$C$2:$C$136,MATCH(Data!D957,対訳マスタ!$B$2:$B$136,0)),Data!D957))</f>
        <v>概念の仲介</v>
      </c>
      <c r="E957" s="80" t="str">
        <f aca="false">IFERROR(INDEX(対訳マスタ!$C$2:$C$136,MATCH(Data!E957,対訳マスタ!$B$2:$B$136,0)),Data!E957)</f>
        <v>意味の共同構築</v>
      </c>
      <c r="F957" s="80" t="str">
        <f aca="false">Data!F957</f>
        <v>Pre-A1</v>
      </c>
      <c r="G957" s="81" t="str">
        <f aca="false">Data!G957</f>
        <v>No descriptors available</v>
      </c>
      <c r="H957" s="81" t="s">
        <v>624</v>
      </c>
      <c r="I957" s="80" t="s">
        <v>624</v>
      </c>
    </row>
    <row r="958" customFormat="false" ht="32.25" hidden="false" customHeight="true" outlineLevel="0" collapsed="false">
      <c r="A958" s="70" t="n">
        <f aca="false">Data!A958</f>
        <v>957</v>
      </c>
      <c r="B958" s="70" t="str">
        <f aca="false">IFERROR(INDEX(対訳マスタ!$C$2:$C$136,MATCH(Data!B958,対訳マスタ!$B$2:$B$136,0)),Data!B958)</f>
        <v>コミュニケーション言語活動</v>
      </c>
      <c r="C958" s="70" t="str">
        <f aca="false">IF(Data!C958="—","—",IFERROR(INDEX(対訳マスタ!$C$2:$C$136,MATCH(Data!C958,対訳マスタ!$B$2:$B$136,0)),Data!C958))</f>
        <v>仲介</v>
      </c>
      <c r="D958" s="70" t="str">
        <f aca="false">IF(Data!D958="—","—",IFERROR(INDEX(対訳マスタ!$C$2:$C$136,MATCH(Data!D958,対訳マスタ!$B$2:$B$136,0)),Data!D958))</f>
        <v>概念の仲介</v>
      </c>
      <c r="E958" s="70" t="str">
        <f aca="false">IFERROR(INDEX(対訳マスタ!$C$2:$C$136,MATCH(Data!E958,対訳マスタ!$B$2:$B$136,0)),Data!E958)</f>
        <v>やりとりの運営（進行管理）</v>
      </c>
      <c r="F958" s="70" t="str">
        <f aca="false">Data!F958</f>
        <v>C2</v>
      </c>
      <c r="G958" s="31" t="str">
        <f aca="false">Data!G958</f>
        <v>Can take on different roles according to the needs of the participants and requirements of the activity (resource person, mediator, supervisor, etc.) and provide appropriate individualised support.</v>
      </c>
      <c r="H958" s="71" t="s">
        <v>3493</v>
      </c>
      <c r="I958" s="79" t="s">
        <v>3089</v>
      </c>
    </row>
    <row r="959" customFormat="false" ht="21.75" hidden="false" customHeight="true" outlineLevel="0" collapsed="false">
      <c r="A959" s="70" t="n">
        <f aca="false">Data!A959</f>
        <v>958</v>
      </c>
      <c r="B959" s="70" t="str">
        <f aca="false">IFERROR(INDEX(対訳マスタ!$C$2:$C$136,MATCH(Data!B959,対訳マスタ!$B$2:$B$136,0)),Data!B959)</f>
        <v>コミュニケーション言語活動</v>
      </c>
      <c r="C959" s="70" t="str">
        <f aca="false">IF(Data!C959="—","—",IFERROR(INDEX(対訳マスタ!$C$2:$C$136,MATCH(Data!C959,対訳マスタ!$B$2:$B$136,0)),Data!C959))</f>
        <v>仲介</v>
      </c>
      <c r="D959" s="70" t="str">
        <f aca="false">IF(Data!D959="—","—",IFERROR(INDEX(対訳マスタ!$C$2:$C$136,MATCH(Data!D959,対訳マスタ!$B$2:$B$136,0)),Data!D959))</f>
        <v>概念の仲介</v>
      </c>
      <c r="E959" s="70" t="str">
        <f aca="false">IFERROR(INDEX(対訳マスタ!$C$2:$C$136,MATCH(Data!E959,対訳マスタ!$B$2:$B$136,0)),Data!E959)</f>
        <v>やりとりの運営（進行管理）</v>
      </c>
      <c r="F959" s="70" t="str">
        <f aca="false">Data!F959</f>
        <v>C2</v>
      </c>
      <c r="G959" s="31" t="str">
        <f aca="false">Data!G959</f>
        <v>Can recognise undercurrents in interaction and take appropriate steps to guide the direction of discussion.</v>
      </c>
      <c r="H959" s="71" t="s">
        <v>2902</v>
      </c>
      <c r="I959" s="79" t="s">
        <v>3089</v>
      </c>
    </row>
    <row r="960" customFormat="false" ht="21.75" hidden="false" customHeight="true" outlineLevel="0" collapsed="false">
      <c r="A960" s="70" t="n">
        <f aca="false">Data!A960</f>
        <v>959</v>
      </c>
      <c r="B960" s="70" t="str">
        <f aca="false">IFERROR(INDEX(対訳マスタ!$C$2:$C$136,MATCH(Data!B960,対訳マスタ!$B$2:$B$136,0)),Data!B960)</f>
        <v>コミュニケーション言語活動</v>
      </c>
      <c r="C960" s="70" t="str">
        <f aca="false">IF(Data!C960="—","—",IFERROR(INDEX(対訳マスタ!$C$2:$C$136,MATCH(Data!C960,対訳マスタ!$B$2:$B$136,0)),Data!C960))</f>
        <v>仲介</v>
      </c>
      <c r="D960" s="70" t="str">
        <f aca="false">IF(Data!D960="—","—",IFERROR(INDEX(対訳マスタ!$C$2:$C$136,MATCH(Data!D960,対訳マスタ!$B$2:$B$136,0)),Data!D960))</f>
        <v>概念の仲介</v>
      </c>
      <c r="E960" s="70" t="str">
        <f aca="false">IFERROR(INDEX(対訳マスタ!$C$2:$C$136,MATCH(Data!E960,対訳マスタ!$B$2:$B$136,0)),Data!E960)</f>
        <v>やりとりの運営（進行管理）</v>
      </c>
      <c r="F960" s="70" t="str">
        <f aca="false">Data!F960</f>
        <v>C1</v>
      </c>
      <c r="G960" s="31" t="str">
        <f aca="false">Data!G960</f>
        <v>Can organise a varied and balanced sequence of plenary, group and individual work, ensuring smooth transitions between the phases.</v>
      </c>
      <c r="H960" s="71" t="s">
        <v>3494</v>
      </c>
      <c r="I960" s="79" t="s">
        <v>3089</v>
      </c>
    </row>
    <row r="961" customFormat="false" ht="26.25" hidden="false" customHeight="true" outlineLevel="0" collapsed="false">
      <c r="A961" s="70" t="n">
        <f aca="false">Data!A961</f>
        <v>960</v>
      </c>
      <c r="B961" s="70" t="str">
        <f aca="false">IFERROR(INDEX(対訳マスタ!$C$2:$C$136,MATCH(Data!B961,対訳マスタ!$B$2:$B$136,0)),Data!B961)</f>
        <v>コミュニケーション言語活動</v>
      </c>
      <c r="C961" s="70" t="str">
        <f aca="false">IF(Data!C961="—","—",IFERROR(INDEX(対訳マスタ!$C$2:$C$136,MATCH(Data!C961,対訳マスタ!$B$2:$B$136,0)),Data!C961))</f>
        <v>仲介</v>
      </c>
      <c r="D961" s="70" t="str">
        <f aca="false">IF(Data!D961="—","—",IFERROR(INDEX(対訳マスタ!$C$2:$C$136,MATCH(Data!D961,対訳マスタ!$B$2:$B$136,0)),Data!D961))</f>
        <v>概念の仲介</v>
      </c>
      <c r="E961" s="70" t="str">
        <f aca="false">IFERROR(INDEX(対訳マスタ!$C$2:$C$136,MATCH(Data!E961,対訳マスタ!$B$2:$B$136,0)),Data!E961)</f>
        <v>やりとりの運営（進行管理）</v>
      </c>
      <c r="F961" s="70" t="str">
        <f aca="false">Data!F961</f>
        <v>C1</v>
      </c>
      <c r="G961" s="31" t="str">
        <f aca="false">Data!G961</f>
        <v>Can intervene diplomatically in order to redirect discussion, prevent one person dominating or confront disruptive behaviour.</v>
      </c>
      <c r="H961" s="71" t="s">
        <v>2901</v>
      </c>
      <c r="I961" s="79" t="s">
        <v>3089</v>
      </c>
    </row>
    <row r="962" customFormat="false" ht="15" hidden="false" customHeight="true" outlineLevel="0" collapsed="false">
      <c r="A962" s="70" t="n">
        <f aca="false">Data!A962</f>
        <v>961</v>
      </c>
      <c r="B962" s="70" t="str">
        <f aca="false">IFERROR(INDEX(対訳マスタ!$C$2:$C$136,MATCH(Data!B962,対訳マスタ!$B$2:$B$136,0)),Data!B962)</f>
        <v>コミュニケーション言語活動</v>
      </c>
      <c r="C962" s="70" t="str">
        <f aca="false">IF(Data!C962="—","—",IFERROR(INDEX(対訳マスタ!$C$2:$C$136,MATCH(Data!C962,対訳マスタ!$B$2:$B$136,0)),Data!C962))</f>
        <v>仲介</v>
      </c>
      <c r="D962" s="70" t="str">
        <f aca="false">IF(Data!D962="—","—",IFERROR(INDEX(対訳マスタ!$C$2:$C$136,MATCH(Data!D962,対訳マスタ!$B$2:$B$136,0)),Data!D962))</f>
        <v>概念の仲介</v>
      </c>
      <c r="E962" s="70" t="str">
        <f aca="false">IFERROR(INDEX(対訳マスタ!$C$2:$C$136,MATCH(Data!E962,対訳マスタ!$B$2:$B$136,0)),Data!E962)</f>
        <v>やりとりの運営（進行管理）</v>
      </c>
      <c r="F962" s="70" t="str">
        <f aca="false">Data!F962</f>
        <v>B2+</v>
      </c>
      <c r="G962" s="31" t="str">
        <f aca="false">Data!G962</f>
        <v>Can organise and manage collaborative group work efficiently.</v>
      </c>
      <c r="H962" s="71" t="s">
        <v>2900</v>
      </c>
      <c r="I962" s="79" t="s">
        <v>3089</v>
      </c>
    </row>
    <row r="963" customFormat="false" ht="21.75" hidden="false" customHeight="true" outlineLevel="0" collapsed="false">
      <c r="A963" s="70" t="n">
        <f aca="false">Data!A963</f>
        <v>962</v>
      </c>
      <c r="B963" s="70" t="str">
        <f aca="false">IFERROR(INDEX(対訳マスタ!$C$2:$C$136,MATCH(Data!B963,対訳マスタ!$B$2:$B$136,0)),Data!B963)</f>
        <v>コミュニケーション言語活動</v>
      </c>
      <c r="C963" s="70" t="str">
        <f aca="false">IF(Data!C963="—","—",IFERROR(INDEX(対訳マスタ!$C$2:$C$136,MATCH(Data!C963,対訳マスタ!$B$2:$B$136,0)),Data!C963))</f>
        <v>仲介</v>
      </c>
      <c r="D963" s="70" t="str">
        <f aca="false">IF(Data!D963="—","—",IFERROR(INDEX(対訳マスタ!$C$2:$C$136,MATCH(Data!D963,対訳マスタ!$B$2:$B$136,0)),Data!D963))</f>
        <v>概念の仲介</v>
      </c>
      <c r="E963" s="70" t="str">
        <f aca="false">IFERROR(INDEX(対訳マスタ!$C$2:$C$136,MATCH(Data!E963,対訳マスタ!$B$2:$B$136,0)),Data!E963)</f>
        <v>やりとりの運営（進行管理）</v>
      </c>
      <c r="F963" s="70" t="str">
        <f aca="false">Data!F963</f>
        <v>B2+</v>
      </c>
      <c r="G963" s="31" t="str">
        <f aca="false">Data!G963</f>
        <v>Can monitor individual and group work non-intrusively, intervening to set a group back on task or to ensure even participation.</v>
      </c>
      <c r="H963" s="71" t="s">
        <v>3495</v>
      </c>
      <c r="I963" s="79" t="s">
        <v>3089</v>
      </c>
    </row>
    <row r="964" customFormat="false" ht="21.75" hidden="false" customHeight="true" outlineLevel="0" collapsed="false">
      <c r="A964" s="70" t="n">
        <f aca="false">Data!A964</f>
        <v>963</v>
      </c>
      <c r="B964" s="70" t="str">
        <f aca="false">IFERROR(INDEX(対訳マスタ!$C$2:$C$136,MATCH(Data!B964,対訳マスタ!$B$2:$B$136,0)),Data!B964)</f>
        <v>コミュニケーション言語活動</v>
      </c>
      <c r="C964" s="70" t="str">
        <f aca="false">IF(Data!C964="—","—",IFERROR(INDEX(対訳マスタ!$C$2:$C$136,MATCH(Data!C964,対訳マスタ!$B$2:$B$136,0)),Data!C964))</f>
        <v>仲介</v>
      </c>
      <c r="D964" s="70" t="str">
        <f aca="false">IF(Data!D964="—","—",IFERROR(INDEX(対訳マスタ!$C$2:$C$136,MATCH(Data!D964,対訳マスタ!$B$2:$B$136,0)),Data!D964))</f>
        <v>概念の仲介</v>
      </c>
      <c r="E964" s="70" t="str">
        <f aca="false">IFERROR(INDEX(対訳マスタ!$C$2:$C$136,MATCH(Data!E964,対訳マスタ!$B$2:$B$136,0)),Data!E964)</f>
        <v>やりとりの運営（進行管理）</v>
      </c>
      <c r="F964" s="70" t="str">
        <f aca="false">Data!F964</f>
        <v>B2+</v>
      </c>
      <c r="G964" s="31" t="str">
        <f aca="false">Data!G964</f>
        <v>Can intervene supportively in order to focus people’s attention on aspects of the task by asking targeted questions and inviting suggestions.</v>
      </c>
      <c r="H964" s="71" t="s">
        <v>3496</v>
      </c>
      <c r="I964" s="79" t="s">
        <v>3089</v>
      </c>
    </row>
    <row r="965" customFormat="false" ht="21.75" hidden="false" customHeight="true" outlineLevel="0" collapsed="false">
      <c r="A965" s="70" t="n">
        <f aca="false">Data!A965</f>
        <v>964</v>
      </c>
      <c r="B965" s="70" t="str">
        <f aca="false">IFERROR(INDEX(対訳マスタ!$C$2:$C$136,MATCH(Data!B965,対訳マスタ!$B$2:$B$136,0)),Data!B965)</f>
        <v>コミュニケーション言語活動</v>
      </c>
      <c r="C965" s="70" t="str">
        <f aca="false">IF(Data!C965="—","—",IFERROR(INDEX(対訳マスタ!$C$2:$C$136,MATCH(Data!C965,対訳マスタ!$B$2:$B$136,0)),Data!C965))</f>
        <v>仲介</v>
      </c>
      <c r="D965" s="70" t="str">
        <f aca="false">IF(Data!D965="—","—",IFERROR(INDEX(対訳マスタ!$C$2:$C$136,MATCH(Data!D965,対訳マスタ!$B$2:$B$136,0)),Data!D965))</f>
        <v>概念の仲介</v>
      </c>
      <c r="E965" s="70" t="str">
        <f aca="false">IFERROR(INDEX(対訳マスタ!$C$2:$C$136,MATCH(Data!E965,対訳マスタ!$B$2:$B$136,0)),Data!E965)</f>
        <v>やりとりの運営（進行管理）</v>
      </c>
      <c r="F965" s="70" t="str">
        <f aca="false">Data!F965</f>
        <v>B2</v>
      </c>
      <c r="G965" s="31" t="str">
        <f aca="false">Data!G965</f>
        <v>Can explain the different roles of participants in the collaborative process, giving clear instructions for group work.</v>
      </c>
      <c r="H965" s="71" t="s">
        <v>3497</v>
      </c>
      <c r="I965" s="79" t="s">
        <v>3089</v>
      </c>
    </row>
    <row r="966" customFormat="false" ht="21.75" hidden="false" customHeight="true" outlineLevel="0" collapsed="false">
      <c r="A966" s="70" t="n">
        <f aca="false">Data!A966</f>
        <v>965</v>
      </c>
      <c r="B966" s="70" t="str">
        <f aca="false">IFERROR(INDEX(対訳マスタ!$C$2:$C$136,MATCH(Data!B966,対訳マスタ!$B$2:$B$136,0)),Data!B966)</f>
        <v>コミュニケーション言語活動</v>
      </c>
      <c r="C966" s="70" t="str">
        <f aca="false">IF(Data!C966="—","—",IFERROR(INDEX(対訳マスタ!$C$2:$C$136,MATCH(Data!C966,対訳マスタ!$B$2:$B$136,0)),Data!C966))</f>
        <v>仲介</v>
      </c>
      <c r="D966" s="70" t="str">
        <f aca="false">IF(Data!D966="—","—",IFERROR(INDEX(対訳マスタ!$C$2:$C$136,MATCH(Data!D966,対訳マスタ!$B$2:$B$136,0)),Data!D966))</f>
        <v>概念の仲介</v>
      </c>
      <c r="E966" s="70" t="str">
        <f aca="false">IFERROR(INDEX(対訳マスタ!$C$2:$C$136,MATCH(Data!E966,対訳マスタ!$B$2:$B$136,0)),Data!E966)</f>
        <v>やりとりの運営（進行管理）</v>
      </c>
      <c r="F966" s="70" t="str">
        <f aca="false">Data!F966</f>
        <v>B2</v>
      </c>
      <c r="G966" s="31" t="str">
        <f aca="false">Data!G966</f>
        <v>Can explain ground rules of collaborative discussion in small groups that involves problem solving or the evaluation of alternative proposals.</v>
      </c>
      <c r="H966" s="71" t="s">
        <v>3498</v>
      </c>
      <c r="I966" s="79" t="s">
        <v>3089</v>
      </c>
    </row>
    <row r="967" customFormat="false" ht="26.25" hidden="false" customHeight="true" outlineLevel="0" collapsed="false">
      <c r="A967" s="70" t="n">
        <f aca="false">Data!A967</f>
        <v>966</v>
      </c>
      <c r="B967" s="70" t="str">
        <f aca="false">IFERROR(INDEX(対訳マスタ!$C$2:$C$136,MATCH(Data!B967,対訳マスタ!$B$2:$B$136,0)),Data!B967)</f>
        <v>コミュニケーション言語活動</v>
      </c>
      <c r="C967" s="70" t="str">
        <f aca="false">IF(Data!C967="—","—",IFERROR(INDEX(対訳マスタ!$C$2:$C$136,MATCH(Data!C967,対訳マスタ!$B$2:$B$136,0)),Data!C967))</f>
        <v>仲介</v>
      </c>
      <c r="D967" s="70" t="str">
        <f aca="false">IF(Data!D967="—","—",IFERROR(INDEX(対訳マスタ!$C$2:$C$136,MATCH(Data!D967,対訳マスタ!$B$2:$B$136,0)),Data!D967))</f>
        <v>概念の仲介</v>
      </c>
      <c r="E967" s="70" t="str">
        <f aca="false">IFERROR(INDEX(対訳マスタ!$C$2:$C$136,MATCH(Data!E967,対訳マスタ!$B$2:$B$136,0)),Data!E967)</f>
        <v>やりとりの運営（進行管理）</v>
      </c>
      <c r="F967" s="70" t="str">
        <f aca="false">Data!F967</f>
        <v>B2</v>
      </c>
      <c r="G967" s="31" t="str">
        <f aca="false">Data!G967</f>
        <v>Can intervene when necessary to set a group back on task with new instructions or to encourage more even participation.</v>
      </c>
      <c r="H967" s="71" t="s">
        <v>2899</v>
      </c>
      <c r="I967" s="79" t="s">
        <v>3089</v>
      </c>
    </row>
    <row r="968" customFormat="false" ht="15" hidden="false" customHeight="true" outlineLevel="0" collapsed="false">
      <c r="A968" s="70" t="n">
        <f aca="false">Data!A968</f>
        <v>967</v>
      </c>
      <c r="B968" s="70" t="str">
        <f aca="false">IFERROR(INDEX(対訳マスタ!$C$2:$C$136,MATCH(Data!B968,対訳マスタ!$B$2:$B$136,0)),Data!B968)</f>
        <v>コミュニケーション言語活動</v>
      </c>
      <c r="C968" s="70" t="str">
        <f aca="false">IF(Data!C968="—","—",IFERROR(INDEX(対訳マスタ!$C$2:$C$136,MATCH(Data!C968,対訳マスタ!$B$2:$B$136,0)),Data!C968))</f>
        <v>仲介</v>
      </c>
      <c r="D968" s="70" t="str">
        <f aca="false">IF(Data!D968="—","—",IFERROR(INDEX(対訳マスタ!$C$2:$C$136,MATCH(Data!D968,対訳マスタ!$B$2:$B$136,0)),Data!D968))</f>
        <v>概念の仲介</v>
      </c>
      <c r="E968" s="70" t="str">
        <f aca="false">IFERROR(INDEX(対訳マスタ!$C$2:$C$136,MATCH(Data!E968,対訳マスタ!$B$2:$B$136,0)),Data!E968)</f>
        <v>やりとりの運営（進行管理）</v>
      </c>
      <c r="F968" s="70" t="str">
        <f aca="false">Data!F968</f>
        <v>B1+</v>
      </c>
      <c r="G968" s="31" t="str">
        <f aca="false">Data!G968</f>
        <v>Can allocate turns in a discussion, inviting a participant to express their views.</v>
      </c>
      <c r="H968" s="71" t="s">
        <v>2898</v>
      </c>
      <c r="I968" s="79" t="s">
        <v>3089</v>
      </c>
    </row>
    <row r="969" customFormat="false" ht="15" hidden="false" customHeight="true" outlineLevel="0" collapsed="false">
      <c r="A969" s="70" t="n">
        <f aca="false">Data!A969</f>
        <v>968</v>
      </c>
      <c r="B969" s="70" t="str">
        <f aca="false">IFERROR(INDEX(対訳マスタ!$C$2:$C$136,MATCH(Data!B969,対訳マスタ!$B$2:$B$136,0)),Data!B969)</f>
        <v>コミュニケーション言語活動</v>
      </c>
      <c r="C969" s="70" t="str">
        <f aca="false">IF(Data!C969="—","—",IFERROR(INDEX(対訳マスタ!$C$2:$C$136,MATCH(Data!C969,対訳マスタ!$B$2:$B$136,0)),Data!C969))</f>
        <v>仲介</v>
      </c>
      <c r="D969" s="70" t="str">
        <f aca="false">IF(Data!D969="—","—",IFERROR(INDEX(対訳マスタ!$C$2:$C$136,MATCH(Data!D969,対訳マスタ!$B$2:$B$136,0)),Data!D969))</f>
        <v>概念の仲介</v>
      </c>
      <c r="E969" s="70" t="str">
        <f aca="false">IFERROR(INDEX(対訳マスタ!$C$2:$C$136,MATCH(Data!E969,対訳マスタ!$B$2:$B$136,0)),Data!E969)</f>
        <v>やりとりの運営（進行管理）</v>
      </c>
      <c r="F969" s="70" t="str">
        <f aca="false">Data!F969</f>
        <v>B1</v>
      </c>
      <c r="G969" s="31" t="str">
        <f aca="false">Data!G969</f>
        <v>Can give simple, clear instructions to organise an activity.</v>
      </c>
      <c r="H969" s="71" t="s">
        <v>2897</v>
      </c>
      <c r="I969" s="79" t="s">
        <v>3089</v>
      </c>
    </row>
    <row r="970" customFormat="false" ht="21.75" hidden="false" customHeight="true" outlineLevel="0" collapsed="false">
      <c r="A970" s="70" t="n">
        <f aca="false">Data!A970</f>
        <v>969</v>
      </c>
      <c r="B970" s="70" t="str">
        <f aca="false">IFERROR(INDEX(対訳マスタ!$C$2:$C$136,MATCH(Data!B970,対訳マスタ!$B$2:$B$136,0)),Data!B970)</f>
        <v>コミュニケーション言語活動</v>
      </c>
      <c r="C970" s="70" t="str">
        <f aca="false">IF(Data!C970="—","—",IFERROR(INDEX(対訳マスタ!$C$2:$C$136,MATCH(Data!C970,対訳マスタ!$B$2:$B$136,0)),Data!C970))</f>
        <v>仲介</v>
      </c>
      <c r="D970" s="70" t="str">
        <f aca="false">IF(Data!D970="—","—",IFERROR(INDEX(対訳マスタ!$C$2:$C$136,MATCH(Data!D970,対訳マスタ!$B$2:$B$136,0)),Data!D970))</f>
        <v>概念の仲介</v>
      </c>
      <c r="E970" s="70" t="str">
        <f aca="false">IFERROR(INDEX(対訳マスタ!$C$2:$C$136,MATCH(Data!E970,対訳マスタ!$B$2:$B$136,0)),Data!E970)</f>
        <v>やりとりの運営（進行管理）</v>
      </c>
      <c r="F970" s="70" t="str">
        <f aca="false">Data!F970</f>
        <v>A2</v>
      </c>
      <c r="G970" s="31" t="str">
        <f aca="false">Data!G970</f>
        <v>Can give very simple instructions to a co-operative group, given some help with formulation when necessary.</v>
      </c>
      <c r="H970" s="71" t="s">
        <v>2896</v>
      </c>
      <c r="I970" s="79" t="s">
        <v>3089</v>
      </c>
    </row>
    <row r="971" customFormat="false" ht="15" hidden="false" customHeight="true" outlineLevel="0" collapsed="false">
      <c r="A971" s="80" t="n">
        <f aca="false">Data!A971</f>
        <v>970</v>
      </c>
      <c r="B971" s="80" t="str">
        <f aca="false">IFERROR(INDEX(対訳マスタ!$C$2:$C$136,MATCH(Data!B971,対訳マスタ!$B$2:$B$136,0)),Data!B971)</f>
        <v>コミュニケーション言語活動</v>
      </c>
      <c r="C971" s="80" t="str">
        <f aca="false">IF(Data!C971="—","—",IFERROR(INDEX(対訳マスタ!$C$2:$C$136,MATCH(Data!C971,対訳マスタ!$B$2:$B$136,0)),Data!C971))</f>
        <v>仲介</v>
      </c>
      <c r="D971" s="80" t="str">
        <f aca="false">IF(Data!D971="—","—",IFERROR(INDEX(対訳マスタ!$C$2:$C$136,MATCH(Data!D971,対訳マスタ!$B$2:$B$136,0)),Data!D971))</f>
        <v>概念の仲介</v>
      </c>
      <c r="E971" s="80" t="str">
        <f aca="false">IFERROR(INDEX(対訳マスタ!$C$2:$C$136,MATCH(Data!E971,対訳マスタ!$B$2:$B$136,0)),Data!E971)</f>
        <v>やりとりの運営（進行管理）</v>
      </c>
      <c r="F971" s="80" t="str">
        <f aca="false">Data!F971</f>
        <v>A1</v>
      </c>
      <c r="G971" s="81" t="str">
        <f aca="false">Data!G971</f>
        <v>No descriptors available</v>
      </c>
      <c r="H971" s="81" t="s">
        <v>624</v>
      </c>
      <c r="I971" s="80" t="s">
        <v>624</v>
      </c>
    </row>
    <row r="972" customFormat="false" ht="15" hidden="false" customHeight="true" outlineLevel="0" collapsed="false">
      <c r="A972" s="80" t="n">
        <f aca="false">Data!A972</f>
        <v>971</v>
      </c>
      <c r="B972" s="80" t="str">
        <f aca="false">IFERROR(INDEX(対訳マスタ!$C$2:$C$136,MATCH(Data!B972,対訳マスタ!$B$2:$B$136,0)),Data!B972)</f>
        <v>コミュニケーション言語活動</v>
      </c>
      <c r="C972" s="80" t="str">
        <f aca="false">IF(Data!C972="—","—",IFERROR(INDEX(対訳マスタ!$C$2:$C$136,MATCH(Data!C972,対訳マスタ!$B$2:$B$136,0)),Data!C972))</f>
        <v>仲介</v>
      </c>
      <c r="D972" s="80" t="str">
        <f aca="false">IF(Data!D972="—","—",IFERROR(INDEX(対訳マスタ!$C$2:$C$136,MATCH(Data!D972,対訳マスタ!$B$2:$B$136,0)),Data!D972))</f>
        <v>概念の仲介</v>
      </c>
      <c r="E972" s="80" t="str">
        <f aca="false">IFERROR(INDEX(対訳マスタ!$C$2:$C$136,MATCH(Data!E972,対訳マスタ!$B$2:$B$136,0)),Data!E972)</f>
        <v>やりとりの運営（進行管理）</v>
      </c>
      <c r="F972" s="80" t="str">
        <f aca="false">Data!F972</f>
        <v>Pre-A1</v>
      </c>
      <c r="G972" s="81" t="str">
        <f aca="false">Data!G972</f>
        <v>No descriptors available</v>
      </c>
      <c r="H972" s="81" t="s">
        <v>624</v>
      </c>
      <c r="I972" s="80" t="s">
        <v>624</v>
      </c>
    </row>
    <row r="973" customFormat="false" ht="32.25" hidden="false" customHeight="true" outlineLevel="0" collapsed="false">
      <c r="A973" s="70" t="n">
        <f aca="false">Data!A973</f>
        <v>972</v>
      </c>
      <c r="B973" s="70" t="str">
        <f aca="false">IFERROR(INDEX(対訳マスタ!$C$2:$C$136,MATCH(Data!B973,対訳マスタ!$B$2:$B$136,0)),Data!B973)</f>
        <v>コミュニケーション言語活動</v>
      </c>
      <c r="C973" s="70" t="str">
        <f aca="false">IF(Data!C973="—","—",IFERROR(INDEX(対訳マスタ!$C$2:$C$136,MATCH(Data!C973,対訳マスタ!$B$2:$B$136,0)),Data!C973))</f>
        <v>仲介</v>
      </c>
      <c r="D973" s="70" t="str">
        <f aca="false">IF(Data!D973="—","—",IFERROR(INDEX(対訳マスタ!$C$2:$C$136,MATCH(Data!D973,対訳マスタ!$B$2:$B$136,0)),Data!D973))</f>
        <v>概念の仲介</v>
      </c>
      <c r="E973" s="70" t="str">
        <f aca="false">IFERROR(INDEX(対訳マスタ!$C$2:$C$136,MATCH(Data!E973,対訳マスタ!$B$2:$B$136,0)),Data!E973)</f>
        <v>概念的な対話の促進</v>
      </c>
      <c r="F973" s="70" t="str">
        <f aca="false">Data!F973</f>
        <v>C2</v>
      </c>
      <c r="G973" s="31" t="str">
        <f aca="false">Data!G973</f>
        <v>Can effectively lead the development of ideas in a discussion of complex abstract topics, giving direction by targeting questions and encouraging others to elaborate on their reasoning.</v>
      </c>
      <c r="H973" s="71" t="s">
        <v>2910</v>
      </c>
      <c r="I973" s="79" t="s">
        <v>3089</v>
      </c>
    </row>
    <row r="974" customFormat="false" ht="32.25" hidden="false" customHeight="true" outlineLevel="0" collapsed="false">
      <c r="A974" s="70" t="n">
        <f aca="false">Data!A974</f>
        <v>973</v>
      </c>
      <c r="B974" s="70" t="str">
        <f aca="false">IFERROR(INDEX(対訳マスタ!$C$2:$C$136,MATCH(Data!B974,対訳マスタ!$B$2:$B$136,0)),Data!B974)</f>
        <v>コミュニケーション言語活動</v>
      </c>
      <c r="C974" s="70" t="str">
        <f aca="false">IF(Data!C974="—","—",IFERROR(INDEX(対訳マスタ!$C$2:$C$136,MATCH(Data!C974,対訳マスタ!$B$2:$B$136,0)),Data!C974))</f>
        <v>仲介</v>
      </c>
      <c r="D974" s="70" t="str">
        <f aca="false">IF(Data!D974="—","—",IFERROR(INDEX(対訳マスタ!$C$2:$C$136,MATCH(Data!D974,対訳マスタ!$B$2:$B$136,0)),Data!D974))</f>
        <v>概念の仲介</v>
      </c>
      <c r="E974" s="70" t="str">
        <f aca="false">IFERROR(INDEX(対訳マスタ!$C$2:$C$136,MATCH(Data!E974,対訳マスタ!$B$2:$B$136,0)),Data!E974)</f>
        <v>概念的な対話の促進</v>
      </c>
      <c r="F974" s="70" t="str">
        <f aca="false">Data!F974</f>
        <v>C1</v>
      </c>
      <c r="G974" s="31" t="str">
        <f aca="false">Data!G974</f>
        <v>Can ask a series of open questions that build on different contributions in order to stimulate logical reasoning (e.g. hypothesising, inferring, analysing, justifying and predicting).</v>
      </c>
      <c r="H974" s="71" t="s">
        <v>2909</v>
      </c>
      <c r="I974" s="79" t="s">
        <v>3089</v>
      </c>
    </row>
    <row r="975" customFormat="false" ht="15" hidden="false" customHeight="true" outlineLevel="0" collapsed="false">
      <c r="A975" s="70" t="n">
        <f aca="false">Data!A975</f>
        <v>974</v>
      </c>
      <c r="B975" s="70" t="str">
        <f aca="false">IFERROR(INDEX(対訳マスタ!$C$2:$C$136,MATCH(Data!B975,対訳マスタ!$B$2:$B$136,0)),Data!B975)</f>
        <v>コミュニケーション言語活動</v>
      </c>
      <c r="C975" s="70" t="str">
        <f aca="false">IF(Data!C975="—","—",IFERROR(INDEX(対訳マスタ!$C$2:$C$136,MATCH(Data!C975,対訳マスタ!$B$2:$B$136,0)),Data!C975))</f>
        <v>仲介</v>
      </c>
      <c r="D975" s="70" t="str">
        <f aca="false">IF(Data!D975="—","—",IFERROR(INDEX(対訳マスタ!$C$2:$C$136,MATCH(Data!D975,対訳マスタ!$B$2:$B$136,0)),Data!D975))</f>
        <v>概念の仲介</v>
      </c>
      <c r="E975" s="70" t="str">
        <f aca="false">IFERROR(INDEX(対訳マスタ!$C$2:$C$136,MATCH(Data!E975,対訳マスタ!$B$2:$B$136,0)),Data!E975)</f>
        <v>概念的な対話の促進</v>
      </c>
      <c r="F975" s="70" t="str">
        <f aca="false">Data!F975</f>
        <v>B2+</v>
      </c>
      <c r="G975" s="31" t="str">
        <f aca="false">Data!G975</f>
        <v>Can encourage members of a group to describe and elaborate on their thinking.</v>
      </c>
      <c r="H975" s="71" t="s">
        <v>2908</v>
      </c>
      <c r="I975" s="79" t="s">
        <v>3089</v>
      </c>
    </row>
    <row r="976" customFormat="false" ht="21.75" hidden="false" customHeight="true" outlineLevel="0" collapsed="false">
      <c r="A976" s="70" t="n">
        <f aca="false">Data!A976</f>
        <v>975</v>
      </c>
      <c r="B976" s="70" t="str">
        <f aca="false">IFERROR(INDEX(対訳マスタ!$C$2:$C$136,MATCH(Data!B976,対訳マスタ!$B$2:$B$136,0)),Data!B976)</f>
        <v>コミュニケーション言語活動</v>
      </c>
      <c r="C976" s="70" t="str">
        <f aca="false">IF(Data!C976="—","—",IFERROR(INDEX(対訳マスタ!$C$2:$C$136,MATCH(Data!C976,対訳マスタ!$B$2:$B$136,0)),Data!C976))</f>
        <v>仲介</v>
      </c>
      <c r="D976" s="70" t="str">
        <f aca="false">IF(Data!D976="—","—",IFERROR(INDEX(対訳マスタ!$C$2:$C$136,MATCH(Data!D976,対訳マスタ!$B$2:$B$136,0)),Data!D976))</f>
        <v>概念の仲介</v>
      </c>
      <c r="E976" s="70" t="str">
        <f aca="false">IFERROR(INDEX(対訳マスタ!$C$2:$C$136,MATCH(Data!E976,対訳マスタ!$B$2:$B$136,0)),Data!E976)</f>
        <v>概念的な対話の促進</v>
      </c>
      <c r="F976" s="70" t="str">
        <f aca="false">Data!F976</f>
        <v>B2+</v>
      </c>
      <c r="G976" s="31" t="str">
        <f aca="false">Data!G976</f>
        <v>Can encourage members of a group to build on one another’s information and ideas to come up with a concept or solution.</v>
      </c>
      <c r="H976" s="71" t="s">
        <v>3499</v>
      </c>
      <c r="I976" s="79" t="s">
        <v>3089</v>
      </c>
    </row>
    <row r="977" customFormat="false" ht="21.75" hidden="false" customHeight="true" outlineLevel="0" collapsed="false">
      <c r="A977" s="70" t="n">
        <f aca="false">Data!A977</f>
        <v>976</v>
      </c>
      <c r="B977" s="70" t="str">
        <f aca="false">IFERROR(INDEX(対訳マスタ!$C$2:$C$136,MATCH(Data!B977,対訳マスタ!$B$2:$B$136,0)),Data!B977)</f>
        <v>コミュニケーション言語活動</v>
      </c>
      <c r="C977" s="70" t="str">
        <f aca="false">IF(Data!C977="—","—",IFERROR(INDEX(対訳マスタ!$C$2:$C$136,MATCH(Data!C977,対訳マスタ!$B$2:$B$136,0)),Data!C977))</f>
        <v>仲介</v>
      </c>
      <c r="D977" s="70" t="str">
        <f aca="false">IF(Data!D977="—","—",IFERROR(INDEX(対訳マスタ!$C$2:$C$136,MATCH(Data!D977,対訳マスタ!$B$2:$B$136,0)),Data!D977))</f>
        <v>概念の仲介</v>
      </c>
      <c r="E977" s="70" t="str">
        <f aca="false">IFERROR(INDEX(対訳マスタ!$C$2:$C$136,MATCH(Data!E977,対訳マスタ!$B$2:$B$136,0)),Data!E977)</f>
        <v>概念的な対話の促進</v>
      </c>
      <c r="F977" s="70" t="str">
        <f aca="false">Data!F977</f>
        <v>B2</v>
      </c>
      <c r="G977" s="31" t="str">
        <f aca="false">Data!G977</f>
        <v>Can formulate questions and feedback to encourage people to expand on their thinking and justify or clarify their opinions.</v>
      </c>
      <c r="H977" s="71" t="s">
        <v>3500</v>
      </c>
      <c r="I977" s="79" t="s">
        <v>3089</v>
      </c>
    </row>
    <row r="978" customFormat="false" ht="15" hidden="false" customHeight="true" outlineLevel="0" collapsed="false">
      <c r="A978" s="70" t="n">
        <f aca="false">Data!A978</f>
        <v>977</v>
      </c>
      <c r="B978" s="70" t="str">
        <f aca="false">IFERROR(INDEX(対訳マスタ!$C$2:$C$136,MATCH(Data!B978,対訳マスタ!$B$2:$B$136,0)),Data!B978)</f>
        <v>コミュニケーション言語活動</v>
      </c>
      <c r="C978" s="70" t="str">
        <f aca="false">IF(Data!C978="—","—",IFERROR(INDEX(対訳マスタ!$C$2:$C$136,MATCH(Data!C978,対訳マスタ!$B$2:$B$136,0)),Data!C978))</f>
        <v>仲介</v>
      </c>
      <c r="D978" s="70" t="str">
        <f aca="false">IF(Data!D978="—","—",IFERROR(INDEX(対訳マスタ!$C$2:$C$136,MATCH(Data!D978,対訳マスタ!$B$2:$B$136,0)),Data!D978))</f>
        <v>概念の仲介</v>
      </c>
      <c r="E978" s="70" t="str">
        <f aca="false">IFERROR(INDEX(対訳マスタ!$C$2:$C$136,MATCH(Data!E978,対訳マスタ!$B$2:$B$136,0)),Data!E978)</f>
        <v>概念的な対話の促進</v>
      </c>
      <c r="F978" s="70" t="str">
        <f aca="false">Data!F978</f>
        <v>B2</v>
      </c>
      <c r="G978" s="31" t="str">
        <f aca="false">Data!G978</f>
        <v>Can build on people’s ideas and link them into coherent lines of thinking.</v>
      </c>
      <c r="H978" s="71" t="s">
        <v>2907</v>
      </c>
      <c r="I978" s="79" t="s">
        <v>3089</v>
      </c>
    </row>
    <row r="979" customFormat="false" ht="15" hidden="false" customHeight="true" outlineLevel="0" collapsed="false">
      <c r="A979" s="70" t="n">
        <f aca="false">Data!A979</f>
        <v>978</v>
      </c>
      <c r="B979" s="70" t="str">
        <f aca="false">IFERROR(INDEX(対訳マスタ!$C$2:$C$136,MATCH(Data!B979,対訳マスタ!$B$2:$B$136,0)),Data!B979)</f>
        <v>コミュニケーション言語活動</v>
      </c>
      <c r="C979" s="70" t="str">
        <f aca="false">IF(Data!C979="—","—",IFERROR(INDEX(対訳マスタ!$C$2:$C$136,MATCH(Data!C979,対訳マスタ!$B$2:$B$136,0)),Data!C979))</f>
        <v>仲介</v>
      </c>
      <c r="D979" s="70" t="str">
        <f aca="false">IF(Data!D979="—","—",IFERROR(INDEX(対訳マスタ!$C$2:$C$136,MATCH(Data!D979,対訳マスタ!$B$2:$B$136,0)),Data!D979))</f>
        <v>概念の仲介</v>
      </c>
      <c r="E979" s="70" t="str">
        <f aca="false">IFERROR(INDEX(対訳マスタ!$C$2:$C$136,MATCH(Data!E979,対訳マスタ!$B$2:$B$136,0)),Data!E979)</f>
        <v>概念的な対話の促進</v>
      </c>
      <c r="F979" s="70" t="str">
        <f aca="false">Data!F979</f>
        <v>B2</v>
      </c>
      <c r="G979" s="31" t="str">
        <f aca="false">Data!G979</f>
        <v>Can ask people to explain how an idea fits with the main topic under discussion.</v>
      </c>
      <c r="H979" s="71" t="s">
        <v>3501</v>
      </c>
      <c r="I979" s="79" t="s">
        <v>3089</v>
      </c>
    </row>
    <row r="980" customFormat="false" ht="15" hidden="false" customHeight="true" outlineLevel="0" collapsed="false">
      <c r="A980" s="70" t="n">
        <f aca="false">Data!A980</f>
        <v>979</v>
      </c>
      <c r="B980" s="70" t="str">
        <f aca="false">IFERROR(INDEX(対訳マスタ!$C$2:$C$136,MATCH(Data!B980,対訳マスタ!$B$2:$B$136,0)),Data!B980)</f>
        <v>コミュニケーション言語活動</v>
      </c>
      <c r="C980" s="70" t="str">
        <f aca="false">IF(Data!C980="—","—",IFERROR(INDEX(対訳マスタ!$C$2:$C$136,MATCH(Data!C980,対訳マスタ!$B$2:$B$136,0)),Data!C980))</f>
        <v>仲介</v>
      </c>
      <c r="D980" s="70" t="str">
        <f aca="false">IF(Data!D980="—","—",IFERROR(INDEX(対訳マスタ!$C$2:$C$136,MATCH(Data!D980,対訳マスタ!$B$2:$B$136,0)),Data!D980))</f>
        <v>概念の仲介</v>
      </c>
      <c r="E980" s="70" t="str">
        <f aca="false">IFERROR(INDEX(対訳マスタ!$C$2:$C$136,MATCH(Data!E980,対訳マスタ!$B$2:$B$136,0)),Data!E980)</f>
        <v>概念的な対話の促進</v>
      </c>
      <c r="F980" s="70" t="str">
        <f aca="false">Data!F980</f>
        <v>B1+</v>
      </c>
      <c r="G980" s="31" t="str">
        <f aca="false">Data!G980</f>
        <v>Can ask people to elaborate on specific points they made in their initial explanation.</v>
      </c>
      <c r="H980" s="71" t="s">
        <v>3502</v>
      </c>
      <c r="I980" s="79" t="s">
        <v>3089</v>
      </c>
    </row>
    <row r="981" customFormat="false" ht="21.75" hidden="false" customHeight="true" outlineLevel="0" collapsed="false">
      <c r="A981" s="70" t="n">
        <f aca="false">Data!A981</f>
        <v>980</v>
      </c>
      <c r="B981" s="70" t="str">
        <f aca="false">IFERROR(INDEX(対訳マスタ!$C$2:$C$136,MATCH(Data!B981,対訳マスタ!$B$2:$B$136,0)),Data!B981)</f>
        <v>コミュニケーション言語活動</v>
      </c>
      <c r="C981" s="70" t="str">
        <f aca="false">IF(Data!C981="—","—",IFERROR(INDEX(対訳マスタ!$C$2:$C$136,MATCH(Data!C981,対訳マスタ!$B$2:$B$136,0)),Data!C981))</f>
        <v>仲介</v>
      </c>
      <c r="D981" s="70" t="str">
        <f aca="false">IF(Data!D981="—","—",IFERROR(INDEX(対訳マスタ!$C$2:$C$136,MATCH(Data!D981,対訳マスタ!$B$2:$B$136,0)),Data!D981))</f>
        <v>概念の仲介</v>
      </c>
      <c r="E981" s="70" t="str">
        <f aca="false">IFERROR(INDEX(対訳マスタ!$C$2:$C$136,MATCH(Data!E981,対訳マスタ!$B$2:$B$136,0)),Data!E981)</f>
        <v>概念的な対話の促進</v>
      </c>
      <c r="F981" s="70" t="str">
        <f aca="false">Data!F981</f>
        <v>B1+</v>
      </c>
      <c r="G981" s="31" t="str">
        <f aca="false">Data!G981</f>
        <v>Can ask appropriate questions to check understanding of concepts that have been explained.</v>
      </c>
      <c r="H981" s="71" t="s">
        <v>3503</v>
      </c>
      <c r="I981" s="79" t="s">
        <v>3089</v>
      </c>
    </row>
    <row r="982" customFormat="false" ht="15" hidden="false" customHeight="true" outlineLevel="0" collapsed="false">
      <c r="A982" s="70" t="n">
        <f aca="false">Data!A982</f>
        <v>981</v>
      </c>
      <c r="B982" s="70" t="str">
        <f aca="false">IFERROR(INDEX(対訳マスタ!$C$2:$C$136,MATCH(Data!B982,対訳マスタ!$B$2:$B$136,0)),Data!B982)</f>
        <v>コミュニケーション言語活動</v>
      </c>
      <c r="C982" s="70" t="str">
        <f aca="false">IF(Data!C982="—","—",IFERROR(INDEX(対訳マスタ!$C$2:$C$136,MATCH(Data!C982,対訳マスタ!$B$2:$B$136,0)),Data!C982))</f>
        <v>仲介</v>
      </c>
      <c r="D982" s="70" t="str">
        <f aca="false">IF(Data!D982="—","—",IFERROR(INDEX(対訳マスタ!$C$2:$C$136,MATCH(Data!D982,対訳マスタ!$B$2:$B$136,0)),Data!D982))</f>
        <v>概念の仲介</v>
      </c>
      <c r="E982" s="70" t="str">
        <f aca="false">IFERROR(INDEX(対訳マスタ!$C$2:$C$136,MATCH(Data!E982,対訳マスタ!$B$2:$B$136,0)),Data!E982)</f>
        <v>概念的な対話の促進</v>
      </c>
      <c r="F982" s="70" t="str">
        <f aca="false">Data!F982</f>
        <v>B1+</v>
      </c>
      <c r="G982" s="31" t="str">
        <f aca="false">Data!G982</f>
        <v>Can ask questions to invite people to clarify their reasoning.</v>
      </c>
      <c r="H982" s="71" t="s">
        <v>2906</v>
      </c>
      <c r="I982" s="79" t="s">
        <v>3089</v>
      </c>
    </row>
    <row r="983" customFormat="false" ht="15" hidden="false" customHeight="true" outlineLevel="0" collapsed="false">
      <c r="A983" s="70" t="n">
        <f aca="false">Data!A983</f>
        <v>982</v>
      </c>
      <c r="B983" s="70" t="str">
        <f aca="false">IFERROR(INDEX(対訳マスタ!$C$2:$C$136,MATCH(Data!B983,対訳マスタ!$B$2:$B$136,0)),Data!B983)</f>
        <v>コミュニケーション言語活動</v>
      </c>
      <c r="C983" s="70" t="str">
        <f aca="false">IF(Data!C983="—","—",IFERROR(INDEX(対訳マスタ!$C$2:$C$136,MATCH(Data!C983,対訳マスタ!$B$2:$B$136,0)),Data!C983))</f>
        <v>仲介</v>
      </c>
      <c r="D983" s="70" t="str">
        <f aca="false">IF(Data!D983="—","—",IFERROR(INDEX(対訳マスタ!$C$2:$C$136,MATCH(Data!D983,対訳マスタ!$B$2:$B$136,0)),Data!D983))</f>
        <v>概念の仲介</v>
      </c>
      <c r="E983" s="70" t="str">
        <f aca="false">IFERROR(INDEX(対訳マスタ!$C$2:$C$136,MATCH(Data!E983,対訳マスタ!$B$2:$B$136,0)),Data!E983)</f>
        <v>概念的な対話の促進</v>
      </c>
      <c r="F983" s="70" t="str">
        <f aca="false">Data!F983</f>
        <v>B1</v>
      </c>
      <c r="G983" s="31" t="str">
        <f aca="false">Data!G983</f>
        <v>Can ask why someone thinks something, or how they think something would work.</v>
      </c>
      <c r="H983" s="71" t="s">
        <v>2905</v>
      </c>
      <c r="I983" s="79" t="s">
        <v>3089</v>
      </c>
    </row>
    <row r="984" customFormat="false" ht="15" hidden="false" customHeight="true" outlineLevel="0" collapsed="false">
      <c r="A984" s="70" t="n">
        <f aca="false">Data!A984</f>
        <v>983</v>
      </c>
      <c r="B984" s="70" t="str">
        <f aca="false">IFERROR(INDEX(対訳マスタ!$C$2:$C$136,MATCH(Data!B984,対訳マスタ!$B$2:$B$136,0)),Data!B984)</f>
        <v>コミュニケーション言語活動</v>
      </c>
      <c r="C984" s="70" t="str">
        <f aca="false">IF(Data!C984="—","—",IFERROR(INDEX(対訳マスタ!$C$2:$C$136,MATCH(Data!C984,対訳マスタ!$B$2:$B$136,0)),Data!C984))</f>
        <v>仲介</v>
      </c>
      <c r="D984" s="70" t="str">
        <f aca="false">IF(Data!D984="—","—",IFERROR(INDEX(対訳マスタ!$C$2:$C$136,MATCH(Data!D984,対訳マスタ!$B$2:$B$136,0)),Data!D984))</f>
        <v>概念の仲介</v>
      </c>
      <c r="E984" s="70" t="str">
        <f aca="false">IFERROR(INDEX(対訳マスタ!$C$2:$C$136,MATCH(Data!E984,対訳マスタ!$B$2:$B$136,0)),Data!E984)</f>
        <v>概念的な対話の促進</v>
      </c>
      <c r="F984" s="70" t="str">
        <f aca="false">Data!F984</f>
        <v>A2</v>
      </c>
      <c r="G984" s="31" t="str">
        <f aca="false">Data!G984</f>
        <v>Can ask what somebody thinks of a certain idea.</v>
      </c>
      <c r="H984" s="71" t="s">
        <v>2904</v>
      </c>
      <c r="I984" s="79" t="s">
        <v>3089</v>
      </c>
    </row>
    <row r="985" customFormat="false" ht="15" hidden="false" customHeight="true" outlineLevel="0" collapsed="false">
      <c r="A985" s="70" t="n">
        <f aca="false">Data!A985</f>
        <v>984</v>
      </c>
      <c r="B985" s="70" t="str">
        <f aca="false">IFERROR(INDEX(対訳マスタ!$C$2:$C$136,MATCH(Data!B985,対訳マスタ!$B$2:$B$136,0)),Data!B985)</f>
        <v>コミュニケーション言語活動</v>
      </c>
      <c r="C985" s="70" t="str">
        <f aca="false">IF(Data!C985="—","—",IFERROR(INDEX(対訳マスタ!$C$2:$C$136,MATCH(Data!C985,対訳マスタ!$B$2:$B$136,0)),Data!C985))</f>
        <v>仲介</v>
      </c>
      <c r="D985" s="70" t="str">
        <f aca="false">IF(Data!D985="—","—",IFERROR(INDEX(対訳マスタ!$C$2:$C$136,MATCH(Data!D985,対訳マスタ!$B$2:$B$136,0)),Data!D985))</f>
        <v>概念の仲介</v>
      </c>
      <c r="E985" s="70" t="str">
        <f aca="false">IFERROR(INDEX(対訳マスタ!$C$2:$C$136,MATCH(Data!E985,対訳マスタ!$B$2:$B$136,0)),Data!E985)</f>
        <v>概念的な対話の促進</v>
      </c>
      <c r="F985" s="70" t="str">
        <f aca="false">Data!F985</f>
        <v>A1</v>
      </c>
      <c r="G985" s="31" t="str">
        <f aca="false">Data!G985</f>
        <v>Can use simple isolated words/signs and non-verbal signals to show interest in an idea.</v>
      </c>
      <c r="H985" s="71" t="s">
        <v>2903</v>
      </c>
      <c r="I985" s="79" t="s">
        <v>3089</v>
      </c>
    </row>
    <row r="986" customFormat="false" ht="15" hidden="false" customHeight="true" outlineLevel="0" collapsed="false">
      <c r="A986" s="80" t="n">
        <f aca="false">Data!A986</f>
        <v>985</v>
      </c>
      <c r="B986" s="80" t="str">
        <f aca="false">IFERROR(INDEX(対訳マスタ!$C$2:$C$136,MATCH(Data!B986,対訳マスタ!$B$2:$B$136,0)),Data!B986)</f>
        <v>コミュニケーション言語活動</v>
      </c>
      <c r="C986" s="80" t="str">
        <f aca="false">IF(Data!C986="—","—",IFERROR(INDEX(対訳マスタ!$C$2:$C$136,MATCH(Data!C986,対訳マスタ!$B$2:$B$136,0)),Data!C986))</f>
        <v>仲介</v>
      </c>
      <c r="D986" s="80" t="str">
        <f aca="false">IF(Data!D986="—","—",IFERROR(INDEX(対訳マスタ!$C$2:$C$136,MATCH(Data!D986,対訳マスタ!$B$2:$B$136,0)),Data!D986))</f>
        <v>概念の仲介</v>
      </c>
      <c r="E986" s="80" t="str">
        <f aca="false">IFERROR(INDEX(対訳マスタ!$C$2:$C$136,MATCH(Data!E986,対訳マスタ!$B$2:$B$136,0)),Data!E986)</f>
        <v>概念的な対話の促進</v>
      </c>
      <c r="F986" s="80" t="str">
        <f aca="false">Data!F986</f>
        <v>Pre-A1</v>
      </c>
      <c r="G986" s="81" t="str">
        <f aca="false">Data!G986</f>
        <v>No descriptors available</v>
      </c>
      <c r="H986" s="81" t="s">
        <v>624</v>
      </c>
      <c r="I986" s="80" t="s">
        <v>624</v>
      </c>
    </row>
    <row r="987" customFormat="false" ht="21.75" hidden="false" customHeight="true" outlineLevel="0" collapsed="false">
      <c r="A987" s="70" t="n">
        <f aca="false">Data!A987</f>
        <v>986</v>
      </c>
      <c r="B987" s="70" t="str">
        <f aca="false">IFERROR(INDEX(対訳マスタ!$C$2:$C$136,MATCH(Data!B987,対訳マスタ!$B$2:$B$136,0)),Data!B987)</f>
        <v>コミュニケーション言語活動</v>
      </c>
      <c r="C987" s="70" t="str">
        <f aca="false">IF(Data!C987="—","—",IFERROR(INDEX(対訳マスタ!$C$2:$C$136,MATCH(Data!C987,対訳マスタ!$B$2:$B$136,0)),Data!C987))</f>
        <v>仲介</v>
      </c>
      <c r="D987" s="70" t="str">
        <f aca="false">IF(Data!D987="—","—",IFERROR(INDEX(対訳マスタ!$C$2:$C$136,MATCH(Data!D987,対訳マスタ!$B$2:$B$136,0)),Data!D987))</f>
        <v>コミュニケーションの仲介</v>
      </c>
      <c r="E987" s="70" t="str">
        <f aca="false">IFERROR(INDEX(対訳マスタ!$C$2:$C$136,MATCH(Data!E987,対訳マスタ!$B$2:$B$136,0)),Data!E987)</f>
        <v>複文化的な場の醸成</v>
      </c>
      <c r="F987" s="70" t="str">
        <f aca="false">Data!F987</f>
        <v>C2</v>
      </c>
      <c r="G987" s="31" t="str">
        <f aca="false">Data!G987</f>
        <v>Can mediate effectively and naturally between members of their own and other communities, taking account of sociocultural and sociolinguistic differences.</v>
      </c>
      <c r="H987" s="71" t="s">
        <v>3504</v>
      </c>
      <c r="I987" s="79" t="s">
        <v>3089</v>
      </c>
    </row>
    <row r="988" customFormat="false" ht="15" hidden="false" customHeight="true" outlineLevel="0" collapsed="false">
      <c r="A988" s="70" t="n">
        <f aca="false">Data!A988</f>
        <v>987</v>
      </c>
      <c r="B988" s="70" t="str">
        <f aca="false">IFERROR(INDEX(対訳マスタ!$C$2:$C$136,MATCH(Data!B988,対訳マスタ!$B$2:$B$136,0)),Data!B988)</f>
        <v>コミュニケーション言語活動</v>
      </c>
      <c r="C988" s="70" t="str">
        <f aca="false">IF(Data!C988="—","—",IFERROR(INDEX(対訳マスタ!$C$2:$C$136,MATCH(Data!C988,対訳マスタ!$B$2:$B$136,0)),Data!C988))</f>
        <v>仲介</v>
      </c>
      <c r="D988" s="70" t="str">
        <f aca="false">IF(Data!D988="—","—",IFERROR(INDEX(対訳マスタ!$C$2:$C$136,MATCH(Data!D988,対訳マスタ!$B$2:$B$136,0)),Data!D988))</f>
        <v>コミュニケーションの仲介</v>
      </c>
      <c r="E988" s="70" t="str">
        <f aca="false">IFERROR(INDEX(対訳マスタ!$C$2:$C$136,MATCH(Data!E988,対訳マスタ!$B$2:$B$136,0)),Data!E988)</f>
        <v>複文化的な場の醸成</v>
      </c>
      <c r="F988" s="70" t="str">
        <f aca="false">Data!F988</f>
        <v>C2</v>
      </c>
      <c r="G988" s="31" t="str">
        <f aca="false">Data!G988</f>
        <v>Can guide a sensitive discussion effectively, identifying nuances and undercurrents.</v>
      </c>
      <c r="H988" s="71" t="s">
        <v>2918</v>
      </c>
      <c r="I988" s="79" t="s">
        <v>3089</v>
      </c>
    </row>
    <row r="989" customFormat="false" ht="32.25" hidden="false" customHeight="true" outlineLevel="0" collapsed="false">
      <c r="A989" s="70" t="n">
        <f aca="false">Data!A989</f>
        <v>988</v>
      </c>
      <c r="B989" s="70" t="str">
        <f aca="false">IFERROR(INDEX(対訳マスタ!$C$2:$C$136,MATCH(Data!B989,対訳マスタ!$B$2:$B$136,0)),Data!B989)</f>
        <v>コミュニケーション言語活動</v>
      </c>
      <c r="C989" s="70" t="str">
        <f aca="false">IF(Data!C989="—","—",IFERROR(INDEX(対訳マスタ!$C$2:$C$136,MATCH(Data!C989,対訳マスタ!$B$2:$B$136,0)),Data!C989))</f>
        <v>仲介</v>
      </c>
      <c r="D989" s="70" t="str">
        <f aca="false">IF(Data!D989="—","—",IFERROR(INDEX(対訳マスタ!$C$2:$C$136,MATCH(Data!D989,対訳マスタ!$B$2:$B$136,0)),Data!D989))</f>
        <v>コミュニケーションの仲介</v>
      </c>
      <c r="E989" s="70" t="str">
        <f aca="false">IFERROR(INDEX(対訳マスタ!$C$2:$C$136,MATCH(Data!E989,対訳マスタ!$B$2:$B$136,0)),Data!E989)</f>
        <v>複文化的な場の醸成</v>
      </c>
      <c r="F989" s="70" t="str">
        <f aca="false">Data!F989</f>
        <v>C1</v>
      </c>
      <c r="G989" s="31" t="str">
        <f aca="false">Data!G989</f>
        <v>Can act as a mediator in intercultural encounters, contributing to a shared communication culture by managing ambiguity, offering advice and support, and heading off misunderstandings.</v>
      </c>
      <c r="H989" s="71" t="s">
        <v>2917</v>
      </c>
      <c r="I989" s="79" t="s">
        <v>3089</v>
      </c>
    </row>
    <row r="990" customFormat="false" ht="32.25" hidden="false" customHeight="true" outlineLevel="0" collapsed="false">
      <c r="A990" s="70" t="n">
        <f aca="false">Data!A990</f>
        <v>989</v>
      </c>
      <c r="B990" s="70" t="str">
        <f aca="false">IFERROR(INDEX(対訳マスタ!$C$2:$C$136,MATCH(Data!B990,対訳マスタ!$B$2:$B$136,0)),Data!B990)</f>
        <v>コミュニケーション言語活動</v>
      </c>
      <c r="C990" s="70" t="str">
        <f aca="false">IF(Data!C990="—","—",IFERROR(INDEX(対訳マスタ!$C$2:$C$136,MATCH(Data!C990,対訳マスタ!$B$2:$B$136,0)),Data!C990))</f>
        <v>仲介</v>
      </c>
      <c r="D990" s="70" t="str">
        <f aca="false">IF(Data!D990="—","—",IFERROR(INDEX(対訳マスタ!$C$2:$C$136,MATCH(Data!D990,対訳マスタ!$B$2:$B$136,0)),Data!D990))</f>
        <v>コミュニケーションの仲介</v>
      </c>
      <c r="E990" s="70" t="str">
        <f aca="false">IFERROR(INDEX(対訳マスタ!$C$2:$C$136,MATCH(Data!E990,対訳マスタ!$B$2:$B$136,0)),Data!E990)</f>
        <v>複文化的な場の醸成</v>
      </c>
      <c r="F990" s="70" t="str">
        <f aca="false">Data!F990</f>
        <v>C1</v>
      </c>
      <c r="G990" s="31" t="str">
        <f aca="false">Data!G990</f>
        <v>Can anticipate how people might misunderstand what has been said or written and can help maintain positive interaction by commenting on and interpreting different cultural perspectives on the issue concerned.</v>
      </c>
      <c r="H990" s="71" t="s">
        <v>3505</v>
      </c>
      <c r="I990" s="79" t="s">
        <v>3089</v>
      </c>
    </row>
    <row r="991" customFormat="false" ht="26.25" hidden="false" customHeight="true" outlineLevel="0" collapsed="false">
      <c r="A991" s="70" t="n">
        <f aca="false">Data!A991</f>
        <v>990</v>
      </c>
      <c r="B991" s="70" t="str">
        <f aca="false">IFERROR(INDEX(対訳マスタ!$C$2:$C$136,MATCH(Data!B991,対訳マスタ!$B$2:$B$136,0)),Data!B991)</f>
        <v>コミュニケーション言語活動</v>
      </c>
      <c r="C991" s="70" t="str">
        <f aca="false">IF(Data!C991="—","—",IFERROR(INDEX(対訳マスタ!$C$2:$C$136,MATCH(Data!C991,対訳マスタ!$B$2:$B$136,0)),Data!C991))</f>
        <v>仲介</v>
      </c>
      <c r="D991" s="70" t="str">
        <f aca="false">IF(Data!D991="—","—",IFERROR(INDEX(対訳マスタ!$C$2:$C$136,MATCH(Data!D991,対訳マスタ!$B$2:$B$136,0)),Data!D991))</f>
        <v>コミュニケーションの仲介</v>
      </c>
      <c r="E991" s="70" t="str">
        <f aca="false">IFERROR(INDEX(対訳マスタ!$C$2:$C$136,MATCH(Data!E991,対訳マスタ!$B$2:$B$136,0)),Data!E991)</f>
        <v>複文化的な場の醸成</v>
      </c>
      <c r="F991" s="70" t="str">
        <f aca="false">Data!F991</f>
        <v>B2+</v>
      </c>
      <c r="G991" s="31" t="str">
        <f aca="false">Data!G991</f>
        <v>Can exploit knowledge of sociocultural conventions in order to establish a consensus on how to proceed in a particular situation that is unfamiliar to everyone involved.</v>
      </c>
      <c r="H991" s="71" t="s">
        <v>2916</v>
      </c>
      <c r="I991" s="79" t="s">
        <v>3089</v>
      </c>
    </row>
    <row r="992" customFormat="false" ht="21.75" hidden="false" customHeight="true" outlineLevel="0" collapsed="false">
      <c r="A992" s="70" t="n">
        <f aca="false">Data!A992</f>
        <v>991</v>
      </c>
      <c r="B992" s="70" t="str">
        <f aca="false">IFERROR(INDEX(対訳マスタ!$C$2:$C$136,MATCH(Data!B992,対訳マスタ!$B$2:$B$136,0)),Data!B992)</f>
        <v>コミュニケーション言語活動</v>
      </c>
      <c r="C992" s="70" t="str">
        <f aca="false">IF(Data!C992="—","—",IFERROR(INDEX(対訳マスタ!$C$2:$C$136,MATCH(Data!C992,対訳マスタ!$B$2:$B$136,0)),Data!C992))</f>
        <v>仲介</v>
      </c>
      <c r="D992" s="70" t="str">
        <f aca="false">IF(Data!D992="—","—",IFERROR(INDEX(対訳マスタ!$C$2:$C$136,MATCH(Data!D992,対訳マスタ!$B$2:$B$136,0)),Data!D992))</f>
        <v>コミュニケーションの仲介</v>
      </c>
      <c r="E992" s="70" t="str">
        <f aca="false">IFERROR(INDEX(対訳マスタ!$C$2:$C$136,MATCH(Data!E992,対訳マスタ!$B$2:$B$136,0)),Data!E992)</f>
        <v>複文化的な場の醸成</v>
      </c>
      <c r="F992" s="70" t="str">
        <f aca="false">Data!F992</f>
        <v>B2+</v>
      </c>
      <c r="G992" s="31" t="str">
        <f aca="false">Data!G992</f>
        <v>Can, in intercultural encounters, demonstrate appreciation of perspectives other than that of their own worldview, and express themselves in a way appropriate to the context.</v>
      </c>
      <c r="H992" s="71" t="s">
        <v>3506</v>
      </c>
      <c r="I992" s="79" t="s">
        <v>3089</v>
      </c>
    </row>
    <row r="993" customFormat="false" ht="32.25" hidden="false" customHeight="true" outlineLevel="0" collapsed="false">
      <c r="A993" s="70" t="n">
        <f aca="false">Data!A993</f>
        <v>992</v>
      </c>
      <c r="B993" s="70" t="str">
        <f aca="false">IFERROR(INDEX(対訳マスタ!$C$2:$C$136,MATCH(Data!B993,対訳マスタ!$B$2:$B$136,0)),Data!B993)</f>
        <v>コミュニケーション言語活動</v>
      </c>
      <c r="C993" s="70" t="str">
        <f aca="false">IF(Data!C993="—","—",IFERROR(INDEX(対訳マスタ!$C$2:$C$136,MATCH(Data!C993,対訳マスタ!$B$2:$B$136,0)),Data!C993))</f>
        <v>仲介</v>
      </c>
      <c r="D993" s="70" t="str">
        <f aca="false">IF(Data!D993="—","—",IFERROR(INDEX(対訳マスタ!$C$2:$C$136,MATCH(Data!D993,対訳マスタ!$B$2:$B$136,0)),Data!D993))</f>
        <v>コミュニケーションの仲介</v>
      </c>
      <c r="E993" s="70" t="str">
        <f aca="false">IFERROR(INDEX(対訳マスタ!$C$2:$C$136,MATCH(Data!E993,対訳マスタ!$B$2:$B$136,0)),Data!E993)</f>
        <v>複文化的な場の醸成</v>
      </c>
      <c r="F993" s="70" t="str">
        <f aca="false">Data!F993</f>
        <v>B2+</v>
      </c>
      <c r="G993" s="31" t="str">
        <f aca="false">Data!G993</f>
        <v>Can clarify misunderstandings and misinterpretations during intercultural encounters, suggesting how things were actually meant in order to clear the air and move the discussion forward.</v>
      </c>
      <c r="H993" s="71" t="s">
        <v>3507</v>
      </c>
      <c r="I993" s="79" t="s">
        <v>3089</v>
      </c>
    </row>
    <row r="994" customFormat="false" ht="32.25" hidden="false" customHeight="true" outlineLevel="0" collapsed="false">
      <c r="A994" s="70" t="n">
        <f aca="false">Data!A994</f>
        <v>993</v>
      </c>
      <c r="B994" s="70" t="str">
        <f aca="false">IFERROR(INDEX(対訳マスタ!$C$2:$C$136,MATCH(Data!B994,対訳マスタ!$B$2:$B$136,0)),Data!B994)</f>
        <v>コミュニケーション言語活動</v>
      </c>
      <c r="C994" s="70" t="str">
        <f aca="false">IF(Data!C994="—","—",IFERROR(INDEX(対訳マスタ!$C$2:$C$136,MATCH(Data!C994,対訳マスタ!$B$2:$B$136,0)),Data!C994))</f>
        <v>仲介</v>
      </c>
      <c r="D994" s="70" t="str">
        <f aca="false">IF(Data!D994="—","—",IFERROR(INDEX(対訳マスタ!$C$2:$C$136,MATCH(Data!D994,対訳マスタ!$B$2:$B$136,0)),Data!D994))</f>
        <v>コミュニケーションの仲介</v>
      </c>
      <c r="E994" s="70" t="str">
        <f aca="false">IFERROR(INDEX(対訳マスタ!$C$2:$C$136,MATCH(Data!E994,対訳マスタ!$B$2:$B$136,0)),Data!E994)</f>
        <v>複文化的な場の醸成</v>
      </c>
      <c r="F994" s="70" t="str">
        <f aca="false">Data!F994</f>
        <v>B2</v>
      </c>
      <c r="G994" s="31" t="str">
        <f aca="false">Data!G994</f>
        <v>Can encourage a shared communication culture by expressing understanding and appreciation of different ideas, feelings and viewpoints, and inviting participants to contribute and react to each other’s ideas.</v>
      </c>
      <c r="H994" s="71" t="s">
        <v>3508</v>
      </c>
      <c r="I994" s="79" t="s">
        <v>3089</v>
      </c>
    </row>
    <row r="995" customFormat="false" ht="21.75" hidden="false" customHeight="true" outlineLevel="0" collapsed="false">
      <c r="A995" s="70" t="n">
        <f aca="false">Data!A995</f>
        <v>994</v>
      </c>
      <c r="B995" s="70" t="str">
        <f aca="false">IFERROR(INDEX(対訳マスタ!$C$2:$C$136,MATCH(Data!B995,対訳マスタ!$B$2:$B$136,0)),Data!B995)</f>
        <v>コミュニケーション言語活動</v>
      </c>
      <c r="C995" s="70" t="str">
        <f aca="false">IF(Data!C995="—","—",IFERROR(INDEX(対訳マスタ!$C$2:$C$136,MATCH(Data!C995,対訳マスタ!$B$2:$B$136,0)),Data!C995))</f>
        <v>仲介</v>
      </c>
      <c r="D995" s="70" t="str">
        <f aca="false">IF(Data!D995="—","—",IFERROR(INDEX(対訳マスタ!$C$2:$C$136,MATCH(Data!D995,対訳マスタ!$B$2:$B$136,0)),Data!D995))</f>
        <v>コミュニケーションの仲介</v>
      </c>
      <c r="E995" s="70" t="str">
        <f aca="false">IFERROR(INDEX(対訳マスタ!$C$2:$C$136,MATCH(Data!E995,対訳マスタ!$B$2:$B$136,0)),Data!E995)</f>
        <v>複文化的な場の醸成</v>
      </c>
      <c r="F995" s="70" t="str">
        <f aca="false">Data!F995</f>
        <v>B2</v>
      </c>
      <c r="G995" s="31" t="str">
        <f aca="false">Data!G995</f>
        <v>Can work collaboratively with people who have different cultural orientations, discussing similarities and differences in views and perspectives.</v>
      </c>
      <c r="H995" s="71" t="s">
        <v>3509</v>
      </c>
      <c r="I995" s="79" t="s">
        <v>3089</v>
      </c>
    </row>
    <row r="996" customFormat="false" ht="26.25" hidden="false" customHeight="true" outlineLevel="0" collapsed="false">
      <c r="A996" s="70" t="n">
        <f aca="false">Data!A996</f>
        <v>995</v>
      </c>
      <c r="B996" s="70" t="str">
        <f aca="false">IFERROR(INDEX(対訳マスタ!$C$2:$C$136,MATCH(Data!B996,対訳マスタ!$B$2:$B$136,0)),Data!B996)</f>
        <v>コミュニケーション言語活動</v>
      </c>
      <c r="C996" s="70" t="str">
        <f aca="false">IF(Data!C996="—","—",IFERROR(INDEX(対訳マスタ!$C$2:$C$136,MATCH(Data!C996,対訳マスタ!$B$2:$B$136,0)),Data!C996))</f>
        <v>仲介</v>
      </c>
      <c r="D996" s="70" t="str">
        <f aca="false">IF(Data!D996="—","—",IFERROR(INDEX(対訳マスタ!$C$2:$C$136,MATCH(Data!D996,対訳マスタ!$B$2:$B$136,0)),Data!D996))</f>
        <v>コミュニケーションの仲介</v>
      </c>
      <c r="E996" s="70" t="str">
        <f aca="false">IFERROR(INDEX(対訳マスタ!$C$2:$C$136,MATCH(Data!E996,対訳マスタ!$B$2:$B$136,0)),Data!E996)</f>
        <v>複文化的な場の醸成</v>
      </c>
      <c r="F996" s="70" t="str">
        <f aca="false">Data!F996</f>
        <v>B2</v>
      </c>
      <c r="G996" s="31" t="str">
        <f aca="false">Data!G996</f>
        <v>Can, when collaborating with people from other cultures, adapt the way they work in order to create shared procedures.</v>
      </c>
      <c r="H996" s="71" t="s">
        <v>2915</v>
      </c>
      <c r="I996" s="79" t="s">
        <v>3089</v>
      </c>
    </row>
    <row r="997" customFormat="false" ht="32.25" hidden="false" customHeight="true" outlineLevel="0" collapsed="false">
      <c r="A997" s="70" t="n">
        <f aca="false">Data!A997</f>
        <v>996</v>
      </c>
      <c r="B997" s="70" t="str">
        <f aca="false">IFERROR(INDEX(対訳マスタ!$C$2:$C$136,MATCH(Data!B997,対訳マスタ!$B$2:$B$136,0)),Data!B997)</f>
        <v>コミュニケーション言語活動</v>
      </c>
      <c r="C997" s="70" t="str">
        <f aca="false">IF(Data!C997="—","—",IFERROR(INDEX(対訳マスタ!$C$2:$C$136,MATCH(Data!C997,対訳マスタ!$B$2:$B$136,0)),Data!C997))</f>
        <v>仲介</v>
      </c>
      <c r="D997" s="70" t="str">
        <f aca="false">IF(Data!D997="—","—",IFERROR(INDEX(対訳マスタ!$C$2:$C$136,MATCH(Data!D997,対訳マスタ!$B$2:$B$136,0)),Data!D997))</f>
        <v>コミュニケーションの仲介</v>
      </c>
      <c r="E997" s="70" t="str">
        <f aca="false">IFERROR(INDEX(対訳マスタ!$C$2:$C$136,MATCH(Data!E997,対訳マスタ!$B$2:$B$136,0)),Data!E997)</f>
        <v>複文化的な場の醸成</v>
      </c>
      <c r="F997" s="70" t="str">
        <f aca="false">Data!F997</f>
        <v>B1+</v>
      </c>
      <c r="G997" s="31" t="str">
        <f aca="false">Data!G997</f>
        <v>Can support communication across cultures by initiating conversation, showing interest and empathy by asking and answering simple questions, and expressing agreement and understanding.</v>
      </c>
      <c r="H997" s="71" t="s">
        <v>3510</v>
      </c>
      <c r="I997" s="79" t="s">
        <v>3089</v>
      </c>
    </row>
    <row r="998" customFormat="false" ht="26.25" hidden="false" customHeight="true" outlineLevel="0" collapsed="false">
      <c r="A998" s="70" t="n">
        <f aca="false">Data!A998</f>
        <v>997</v>
      </c>
      <c r="B998" s="70" t="str">
        <f aca="false">IFERROR(INDEX(対訳マスタ!$C$2:$C$136,MATCH(Data!B998,対訳マスタ!$B$2:$B$136,0)),Data!B998)</f>
        <v>コミュニケーション言語活動</v>
      </c>
      <c r="C998" s="70" t="str">
        <f aca="false">IF(Data!C998="—","—",IFERROR(INDEX(対訳マスタ!$C$2:$C$136,MATCH(Data!C998,対訳マスタ!$B$2:$B$136,0)),Data!C998))</f>
        <v>仲介</v>
      </c>
      <c r="D998" s="70" t="str">
        <f aca="false">IF(Data!D998="—","—",IFERROR(INDEX(対訳マスタ!$C$2:$C$136,MATCH(Data!D998,対訳マスタ!$B$2:$B$136,0)),Data!D998))</f>
        <v>コミュニケーションの仲介</v>
      </c>
      <c r="E998" s="70" t="str">
        <f aca="false">IFERROR(INDEX(対訳マスタ!$C$2:$C$136,MATCH(Data!E998,対訳マスタ!$B$2:$B$136,0)),Data!E998)</f>
        <v>複文化的な場の醸成</v>
      </c>
      <c r="F998" s="70" t="str">
        <f aca="false">Data!F998</f>
        <v>B1+</v>
      </c>
      <c r="G998" s="31" t="str">
        <f aca="false">Data!G998</f>
        <v>Can act in a supportive manner in intercultural encounters, recognising the feelings and different worldviews of other members of the group.</v>
      </c>
      <c r="H998" s="71" t="s">
        <v>2914</v>
      </c>
      <c r="I998" s="79" t="s">
        <v>3089</v>
      </c>
    </row>
    <row r="999" customFormat="false" ht="32.25" hidden="false" customHeight="true" outlineLevel="0" collapsed="false">
      <c r="A999" s="70" t="n">
        <f aca="false">Data!A999</f>
        <v>998</v>
      </c>
      <c r="B999" s="70" t="str">
        <f aca="false">IFERROR(INDEX(対訳マスタ!$C$2:$C$136,MATCH(Data!B999,対訳マスタ!$B$2:$B$136,0)),Data!B999)</f>
        <v>コミュニケーション言語活動</v>
      </c>
      <c r="C999" s="70" t="str">
        <f aca="false">IF(Data!C999="—","—",IFERROR(INDEX(対訳マスタ!$C$2:$C$136,MATCH(Data!C999,対訳マスタ!$B$2:$B$136,0)),Data!C999))</f>
        <v>仲介</v>
      </c>
      <c r="D999" s="70" t="str">
        <f aca="false">IF(Data!D999="—","—",IFERROR(INDEX(対訳マスタ!$C$2:$C$136,MATCH(Data!D999,対訳マスタ!$B$2:$B$136,0)),Data!D999))</f>
        <v>コミュニケーションの仲介</v>
      </c>
      <c r="E999" s="70" t="str">
        <f aca="false">IFERROR(INDEX(対訳マスタ!$C$2:$C$136,MATCH(Data!E999,対訳マスタ!$B$2:$B$136,0)),Data!E999)</f>
        <v>複文化的な場の醸成</v>
      </c>
      <c r="F999" s="70" t="str">
        <f aca="false">Data!F999</f>
        <v>B1</v>
      </c>
      <c r="G999" s="31" t="str">
        <f aca="false">Data!G999</f>
        <v>Can support an intercultural exchange using a limited repertoire to introduce people from different cultural backgrounds and to ask and answer questions, showing awareness that some questions may be perceived differently in the cultures concerned.</v>
      </c>
      <c r="H999" s="71" t="s">
        <v>3511</v>
      </c>
      <c r="I999" s="79" t="s">
        <v>3089</v>
      </c>
    </row>
    <row r="1000" customFormat="false" ht="26.25" hidden="false" customHeight="true" outlineLevel="0" collapsed="false">
      <c r="A1000" s="70" t="n">
        <f aca="false">Data!A1000</f>
        <v>999</v>
      </c>
      <c r="B1000" s="70" t="str">
        <f aca="false">IFERROR(INDEX(対訳マスタ!$C$2:$C$136,MATCH(Data!B1000,対訳マスタ!$B$2:$B$136,0)),Data!B1000)</f>
        <v>コミュニケーション言語活動</v>
      </c>
      <c r="C1000" s="70" t="str">
        <f aca="false">IF(Data!C1000="—","—",IFERROR(INDEX(対訳マスタ!$C$2:$C$136,MATCH(Data!C1000,対訳マスタ!$B$2:$B$136,0)),Data!C1000))</f>
        <v>仲介</v>
      </c>
      <c r="D1000" s="70" t="str">
        <f aca="false">IF(Data!D1000="—","—",IFERROR(INDEX(対訳マスタ!$C$2:$C$136,MATCH(Data!D1000,対訳マスタ!$B$2:$B$136,0)),Data!D1000))</f>
        <v>コミュニケーションの仲介</v>
      </c>
      <c r="E1000" s="70" t="str">
        <f aca="false">IFERROR(INDEX(対訳マスタ!$C$2:$C$136,MATCH(Data!E1000,対訳マスタ!$B$2:$B$136,0)),Data!E1000)</f>
        <v>複文化的な場の醸成</v>
      </c>
      <c r="F1000" s="70" t="str">
        <f aca="false">Data!F1000</f>
        <v>B1</v>
      </c>
      <c r="G1000" s="31" t="str">
        <f aca="false">Data!G1000</f>
        <v>Can help develop a shared communication culture, by exchanging information in a simple way about values and attitudes to language and culture.</v>
      </c>
      <c r="H1000" s="71" t="s">
        <v>2913</v>
      </c>
      <c r="I1000" s="79" t="s">
        <v>3089</v>
      </c>
    </row>
    <row r="1001" customFormat="false" ht="32.25" hidden="false" customHeight="true" outlineLevel="0" collapsed="false">
      <c r="A1001" s="70" t="n">
        <f aca="false">Data!A1001</f>
        <v>1000</v>
      </c>
      <c r="B1001" s="70" t="str">
        <f aca="false">IFERROR(INDEX(対訳マスタ!$C$2:$C$136,MATCH(Data!B1001,対訳マスタ!$B$2:$B$136,0)),Data!B1001)</f>
        <v>コミュニケーション言語活動</v>
      </c>
      <c r="C1001" s="70" t="str">
        <f aca="false">IF(Data!C1001="—","—",IFERROR(INDEX(対訳マスタ!$C$2:$C$136,MATCH(Data!C1001,対訳マスタ!$B$2:$B$136,0)),Data!C1001))</f>
        <v>仲介</v>
      </c>
      <c r="D1001" s="70" t="str">
        <f aca="false">IF(Data!D1001="—","—",IFERROR(INDEX(対訳マスタ!$C$2:$C$136,MATCH(Data!D1001,対訳マスタ!$B$2:$B$136,0)),Data!D1001))</f>
        <v>コミュニケーションの仲介</v>
      </c>
      <c r="E1001" s="70" t="str">
        <f aca="false">IFERROR(INDEX(対訳マスタ!$C$2:$C$136,MATCH(Data!E1001,対訳マスタ!$B$2:$B$136,0)),Data!E1001)</f>
        <v>複文化的な場の醸成</v>
      </c>
      <c r="F1001" s="70" t="str">
        <f aca="false">Data!F1001</f>
        <v>A2</v>
      </c>
      <c r="G1001" s="31" t="str">
        <f aca="false">Data!G1001</f>
        <v>Can contribute to an intercultural exchange, using simple words/signs to ask people to explain things and to get clarification of what they say, while exploiting a limited repertoire to express agreement, to invite, to thank, etc.</v>
      </c>
      <c r="H1001" s="71" t="s">
        <v>2912</v>
      </c>
      <c r="I1001" s="79" t="s">
        <v>3089</v>
      </c>
    </row>
    <row r="1002" customFormat="false" ht="32.25" hidden="false" customHeight="true" outlineLevel="0" collapsed="false">
      <c r="A1002" s="70" t="n">
        <f aca="false">Data!A1002</f>
        <v>1001</v>
      </c>
      <c r="B1002" s="70" t="str">
        <f aca="false">IFERROR(INDEX(対訳マスタ!$C$2:$C$136,MATCH(Data!B1002,対訳マスタ!$B$2:$B$136,0)),Data!B1002)</f>
        <v>コミュニケーション言語活動</v>
      </c>
      <c r="C1002" s="70" t="str">
        <f aca="false">IF(Data!C1002="—","—",IFERROR(INDEX(対訳マスタ!$C$2:$C$136,MATCH(Data!C1002,対訳マスタ!$B$2:$B$136,0)),Data!C1002))</f>
        <v>仲介</v>
      </c>
      <c r="D1002" s="70" t="str">
        <f aca="false">IF(Data!D1002="—","—",IFERROR(INDEX(対訳マスタ!$C$2:$C$136,MATCH(Data!D1002,対訳マスタ!$B$2:$B$136,0)),Data!D1002))</f>
        <v>コミュニケーションの仲介</v>
      </c>
      <c r="E1002" s="70" t="str">
        <f aca="false">IFERROR(INDEX(対訳マスタ!$C$2:$C$136,MATCH(Data!E1002,対訳マスタ!$B$2:$B$136,0)),Data!E1002)</f>
        <v>複文化的な場の醸成</v>
      </c>
      <c r="F1002" s="70" t="str">
        <f aca="false">Data!F1002</f>
        <v>A1</v>
      </c>
      <c r="G1002" s="31" t="str">
        <f aca="false">Data!G1002</f>
        <v>Can facilitate an intercultural exchange by showing a welcoming attitude and interest with simple words/signs and non-verbal signals, by inviting others to contribute, and by indicating whether they understand when addressed directly.</v>
      </c>
      <c r="H1002" s="71" t="s">
        <v>2911</v>
      </c>
      <c r="I1002" s="79" t="s">
        <v>3089</v>
      </c>
    </row>
    <row r="1003" customFormat="false" ht="15" hidden="false" customHeight="true" outlineLevel="0" collapsed="false">
      <c r="A1003" s="80" t="n">
        <f aca="false">Data!A1003</f>
        <v>1002</v>
      </c>
      <c r="B1003" s="80" t="str">
        <f aca="false">IFERROR(INDEX(対訳マスタ!$C$2:$C$136,MATCH(Data!B1003,対訳マスタ!$B$2:$B$136,0)),Data!B1003)</f>
        <v>コミュニケーション言語活動</v>
      </c>
      <c r="C1003" s="80" t="str">
        <f aca="false">IF(Data!C1003="—","—",IFERROR(INDEX(対訳マスタ!$C$2:$C$136,MATCH(Data!C1003,対訳マスタ!$B$2:$B$136,0)),Data!C1003))</f>
        <v>仲介</v>
      </c>
      <c r="D1003" s="80" t="str">
        <f aca="false">IF(Data!D1003="—","—",IFERROR(INDEX(対訳マスタ!$C$2:$C$136,MATCH(Data!D1003,対訳マスタ!$B$2:$B$136,0)),Data!D1003))</f>
        <v>コミュニケーションの仲介</v>
      </c>
      <c r="E1003" s="80" t="str">
        <f aca="false">IFERROR(INDEX(対訳マスタ!$C$2:$C$136,MATCH(Data!E1003,対訳マスタ!$B$2:$B$136,0)),Data!E1003)</f>
        <v>複文化的な場の醸成</v>
      </c>
      <c r="F1003" s="80" t="str">
        <f aca="false">Data!F1003</f>
        <v>Pre-A1</v>
      </c>
      <c r="G1003" s="81" t="str">
        <f aca="false">Data!G1003</f>
        <v>No descriptors available</v>
      </c>
      <c r="H1003" s="81" t="s">
        <v>624</v>
      </c>
      <c r="I1003" s="80" t="s">
        <v>624</v>
      </c>
    </row>
    <row r="1004" customFormat="false" ht="42.75" hidden="false" customHeight="true" outlineLevel="0" collapsed="false">
      <c r="A1004" s="70" t="n">
        <f aca="false">Data!A1004</f>
        <v>1003</v>
      </c>
      <c r="B1004" s="70" t="str">
        <f aca="false">IFERROR(INDEX(対訳マスタ!$C$2:$C$136,MATCH(Data!B1004,対訳マスタ!$B$2:$B$136,0)),Data!B1004)</f>
        <v>コミュニケーション言語活動</v>
      </c>
      <c r="C1004" s="70" t="str">
        <f aca="false">IF(Data!C1004="—","—",IFERROR(INDEX(対訳マスタ!$C$2:$C$136,MATCH(Data!C1004,対訳マスタ!$B$2:$B$136,0)),Data!C1004))</f>
        <v>仲介</v>
      </c>
      <c r="D1004" s="70" t="str">
        <f aca="false">IF(Data!D1004="—","—",IFERROR(INDEX(対訳マスタ!$C$2:$C$136,MATCH(Data!D1004,対訳マスタ!$B$2:$B$136,0)),Data!D1004))</f>
        <v>コミュニケーションの仲介</v>
      </c>
      <c r="E1004" s="70" t="str">
        <f aca="false">IFERROR(INDEX(対訳マスタ!$C$2:$C$136,MATCH(Data!E1004,対訳マスタ!$B$2:$B$136,0)),Data!E1004)</f>
        <v>インフォーマルな場面での橋渡し（友人・同僚間）</v>
      </c>
      <c r="F1004" s="70" t="str">
        <f aca="false">Data!F1004</f>
        <v>C2</v>
      </c>
      <c r="G1004" s="31" t="str">
        <f aca="false">Data!G1004</f>
        <v>Can communicate in a clear, fluent, well-structured way (in Language B) the sense of what is said (in Language A) on a wide range of general and specialised topics, maintaining appropriate style and register, conveying finer shades of meaning and elaborating on sociocultural implications.</v>
      </c>
      <c r="H1004" s="71" t="s">
        <v>2927</v>
      </c>
      <c r="I1004" s="79" t="s">
        <v>3089</v>
      </c>
    </row>
    <row r="1005" customFormat="false" ht="39" hidden="false" customHeight="true" outlineLevel="0" collapsed="false">
      <c r="A1005" s="70" t="n">
        <f aca="false">Data!A1005</f>
        <v>1004</v>
      </c>
      <c r="B1005" s="70" t="str">
        <f aca="false">IFERROR(INDEX(対訳マスタ!$C$2:$C$136,MATCH(Data!B1005,対訳マスタ!$B$2:$B$136,0)),Data!B1005)</f>
        <v>コミュニケーション言語活動</v>
      </c>
      <c r="C1005" s="70" t="str">
        <f aca="false">IF(Data!C1005="—","—",IFERROR(INDEX(対訳マスタ!$C$2:$C$136,MATCH(Data!C1005,対訳マスタ!$B$2:$B$136,0)),Data!C1005))</f>
        <v>仲介</v>
      </c>
      <c r="D1005" s="70" t="str">
        <f aca="false">IF(Data!D1005="—","—",IFERROR(INDEX(対訳マスタ!$C$2:$C$136,MATCH(Data!D1005,対訳マスタ!$B$2:$B$136,0)),Data!D1005))</f>
        <v>コミュニケーションの仲介</v>
      </c>
      <c r="E1005" s="70" t="str">
        <f aca="false">IFERROR(INDEX(対訳マスタ!$C$2:$C$136,MATCH(Data!E1005,対訳マスタ!$B$2:$B$136,0)),Data!E1005)</f>
        <v>インフォーマルな場面での橋渡し（友人・同僚間）</v>
      </c>
      <c r="F1005" s="70" t="str">
        <f aca="false">Data!F1005</f>
        <v>C1</v>
      </c>
      <c r="G1005" s="31" t="str">
        <f aca="false">Data!G1005</f>
        <v>Can communicate fluently (in Language B) the sense of what is said (in Language A) on a wide range of subjects of personal, academic and professional interest, conveying significant information clearly and concisely as well as explaining cultural references.</v>
      </c>
      <c r="H1005" s="71" t="s">
        <v>2926</v>
      </c>
      <c r="I1005" s="79" t="s">
        <v>3089</v>
      </c>
    </row>
    <row r="1006" customFormat="false" ht="32.25" hidden="false" customHeight="true" outlineLevel="0" collapsed="false">
      <c r="A1006" s="70" t="n">
        <f aca="false">Data!A1006</f>
        <v>1005</v>
      </c>
      <c r="B1006" s="70" t="str">
        <f aca="false">IFERROR(INDEX(対訳マスタ!$C$2:$C$136,MATCH(Data!B1006,対訳マスタ!$B$2:$B$136,0)),Data!B1006)</f>
        <v>コミュニケーション言語活動</v>
      </c>
      <c r="C1006" s="70" t="str">
        <f aca="false">IF(Data!C1006="—","—",IFERROR(INDEX(対訳マスタ!$C$2:$C$136,MATCH(Data!C1006,対訳マスタ!$B$2:$B$136,0)),Data!C1006))</f>
        <v>仲介</v>
      </c>
      <c r="D1006" s="70" t="str">
        <f aca="false">IF(Data!D1006="—","—",IFERROR(INDEX(対訳マスタ!$C$2:$C$136,MATCH(Data!D1006,対訳マスタ!$B$2:$B$136,0)),Data!D1006))</f>
        <v>コミュニケーションの仲介</v>
      </c>
      <c r="E1006" s="70" t="str">
        <f aca="false">IFERROR(INDEX(対訳マスタ!$C$2:$C$136,MATCH(Data!E1006,対訳マスタ!$B$2:$B$136,0)),Data!E1006)</f>
        <v>インフォーマルな場面での橋渡し（友人・同僚間）</v>
      </c>
      <c r="F1006" s="70" t="str">
        <f aca="false">Data!F1006</f>
        <v>B2+</v>
      </c>
      <c r="G1006" s="31" t="str">
        <f aca="false">Data!G1006</f>
        <v>Can mediate (between Language A and Language B) conveying detailed information, drawing the attention of both sides to background information and sociocultural cues, and posing clarification and follow-up questions or statements as necessary.</v>
      </c>
      <c r="H1006" s="71" t="s">
        <v>2925</v>
      </c>
      <c r="I1006" s="79" t="s">
        <v>3089</v>
      </c>
    </row>
    <row r="1007" customFormat="false" ht="42.75" hidden="false" customHeight="true" outlineLevel="0" collapsed="false">
      <c r="A1007" s="70" t="n">
        <f aca="false">Data!A1007</f>
        <v>1006</v>
      </c>
      <c r="B1007" s="70" t="str">
        <f aca="false">IFERROR(INDEX(対訳マスタ!$C$2:$C$136,MATCH(Data!B1007,対訳マスタ!$B$2:$B$136,0)),Data!B1007)</f>
        <v>コミュニケーション言語活動</v>
      </c>
      <c r="C1007" s="70" t="str">
        <f aca="false">IF(Data!C1007="—","—",IFERROR(INDEX(対訳マスタ!$C$2:$C$136,MATCH(Data!C1007,対訳マスタ!$B$2:$B$136,0)),Data!C1007))</f>
        <v>仲介</v>
      </c>
      <c r="D1007" s="70" t="str">
        <f aca="false">IF(Data!D1007="—","—",IFERROR(INDEX(対訳マスタ!$C$2:$C$136,MATCH(Data!D1007,対訳マスタ!$B$2:$B$136,0)),Data!D1007))</f>
        <v>コミュニケーションの仲介</v>
      </c>
      <c r="E1007" s="70" t="str">
        <f aca="false">IFERROR(INDEX(対訳マスタ!$C$2:$C$136,MATCH(Data!E1007,対訳マスタ!$B$2:$B$136,0)),Data!E1007)</f>
        <v>インフォーマルな場面での橋渡し（友人・同僚間）</v>
      </c>
      <c r="F1007" s="70" t="str">
        <f aca="false">Data!F1007</f>
        <v>B2</v>
      </c>
      <c r="G1007" s="31" t="str">
        <f aca="false">Data!G1007</f>
        <v>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v>
      </c>
      <c r="H1007" s="71" t="s">
        <v>3512</v>
      </c>
      <c r="I1007" s="79" t="s">
        <v>3089</v>
      </c>
    </row>
    <row r="1008" customFormat="false" ht="42.75" hidden="false" customHeight="true" outlineLevel="0" collapsed="false">
      <c r="A1008" s="70" t="n">
        <f aca="false">Data!A1008</f>
        <v>1007</v>
      </c>
      <c r="B1008" s="70" t="str">
        <f aca="false">IFERROR(INDEX(対訳マスタ!$C$2:$C$136,MATCH(Data!B1008,対訳マスタ!$B$2:$B$136,0)),Data!B1008)</f>
        <v>コミュニケーション言語活動</v>
      </c>
      <c r="C1008" s="70" t="str">
        <f aca="false">IF(Data!C1008="—","—",IFERROR(INDEX(対訳マスタ!$C$2:$C$136,MATCH(Data!C1008,対訳マスタ!$B$2:$B$136,0)),Data!C1008))</f>
        <v>仲介</v>
      </c>
      <c r="D1008" s="70" t="str">
        <f aca="false">IF(Data!D1008="—","—",IFERROR(INDEX(対訳マスタ!$C$2:$C$136,MATCH(Data!D1008,対訳マスタ!$B$2:$B$136,0)),Data!D1008))</f>
        <v>コミュニケーションの仲介</v>
      </c>
      <c r="E1008" s="70" t="str">
        <f aca="false">IFERROR(INDEX(対訳マスタ!$C$2:$C$136,MATCH(Data!E1008,対訳マスタ!$B$2:$B$136,0)),Data!E1008)</f>
        <v>インフォーマルな場面での橋渡し（友人・同僚間）</v>
      </c>
      <c r="F1008" s="70" t="str">
        <f aca="false">Data!F1008</f>
        <v>B2</v>
      </c>
      <c r="G1008" s="31" t="str">
        <f aca="false">Data!G1008</f>
        <v>Can communicate (in Language B) the sense of what is said (in Language A) on subjects within their fields of interest, conveying and when necessary explaining the significance of important statements and viewpoints, provided the interlocutors give clarifications if needed.</v>
      </c>
      <c r="H1008" s="71" t="s">
        <v>2924</v>
      </c>
      <c r="I1008" s="79" t="s">
        <v>3089</v>
      </c>
    </row>
    <row r="1009" customFormat="false" ht="42.75" hidden="false" customHeight="true" outlineLevel="0" collapsed="false">
      <c r="A1009" s="70" t="n">
        <f aca="false">Data!A1009</f>
        <v>1008</v>
      </c>
      <c r="B1009" s="70" t="str">
        <f aca="false">IFERROR(INDEX(対訳マスタ!$C$2:$C$136,MATCH(Data!B1009,対訳マスタ!$B$2:$B$136,0)),Data!B1009)</f>
        <v>コミュニケーション言語活動</v>
      </c>
      <c r="C1009" s="70" t="str">
        <f aca="false">IF(Data!C1009="—","—",IFERROR(INDEX(対訳マスタ!$C$2:$C$136,MATCH(Data!C1009,対訳マスタ!$B$2:$B$136,0)),Data!C1009))</f>
        <v>仲介</v>
      </c>
      <c r="D1009" s="70" t="str">
        <f aca="false">IF(Data!D1009="—","—",IFERROR(INDEX(対訳マスタ!$C$2:$C$136,MATCH(Data!D1009,対訳マスタ!$B$2:$B$136,0)),Data!D1009))</f>
        <v>コミュニケーションの仲介</v>
      </c>
      <c r="E1009" s="70" t="str">
        <f aca="false">IFERROR(INDEX(対訳マスタ!$C$2:$C$136,MATCH(Data!E1009,対訳マスタ!$B$2:$B$136,0)),Data!E1009)</f>
        <v>インフォーマルな場面での橋渡し（友人・同僚間）</v>
      </c>
      <c r="F1009" s="70" t="str">
        <f aca="false">Data!F1009</f>
        <v>B1+</v>
      </c>
      <c r="G1009" s="31" t="str">
        <f aca="false">Data!G1009</f>
        <v>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v>
      </c>
      <c r="H1009" s="71" t="s">
        <v>2923</v>
      </c>
      <c r="I1009" s="79" t="s">
        <v>3089</v>
      </c>
    </row>
    <row r="1010" customFormat="false" ht="42.75" hidden="false" customHeight="true" outlineLevel="0" collapsed="false">
      <c r="A1010" s="70" t="n">
        <f aca="false">Data!A1010</f>
        <v>1009</v>
      </c>
      <c r="B1010" s="70" t="str">
        <f aca="false">IFERROR(INDEX(対訳マスタ!$C$2:$C$136,MATCH(Data!B1010,対訳マスタ!$B$2:$B$136,0)),Data!B1010)</f>
        <v>コミュニケーション言語活動</v>
      </c>
      <c r="C1010" s="70" t="str">
        <f aca="false">IF(Data!C1010="—","—",IFERROR(INDEX(対訳マスタ!$C$2:$C$136,MATCH(Data!C1010,対訳マスタ!$B$2:$B$136,0)),Data!C1010))</f>
        <v>仲介</v>
      </c>
      <c r="D1010" s="70" t="str">
        <f aca="false">IF(Data!D1010="—","—",IFERROR(INDEX(対訳マスタ!$C$2:$C$136,MATCH(Data!D1010,対訳マスタ!$B$2:$B$136,0)),Data!D1010))</f>
        <v>コミュニケーションの仲介</v>
      </c>
      <c r="E1010" s="70" t="str">
        <f aca="false">IFERROR(INDEX(対訳マスタ!$C$2:$C$136,MATCH(Data!E1010,対訳マスタ!$B$2:$B$136,0)),Data!E1010)</f>
        <v>インフォーマルな場面での橋渡し（友人・同僚間）</v>
      </c>
      <c r="F1010" s="70" t="str">
        <f aca="false">Data!F1010</f>
        <v>B1</v>
      </c>
      <c r="G1010" s="31" t="str">
        <f aca="false">Data!G1010</f>
        <v>Can communicate (in Language B) the main sense of what is said (in Language A) on subjects of personal interest, while following important politeness conventions, provided the interlocutors articulate clearly and they can ask for clarification and pause to plan how to express things.</v>
      </c>
      <c r="H1010" s="71" t="s">
        <v>2922</v>
      </c>
      <c r="I1010" s="79" t="s">
        <v>3089</v>
      </c>
    </row>
    <row r="1011" customFormat="false" ht="42.75" hidden="false" customHeight="true" outlineLevel="0" collapsed="false">
      <c r="A1011" s="70" t="n">
        <f aca="false">Data!A1011</f>
        <v>1010</v>
      </c>
      <c r="B1011" s="70" t="str">
        <f aca="false">IFERROR(INDEX(対訳マスタ!$C$2:$C$136,MATCH(Data!B1011,対訳マスタ!$B$2:$B$136,0)),Data!B1011)</f>
        <v>コミュニケーション言語活動</v>
      </c>
      <c r="C1011" s="70" t="str">
        <f aca="false">IF(Data!C1011="—","—",IFERROR(INDEX(対訳マスタ!$C$2:$C$136,MATCH(Data!C1011,対訳マスタ!$B$2:$B$136,0)),Data!C1011))</f>
        <v>仲介</v>
      </c>
      <c r="D1011" s="70" t="str">
        <f aca="false">IF(Data!D1011="—","—",IFERROR(INDEX(対訳マスタ!$C$2:$C$136,MATCH(Data!D1011,対訳マスタ!$B$2:$B$136,0)),Data!D1011))</f>
        <v>コミュニケーションの仲介</v>
      </c>
      <c r="E1011" s="70" t="str">
        <f aca="false">IFERROR(INDEX(対訳マスタ!$C$2:$C$136,MATCH(Data!E1011,対訳マスタ!$B$2:$B$136,0)),Data!E1011)</f>
        <v>インフォーマルな場面での橋渡し（友人・同僚間）</v>
      </c>
      <c r="F1011" s="70" t="str">
        <f aca="false">Data!F1011</f>
        <v>A2+</v>
      </c>
      <c r="G1011" s="31" t="str">
        <f aca="false">Data!G1011</f>
        <v>Can communicate (in Language B) the overall sense of what is said (in Language A) in everyday situations, following basic cultural conventions and conveying the essential information, provided this is articulated clearly and they can ask for repetition and clarification.</v>
      </c>
      <c r="H1011" s="71" t="s">
        <v>2921</v>
      </c>
      <c r="I1011" s="79" t="s">
        <v>3089</v>
      </c>
    </row>
    <row r="1012" customFormat="false" ht="39" hidden="false" customHeight="true" outlineLevel="0" collapsed="false">
      <c r="A1012" s="70" t="n">
        <f aca="false">Data!A1012</f>
        <v>1011</v>
      </c>
      <c r="B1012" s="70" t="str">
        <f aca="false">IFERROR(INDEX(対訳マスタ!$C$2:$C$136,MATCH(Data!B1012,対訳マスタ!$B$2:$B$136,0)),Data!B1012)</f>
        <v>コミュニケーション言語活動</v>
      </c>
      <c r="C1012" s="70" t="str">
        <f aca="false">IF(Data!C1012="—","—",IFERROR(INDEX(対訳マスタ!$C$2:$C$136,MATCH(Data!C1012,対訳マスタ!$B$2:$B$136,0)),Data!C1012))</f>
        <v>仲介</v>
      </c>
      <c r="D1012" s="70" t="str">
        <f aca="false">IF(Data!D1012="—","—",IFERROR(INDEX(対訳マスタ!$C$2:$C$136,MATCH(Data!D1012,対訳マスタ!$B$2:$B$136,0)),Data!D1012))</f>
        <v>コミュニケーションの仲介</v>
      </c>
      <c r="E1012" s="70" t="str">
        <f aca="false">IFERROR(INDEX(対訳マスタ!$C$2:$C$136,MATCH(Data!E1012,対訳マスタ!$B$2:$B$136,0)),Data!E1012)</f>
        <v>インフォーマルな場面での橋渡し（友人・同僚間）</v>
      </c>
      <c r="F1012" s="70" t="str">
        <f aca="false">Data!F1012</f>
        <v>A2</v>
      </c>
      <c r="G1012" s="31" t="str">
        <f aca="false">Data!G1012</f>
        <v>Can communicate (in Language B) the main point of what is said (in Language A) in predictable everyday situations, conveying back and forth information about personal wants and needs, provided other people help with formulation.</v>
      </c>
      <c r="H1012" s="71" t="s">
        <v>2920</v>
      </c>
      <c r="I1012" s="79" t="s">
        <v>3089</v>
      </c>
    </row>
    <row r="1013" customFormat="false" ht="26.25" hidden="false" customHeight="true" outlineLevel="0" collapsed="false">
      <c r="A1013" s="70" t="n">
        <f aca="false">Data!A1013</f>
        <v>1012</v>
      </c>
      <c r="B1013" s="70" t="str">
        <f aca="false">IFERROR(INDEX(対訳マスタ!$C$2:$C$136,MATCH(Data!B1013,対訳マスタ!$B$2:$B$136,0)),Data!B1013)</f>
        <v>コミュニケーション言語活動</v>
      </c>
      <c r="C1013" s="70" t="str">
        <f aca="false">IF(Data!C1013="—","—",IFERROR(INDEX(対訳マスタ!$C$2:$C$136,MATCH(Data!C1013,対訳マスタ!$B$2:$B$136,0)),Data!C1013))</f>
        <v>仲介</v>
      </c>
      <c r="D1013" s="70" t="str">
        <f aca="false">IF(Data!D1013="—","—",IFERROR(INDEX(対訳マスタ!$C$2:$C$136,MATCH(Data!D1013,対訳マスタ!$B$2:$B$136,0)),Data!D1013))</f>
        <v>コミュニケーションの仲介</v>
      </c>
      <c r="E1013" s="70" t="str">
        <f aca="false">IFERROR(INDEX(対訳マスタ!$C$2:$C$136,MATCH(Data!E1013,対訳マスタ!$B$2:$B$136,0)),Data!E1013)</f>
        <v>インフォーマルな場面での橋渡し（友人・同僚間）</v>
      </c>
      <c r="F1013" s="70" t="str">
        <f aca="false">Data!F1013</f>
        <v>A1</v>
      </c>
      <c r="G1013" s="31" t="str">
        <f aca="false">Data!G1013</f>
        <v>Can communicate (in Language B) other people’s personal details and very simple, predictable information (in Language A), provided other people help with formulation.</v>
      </c>
      <c r="H1013" s="71" t="s">
        <v>2919</v>
      </c>
      <c r="I1013" s="79" t="s">
        <v>3089</v>
      </c>
    </row>
    <row r="1014" customFormat="false" ht="15" hidden="false" customHeight="true" outlineLevel="0" collapsed="false">
      <c r="A1014" s="80" t="n">
        <f aca="false">Data!A1014</f>
        <v>1013</v>
      </c>
      <c r="B1014" s="80" t="str">
        <f aca="false">IFERROR(INDEX(対訳マスタ!$C$2:$C$136,MATCH(Data!B1014,対訳マスタ!$B$2:$B$136,0)),Data!B1014)</f>
        <v>コミュニケーション言語活動</v>
      </c>
      <c r="C1014" s="80" t="str">
        <f aca="false">IF(Data!C1014="—","—",IFERROR(INDEX(対訳マスタ!$C$2:$C$136,MATCH(Data!C1014,対訳マスタ!$B$2:$B$136,0)),Data!C1014))</f>
        <v>仲介</v>
      </c>
      <c r="D1014" s="80" t="str">
        <f aca="false">IF(Data!D1014="—","—",IFERROR(INDEX(対訳マスタ!$C$2:$C$136,MATCH(Data!D1014,対訳マスタ!$B$2:$B$136,0)),Data!D1014))</f>
        <v>コミュニケーションの仲介</v>
      </c>
      <c r="E1014" s="80" t="str">
        <f aca="false">IFERROR(INDEX(対訳マスタ!$C$2:$C$136,MATCH(Data!E1014,対訳マスタ!$B$2:$B$136,0)),Data!E1014)</f>
        <v>インフォーマルな場面での橋渡し（友人・同僚間）</v>
      </c>
      <c r="F1014" s="80" t="str">
        <f aca="false">Data!F1014</f>
        <v>Pre-A1</v>
      </c>
      <c r="G1014" s="81" t="str">
        <f aca="false">Data!G1014</f>
        <v>No descriptors available</v>
      </c>
      <c r="H1014" s="81" t="s">
        <v>624</v>
      </c>
      <c r="I1014" s="80" t="s">
        <v>624</v>
      </c>
    </row>
    <row r="1015" customFormat="false" ht="21.75" hidden="false" customHeight="true" outlineLevel="0" collapsed="false">
      <c r="A1015" s="70" t="n">
        <f aca="false">Data!A1015</f>
        <v>1014</v>
      </c>
      <c r="B1015" s="70" t="str">
        <f aca="false">IFERROR(INDEX(対訳マスタ!$C$2:$C$136,MATCH(Data!B1015,対訳マスタ!$B$2:$B$136,0)),Data!B1015)</f>
        <v>コミュニケーション言語活動</v>
      </c>
      <c r="C1015" s="70" t="str">
        <f aca="false">IF(Data!C1015="—","—",IFERROR(INDEX(対訳マスタ!$C$2:$C$136,MATCH(Data!C1015,対訳マスタ!$B$2:$B$136,0)),Data!C1015))</f>
        <v>仲介</v>
      </c>
      <c r="D1015" s="70" t="str">
        <f aca="false">IF(Data!D1015="—","—",IFERROR(INDEX(対訳マスタ!$C$2:$C$136,MATCH(Data!D1015,対訳マスタ!$B$2:$B$136,0)),Data!D1015))</f>
        <v>コミュニケーションの仲介</v>
      </c>
      <c r="E1015" s="70" t="str">
        <f aca="false">IFERROR(INDEX(対訳マスタ!$C$2:$C$136,MATCH(Data!E1015,対訳マスタ!$B$2:$B$136,0)),Data!E1015)</f>
        <v>デリケートな状況・対立の場でのコミュニケーション促進</v>
      </c>
      <c r="F1015" s="70" t="str">
        <f aca="false">Data!F1015</f>
        <v>C2</v>
      </c>
      <c r="G1015" s="31" t="str">
        <f aca="false">Data!G1015</f>
        <v>Can deal tactfully with a disruptive participant, framing any remarks diplomatically in relation to the situation and cultural perceptions.</v>
      </c>
      <c r="H1015" s="71" t="s">
        <v>3513</v>
      </c>
      <c r="I1015" s="79" t="s">
        <v>3089</v>
      </c>
    </row>
    <row r="1016" customFormat="false" ht="26.25" hidden="false" customHeight="true" outlineLevel="0" collapsed="false">
      <c r="A1016" s="70" t="n">
        <f aca="false">Data!A1016</f>
        <v>1015</v>
      </c>
      <c r="B1016" s="70" t="str">
        <f aca="false">IFERROR(INDEX(対訳マスタ!$C$2:$C$136,MATCH(Data!B1016,対訳マスタ!$B$2:$B$136,0)),Data!B1016)</f>
        <v>コミュニケーション言語活動</v>
      </c>
      <c r="C1016" s="70" t="str">
        <f aca="false">IF(Data!C1016="—","—",IFERROR(INDEX(対訳マスタ!$C$2:$C$136,MATCH(Data!C1016,対訳マスタ!$B$2:$B$136,0)),Data!C1016))</f>
        <v>仲介</v>
      </c>
      <c r="D1016" s="70" t="str">
        <f aca="false">IF(Data!D1016="—","—",IFERROR(INDEX(対訳マスタ!$C$2:$C$136,MATCH(Data!D1016,対訳マスタ!$B$2:$B$136,0)),Data!D1016))</f>
        <v>コミュニケーションの仲介</v>
      </c>
      <c r="E1016" s="70" t="str">
        <f aca="false">IFERROR(INDEX(対訳マスタ!$C$2:$C$136,MATCH(Data!E1016,対訳マスタ!$B$2:$B$136,0)),Data!E1016)</f>
        <v>デリケートな状況・対立の場でのコミュニケーション促進</v>
      </c>
      <c r="F1016" s="70" t="str">
        <f aca="false">Data!F1016</f>
        <v>C2</v>
      </c>
      <c r="G1016" s="31" t="str">
        <f aca="false">Data!G1016</f>
        <v>Can confidently take a firm but diplomatic stance over an issue of principle, while showing respect for the viewpoints of others.</v>
      </c>
      <c r="H1016" s="71" t="s">
        <v>2935</v>
      </c>
      <c r="I1016" s="79" t="s">
        <v>3089</v>
      </c>
    </row>
    <row r="1017" customFormat="false" ht="21.75" hidden="false" customHeight="true" outlineLevel="0" collapsed="false">
      <c r="A1017" s="70" t="n">
        <f aca="false">Data!A1017</f>
        <v>1016</v>
      </c>
      <c r="B1017" s="70" t="str">
        <f aca="false">IFERROR(INDEX(対訳マスタ!$C$2:$C$136,MATCH(Data!B1017,対訳マスタ!$B$2:$B$136,0)),Data!B1017)</f>
        <v>コミュニケーション言語活動</v>
      </c>
      <c r="C1017" s="70" t="str">
        <f aca="false">IF(Data!C1017="—","—",IFERROR(INDEX(対訳マスタ!$C$2:$C$136,MATCH(Data!C1017,対訳マスタ!$B$2:$B$136,0)),Data!C1017))</f>
        <v>仲介</v>
      </c>
      <c r="D1017" s="70" t="str">
        <f aca="false">IF(Data!D1017="—","—",IFERROR(INDEX(対訳マスタ!$C$2:$C$136,MATCH(Data!D1017,対訳マスタ!$B$2:$B$136,0)),Data!D1017))</f>
        <v>コミュニケーションの仲介</v>
      </c>
      <c r="E1017" s="70" t="str">
        <f aca="false">IFERROR(INDEX(対訳マスタ!$C$2:$C$136,MATCH(Data!E1017,対訳マスタ!$B$2:$B$136,0)),Data!E1017)</f>
        <v>デリケートな状況・対立の場でのコミュニケーション促進</v>
      </c>
      <c r="F1017" s="70" t="str">
        <f aca="false">Data!F1017</f>
        <v>C1</v>
      </c>
      <c r="G1017" s="31" t="str">
        <f aca="false">Data!G1017</f>
        <v>Can demonstrate sensitivity to different viewpoints, using repetition and paraphrase to demonstrate a detailed understanding of each party’s requirements for an agreement.</v>
      </c>
      <c r="H1017" s="71" t="s">
        <v>3514</v>
      </c>
      <c r="I1017" s="79" t="s">
        <v>3089</v>
      </c>
    </row>
    <row r="1018" customFormat="false" ht="32.25" hidden="false" customHeight="true" outlineLevel="0" collapsed="false">
      <c r="A1018" s="70" t="n">
        <f aca="false">Data!A1018</f>
        <v>1017</v>
      </c>
      <c r="B1018" s="70" t="str">
        <f aca="false">IFERROR(INDEX(対訳マスタ!$C$2:$C$136,MATCH(Data!B1018,対訳マスタ!$B$2:$B$136,0)),Data!B1018)</f>
        <v>コミュニケーション言語活動</v>
      </c>
      <c r="C1018" s="70" t="str">
        <f aca="false">IF(Data!C1018="—","—",IFERROR(INDEX(対訳マスタ!$C$2:$C$136,MATCH(Data!C1018,対訳マスタ!$B$2:$B$136,0)),Data!C1018))</f>
        <v>仲介</v>
      </c>
      <c r="D1018" s="70" t="str">
        <f aca="false">IF(Data!D1018="—","—",IFERROR(INDEX(対訳マスタ!$C$2:$C$136,MATCH(Data!D1018,対訳マスタ!$B$2:$B$136,0)),Data!D1018))</f>
        <v>コミュニケーションの仲介</v>
      </c>
      <c r="E1018" s="70" t="str">
        <f aca="false">IFERROR(INDEX(対訳マスタ!$C$2:$C$136,MATCH(Data!E1018,対訳マスタ!$B$2:$B$136,0)),Data!E1018)</f>
        <v>デリケートな状況・対立の場でのコミュニケーション促進</v>
      </c>
      <c r="F1018" s="70" t="str">
        <f aca="false">Data!F1018</f>
        <v>C1</v>
      </c>
      <c r="G1018" s="31" t="str">
        <f aca="false">Data!G1018</f>
        <v>Can formulate a diplomatic request to each side in a disagreement to determine what is central to their position, and what they may be willing to give up under certain circumstances.</v>
      </c>
      <c r="H1018" s="71" t="s">
        <v>3515</v>
      </c>
      <c r="I1018" s="79" t="s">
        <v>3089</v>
      </c>
    </row>
    <row r="1019" customFormat="false" ht="21.75" hidden="false" customHeight="true" outlineLevel="0" collapsed="false">
      <c r="A1019" s="70" t="n">
        <f aca="false">Data!A1019</f>
        <v>1018</v>
      </c>
      <c r="B1019" s="70" t="str">
        <f aca="false">IFERROR(INDEX(対訳マスタ!$C$2:$C$136,MATCH(Data!B1019,対訳マスタ!$B$2:$B$136,0)),Data!B1019)</f>
        <v>コミュニケーション言語活動</v>
      </c>
      <c r="C1019" s="70" t="str">
        <f aca="false">IF(Data!C1019="—","—",IFERROR(INDEX(対訳マスタ!$C$2:$C$136,MATCH(Data!C1019,対訳マスタ!$B$2:$B$136,0)),Data!C1019))</f>
        <v>仲介</v>
      </c>
      <c r="D1019" s="70" t="str">
        <f aca="false">IF(Data!D1019="—","—",IFERROR(INDEX(対訳マスタ!$C$2:$C$136,MATCH(Data!D1019,対訳マスタ!$B$2:$B$136,0)),Data!D1019))</f>
        <v>コミュニケーションの仲介</v>
      </c>
      <c r="E1019" s="70" t="str">
        <f aca="false">IFERROR(INDEX(対訳マスタ!$C$2:$C$136,MATCH(Data!E1019,対訳マスタ!$B$2:$B$136,0)),Data!E1019)</f>
        <v>デリケートな状況・対立の場でのコミュニケーション促進</v>
      </c>
      <c r="F1019" s="70" t="str">
        <f aca="false">Data!F1019</f>
        <v>C1</v>
      </c>
      <c r="G1019" s="31" t="str">
        <f aca="false">Data!G1019</f>
        <v>Can use persuasive language to suggest that parties in disagreement shift towards a new position.</v>
      </c>
      <c r="H1019" s="71" t="s">
        <v>2934</v>
      </c>
      <c r="I1019" s="79" t="s">
        <v>3089</v>
      </c>
    </row>
    <row r="1020" customFormat="false" ht="32.25" hidden="false" customHeight="true" outlineLevel="0" collapsed="false">
      <c r="A1020" s="70" t="n">
        <f aca="false">Data!A1020</f>
        <v>1019</v>
      </c>
      <c r="B1020" s="70" t="str">
        <f aca="false">IFERROR(INDEX(対訳マスタ!$C$2:$C$136,MATCH(Data!B1020,対訳マスタ!$B$2:$B$136,0)),Data!B1020)</f>
        <v>コミュニケーション言語活動</v>
      </c>
      <c r="C1020" s="70" t="str">
        <f aca="false">IF(Data!C1020="—","—",IFERROR(INDEX(対訳マスタ!$C$2:$C$136,MATCH(Data!C1020,対訳マスタ!$B$2:$B$136,0)),Data!C1020))</f>
        <v>仲介</v>
      </c>
      <c r="D1020" s="70" t="str">
        <f aca="false">IF(Data!D1020="—","—",IFERROR(INDEX(対訳マスタ!$C$2:$C$136,MATCH(Data!D1020,対訳マスタ!$B$2:$B$136,0)),Data!D1020))</f>
        <v>コミュニケーションの仲介</v>
      </c>
      <c r="E1020" s="70" t="str">
        <f aca="false">IFERROR(INDEX(対訳マスタ!$C$2:$C$136,MATCH(Data!E1020,対訳マスタ!$B$2:$B$136,0)),Data!E1020)</f>
        <v>デリケートな状況・対立の場でのコミュニケーション促進</v>
      </c>
      <c r="F1020" s="70" t="str">
        <f aca="false">Data!F1020</f>
        <v>B2+</v>
      </c>
      <c r="G1020" s="31" t="str">
        <f aca="false">Data!G1020</f>
        <v>Can elicit possible solutions from parties in disagreement in order to help them to reach consensus, formulating open-ended, neutral questions to minimise embarrassment or offence.</v>
      </c>
      <c r="H1020" s="71" t="s">
        <v>3516</v>
      </c>
      <c r="I1020" s="79" t="s">
        <v>3089</v>
      </c>
    </row>
    <row r="1021" customFormat="false" ht="21.75" hidden="false" customHeight="true" outlineLevel="0" collapsed="false">
      <c r="A1021" s="70" t="n">
        <f aca="false">Data!A1021</f>
        <v>1020</v>
      </c>
      <c r="B1021" s="70" t="str">
        <f aca="false">IFERROR(INDEX(対訳マスタ!$C$2:$C$136,MATCH(Data!B1021,対訳マスタ!$B$2:$B$136,0)),Data!B1021)</f>
        <v>コミュニケーション言語活動</v>
      </c>
      <c r="C1021" s="70" t="str">
        <f aca="false">IF(Data!C1021="—","—",IFERROR(INDEX(対訳マスタ!$C$2:$C$136,MATCH(Data!C1021,対訳マスタ!$B$2:$B$136,0)),Data!C1021))</f>
        <v>仲介</v>
      </c>
      <c r="D1021" s="70" t="str">
        <f aca="false">IF(Data!D1021="—","—",IFERROR(INDEX(対訳マスタ!$C$2:$C$136,MATCH(Data!D1021,対訳マスタ!$B$2:$B$136,0)),Data!D1021))</f>
        <v>コミュニケーションの仲介</v>
      </c>
      <c r="E1021" s="70" t="str">
        <f aca="false">IFERROR(INDEX(対訳マスタ!$C$2:$C$136,MATCH(Data!E1021,対訳マスタ!$B$2:$B$136,0)),Data!E1021)</f>
        <v>デリケートな状況・対立の場でのコミュニケーション促進</v>
      </c>
      <c r="F1021" s="70" t="str">
        <f aca="false">Data!F1021</f>
        <v>B2+</v>
      </c>
      <c r="G1021" s="31" t="str">
        <f aca="false">Data!G1021</f>
        <v>Can help the parties in a disagreement better understand each other by restating and reframing their positions more clearly and by prioritising needs and goals.</v>
      </c>
      <c r="H1021" s="71" t="s">
        <v>3517</v>
      </c>
      <c r="I1021" s="79" t="s">
        <v>3089</v>
      </c>
    </row>
    <row r="1022" customFormat="false" ht="21.75" hidden="false" customHeight="true" outlineLevel="0" collapsed="false">
      <c r="A1022" s="70" t="n">
        <f aca="false">Data!A1022</f>
        <v>1021</v>
      </c>
      <c r="B1022" s="70" t="str">
        <f aca="false">IFERROR(INDEX(対訳マスタ!$C$2:$C$136,MATCH(Data!B1022,対訳マスタ!$B$2:$B$136,0)),Data!B1022)</f>
        <v>コミュニケーション言語活動</v>
      </c>
      <c r="C1022" s="70" t="str">
        <f aca="false">IF(Data!C1022="—","—",IFERROR(INDEX(対訳マスタ!$C$2:$C$136,MATCH(Data!C1022,対訳マスタ!$B$2:$B$136,0)),Data!C1022))</f>
        <v>仲介</v>
      </c>
      <c r="D1022" s="70" t="str">
        <f aca="false">IF(Data!D1022="—","—",IFERROR(INDEX(対訳マスタ!$C$2:$C$136,MATCH(Data!D1022,対訳マスタ!$B$2:$B$136,0)),Data!D1022))</f>
        <v>コミュニケーションの仲介</v>
      </c>
      <c r="E1022" s="70" t="str">
        <f aca="false">IFERROR(INDEX(対訳マスタ!$C$2:$C$136,MATCH(Data!E1022,対訳マスタ!$B$2:$B$136,0)),Data!E1022)</f>
        <v>デリケートな状況・対立の場でのコミュニケーション促進</v>
      </c>
      <c r="F1022" s="70" t="str">
        <f aca="false">Data!F1022</f>
        <v>B2+</v>
      </c>
      <c r="G1022" s="31" t="str">
        <f aca="false">Data!G1022</f>
        <v>Can formulate a clear and accurate summary of what has been agreed and what is expected from each of the parties.</v>
      </c>
      <c r="H1022" s="71" t="s">
        <v>2933</v>
      </c>
      <c r="I1022" s="79" t="s">
        <v>3089</v>
      </c>
    </row>
    <row r="1023" customFormat="false" ht="21.75" hidden="false" customHeight="true" outlineLevel="0" collapsed="false">
      <c r="A1023" s="70" t="n">
        <f aca="false">Data!A1023</f>
        <v>1022</v>
      </c>
      <c r="B1023" s="70" t="str">
        <f aca="false">IFERROR(INDEX(対訳マスタ!$C$2:$C$136,MATCH(Data!B1023,対訳マスタ!$B$2:$B$136,0)),Data!B1023)</f>
        <v>コミュニケーション言語活動</v>
      </c>
      <c r="C1023" s="70" t="str">
        <f aca="false">IF(Data!C1023="—","—",IFERROR(INDEX(対訳マスタ!$C$2:$C$136,MATCH(Data!C1023,対訳マスタ!$B$2:$B$136,0)),Data!C1023))</f>
        <v>仲介</v>
      </c>
      <c r="D1023" s="70" t="str">
        <f aca="false">IF(Data!D1023="—","—",IFERROR(INDEX(対訳マスタ!$C$2:$C$136,MATCH(Data!D1023,対訳マスタ!$B$2:$B$136,0)),Data!D1023))</f>
        <v>コミュニケーションの仲介</v>
      </c>
      <c r="E1023" s="70" t="str">
        <f aca="false">IFERROR(INDEX(対訳マスタ!$C$2:$C$136,MATCH(Data!E1023,対訳マスタ!$B$2:$B$136,0)),Data!E1023)</f>
        <v>デリケートな状況・対立の場でのコミュニケーション促進</v>
      </c>
      <c r="F1023" s="70" t="str">
        <f aca="false">Data!F1023</f>
        <v>B2</v>
      </c>
      <c r="G1023" s="31" t="str">
        <f aca="false">Data!G1023</f>
        <v>Can, by asking questions, identify areas of common ground and invite each side to highlight possible solutions.</v>
      </c>
      <c r="H1023" s="71" t="s">
        <v>2932</v>
      </c>
      <c r="I1023" s="79" t="s">
        <v>3089</v>
      </c>
    </row>
    <row r="1024" customFormat="false" ht="21.75" hidden="false" customHeight="true" outlineLevel="0" collapsed="false">
      <c r="A1024" s="70" t="n">
        <f aca="false">Data!A1024</f>
        <v>1023</v>
      </c>
      <c r="B1024" s="70" t="str">
        <f aca="false">IFERROR(INDEX(対訳マスタ!$C$2:$C$136,MATCH(Data!B1024,対訳マスタ!$B$2:$B$136,0)),Data!B1024)</f>
        <v>コミュニケーション言語活動</v>
      </c>
      <c r="C1024" s="70" t="str">
        <f aca="false">IF(Data!C1024="—","—",IFERROR(INDEX(対訳マスタ!$C$2:$C$136,MATCH(Data!C1024,対訳マスタ!$B$2:$B$136,0)),Data!C1024))</f>
        <v>仲介</v>
      </c>
      <c r="D1024" s="70" t="str">
        <f aca="false">IF(Data!D1024="—","—",IFERROR(INDEX(対訳マスタ!$C$2:$C$136,MATCH(Data!D1024,対訳マスタ!$B$2:$B$136,0)),Data!D1024))</f>
        <v>コミュニケーションの仲介</v>
      </c>
      <c r="E1024" s="70" t="str">
        <f aca="false">IFERROR(INDEX(対訳マスタ!$C$2:$C$136,MATCH(Data!E1024,対訳マスタ!$B$2:$B$136,0)),Data!E1024)</f>
        <v>デリケートな状況・対立の場でのコミュニケーション促進</v>
      </c>
      <c r="F1024" s="70" t="str">
        <f aca="false">Data!F1024</f>
        <v>B2</v>
      </c>
      <c r="G1024" s="31" t="str">
        <f aca="false">Data!G1024</f>
        <v>Can outline the main points in a disagreement with reasonable precision and explain the positions of the parties involved.</v>
      </c>
      <c r="H1024" s="71" t="s">
        <v>3518</v>
      </c>
      <c r="I1024" s="79" t="s">
        <v>3089</v>
      </c>
    </row>
    <row r="1025" customFormat="false" ht="21.75" hidden="false" customHeight="true" outlineLevel="0" collapsed="false">
      <c r="A1025" s="70" t="n">
        <f aca="false">Data!A1025</f>
        <v>1024</v>
      </c>
      <c r="B1025" s="70" t="str">
        <f aca="false">IFERROR(INDEX(対訳マスタ!$C$2:$C$136,MATCH(Data!B1025,対訳マスタ!$B$2:$B$136,0)),Data!B1025)</f>
        <v>コミュニケーション言語活動</v>
      </c>
      <c r="C1025" s="70" t="str">
        <f aca="false">IF(Data!C1025="—","—",IFERROR(INDEX(対訳マスタ!$C$2:$C$136,MATCH(Data!C1025,対訳マスタ!$B$2:$B$136,0)),Data!C1025))</f>
        <v>仲介</v>
      </c>
      <c r="D1025" s="70" t="str">
        <f aca="false">IF(Data!D1025="—","—",IFERROR(INDEX(対訳マスタ!$C$2:$C$136,MATCH(Data!D1025,対訳マスタ!$B$2:$B$136,0)),Data!D1025))</f>
        <v>コミュニケーションの仲介</v>
      </c>
      <c r="E1025" s="70" t="str">
        <f aca="false">IFERROR(INDEX(対訳マスタ!$C$2:$C$136,MATCH(Data!E1025,対訳マスタ!$B$2:$B$136,0)),Data!E1025)</f>
        <v>デリケートな状況・対立の場でのコミュニケーション促進</v>
      </c>
      <c r="F1025" s="70" t="str">
        <f aca="false">Data!F1025</f>
        <v>B2</v>
      </c>
      <c r="G1025" s="31" t="str">
        <f aca="false">Data!G1025</f>
        <v>Can summarise the statements made by the two sides, highlighting areas of agreement and obstacles to agreement.</v>
      </c>
      <c r="H1025" s="71" t="s">
        <v>3519</v>
      </c>
      <c r="I1025" s="79" t="s">
        <v>3089</v>
      </c>
    </row>
    <row r="1026" customFormat="false" ht="32.25" hidden="false" customHeight="true" outlineLevel="0" collapsed="false">
      <c r="A1026" s="70" t="n">
        <f aca="false">Data!A1026</f>
        <v>1025</v>
      </c>
      <c r="B1026" s="70" t="str">
        <f aca="false">IFERROR(INDEX(対訳マスタ!$C$2:$C$136,MATCH(Data!B1026,対訳マスタ!$B$2:$B$136,0)),Data!B1026)</f>
        <v>コミュニケーション言語活動</v>
      </c>
      <c r="C1026" s="70" t="str">
        <f aca="false">IF(Data!C1026="—","—",IFERROR(INDEX(対訳マスタ!$C$2:$C$136,MATCH(Data!C1026,対訳マスタ!$B$2:$B$136,0)),Data!C1026))</f>
        <v>仲介</v>
      </c>
      <c r="D1026" s="70" t="str">
        <f aca="false">IF(Data!D1026="—","—",IFERROR(INDEX(対訳マスタ!$C$2:$C$136,MATCH(Data!D1026,対訳マスタ!$B$2:$B$136,0)),Data!D1026))</f>
        <v>コミュニケーションの仲介</v>
      </c>
      <c r="E1026" s="70" t="str">
        <f aca="false">IFERROR(INDEX(対訳マスタ!$C$2:$C$136,MATCH(Data!E1026,対訳マスタ!$B$2:$B$136,0)),Data!E1026)</f>
        <v>デリケートな状況・対立の場でのコミュニケーション促進</v>
      </c>
      <c r="F1026" s="70" t="str">
        <f aca="false">Data!F1026</f>
        <v>B1+</v>
      </c>
      <c r="G1026" s="31" t="str">
        <f aca="false">Data!G1026</f>
        <v>Can ask parties in a disagreement to explain their point of view, and can respond briefly to their explanations, provided the topic is familiar to them and the parties express themselves clearly.</v>
      </c>
      <c r="H1026" s="71" t="s">
        <v>2931</v>
      </c>
      <c r="I1026" s="79" t="s">
        <v>3089</v>
      </c>
    </row>
    <row r="1027" customFormat="false" ht="26.25" hidden="false" customHeight="true" outlineLevel="0" collapsed="false">
      <c r="A1027" s="70" t="n">
        <f aca="false">Data!A1027</f>
        <v>1026</v>
      </c>
      <c r="B1027" s="70" t="str">
        <f aca="false">IFERROR(INDEX(対訳マスタ!$C$2:$C$136,MATCH(Data!B1027,対訳マスタ!$B$2:$B$136,0)),Data!B1027)</f>
        <v>コミュニケーション言語活動</v>
      </c>
      <c r="C1027" s="70" t="str">
        <f aca="false">IF(Data!C1027="—","—",IFERROR(INDEX(対訳マスタ!$C$2:$C$136,MATCH(Data!C1027,対訳マスタ!$B$2:$B$136,0)),Data!C1027))</f>
        <v>仲介</v>
      </c>
      <c r="D1027" s="70" t="str">
        <f aca="false">IF(Data!D1027="—","—",IFERROR(INDEX(対訳マスタ!$C$2:$C$136,MATCH(Data!D1027,対訳マスタ!$B$2:$B$136,0)),Data!D1027))</f>
        <v>コミュニケーションの仲介</v>
      </c>
      <c r="E1027" s="70" t="str">
        <f aca="false">IFERROR(INDEX(対訳マスタ!$C$2:$C$136,MATCH(Data!E1027,対訳マスタ!$B$2:$B$136,0)),Data!E1027)</f>
        <v>デリケートな状況・対立の場でのコミュニケーション促進</v>
      </c>
      <c r="F1027" s="70" t="str">
        <f aca="false">Data!F1027</f>
        <v>B1</v>
      </c>
      <c r="G1027" s="31" t="str">
        <f aca="false">Data!G1027</f>
        <v>Can demonstrate their understanding of the key issues in a disagreement on a topic familiar to them and make simple requests for confirmation and/or clarification.</v>
      </c>
      <c r="H1027" s="71" t="s">
        <v>2930</v>
      </c>
      <c r="I1027" s="79" t="s">
        <v>3089</v>
      </c>
    </row>
    <row r="1028" customFormat="false" ht="26.25" hidden="false" customHeight="true" outlineLevel="0" collapsed="false">
      <c r="A1028" s="70" t="n">
        <f aca="false">Data!A1028</f>
        <v>1027</v>
      </c>
      <c r="B1028" s="70" t="str">
        <f aca="false">IFERROR(INDEX(対訳マスタ!$C$2:$C$136,MATCH(Data!B1028,対訳マスタ!$B$2:$B$136,0)),Data!B1028)</f>
        <v>コミュニケーション言語活動</v>
      </c>
      <c r="C1028" s="70" t="str">
        <f aca="false">IF(Data!C1028="—","—",IFERROR(INDEX(対訳マスタ!$C$2:$C$136,MATCH(Data!C1028,対訳マスタ!$B$2:$B$136,0)),Data!C1028))</f>
        <v>仲介</v>
      </c>
      <c r="D1028" s="70" t="str">
        <f aca="false">IF(Data!D1028="—","—",IFERROR(INDEX(対訳マスタ!$C$2:$C$136,MATCH(Data!D1028,対訳マスタ!$B$2:$B$136,0)),Data!D1028))</f>
        <v>コミュニケーションの仲介</v>
      </c>
      <c r="E1028" s="70" t="str">
        <f aca="false">IFERROR(INDEX(対訳マスタ!$C$2:$C$136,MATCH(Data!E1028,対訳マスタ!$B$2:$B$136,0)),Data!E1028)</f>
        <v>デリケートな状況・対立の場でのコミュニケーション促進</v>
      </c>
      <c r="F1028" s="70" t="str">
        <f aca="false">Data!F1028</f>
        <v>A2</v>
      </c>
      <c r="G1028" s="31" t="str">
        <f aca="false">Data!G1028</f>
        <v>Can recognise when people disagree or when difficulties occur in interaction and adapt memorised, simple phrases to seek compromise and agreement.</v>
      </c>
      <c r="H1028" s="71" t="s">
        <v>2929</v>
      </c>
      <c r="I1028" s="79" t="s">
        <v>3089</v>
      </c>
    </row>
    <row r="1029" customFormat="false" ht="32.25" hidden="false" customHeight="true" outlineLevel="0" collapsed="false">
      <c r="A1029" s="70" t="n">
        <f aca="false">Data!A1029</f>
        <v>1028</v>
      </c>
      <c r="B1029" s="70" t="str">
        <f aca="false">IFERROR(INDEX(対訳マスタ!$C$2:$C$136,MATCH(Data!B1029,対訳マスタ!$B$2:$B$136,0)),Data!B1029)</f>
        <v>コミュニケーション言語活動</v>
      </c>
      <c r="C1029" s="70" t="str">
        <f aca="false">IF(Data!C1029="—","—",IFERROR(INDEX(対訳マスタ!$C$2:$C$136,MATCH(Data!C1029,対訳マスタ!$B$2:$B$136,0)),Data!C1029))</f>
        <v>仲介</v>
      </c>
      <c r="D1029" s="70" t="str">
        <f aca="false">IF(Data!D1029="—","—",IFERROR(INDEX(対訳マスタ!$C$2:$C$136,MATCH(Data!D1029,対訳マスタ!$B$2:$B$136,0)),Data!D1029))</f>
        <v>コミュニケーションの仲介</v>
      </c>
      <c r="E1029" s="70" t="str">
        <f aca="false">IFERROR(INDEX(対訳マスタ!$C$2:$C$136,MATCH(Data!E1029,対訳マスタ!$B$2:$B$136,0)),Data!E1029)</f>
        <v>デリケートな状況・対立の場でのコミュニケーション促進</v>
      </c>
      <c r="F1029" s="70" t="str">
        <f aca="false">Data!F1029</f>
        <v>A1</v>
      </c>
      <c r="G1029" s="31" t="str">
        <f aca="false">Data!G1029</f>
        <v>Can recognise when people disagree or when someone has a problem and can use memorised, simple expressions (e.g. “I understand” or “Are you okay?”) to indicate sympathy.</v>
      </c>
      <c r="H1029" s="71" t="s">
        <v>2928</v>
      </c>
      <c r="I1029" s="79" t="s">
        <v>3089</v>
      </c>
    </row>
    <row r="1030" customFormat="false" ht="15" hidden="false" customHeight="true" outlineLevel="0" collapsed="false">
      <c r="A1030" s="80" t="n">
        <f aca="false">Data!A1030</f>
        <v>1029</v>
      </c>
      <c r="B1030" s="80" t="str">
        <f aca="false">IFERROR(INDEX(対訳マスタ!$C$2:$C$136,MATCH(Data!B1030,対訳マスタ!$B$2:$B$136,0)),Data!B1030)</f>
        <v>コミュニケーション言語活動</v>
      </c>
      <c r="C1030" s="80" t="str">
        <f aca="false">IF(Data!C1030="—","—",IFERROR(INDEX(対訳マスタ!$C$2:$C$136,MATCH(Data!C1030,対訳マスタ!$B$2:$B$136,0)),Data!C1030))</f>
        <v>仲介</v>
      </c>
      <c r="D1030" s="80" t="str">
        <f aca="false">IF(Data!D1030="—","—",IFERROR(INDEX(対訳マスタ!$C$2:$C$136,MATCH(Data!D1030,対訳マスタ!$B$2:$B$136,0)),Data!D1030))</f>
        <v>コミュニケーションの仲介</v>
      </c>
      <c r="E1030" s="80" t="str">
        <f aca="false">IFERROR(INDEX(対訳マスタ!$C$2:$C$136,MATCH(Data!E1030,対訳マスタ!$B$2:$B$136,0)),Data!E1030)</f>
        <v>デリケートな状況・対立の場でのコミュニケーション促進</v>
      </c>
      <c r="F1030" s="80" t="str">
        <f aca="false">Data!F1030</f>
        <v>Pre-A1</v>
      </c>
      <c r="G1030" s="81" t="str">
        <f aca="false">Data!G1030</f>
        <v>No descriptors available</v>
      </c>
      <c r="H1030" s="81" t="s">
        <v>624</v>
      </c>
      <c r="I1030" s="80" t="s">
        <v>624</v>
      </c>
    </row>
    <row r="1031" customFormat="false" ht="26.25" hidden="false" customHeight="true" outlineLevel="0" collapsed="false">
      <c r="A1031" s="70" t="n">
        <f aca="false">Data!A1031</f>
        <v>1030</v>
      </c>
      <c r="B1031" s="70" t="str">
        <f aca="false">IFERROR(INDEX(対訳マスタ!$C$2:$C$136,MATCH(Data!B1031,対訳マスタ!$B$2:$B$136,0)),Data!B1031)</f>
        <v>コミュニケーション言語方略</v>
      </c>
      <c r="C1031" s="70" t="str">
        <f aca="false">IF(Data!C1031="—","—",IFERROR(INDEX(対訳マスタ!$C$2:$C$136,MATCH(Data!C1031,対訳マスタ!$B$2:$B$136,0)),Data!C1031))</f>
        <v>仲介</v>
      </c>
      <c r="D1031" s="70" t="str">
        <f aca="false">IF(Data!D1031="—","—",IFERROR(INDEX(対訳マスタ!$C$2:$C$136,MATCH(Data!D1031,対訳マスタ!$B$2:$B$136,0)),Data!D1031))</f>
        <v>新しい概念を説明する方略</v>
      </c>
      <c r="E1031" s="70" t="str">
        <f aca="false">IFERROR(INDEX(対訳マスタ!$C$2:$C$136,MATCH(Data!E1031,対訳マスタ!$B$2:$B$136,0)),Data!E1031)</f>
        <v>既有知識への結びつけ</v>
      </c>
      <c r="F1031" s="70" t="str">
        <f aca="false">Data!F1031</f>
        <v>C2</v>
      </c>
      <c r="G1031" s="31" t="str">
        <f aca="false">Data!G1031</f>
        <v>Can introduce complex concepts (e.g. scientific notions) by providing extended definitions and explanations that draw on previous knowledge that can be assumed.</v>
      </c>
      <c r="H1031" s="71" t="s">
        <v>2941</v>
      </c>
      <c r="I1031" s="79" t="s">
        <v>3089</v>
      </c>
    </row>
    <row r="1032" customFormat="false" ht="32.25" hidden="false" customHeight="true" outlineLevel="0" collapsed="false">
      <c r="A1032" s="70" t="n">
        <f aca="false">Data!A1032</f>
        <v>1031</v>
      </c>
      <c r="B1032" s="70" t="str">
        <f aca="false">IFERROR(INDEX(対訳マスタ!$C$2:$C$136,MATCH(Data!B1032,対訳マスタ!$B$2:$B$136,0)),Data!B1032)</f>
        <v>コミュニケーション言語方略</v>
      </c>
      <c r="C1032" s="70" t="str">
        <f aca="false">IF(Data!C1032="—","—",IFERROR(INDEX(対訳マスタ!$C$2:$C$136,MATCH(Data!C1032,対訳マスタ!$B$2:$B$136,0)),Data!C1032))</f>
        <v>仲介</v>
      </c>
      <c r="D1032" s="70" t="str">
        <f aca="false">IF(Data!D1032="—","—",IFERROR(INDEX(対訳マスタ!$C$2:$C$136,MATCH(Data!D1032,対訳マスタ!$B$2:$B$136,0)),Data!D1032))</f>
        <v>新しい概念を説明する方略</v>
      </c>
      <c r="E1032" s="70" t="str">
        <f aca="false">IFERROR(INDEX(対訳マスタ!$C$2:$C$136,MATCH(Data!E1032,対訳マスタ!$B$2:$B$136,0)),Data!E1032)</f>
        <v>既有知識への結びつけ</v>
      </c>
      <c r="F1032" s="70" t="str">
        <f aca="false">Data!F1032</f>
        <v>C1</v>
      </c>
      <c r="G1032" s="31" t="str">
        <f aca="false">Data!G1032</f>
        <v>Can spontaneously pose a series of questions to encourage people to think about their prior knowledge of an abstract issue and to help them establish a link to what is going to be explained.</v>
      </c>
      <c r="H1032" s="71" t="s">
        <v>2940</v>
      </c>
      <c r="I1032" s="79" t="s">
        <v>3089</v>
      </c>
    </row>
    <row r="1033" customFormat="false" ht="26.25" hidden="false" customHeight="true" outlineLevel="0" collapsed="false">
      <c r="A1033" s="70" t="n">
        <f aca="false">Data!A1033</f>
        <v>1032</v>
      </c>
      <c r="B1033" s="70" t="str">
        <f aca="false">IFERROR(INDEX(対訳マスタ!$C$2:$C$136,MATCH(Data!B1033,対訳マスタ!$B$2:$B$136,0)),Data!B1033)</f>
        <v>コミュニケーション言語方略</v>
      </c>
      <c r="C1033" s="70" t="str">
        <f aca="false">IF(Data!C1033="—","—",IFERROR(INDEX(対訳マスタ!$C$2:$C$136,MATCH(Data!C1033,対訳マスタ!$B$2:$B$136,0)),Data!C1033))</f>
        <v>仲介</v>
      </c>
      <c r="D1033" s="70" t="str">
        <f aca="false">IF(Data!D1033="—","—",IFERROR(INDEX(対訳マスタ!$C$2:$C$136,MATCH(Data!D1033,対訳マスタ!$B$2:$B$136,0)),Data!D1033))</f>
        <v>新しい概念を説明する方略</v>
      </c>
      <c r="E1033" s="70" t="str">
        <f aca="false">IFERROR(INDEX(対訳マスタ!$C$2:$C$136,MATCH(Data!E1033,対訳マスタ!$B$2:$B$136,0)),Data!E1033)</f>
        <v>既有知識への結びつけ</v>
      </c>
      <c r="F1033" s="70" t="str">
        <f aca="false">Data!F1033</f>
        <v>B2+</v>
      </c>
      <c r="G1033" s="31" t="str">
        <f aca="false">Data!G1033</f>
        <v>Can clearly explain the connections between the goals of the session and the personal or professional interests and experiences of the participant(s).</v>
      </c>
      <c r="H1033" s="71" t="s">
        <v>2939</v>
      </c>
      <c r="I1033" s="79" t="s">
        <v>3089</v>
      </c>
    </row>
    <row r="1034" customFormat="false" ht="21.75" hidden="false" customHeight="true" outlineLevel="0" collapsed="false">
      <c r="A1034" s="70" t="n">
        <f aca="false">Data!A1034</f>
        <v>1033</v>
      </c>
      <c r="B1034" s="70" t="str">
        <f aca="false">IFERROR(INDEX(対訳マスタ!$C$2:$C$136,MATCH(Data!B1034,対訳マスタ!$B$2:$B$136,0)),Data!B1034)</f>
        <v>コミュニケーション言語方略</v>
      </c>
      <c r="C1034" s="70" t="str">
        <f aca="false">IF(Data!C1034="—","—",IFERROR(INDEX(対訳マスタ!$C$2:$C$136,MATCH(Data!C1034,対訳マスタ!$B$2:$B$136,0)),Data!C1034))</f>
        <v>仲介</v>
      </c>
      <c r="D1034" s="70" t="str">
        <f aca="false">IF(Data!D1034="—","—",IFERROR(INDEX(対訳マスタ!$C$2:$C$136,MATCH(Data!D1034,対訳マスタ!$B$2:$B$136,0)),Data!D1034))</f>
        <v>新しい概念を説明する方略</v>
      </c>
      <c r="E1034" s="70" t="str">
        <f aca="false">IFERROR(INDEX(対訳マスタ!$C$2:$C$136,MATCH(Data!E1034,対訳マスタ!$B$2:$B$136,0)),Data!E1034)</f>
        <v>既有知識への結びつけ</v>
      </c>
      <c r="F1034" s="70" t="str">
        <f aca="false">Data!F1034</f>
        <v>B2</v>
      </c>
      <c r="G1034" s="31" t="str">
        <f aca="false">Data!G1034</f>
        <v>Can formulate questions and give feedback to encourage people to make connections to previous knowledge and experiences.</v>
      </c>
      <c r="H1034" s="71" t="s">
        <v>3520</v>
      </c>
      <c r="I1034" s="79" t="s">
        <v>3089</v>
      </c>
    </row>
    <row r="1035" customFormat="false" ht="21.75" hidden="false" customHeight="true" outlineLevel="0" collapsed="false">
      <c r="A1035" s="70" t="n">
        <f aca="false">Data!A1035</f>
        <v>1034</v>
      </c>
      <c r="B1035" s="70" t="str">
        <f aca="false">IFERROR(INDEX(対訳マスタ!$C$2:$C$136,MATCH(Data!B1035,対訳マスタ!$B$2:$B$136,0)),Data!B1035)</f>
        <v>コミュニケーション言語方略</v>
      </c>
      <c r="C1035" s="70" t="str">
        <f aca="false">IF(Data!C1035="—","—",IFERROR(INDEX(対訳マスタ!$C$2:$C$136,MATCH(Data!C1035,対訳マスタ!$B$2:$B$136,0)),Data!C1035))</f>
        <v>仲介</v>
      </c>
      <c r="D1035" s="70" t="str">
        <f aca="false">IF(Data!D1035="—","—",IFERROR(INDEX(対訳マスタ!$C$2:$C$136,MATCH(Data!D1035,対訳マスタ!$B$2:$B$136,0)),Data!D1035))</f>
        <v>新しい概念を説明する方略</v>
      </c>
      <c r="E1035" s="70" t="str">
        <f aca="false">IFERROR(INDEX(対訳マスタ!$C$2:$C$136,MATCH(Data!E1035,対訳マスタ!$B$2:$B$136,0)),Data!E1035)</f>
        <v>既有知識への結びつけ</v>
      </c>
      <c r="F1035" s="70" t="str">
        <f aca="false">Data!F1035</f>
        <v>B2</v>
      </c>
      <c r="G1035" s="31" t="str">
        <f aca="false">Data!G1035</f>
        <v>Can explain a new concept or procedure by comparing and contrasting it to one that people are already familiar with.</v>
      </c>
      <c r="H1035" s="71" t="s">
        <v>2938</v>
      </c>
      <c r="I1035" s="79" t="s">
        <v>3089</v>
      </c>
    </row>
    <row r="1036" customFormat="false" ht="21.75" hidden="false" customHeight="true" outlineLevel="0" collapsed="false">
      <c r="A1036" s="70" t="n">
        <f aca="false">Data!A1036</f>
        <v>1035</v>
      </c>
      <c r="B1036" s="70" t="str">
        <f aca="false">IFERROR(INDEX(対訳マスタ!$C$2:$C$136,MATCH(Data!B1036,対訳マスタ!$B$2:$B$136,0)),Data!B1036)</f>
        <v>コミュニケーション言語方略</v>
      </c>
      <c r="C1036" s="70" t="str">
        <f aca="false">IF(Data!C1036="—","—",IFERROR(INDEX(対訳マスタ!$C$2:$C$136,MATCH(Data!C1036,対訳マスタ!$B$2:$B$136,0)),Data!C1036))</f>
        <v>仲介</v>
      </c>
      <c r="D1036" s="70" t="str">
        <f aca="false">IF(Data!D1036="—","—",IFERROR(INDEX(対訳マスタ!$C$2:$C$136,MATCH(Data!D1036,対訳マスタ!$B$2:$B$136,0)),Data!D1036))</f>
        <v>新しい概念を説明する方略</v>
      </c>
      <c r="E1036" s="70" t="str">
        <f aca="false">IFERROR(INDEX(対訳マスタ!$C$2:$C$136,MATCH(Data!E1036,対訳マスタ!$B$2:$B$136,0)),Data!E1036)</f>
        <v>既有知識への結びつけ</v>
      </c>
      <c r="F1036" s="70" t="str">
        <f aca="false">Data!F1036</f>
        <v>B1+</v>
      </c>
      <c r="G1036" s="31" t="str">
        <f aca="false">Data!G1036</f>
        <v>Can explain how something works by providing examples that draw on people’s everyday experiences.</v>
      </c>
      <c r="H1036" s="71" t="s">
        <v>2937</v>
      </c>
      <c r="I1036" s="79" t="s">
        <v>3089</v>
      </c>
    </row>
    <row r="1037" customFormat="false" ht="21.75" hidden="false" customHeight="true" outlineLevel="0" collapsed="false">
      <c r="A1037" s="70" t="n">
        <f aca="false">Data!A1037</f>
        <v>1036</v>
      </c>
      <c r="B1037" s="70" t="str">
        <f aca="false">IFERROR(INDEX(対訳マスタ!$C$2:$C$136,MATCH(Data!B1037,対訳マスタ!$B$2:$B$136,0)),Data!B1037)</f>
        <v>コミュニケーション言語方略</v>
      </c>
      <c r="C1037" s="70" t="str">
        <f aca="false">IF(Data!C1037="—","—",IFERROR(INDEX(対訳マスタ!$C$2:$C$136,MATCH(Data!C1037,対訳マスタ!$B$2:$B$136,0)),Data!C1037))</f>
        <v>仲介</v>
      </c>
      <c r="D1037" s="70" t="str">
        <f aca="false">IF(Data!D1037="—","—",IFERROR(INDEX(対訳マスタ!$C$2:$C$136,MATCH(Data!D1037,対訳マスタ!$B$2:$B$136,0)),Data!D1037))</f>
        <v>新しい概念を説明する方略</v>
      </c>
      <c r="E1037" s="70" t="str">
        <f aca="false">IFERROR(INDEX(対訳マスタ!$C$2:$C$136,MATCH(Data!E1037,対訳マスタ!$B$2:$B$136,0)),Data!E1037)</f>
        <v>既有知識への結びつけ</v>
      </c>
      <c r="F1037" s="70" t="str">
        <f aca="false">Data!F1037</f>
        <v>B1</v>
      </c>
      <c r="G1037" s="31" t="str">
        <f aca="false">Data!G1037</f>
        <v>Can show how new information is related to what people are familiar with by asking simple questions.</v>
      </c>
      <c r="H1037" s="71" t="s">
        <v>2936</v>
      </c>
      <c r="I1037" s="79" t="s">
        <v>3089</v>
      </c>
    </row>
    <row r="1038" customFormat="false" ht="15" hidden="false" customHeight="true" outlineLevel="0" collapsed="false">
      <c r="A1038" s="80" t="n">
        <f aca="false">Data!A1038</f>
        <v>1037</v>
      </c>
      <c r="B1038" s="80" t="str">
        <f aca="false">IFERROR(INDEX(対訳マスタ!$C$2:$C$136,MATCH(Data!B1038,対訳マスタ!$B$2:$B$136,0)),Data!B1038)</f>
        <v>コミュニケーション言語方略</v>
      </c>
      <c r="C1038" s="80" t="str">
        <f aca="false">IF(Data!C1038="—","—",IFERROR(INDEX(対訳マスタ!$C$2:$C$136,MATCH(Data!C1038,対訳マスタ!$B$2:$B$136,0)),Data!C1038))</f>
        <v>仲介</v>
      </c>
      <c r="D1038" s="80" t="str">
        <f aca="false">IF(Data!D1038="—","—",IFERROR(INDEX(対訳マスタ!$C$2:$C$136,MATCH(Data!D1038,対訳マスタ!$B$2:$B$136,0)),Data!D1038))</f>
        <v>新しい概念を説明する方略</v>
      </c>
      <c r="E1038" s="80" t="str">
        <f aca="false">IFERROR(INDEX(対訳マスタ!$C$2:$C$136,MATCH(Data!E1038,対訳マスタ!$B$2:$B$136,0)),Data!E1038)</f>
        <v>既有知識への結びつけ</v>
      </c>
      <c r="F1038" s="80" t="str">
        <f aca="false">Data!F1038</f>
        <v>A2</v>
      </c>
      <c r="G1038" s="81" t="str">
        <f aca="false">Data!G1038</f>
        <v>No descriptors available</v>
      </c>
      <c r="H1038" s="81" t="s">
        <v>624</v>
      </c>
      <c r="I1038" s="80" t="s">
        <v>624</v>
      </c>
    </row>
    <row r="1039" customFormat="false" ht="15" hidden="false" customHeight="true" outlineLevel="0" collapsed="false">
      <c r="A1039" s="80" t="n">
        <f aca="false">Data!A1039</f>
        <v>1038</v>
      </c>
      <c r="B1039" s="80" t="str">
        <f aca="false">IFERROR(INDEX(対訳マスタ!$C$2:$C$136,MATCH(Data!B1039,対訳マスタ!$B$2:$B$136,0)),Data!B1039)</f>
        <v>コミュニケーション言語方略</v>
      </c>
      <c r="C1039" s="80" t="str">
        <f aca="false">IF(Data!C1039="—","—",IFERROR(INDEX(対訳マスタ!$C$2:$C$136,MATCH(Data!C1039,対訳マスタ!$B$2:$B$136,0)),Data!C1039))</f>
        <v>仲介</v>
      </c>
      <c r="D1039" s="80" t="str">
        <f aca="false">IF(Data!D1039="—","—",IFERROR(INDEX(対訳マスタ!$C$2:$C$136,MATCH(Data!D1039,対訳マスタ!$B$2:$B$136,0)),Data!D1039))</f>
        <v>新しい概念を説明する方略</v>
      </c>
      <c r="E1039" s="80" t="str">
        <f aca="false">IFERROR(INDEX(対訳マスタ!$C$2:$C$136,MATCH(Data!E1039,対訳マスタ!$B$2:$B$136,0)),Data!E1039)</f>
        <v>既有知識への結びつけ</v>
      </c>
      <c r="F1039" s="80" t="str">
        <f aca="false">Data!F1039</f>
        <v>A1</v>
      </c>
      <c r="G1039" s="81" t="str">
        <f aca="false">Data!G1039</f>
        <v>No descriptors available</v>
      </c>
      <c r="H1039" s="81" t="s">
        <v>624</v>
      </c>
      <c r="I1039" s="80" t="s">
        <v>624</v>
      </c>
    </row>
    <row r="1040" customFormat="false" ht="15" hidden="false" customHeight="true" outlineLevel="0" collapsed="false">
      <c r="A1040" s="80" t="n">
        <f aca="false">Data!A1040</f>
        <v>1039</v>
      </c>
      <c r="B1040" s="80" t="str">
        <f aca="false">IFERROR(INDEX(対訳マスタ!$C$2:$C$136,MATCH(Data!B1040,対訳マスタ!$B$2:$B$136,0)),Data!B1040)</f>
        <v>コミュニケーション言語方略</v>
      </c>
      <c r="C1040" s="80" t="str">
        <f aca="false">IF(Data!C1040="—","—",IFERROR(INDEX(対訳マスタ!$C$2:$C$136,MATCH(Data!C1040,対訳マスタ!$B$2:$B$136,0)),Data!C1040))</f>
        <v>仲介</v>
      </c>
      <c r="D1040" s="80" t="str">
        <f aca="false">IF(Data!D1040="—","—",IFERROR(INDEX(対訳マスタ!$C$2:$C$136,MATCH(Data!D1040,対訳マスタ!$B$2:$B$136,0)),Data!D1040))</f>
        <v>新しい概念を説明する方略</v>
      </c>
      <c r="E1040" s="80" t="str">
        <f aca="false">IFERROR(INDEX(対訳マスタ!$C$2:$C$136,MATCH(Data!E1040,対訳マスタ!$B$2:$B$136,0)),Data!E1040)</f>
        <v>既有知識への結びつけ</v>
      </c>
      <c r="F1040" s="80" t="str">
        <f aca="false">Data!F1040</f>
        <v>Pre-A1</v>
      </c>
      <c r="G1040" s="81" t="str">
        <f aca="false">Data!G1040</f>
        <v>No descriptors available</v>
      </c>
      <c r="H1040" s="81" t="s">
        <v>624</v>
      </c>
      <c r="I1040" s="80" t="s">
        <v>624</v>
      </c>
    </row>
    <row r="1041" customFormat="false" ht="32.25" hidden="false" customHeight="true" outlineLevel="0" collapsed="false">
      <c r="A1041" s="70" t="n">
        <f aca="false">Data!A1041</f>
        <v>1040</v>
      </c>
      <c r="B1041" s="70" t="str">
        <f aca="false">IFERROR(INDEX(対訳マスタ!$C$2:$C$136,MATCH(Data!B1041,対訳マスタ!$B$2:$B$136,0)),Data!B1041)</f>
        <v>コミュニケーション言語方略</v>
      </c>
      <c r="C1041" s="70" t="str">
        <f aca="false">IF(Data!C1041="—","—",IFERROR(INDEX(対訳マスタ!$C$2:$C$136,MATCH(Data!C1041,対訳マスタ!$B$2:$B$136,0)),Data!C1041))</f>
        <v>仲介</v>
      </c>
      <c r="D1041" s="70" t="str">
        <f aca="false">IF(Data!D1041="—","—",IFERROR(INDEX(対訳マスタ!$C$2:$C$136,MATCH(Data!D1041,対訳マスタ!$B$2:$B$136,0)),Data!D1041))</f>
        <v>新しい概念を説明する方略</v>
      </c>
      <c r="E1041" s="70" t="str">
        <f aca="false">IFERROR(INDEX(対訳マスタ!$C$2:$C$136,MATCH(Data!E1041,対訳マスタ!$B$2:$B$136,0)),Data!E1041)</f>
        <v>言葉づかいの調整</v>
      </c>
      <c r="F1041" s="70" t="str">
        <f aca="false">Data!F1041</f>
        <v>C2</v>
      </c>
      <c r="G1041" s="31" t="str">
        <f aca="false">Data!G1041</f>
        <v>Can adapt the language of a very wide range of texts in order to present the main content in a register and degree of sophistication and detail appropriate to the audience concerned.</v>
      </c>
      <c r="H1041" s="71" t="s">
        <v>2948</v>
      </c>
      <c r="I1041" s="79" t="s">
        <v>3089</v>
      </c>
    </row>
    <row r="1042" customFormat="false" ht="26.25" hidden="false" customHeight="true" outlineLevel="0" collapsed="false">
      <c r="A1042" s="70" t="n">
        <f aca="false">Data!A1042</f>
        <v>1041</v>
      </c>
      <c r="B1042" s="70" t="str">
        <f aca="false">IFERROR(INDEX(対訳マスタ!$C$2:$C$136,MATCH(Data!B1042,対訳マスタ!$B$2:$B$136,0)),Data!B1042)</f>
        <v>コミュニケーション言語方略</v>
      </c>
      <c r="C1042" s="70" t="str">
        <f aca="false">IF(Data!C1042="—","—",IFERROR(INDEX(対訳マスタ!$C$2:$C$136,MATCH(Data!C1042,対訳マスタ!$B$2:$B$136,0)),Data!C1042))</f>
        <v>仲介</v>
      </c>
      <c r="D1042" s="70" t="str">
        <f aca="false">IF(Data!D1042="—","—",IFERROR(INDEX(対訳マスタ!$C$2:$C$136,MATCH(Data!D1042,対訳マスタ!$B$2:$B$136,0)),Data!D1042))</f>
        <v>新しい概念を説明する方略</v>
      </c>
      <c r="E1042" s="70" t="str">
        <f aca="false">IFERROR(INDEX(対訳マスタ!$C$2:$C$136,MATCH(Data!E1042,対訳マスタ!$B$2:$B$136,0)),Data!E1042)</f>
        <v>言葉づかいの調整</v>
      </c>
      <c r="F1042" s="70" t="str">
        <f aca="false">Data!F1042</f>
        <v>C1</v>
      </c>
      <c r="G1042" s="31" t="str">
        <f aca="false">Data!G1042</f>
        <v>Can explain technical terminology and difficult concepts when communicating with non-experts about matters within their own field of specialisation.</v>
      </c>
      <c r="H1042" s="71" t="s">
        <v>2947</v>
      </c>
      <c r="I1042" s="79" t="s">
        <v>3089</v>
      </c>
    </row>
    <row r="1043" customFormat="false" ht="21.75" hidden="false" customHeight="true" outlineLevel="0" collapsed="false">
      <c r="A1043" s="70" t="n">
        <f aca="false">Data!A1043</f>
        <v>1042</v>
      </c>
      <c r="B1043" s="70" t="str">
        <f aca="false">IFERROR(INDEX(対訳マスタ!$C$2:$C$136,MATCH(Data!B1043,対訳マスタ!$B$2:$B$136,0)),Data!B1043)</f>
        <v>コミュニケーション言語方略</v>
      </c>
      <c r="C1043" s="70" t="str">
        <f aca="false">IF(Data!C1043="—","—",IFERROR(INDEX(対訳マスタ!$C$2:$C$136,MATCH(Data!C1043,対訳マスタ!$B$2:$B$136,0)),Data!C1043))</f>
        <v>仲介</v>
      </c>
      <c r="D1043" s="70" t="str">
        <f aca="false">IF(Data!D1043="—","—",IFERROR(INDEX(対訳マスタ!$C$2:$C$136,MATCH(Data!D1043,対訳マスタ!$B$2:$B$136,0)),Data!D1043))</f>
        <v>新しい概念を説明する方略</v>
      </c>
      <c r="E1043" s="70" t="str">
        <f aca="false">IFERROR(INDEX(対訳マスタ!$C$2:$C$136,MATCH(Data!E1043,対訳マスタ!$B$2:$B$136,0)),Data!E1043)</f>
        <v>言葉づかいの調整</v>
      </c>
      <c r="F1043" s="70" t="str">
        <f aca="false">Data!F1043</f>
        <v>C1</v>
      </c>
      <c r="G1043" s="31" t="str">
        <f aca="false">Data!G1043</f>
        <v>Can adapt their language (e.g. syntax, idiomaticity, jargon) in order to make a complex specialist topic accessible to recipients who are not familiar with it.</v>
      </c>
      <c r="H1043" s="71" t="s">
        <v>3521</v>
      </c>
      <c r="I1043" s="79" t="s">
        <v>3089</v>
      </c>
    </row>
    <row r="1044" customFormat="false" ht="21.75" hidden="false" customHeight="true" outlineLevel="0" collapsed="false">
      <c r="A1044" s="70" t="n">
        <f aca="false">Data!A1044</f>
        <v>1043</v>
      </c>
      <c r="B1044" s="70" t="str">
        <f aca="false">IFERROR(INDEX(対訳マスタ!$C$2:$C$136,MATCH(Data!B1044,対訳マスタ!$B$2:$B$136,0)),Data!B1044)</f>
        <v>コミュニケーション言語方略</v>
      </c>
      <c r="C1044" s="70" t="str">
        <f aca="false">IF(Data!C1044="—","—",IFERROR(INDEX(対訳マスタ!$C$2:$C$136,MATCH(Data!C1044,対訳マスタ!$B$2:$B$136,0)),Data!C1044))</f>
        <v>仲介</v>
      </c>
      <c r="D1044" s="70" t="str">
        <f aca="false">IF(Data!D1044="—","—",IFERROR(INDEX(対訳マスタ!$C$2:$C$136,MATCH(Data!D1044,対訳マスタ!$B$2:$B$136,0)),Data!D1044))</f>
        <v>新しい概念を説明する方略</v>
      </c>
      <c r="E1044" s="70" t="str">
        <f aca="false">IFERROR(INDEX(対訳マスタ!$C$2:$C$136,MATCH(Data!E1044,対訳マスタ!$B$2:$B$136,0)),Data!E1044)</f>
        <v>言葉づかいの調整</v>
      </c>
      <c r="F1044" s="70" t="str">
        <f aca="false">Data!F1044</f>
        <v>C1</v>
      </c>
      <c r="G1044" s="31" t="str">
        <f aca="false">Data!G1044</f>
        <v>Can paraphrase and interpret complex, technical texts, using suitably non-technical language for a recipient who does not have specialist knowledge.</v>
      </c>
      <c r="H1044" s="71" t="s">
        <v>3522</v>
      </c>
      <c r="I1044" s="79" t="s">
        <v>3089</v>
      </c>
    </row>
    <row r="1045" customFormat="false" ht="21.75" hidden="false" customHeight="true" outlineLevel="0" collapsed="false">
      <c r="A1045" s="70" t="n">
        <f aca="false">Data!A1045</f>
        <v>1044</v>
      </c>
      <c r="B1045" s="70" t="str">
        <f aca="false">IFERROR(INDEX(対訳マスタ!$C$2:$C$136,MATCH(Data!B1045,対訳マスタ!$B$2:$B$136,0)),Data!B1045)</f>
        <v>コミュニケーション言語方略</v>
      </c>
      <c r="C1045" s="70" t="str">
        <f aca="false">IF(Data!C1045="—","—",IFERROR(INDEX(対訳マスタ!$C$2:$C$136,MATCH(Data!C1045,対訳マスタ!$B$2:$B$136,0)),Data!C1045))</f>
        <v>仲介</v>
      </c>
      <c r="D1045" s="70" t="str">
        <f aca="false">IF(Data!D1045="—","—",IFERROR(INDEX(対訳マスタ!$C$2:$C$136,MATCH(Data!D1045,対訳マスタ!$B$2:$B$136,0)),Data!D1045))</f>
        <v>新しい概念を説明する方略</v>
      </c>
      <c r="E1045" s="70" t="str">
        <f aca="false">IFERROR(INDEX(対訳マスタ!$C$2:$C$136,MATCH(Data!E1045,対訳マスタ!$B$2:$B$136,0)),Data!E1045)</f>
        <v>言葉づかいの調整</v>
      </c>
      <c r="F1045" s="70" t="str">
        <f aca="false">Data!F1045</f>
        <v>B2+</v>
      </c>
      <c r="G1045" s="31" t="str">
        <f aca="false">Data!G1045</f>
        <v>Can explain technical topics within their field, using suitably non-technical language for a recipient who does not have specialist knowledge.</v>
      </c>
      <c r="H1045" s="71" t="s">
        <v>3523</v>
      </c>
      <c r="I1045" s="79" t="s">
        <v>3089</v>
      </c>
    </row>
    <row r="1046" customFormat="false" ht="26.25" hidden="false" customHeight="true" outlineLevel="0" collapsed="false">
      <c r="A1046" s="70" t="n">
        <f aca="false">Data!A1046</f>
        <v>1045</v>
      </c>
      <c r="B1046" s="70" t="str">
        <f aca="false">IFERROR(INDEX(対訳マスタ!$C$2:$C$136,MATCH(Data!B1046,対訳マスタ!$B$2:$B$136,0)),Data!B1046)</f>
        <v>コミュニケーション言語方略</v>
      </c>
      <c r="C1046" s="70" t="str">
        <f aca="false">IF(Data!C1046="—","—",IFERROR(INDEX(対訳マスタ!$C$2:$C$136,MATCH(Data!C1046,対訳マスタ!$B$2:$B$136,0)),Data!C1046))</f>
        <v>仲介</v>
      </c>
      <c r="D1046" s="70" t="str">
        <f aca="false">IF(Data!D1046="—","—",IFERROR(INDEX(対訳マスタ!$C$2:$C$136,MATCH(Data!D1046,対訳マスタ!$B$2:$B$136,0)),Data!D1046))</f>
        <v>新しい概念を説明する方略</v>
      </c>
      <c r="E1046" s="70" t="str">
        <f aca="false">IFERROR(INDEX(対訳マスタ!$C$2:$C$136,MATCH(Data!E1046,対訳マスタ!$B$2:$B$136,0)),Data!E1046)</f>
        <v>言葉づかいの調整</v>
      </c>
      <c r="F1046" s="70" t="str">
        <f aca="false">Data!F1046</f>
        <v>B2+</v>
      </c>
      <c r="G1046" s="31" t="str">
        <f aca="false">Data!G1046</f>
        <v>Can make a specific, complex piece of information in their field clearer and more explicit for others by paraphrasing it in simpler language.</v>
      </c>
      <c r="H1046" s="71" t="s">
        <v>2946</v>
      </c>
      <c r="I1046" s="79" t="s">
        <v>3089</v>
      </c>
    </row>
    <row r="1047" customFormat="false" ht="26.25" hidden="false" customHeight="true" outlineLevel="0" collapsed="false">
      <c r="A1047" s="70" t="n">
        <f aca="false">Data!A1047</f>
        <v>1046</v>
      </c>
      <c r="B1047" s="70" t="str">
        <f aca="false">IFERROR(INDEX(対訳マスタ!$C$2:$C$136,MATCH(Data!B1047,対訳マスタ!$B$2:$B$136,0)),Data!B1047)</f>
        <v>コミュニケーション言語方略</v>
      </c>
      <c r="C1047" s="70" t="str">
        <f aca="false">IF(Data!C1047="—","—",IFERROR(INDEX(対訳マスタ!$C$2:$C$136,MATCH(Data!C1047,対訳マスタ!$B$2:$B$136,0)),Data!C1047))</f>
        <v>仲介</v>
      </c>
      <c r="D1047" s="70" t="str">
        <f aca="false">IF(Data!D1047="—","—",IFERROR(INDEX(対訳マスタ!$C$2:$C$136,MATCH(Data!D1047,対訳マスタ!$B$2:$B$136,0)),Data!D1047))</f>
        <v>新しい概念を説明する方略</v>
      </c>
      <c r="E1047" s="70" t="str">
        <f aca="false">IFERROR(INDEX(対訳マスタ!$C$2:$C$136,MATCH(Data!E1047,対訳マスタ!$B$2:$B$136,0)),Data!E1047)</f>
        <v>言葉づかいの調整</v>
      </c>
      <c r="F1047" s="70" t="str">
        <f aca="false">Data!F1047</f>
        <v>B2</v>
      </c>
      <c r="G1047" s="31" t="str">
        <f aca="false">Data!G1047</f>
        <v>Can make accessible for others the main contents of a text on a subject of interest (e.g. an essay, a forum discussion, a presentation) by paraphrasing in simpler language.</v>
      </c>
      <c r="H1047" s="71" t="s">
        <v>2945</v>
      </c>
      <c r="I1047" s="79" t="s">
        <v>3089</v>
      </c>
    </row>
    <row r="1048" customFormat="false" ht="32.25" hidden="false" customHeight="true" outlineLevel="0" collapsed="false">
      <c r="A1048" s="70" t="n">
        <f aca="false">Data!A1048</f>
        <v>1047</v>
      </c>
      <c r="B1048" s="70" t="str">
        <f aca="false">IFERROR(INDEX(対訳マスタ!$C$2:$C$136,MATCH(Data!B1048,対訳マスタ!$B$2:$B$136,0)),Data!B1048)</f>
        <v>コミュニケーション言語方略</v>
      </c>
      <c r="C1048" s="70" t="str">
        <f aca="false">IF(Data!C1048="—","—",IFERROR(INDEX(対訳マスタ!$C$2:$C$136,MATCH(Data!C1048,対訳マスタ!$B$2:$B$136,0)),Data!C1048))</f>
        <v>仲介</v>
      </c>
      <c r="D1048" s="70" t="str">
        <f aca="false">IF(Data!D1048="—","—",IFERROR(INDEX(対訳マスタ!$C$2:$C$136,MATCH(Data!D1048,対訳マスタ!$B$2:$B$136,0)),Data!D1048))</f>
        <v>新しい概念を説明する方略</v>
      </c>
      <c r="E1048" s="70" t="str">
        <f aca="false">IFERROR(INDEX(対訳マスタ!$C$2:$C$136,MATCH(Data!E1048,対訳マスタ!$B$2:$B$136,0)),Data!E1048)</f>
        <v>言葉づかいの調整</v>
      </c>
      <c r="F1048" s="70" t="str">
        <f aca="false">Data!F1048</f>
        <v>B1+</v>
      </c>
      <c r="G1048" s="31" t="str">
        <f aca="false">Data!G1048</f>
        <v>Can paraphrase more simply the main points made in short, straightforward texts on familiar subjects (e.g. short magazine articles, interviews) to make the contents accessible for others.</v>
      </c>
      <c r="H1048" s="71" t="s">
        <v>2944</v>
      </c>
      <c r="I1048" s="79" t="s">
        <v>3089</v>
      </c>
    </row>
    <row r="1049" customFormat="false" ht="15" hidden="false" customHeight="true" outlineLevel="0" collapsed="false">
      <c r="A1049" s="70" t="n">
        <f aca="false">Data!A1049</f>
        <v>1048</v>
      </c>
      <c r="B1049" s="70" t="str">
        <f aca="false">IFERROR(INDEX(対訳マスタ!$C$2:$C$136,MATCH(Data!B1049,対訳マスタ!$B$2:$B$136,0)),Data!B1049)</f>
        <v>コミュニケーション言語方略</v>
      </c>
      <c r="C1049" s="70" t="str">
        <f aca="false">IF(Data!C1049="—","—",IFERROR(INDEX(対訳マスタ!$C$2:$C$136,MATCH(Data!C1049,対訳マスタ!$B$2:$B$136,0)),Data!C1049))</f>
        <v>仲介</v>
      </c>
      <c r="D1049" s="70" t="str">
        <f aca="false">IF(Data!D1049="—","—",IFERROR(INDEX(対訳マスタ!$C$2:$C$136,MATCH(Data!D1049,対訳マスタ!$B$2:$B$136,0)),Data!D1049))</f>
        <v>新しい概念を説明する方略</v>
      </c>
      <c r="E1049" s="70" t="str">
        <f aca="false">IFERROR(INDEX(対訳マスタ!$C$2:$C$136,MATCH(Data!E1049,対訳マスタ!$B$2:$B$136,0)),Data!E1049)</f>
        <v>言葉づかいの調整</v>
      </c>
      <c r="F1049" s="70" t="str">
        <f aca="false">Data!F1049</f>
        <v>B1</v>
      </c>
      <c r="G1049" s="31" t="str">
        <f aca="false">Data!G1049</f>
        <v>Can paraphrase short passages in a simple fashion, using the original order of the text.</v>
      </c>
      <c r="H1049" s="71" t="s">
        <v>2943</v>
      </c>
      <c r="I1049" s="79" t="s">
        <v>3089</v>
      </c>
    </row>
    <row r="1050" customFormat="false" ht="26.25" hidden="false" customHeight="true" outlineLevel="0" collapsed="false">
      <c r="A1050" s="70" t="n">
        <f aca="false">Data!A1050</f>
        <v>1049</v>
      </c>
      <c r="B1050" s="70" t="str">
        <f aca="false">IFERROR(INDEX(対訳マスタ!$C$2:$C$136,MATCH(Data!B1050,対訳マスタ!$B$2:$B$136,0)),Data!B1050)</f>
        <v>コミュニケーション言語方略</v>
      </c>
      <c r="C1050" s="70" t="str">
        <f aca="false">IF(Data!C1050="—","—",IFERROR(INDEX(対訳マスタ!$C$2:$C$136,MATCH(Data!C1050,対訳マスタ!$B$2:$B$136,0)),Data!C1050))</f>
        <v>仲介</v>
      </c>
      <c r="D1050" s="70" t="str">
        <f aca="false">IF(Data!D1050="—","—",IFERROR(INDEX(対訳マスタ!$C$2:$C$136,MATCH(Data!D1050,対訳マスタ!$B$2:$B$136,0)),Data!D1050))</f>
        <v>新しい概念を説明する方略</v>
      </c>
      <c r="E1050" s="70" t="str">
        <f aca="false">IFERROR(INDEX(対訳マスタ!$C$2:$C$136,MATCH(Data!E1050,対訳マスタ!$B$2:$B$136,0)),Data!E1050)</f>
        <v>言葉づかいの調整</v>
      </c>
      <c r="F1050" s="70" t="str">
        <f aca="false">Data!F1050</f>
        <v>A2</v>
      </c>
      <c r="G1050" s="31" t="str">
        <f aca="false">Data!G1050</f>
        <v>Can repeat the main point of a simple message on an everyday subject, using different formulation to help someone else understand it.</v>
      </c>
      <c r="H1050" s="71" t="s">
        <v>2942</v>
      </c>
      <c r="I1050" s="79" t="s">
        <v>3089</v>
      </c>
    </row>
    <row r="1051" customFormat="false" ht="15" hidden="false" customHeight="true" outlineLevel="0" collapsed="false">
      <c r="A1051" s="80" t="n">
        <f aca="false">Data!A1051</f>
        <v>1050</v>
      </c>
      <c r="B1051" s="80" t="str">
        <f aca="false">IFERROR(INDEX(対訳マスタ!$C$2:$C$136,MATCH(Data!B1051,対訳マスタ!$B$2:$B$136,0)),Data!B1051)</f>
        <v>コミュニケーション言語方略</v>
      </c>
      <c r="C1051" s="80" t="str">
        <f aca="false">IF(Data!C1051="—","—",IFERROR(INDEX(対訳マスタ!$C$2:$C$136,MATCH(Data!C1051,対訳マスタ!$B$2:$B$136,0)),Data!C1051))</f>
        <v>仲介</v>
      </c>
      <c r="D1051" s="80" t="str">
        <f aca="false">IF(Data!D1051="—","—",IFERROR(INDEX(対訳マスタ!$C$2:$C$136,MATCH(Data!D1051,対訳マスタ!$B$2:$B$136,0)),Data!D1051))</f>
        <v>新しい概念を説明する方略</v>
      </c>
      <c r="E1051" s="80" t="str">
        <f aca="false">IFERROR(INDEX(対訳マスタ!$C$2:$C$136,MATCH(Data!E1051,対訳マスタ!$B$2:$B$136,0)),Data!E1051)</f>
        <v>言葉づかいの調整</v>
      </c>
      <c r="F1051" s="80" t="str">
        <f aca="false">Data!F1051</f>
        <v>A1</v>
      </c>
      <c r="G1051" s="81" t="str">
        <f aca="false">Data!G1051</f>
        <v>No descriptors available</v>
      </c>
      <c r="H1051" s="81" t="s">
        <v>624</v>
      </c>
      <c r="I1051" s="80" t="s">
        <v>624</v>
      </c>
    </row>
    <row r="1052" customFormat="false" ht="15" hidden="false" customHeight="true" outlineLevel="0" collapsed="false">
      <c r="A1052" s="80" t="n">
        <f aca="false">Data!A1052</f>
        <v>1051</v>
      </c>
      <c r="B1052" s="80" t="str">
        <f aca="false">IFERROR(INDEX(対訳マスタ!$C$2:$C$136,MATCH(Data!B1052,対訳マスタ!$B$2:$B$136,0)),Data!B1052)</f>
        <v>コミュニケーション言語方略</v>
      </c>
      <c r="C1052" s="80" t="str">
        <f aca="false">IF(Data!C1052="—","—",IFERROR(INDEX(対訳マスタ!$C$2:$C$136,MATCH(Data!C1052,対訳マスタ!$B$2:$B$136,0)),Data!C1052))</f>
        <v>仲介</v>
      </c>
      <c r="D1052" s="80" t="str">
        <f aca="false">IF(Data!D1052="—","—",IFERROR(INDEX(対訳マスタ!$C$2:$C$136,MATCH(Data!D1052,対訳マスタ!$B$2:$B$136,0)),Data!D1052))</f>
        <v>新しい概念を説明する方略</v>
      </c>
      <c r="E1052" s="80" t="str">
        <f aca="false">IFERROR(INDEX(対訳マスタ!$C$2:$C$136,MATCH(Data!E1052,対訳マスタ!$B$2:$B$136,0)),Data!E1052)</f>
        <v>言葉づかいの調整</v>
      </c>
      <c r="F1052" s="80" t="str">
        <f aca="false">Data!F1052</f>
        <v>Pre-A1</v>
      </c>
      <c r="G1052" s="81" t="str">
        <f aca="false">Data!G1052</f>
        <v>No descriptors available</v>
      </c>
      <c r="H1052" s="81" t="s">
        <v>624</v>
      </c>
      <c r="I1052" s="80" t="s">
        <v>624</v>
      </c>
    </row>
    <row r="1053" customFormat="false" ht="26.25" hidden="false" customHeight="true" outlineLevel="0" collapsed="false">
      <c r="A1053" s="70" t="n">
        <f aca="false">Data!A1053</f>
        <v>1052</v>
      </c>
      <c r="B1053" s="70" t="str">
        <f aca="false">IFERROR(INDEX(対訳マスタ!$C$2:$C$136,MATCH(Data!B1053,対訳マスタ!$B$2:$B$136,0)),Data!B1053)</f>
        <v>コミュニケーション言語方略</v>
      </c>
      <c r="C1053" s="70" t="str">
        <f aca="false">IF(Data!C1053="—","—",IFERROR(INDEX(対訳マスタ!$C$2:$C$136,MATCH(Data!C1053,対訳マスタ!$B$2:$B$136,0)),Data!C1053))</f>
        <v>仲介</v>
      </c>
      <c r="D1053" s="70" t="str">
        <f aca="false">IF(Data!D1053="—","—",IFERROR(INDEX(対訳マスタ!$C$2:$C$136,MATCH(Data!D1053,対訳マスタ!$B$2:$B$136,0)),Data!D1053))</f>
        <v>新しい概念を説明する方略</v>
      </c>
      <c r="E1053" s="70" t="str">
        <f aca="false">IFERROR(INDEX(対訳マスタ!$C$2:$C$136,MATCH(Data!E1053,対訳マスタ!$B$2:$B$136,0)),Data!E1053)</f>
        <v>複雑な情報の分解</v>
      </c>
      <c r="F1053" s="70" t="str">
        <f aca="false">Data!F1053</f>
        <v>C2</v>
      </c>
      <c r="G1053" s="31" t="str">
        <f aca="false">Data!G1053</f>
        <v>Can facilitate understanding of a complex issue by explaining the relationship of parts to the whole and encourage different ways of approaching it.</v>
      </c>
      <c r="H1053" s="71" t="s">
        <v>2954</v>
      </c>
      <c r="I1053" s="79" t="s">
        <v>3089</v>
      </c>
    </row>
    <row r="1054" customFormat="false" ht="32.25" hidden="false" customHeight="true" outlineLevel="0" collapsed="false">
      <c r="A1054" s="70" t="n">
        <f aca="false">Data!A1054</f>
        <v>1053</v>
      </c>
      <c r="B1054" s="70" t="str">
        <f aca="false">IFERROR(INDEX(対訳マスタ!$C$2:$C$136,MATCH(Data!B1054,対訳マスタ!$B$2:$B$136,0)),Data!B1054)</f>
        <v>コミュニケーション言語方略</v>
      </c>
      <c r="C1054" s="70" t="str">
        <f aca="false">IF(Data!C1054="—","—",IFERROR(INDEX(対訳マスタ!$C$2:$C$136,MATCH(Data!C1054,対訳マスタ!$B$2:$B$136,0)),Data!C1054))</f>
        <v>仲介</v>
      </c>
      <c r="D1054" s="70" t="str">
        <f aca="false">IF(Data!D1054="—","—",IFERROR(INDEX(対訳マスタ!$C$2:$C$136,MATCH(Data!D1054,対訳マスタ!$B$2:$B$136,0)),Data!D1054))</f>
        <v>新しい概念を説明する方略</v>
      </c>
      <c r="E1054" s="70" t="str">
        <f aca="false">IFERROR(INDEX(対訳マスタ!$C$2:$C$136,MATCH(Data!E1054,対訳マスタ!$B$2:$B$136,0)),Data!E1054)</f>
        <v>複雑な情報の分解</v>
      </c>
      <c r="F1054" s="70" t="str">
        <f aca="false">Data!F1054</f>
        <v>C1</v>
      </c>
      <c r="G1054" s="31" t="str">
        <f aca="false">Data!G1054</f>
        <v>Can facilitate understanding of a complex issue by highlighting and categorising the main points, presenting them in a logically connected pattern, and reinforcing the message by repeating the key aspects in different ways.</v>
      </c>
      <c r="H1054" s="71" t="s">
        <v>2953</v>
      </c>
      <c r="I1054" s="79" t="s">
        <v>3089</v>
      </c>
    </row>
    <row r="1055" customFormat="false" ht="21.75" hidden="false" customHeight="true" outlineLevel="0" collapsed="false">
      <c r="A1055" s="70" t="n">
        <f aca="false">Data!A1055</f>
        <v>1054</v>
      </c>
      <c r="B1055" s="70" t="str">
        <f aca="false">IFERROR(INDEX(対訳マスタ!$C$2:$C$136,MATCH(Data!B1055,対訳マスタ!$B$2:$B$136,0)),Data!B1055)</f>
        <v>コミュニケーション言語方略</v>
      </c>
      <c r="C1055" s="70" t="str">
        <f aca="false">IF(Data!C1055="—","—",IFERROR(INDEX(対訳マスタ!$C$2:$C$136,MATCH(Data!C1055,対訳マスタ!$B$2:$B$136,0)),Data!C1055))</f>
        <v>仲介</v>
      </c>
      <c r="D1055" s="70" t="str">
        <f aca="false">IF(Data!D1055="—","—",IFERROR(INDEX(対訳マスタ!$C$2:$C$136,MATCH(Data!D1055,対訳マスタ!$B$2:$B$136,0)),Data!D1055))</f>
        <v>新しい概念を説明する方略</v>
      </c>
      <c r="E1055" s="70" t="str">
        <f aca="false">IFERROR(INDEX(対訳マスタ!$C$2:$C$136,MATCH(Data!E1055,対訳マスタ!$B$2:$B$136,0)),Data!E1055)</f>
        <v>複雑な情報の分解</v>
      </c>
      <c r="F1055" s="70" t="str">
        <f aca="false">Data!F1055</f>
        <v>B2+</v>
      </c>
      <c r="G1055" s="31" t="str">
        <f aca="false">Data!G1055</f>
        <v>Can make a complicated issue easier to understand by presenting the components of the argument separately.</v>
      </c>
      <c r="H1055" s="71" t="s">
        <v>2952</v>
      </c>
      <c r="I1055" s="79" t="s">
        <v>3089</v>
      </c>
    </row>
    <row r="1056" customFormat="false" ht="21.75" hidden="false" customHeight="true" outlineLevel="0" collapsed="false">
      <c r="A1056" s="70" t="n">
        <f aca="false">Data!A1056</f>
        <v>1055</v>
      </c>
      <c r="B1056" s="70" t="str">
        <f aca="false">IFERROR(INDEX(対訳マスタ!$C$2:$C$136,MATCH(Data!B1056,対訳マスタ!$B$2:$B$136,0)),Data!B1056)</f>
        <v>コミュニケーション言語方略</v>
      </c>
      <c r="C1056" s="70" t="str">
        <f aca="false">IF(Data!C1056="—","—",IFERROR(INDEX(対訳マスタ!$C$2:$C$136,MATCH(Data!C1056,対訳マスタ!$B$2:$B$136,0)),Data!C1056))</f>
        <v>仲介</v>
      </c>
      <c r="D1056" s="70" t="str">
        <f aca="false">IF(Data!D1056="—","—",IFERROR(INDEX(対訳マスタ!$C$2:$C$136,MATCH(Data!D1056,対訳マスタ!$B$2:$B$136,0)),Data!D1056))</f>
        <v>新しい概念を説明する方略</v>
      </c>
      <c r="E1056" s="70" t="str">
        <f aca="false">IFERROR(INDEX(対訳マスタ!$C$2:$C$136,MATCH(Data!E1056,対訳マスタ!$B$2:$B$136,0)),Data!E1056)</f>
        <v>複雑な情報の分解</v>
      </c>
      <c r="F1056" s="70" t="str">
        <f aca="false">Data!F1056</f>
        <v>B2</v>
      </c>
      <c r="G1056" s="31" t="str">
        <f aca="false">Data!G1056</f>
        <v>Can make a complicated process easier to understand by breaking it down into a series of smaller steps.</v>
      </c>
      <c r="H1056" s="71" t="s">
        <v>2951</v>
      </c>
      <c r="I1056" s="79" t="s">
        <v>3089</v>
      </c>
    </row>
    <row r="1057" customFormat="false" ht="26.25" hidden="false" customHeight="true" outlineLevel="0" collapsed="false">
      <c r="A1057" s="70" t="n">
        <f aca="false">Data!A1057</f>
        <v>1056</v>
      </c>
      <c r="B1057" s="70" t="str">
        <f aca="false">IFERROR(INDEX(対訳マスタ!$C$2:$C$136,MATCH(Data!B1057,対訳マスタ!$B$2:$B$136,0)),Data!B1057)</f>
        <v>コミュニケーション言語方略</v>
      </c>
      <c r="C1057" s="70" t="str">
        <f aca="false">IF(Data!C1057="—","—",IFERROR(INDEX(対訳マスタ!$C$2:$C$136,MATCH(Data!C1057,対訳マスタ!$B$2:$B$136,0)),Data!C1057))</f>
        <v>仲介</v>
      </c>
      <c r="D1057" s="70" t="str">
        <f aca="false">IF(Data!D1057="—","—",IFERROR(INDEX(対訳マスタ!$C$2:$C$136,MATCH(Data!D1057,対訳マスタ!$B$2:$B$136,0)),Data!D1057))</f>
        <v>新しい概念を説明する方略</v>
      </c>
      <c r="E1057" s="70" t="str">
        <f aca="false">IFERROR(INDEX(対訳マスタ!$C$2:$C$136,MATCH(Data!E1057,対訳マスタ!$B$2:$B$136,0)),Data!E1057)</f>
        <v>複雑な情報の分解</v>
      </c>
      <c r="F1057" s="70" t="str">
        <f aca="false">Data!F1057</f>
        <v>B1+</v>
      </c>
      <c r="G1057" s="31" t="str">
        <f aca="false">Data!G1057</f>
        <v>Can make a short instructional or informational text easier to understand by presenting it as a list of separate points.</v>
      </c>
      <c r="H1057" s="71" t="s">
        <v>2950</v>
      </c>
      <c r="I1057" s="79" t="s">
        <v>3089</v>
      </c>
    </row>
    <row r="1058" customFormat="false" ht="32.25" hidden="false" customHeight="true" outlineLevel="0" collapsed="false">
      <c r="A1058" s="70" t="n">
        <f aca="false">Data!A1058</f>
        <v>1057</v>
      </c>
      <c r="B1058" s="70" t="str">
        <f aca="false">IFERROR(INDEX(対訳マスタ!$C$2:$C$136,MATCH(Data!B1058,対訳マスタ!$B$2:$B$136,0)),Data!B1058)</f>
        <v>コミュニケーション言語方略</v>
      </c>
      <c r="C1058" s="70" t="str">
        <f aca="false">IF(Data!C1058="—","—",IFERROR(INDEX(対訳マスタ!$C$2:$C$136,MATCH(Data!C1058,対訳マスタ!$B$2:$B$136,0)),Data!C1058))</f>
        <v>仲介</v>
      </c>
      <c r="D1058" s="70" t="str">
        <f aca="false">IF(Data!D1058="—","—",IFERROR(INDEX(対訳マスタ!$C$2:$C$136,MATCH(Data!D1058,対訳マスタ!$B$2:$B$136,0)),Data!D1058))</f>
        <v>新しい概念を説明する方略</v>
      </c>
      <c r="E1058" s="70" t="str">
        <f aca="false">IFERROR(INDEX(対訳マスタ!$C$2:$C$136,MATCH(Data!E1058,対訳マスタ!$B$2:$B$136,0)),Data!E1058)</f>
        <v>複雑な情報の分解</v>
      </c>
      <c r="F1058" s="70" t="str">
        <f aca="false">Data!F1058</f>
        <v>B1</v>
      </c>
      <c r="G1058" s="31" t="str">
        <f aca="false">Data!G1058</f>
        <v>Can make a set of instructions easier to understand by repeating them slowly, a few words/signs at a time, employing verbal and non-verbal emphasis to facilitate understanding.</v>
      </c>
      <c r="H1058" s="71" t="s">
        <v>2949</v>
      </c>
      <c r="I1058" s="79" t="s">
        <v>3089</v>
      </c>
    </row>
    <row r="1059" customFormat="false" ht="15" hidden="false" customHeight="true" outlineLevel="0" collapsed="false">
      <c r="A1059" s="80" t="n">
        <f aca="false">Data!A1059</f>
        <v>1058</v>
      </c>
      <c r="B1059" s="80" t="str">
        <f aca="false">IFERROR(INDEX(対訳マスタ!$C$2:$C$136,MATCH(Data!B1059,対訳マスタ!$B$2:$B$136,0)),Data!B1059)</f>
        <v>コミュニケーション言語方略</v>
      </c>
      <c r="C1059" s="80" t="str">
        <f aca="false">IF(Data!C1059="—","—",IFERROR(INDEX(対訳マスタ!$C$2:$C$136,MATCH(Data!C1059,対訳マスタ!$B$2:$B$136,0)),Data!C1059))</f>
        <v>仲介</v>
      </c>
      <c r="D1059" s="80" t="str">
        <f aca="false">IF(Data!D1059="—","—",IFERROR(INDEX(対訳マスタ!$C$2:$C$136,MATCH(Data!D1059,対訳マスタ!$B$2:$B$136,0)),Data!D1059))</f>
        <v>新しい概念を説明する方略</v>
      </c>
      <c r="E1059" s="80" t="str">
        <f aca="false">IFERROR(INDEX(対訳マスタ!$C$2:$C$136,MATCH(Data!E1059,対訳マスタ!$B$2:$B$136,0)),Data!E1059)</f>
        <v>複雑な情報の分解</v>
      </c>
      <c r="F1059" s="80" t="str">
        <f aca="false">Data!F1059</f>
        <v>A2</v>
      </c>
      <c r="G1059" s="81" t="str">
        <f aca="false">Data!G1059</f>
        <v>No descriptors available</v>
      </c>
      <c r="H1059" s="81" t="s">
        <v>624</v>
      </c>
      <c r="I1059" s="80" t="s">
        <v>624</v>
      </c>
    </row>
    <row r="1060" customFormat="false" ht="15" hidden="false" customHeight="true" outlineLevel="0" collapsed="false">
      <c r="A1060" s="80" t="n">
        <f aca="false">Data!A1060</f>
        <v>1059</v>
      </c>
      <c r="B1060" s="80" t="str">
        <f aca="false">IFERROR(INDEX(対訳マスタ!$C$2:$C$136,MATCH(Data!B1060,対訳マスタ!$B$2:$B$136,0)),Data!B1060)</f>
        <v>コミュニケーション言語方略</v>
      </c>
      <c r="C1060" s="80" t="str">
        <f aca="false">IF(Data!C1060="—","—",IFERROR(INDEX(対訳マスタ!$C$2:$C$136,MATCH(Data!C1060,対訳マスタ!$B$2:$B$136,0)),Data!C1060))</f>
        <v>仲介</v>
      </c>
      <c r="D1060" s="80" t="str">
        <f aca="false">IF(Data!D1060="—","—",IFERROR(INDEX(対訳マスタ!$C$2:$C$136,MATCH(Data!D1060,対訳マスタ!$B$2:$B$136,0)),Data!D1060))</f>
        <v>新しい概念を説明する方略</v>
      </c>
      <c r="E1060" s="80" t="str">
        <f aca="false">IFERROR(INDEX(対訳マスタ!$C$2:$C$136,MATCH(Data!E1060,対訳マスタ!$B$2:$B$136,0)),Data!E1060)</f>
        <v>複雑な情報の分解</v>
      </c>
      <c r="F1060" s="80" t="str">
        <f aca="false">Data!F1060</f>
        <v>A1</v>
      </c>
      <c r="G1060" s="81" t="str">
        <f aca="false">Data!G1060</f>
        <v>No descriptors available</v>
      </c>
      <c r="H1060" s="81" t="s">
        <v>624</v>
      </c>
      <c r="I1060" s="80" t="s">
        <v>624</v>
      </c>
    </row>
    <row r="1061" customFormat="false" ht="15" hidden="false" customHeight="true" outlineLevel="0" collapsed="false">
      <c r="A1061" s="80" t="n">
        <f aca="false">Data!A1061</f>
        <v>1060</v>
      </c>
      <c r="B1061" s="80" t="str">
        <f aca="false">IFERROR(INDEX(対訳マスタ!$C$2:$C$136,MATCH(Data!B1061,対訳マスタ!$B$2:$B$136,0)),Data!B1061)</f>
        <v>コミュニケーション言語方略</v>
      </c>
      <c r="C1061" s="80" t="str">
        <f aca="false">IF(Data!C1061="—","—",IFERROR(INDEX(対訳マスタ!$C$2:$C$136,MATCH(Data!C1061,対訳マスタ!$B$2:$B$136,0)),Data!C1061))</f>
        <v>仲介</v>
      </c>
      <c r="D1061" s="80" t="str">
        <f aca="false">IF(Data!D1061="—","—",IFERROR(INDEX(対訳マスタ!$C$2:$C$136,MATCH(Data!D1061,対訳マスタ!$B$2:$B$136,0)),Data!D1061))</f>
        <v>新しい概念を説明する方略</v>
      </c>
      <c r="E1061" s="80" t="str">
        <f aca="false">IFERROR(INDEX(対訳マスタ!$C$2:$C$136,MATCH(Data!E1061,対訳マスタ!$B$2:$B$136,0)),Data!E1061)</f>
        <v>複雑な情報の分解</v>
      </c>
      <c r="F1061" s="80" t="str">
        <f aca="false">Data!F1061</f>
        <v>Pre-A1</v>
      </c>
      <c r="G1061" s="81" t="str">
        <f aca="false">Data!G1061</f>
        <v>No descriptors available</v>
      </c>
      <c r="H1061" s="81" t="s">
        <v>624</v>
      </c>
      <c r="I1061" s="80" t="s">
        <v>624</v>
      </c>
    </row>
    <row r="1062" customFormat="false" ht="21.75" hidden="false" customHeight="true" outlineLevel="0" collapsed="false">
      <c r="A1062" s="70" t="n">
        <f aca="false">Data!A1062</f>
        <v>1061</v>
      </c>
      <c r="B1062" s="70" t="str">
        <f aca="false">IFERROR(INDEX(対訳マスタ!$C$2:$C$136,MATCH(Data!B1062,対訳マスタ!$B$2:$B$136,0)),Data!B1062)</f>
        <v>コミュニケーション言語方略</v>
      </c>
      <c r="C1062" s="70" t="str">
        <f aca="false">IF(Data!C1062="—","—",IFERROR(INDEX(対訳マスタ!$C$2:$C$136,MATCH(Data!C1062,対訳マスタ!$B$2:$B$136,0)),Data!C1062))</f>
        <v>仲介</v>
      </c>
      <c r="D1062" s="70" t="str">
        <f aca="false">IF(Data!D1062="—","—",IFERROR(INDEX(対訳マスタ!$C$2:$C$136,MATCH(Data!D1062,対訳マスタ!$B$2:$B$136,0)),Data!D1062))</f>
        <v>テキストを簡略化する方略</v>
      </c>
      <c r="E1062" s="70" t="str">
        <f aca="false">IFERROR(INDEX(対訳マスタ!$C$2:$C$136,MATCH(Data!E1062,対訳マスタ!$B$2:$B$136,0)),Data!E1062)</f>
        <v>密度の高いテキストの展開・補足</v>
      </c>
      <c r="F1062" s="70" t="str">
        <f aca="false">Data!F1062</f>
        <v>C2</v>
      </c>
      <c r="G1062" s="31" t="str">
        <f aca="false">Data!G1062</f>
        <v>Can elucidate the information given in texts on complex academic or professional topics by elaborating and providing examples.</v>
      </c>
      <c r="H1062" s="71" t="s">
        <v>2960</v>
      </c>
      <c r="I1062" s="79" t="s">
        <v>3089</v>
      </c>
    </row>
    <row r="1063" customFormat="false" ht="26.25" hidden="false" customHeight="true" outlineLevel="0" collapsed="false">
      <c r="A1063" s="70" t="n">
        <f aca="false">Data!A1063</f>
        <v>1062</v>
      </c>
      <c r="B1063" s="70" t="str">
        <f aca="false">IFERROR(INDEX(対訳マスタ!$C$2:$C$136,MATCH(Data!B1063,対訳マスタ!$B$2:$B$136,0)),Data!B1063)</f>
        <v>コミュニケーション言語方略</v>
      </c>
      <c r="C1063" s="70" t="str">
        <f aca="false">IF(Data!C1063="—","—",IFERROR(INDEX(対訳マスタ!$C$2:$C$136,MATCH(Data!C1063,対訳マスタ!$B$2:$B$136,0)),Data!C1063))</f>
        <v>仲介</v>
      </c>
      <c r="D1063" s="70" t="str">
        <f aca="false">IF(Data!D1063="—","—",IFERROR(INDEX(対訳マスタ!$C$2:$C$136,MATCH(Data!D1063,対訳マスタ!$B$2:$B$136,0)),Data!D1063))</f>
        <v>テキストを簡略化する方略</v>
      </c>
      <c r="E1063" s="70" t="str">
        <f aca="false">IFERROR(INDEX(対訳マスタ!$C$2:$C$136,MATCH(Data!E1063,対訳マスタ!$B$2:$B$136,0)),Data!E1063)</f>
        <v>密度の高いテキストの展開・補足</v>
      </c>
      <c r="F1063" s="70" t="str">
        <f aca="false">Data!F1063</f>
        <v>C1</v>
      </c>
      <c r="G1063" s="31" t="str">
        <f aca="false">Data!G1063</f>
        <v>Can make complex, challenging content more accessible by explaining difficult aspects more explicitly and adding helpful detail.</v>
      </c>
      <c r="H1063" s="71" t="s">
        <v>2959</v>
      </c>
      <c r="I1063" s="79" t="s">
        <v>3089</v>
      </c>
    </row>
    <row r="1064" customFormat="false" ht="21.75" hidden="false" customHeight="true" outlineLevel="0" collapsed="false">
      <c r="A1064" s="70" t="n">
        <f aca="false">Data!A1064</f>
        <v>1063</v>
      </c>
      <c r="B1064" s="70" t="str">
        <f aca="false">IFERROR(INDEX(対訳マスタ!$C$2:$C$136,MATCH(Data!B1064,対訳マスタ!$B$2:$B$136,0)),Data!B1064)</f>
        <v>コミュニケーション言語方略</v>
      </c>
      <c r="C1064" s="70" t="str">
        <f aca="false">IF(Data!C1064="—","—",IFERROR(INDEX(対訳マスタ!$C$2:$C$136,MATCH(Data!C1064,対訳マスタ!$B$2:$B$136,0)),Data!C1064))</f>
        <v>仲介</v>
      </c>
      <c r="D1064" s="70" t="str">
        <f aca="false">IF(Data!D1064="—","—",IFERROR(INDEX(対訳マスタ!$C$2:$C$136,MATCH(Data!D1064,対訳マスタ!$B$2:$B$136,0)),Data!D1064))</f>
        <v>テキストを簡略化する方略</v>
      </c>
      <c r="E1064" s="70" t="str">
        <f aca="false">IFERROR(INDEX(対訳マスタ!$C$2:$C$136,MATCH(Data!E1064,対訳マスタ!$B$2:$B$136,0)),Data!E1064)</f>
        <v>密度の高いテキストの展開・補足</v>
      </c>
      <c r="F1064" s="70" t="str">
        <f aca="false">Data!F1064</f>
        <v>C1</v>
      </c>
      <c r="G1064" s="31" t="str">
        <f aca="false">Data!G1064</f>
        <v>Can make the main points contained in a complex text more accessible to the target audience by adding redundancy, explaining, and modifying style and register.</v>
      </c>
      <c r="H1064" s="71" t="s">
        <v>3524</v>
      </c>
      <c r="I1064" s="79" t="s">
        <v>3089</v>
      </c>
    </row>
    <row r="1065" customFormat="false" ht="26.25" hidden="false" customHeight="true" outlineLevel="0" collapsed="false">
      <c r="A1065" s="70" t="n">
        <f aca="false">Data!A1065</f>
        <v>1064</v>
      </c>
      <c r="B1065" s="70" t="str">
        <f aca="false">IFERROR(INDEX(対訳マスタ!$C$2:$C$136,MATCH(Data!B1065,対訳マスタ!$B$2:$B$136,0)),Data!B1065)</f>
        <v>コミュニケーション言語方略</v>
      </c>
      <c r="C1065" s="70" t="str">
        <f aca="false">IF(Data!C1065="—","—",IFERROR(INDEX(対訳マスタ!$C$2:$C$136,MATCH(Data!C1065,対訳マスタ!$B$2:$B$136,0)),Data!C1065))</f>
        <v>仲介</v>
      </c>
      <c r="D1065" s="70" t="str">
        <f aca="false">IF(Data!D1065="—","—",IFERROR(INDEX(対訳マスタ!$C$2:$C$136,MATCH(Data!D1065,対訳マスタ!$B$2:$B$136,0)),Data!D1065))</f>
        <v>テキストを簡略化する方略</v>
      </c>
      <c r="E1065" s="70" t="str">
        <f aca="false">IFERROR(INDEX(対訳マスタ!$C$2:$C$136,MATCH(Data!E1065,対訳マスタ!$B$2:$B$136,0)),Data!E1065)</f>
        <v>密度の高いテキストの展開・補足</v>
      </c>
      <c r="F1065" s="70" t="str">
        <f aca="false">Data!F1065</f>
        <v>B2+</v>
      </c>
      <c r="G1065" s="31" t="str">
        <f aca="false">Data!G1065</f>
        <v>Can make the content of a text on a subject in their fields of interest more accessible to a target audience by adding examples, reasoning and explanatory comments.</v>
      </c>
      <c r="H1065" s="71" t="s">
        <v>2958</v>
      </c>
      <c r="I1065" s="79" t="s">
        <v>3089</v>
      </c>
    </row>
    <row r="1066" customFormat="false" ht="21.75" hidden="false" customHeight="true" outlineLevel="0" collapsed="false">
      <c r="A1066" s="70" t="n">
        <f aca="false">Data!A1066</f>
        <v>1065</v>
      </c>
      <c r="B1066" s="70" t="str">
        <f aca="false">IFERROR(INDEX(対訳マスタ!$C$2:$C$136,MATCH(Data!B1066,対訳マスタ!$B$2:$B$136,0)),Data!B1066)</f>
        <v>コミュニケーション言語方略</v>
      </c>
      <c r="C1066" s="70" t="str">
        <f aca="false">IF(Data!C1066="—","—",IFERROR(INDEX(対訳マスタ!$C$2:$C$136,MATCH(Data!C1066,対訳マスタ!$B$2:$B$136,0)),Data!C1066))</f>
        <v>仲介</v>
      </c>
      <c r="D1066" s="70" t="str">
        <f aca="false">IF(Data!D1066="—","—",IFERROR(INDEX(対訳マスタ!$C$2:$C$136,MATCH(Data!D1066,対訳マスタ!$B$2:$B$136,0)),Data!D1066))</f>
        <v>テキストを簡略化する方略</v>
      </c>
      <c r="E1066" s="70" t="str">
        <f aca="false">IFERROR(INDEX(対訳マスタ!$C$2:$C$136,MATCH(Data!E1066,対訳マスタ!$B$2:$B$136,0)),Data!E1066)</f>
        <v>密度の高いテキストの展開・補足</v>
      </c>
      <c r="F1066" s="70" t="str">
        <f aca="false">Data!F1066</f>
        <v>B2</v>
      </c>
      <c r="G1066" s="31" t="str">
        <f aca="false">Data!G1066</f>
        <v>Can make concepts on subjects in their fields of interest more accessible by giving concrete examples, recapitulating step by step and repeating the main points.</v>
      </c>
      <c r="H1066" s="71" t="s">
        <v>3525</v>
      </c>
      <c r="I1066" s="79" t="s">
        <v>3089</v>
      </c>
    </row>
    <row r="1067" customFormat="false" ht="15" hidden="false" customHeight="true" outlineLevel="0" collapsed="false">
      <c r="A1067" s="70" t="n">
        <f aca="false">Data!A1067</f>
        <v>1066</v>
      </c>
      <c r="B1067" s="70" t="str">
        <f aca="false">IFERROR(INDEX(対訳マスタ!$C$2:$C$136,MATCH(Data!B1067,対訳マスタ!$B$2:$B$136,0)),Data!B1067)</f>
        <v>コミュニケーション言語方略</v>
      </c>
      <c r="C1067" s="70" t="str">
        <f aca="false">IF(Data!C1067="—","—",IFERROR(INDEX(対訳マスタ!$C$2:$C$136,MATCH(Data!C1067,対訳マスタ!$B$2:$B$136,0)),Data!C1067))</f>
        <v>仲介</v>
      </c>
      <c r="D1067" s="70" t="str">
        <f aca="false">IF(Data!D1067="—","—",IFERROR(INDEX(対訳マスタ!$C$2:$C$136,MATCH(Data!D1067,対訳マスタ!$B$2:$B$136,0)),Data!D1067))</f>
        <v>テキストを簡略化する方略</v>
      </c>
      <c r="E1067" s="70" t="str">
        <f aca="false">IFERROR(INDEX(対訳マスタ!$C$2:$C$136,MATCH(Data!E1067,対訳マスタ!$B$2:$B$136,0)),Data!E1067)</f>
        <v>密度の高いテキストの展開・補足</v>
      </c>
      <c r="F1067" s="70" t="str">
        <f aca="false">Data!F1067</f>
        <v>B2</v>
      </c>
      <c r="G1067" s="31" t="str">
        <f aca="false">Data!G1067</f>
        <v>Can make new information more accessible by using repetition and adding illustrations.</v>
      </c>
      <c r="H1067" s="71" t="s">
        <v>2957</v>
      </c>
      <c r="I1067" s="79" t="s">
        <v>3089</v>
      </c>
    </row>
    <row r="1068" customFormat="false" ht="21.75" hidden="false" customHeight="true" outlineLevel="0" collapsed="false">
      <c r="A1068" s="70" t="n">
        <f aca="false">Data!A1068</f>
        <v>1067</v>
      </c>
      <c r="B1068" s="70" t="str">
        <f aca="false">IFERROR(INDEX(対訳マスタ!$C$2:$C$136,MATCH(Data!B1068,対訳マスタ!$B$2:$B$136,0)),Data!B1068)</f>
        <v>コミュニケーション言語方略</v>
      </c>
      <c r="C1068" s="70" t="str">
        <f aca="false">IF(Data!C1068="—","—",IFERROR(INDEX(対訳マスタ!$C$2:$C$136,MATCH(Data!C1068,対訳マスタ!$B$2:$B$136,0)),Data!C1068))</f>
        <v>仲介</v>
      </c>
      <c r="D1068" s="70" t="str">
        <f aca="false">IF(Data!D1068="—","—",IFERROR(INDEX(対訳マスタ!$C$2:$C$136,MATCH(Data!D1068,対訳マスタ!$B$2:$B$136,0)),Data!D1068))</f>
        <v>テキストを簡略化する方略</v>
      </c>
      <c r="E1068" s="70" t="str">
        <f aca="false">IFERROR(INDEX(対訳マスタ!$C$2:$C$136,MATCH(Data!E1068,対訳マスタ!$B$2:$B$136,0)),Data!E1068)</f>
        <v>密度の高いテキストの展開・補足</v>
      </c>
      <c r="F1068" s="70" t="str">
        <f aca="false">Data!F1068</f>
        <v>B1+</v>
      </c>
      <c r="G1068" s="31" t="str">
        <f aca="false">Data!G1068</f>
        <v>Can make an aspect of an everyday topic clearer and more explicit by conveying the main information in another way.</v>
      </c>
      <c r="H1068" s="71" t="s">
        <v>2956</v>
      </c>
      <c r="I1068" s="79" t="s">
        <v>3089</v>
      </c>
    </row>
    <row r="1069" customFormat="false" ht="15" hidden="false" customHeight="true" outlineLevel="0" collapsed="false">
      <c r="A1069" s="70" t="n">
        <f aca="false">Data!A1069</f>
        <v>1068</v>
      </c>
      <c r="B1069" s="70" t="str">
        <f aca="false">IFERROR(INDEX(対訳マスタ!$C$2:$C$136,MATCH(Data!B1069,対訳マスタ!$B$2:$B$136,0)),Data!B1069)</f>
        <v>コミュニケーション言語方略</v>
      </c>
      <c r="C1069" s="70" t="str">
        <f aca="false">IF(Data!C1069="—","—",IFERROR(INDEX(対訳マスタ!$C$2:$C$136,MATCH(Data!C1069,対訳マスタ!$B$2:$B$136,0)),Data!C1069))</f>
        <v>仲介</v>
      </c>
      <c r="D1069" s="70" t="str">
        <f aca="false">IF(Data!D1069="—","—",IFERROR(INDEX(対訳マスタ!$C$2:$C$136,MATCH(Data!D1069,対訳マスタ!$B$2:$B$136,0)),Data!D1069))</f>
        <v>テキストを簡略化する方略</v>
      </c>
      <c r="E1069" s="70" t="str">
        <f aca="false">IFERROR(INDEX(対訳マスタ!$C$2:$C$136,MATCH(Data!E1069,対訳マスタ!$B$2:$B$136,0)),Data!E1069)</f>
        <v>密度の高いテキストの展開・補足</v>
      </c>
      <c r="F1069" s="70" t="str">
        <f aca="false">Data!F1069</f>
        <v>B1</v>
      </c>
      <c r="G1069" s="31" t="str">
        <f aca="false">Data!G1069</f>
        <v>Can make an aspect of an everyday topic clearer by providing simple examples.</v>
      </c>
      <c r="H1069" s="71" t="s">
        <v>2955</v>
      </c>
      <c r="I1069" s="79" t="s">
        <v>3089</v>
      </c>
    </row>
    <row r="1070" customFormat="false" ht="15" hidden="false" customHeight="true" outlineLevel="0" collapsed="false">
      <c r="A1070" s="80" t="n">
        <f aca="false">Data!A1070</f>
        <v>1069</v>
      </c>
      <c r="B1070" s="80" t="str">
        <f aca="false">IFERROR(INDEX(対訳マスタ!$C$2:$C$136,MATCH(Data!B1070,対訳マスタ!$B$2:$B$136,0)),Data!B1070)</f>
        <v>コミュニケーション言語方略</v>
      </c>
      <c r="C1070" s="80" t="str">
        <f aca="false">IF(Data!C1070="—","—",IFERROR(INDEX(対訳マスタ!$C$2:$C$136,MATCH(Data!C1070,対訳マスタ!$B$2:$B$136,0)),Data!C1070))</f>
        <v>仲介</v>
      </c>
      <c r="D1070" s="80" t="str">
        <f aca="false">IF(Data!D1070="—","—",IFERROR(INDEX(対訳マスタ!$C$2:$C$136,MATCH(Data!D1070,対訳マスタ!$B$2:$B$136,0)),Data!D1070))</f>
        <v>テキストを簡略化する方略</v>
      </c>
      <c r="E1070" s="80" t="str">
        <f aca="false">IFERROR(INDEX(対訳マスタ!$C$2:$C$136,MATCH(Data!E1070,対訳マスタ!$B$2:$B$136,0)),Data!E1070)</f>
        <v>密度の高いテキストの展開・補足</v>
      </c>
      <c r="F1070" s="80" t="str">
        <f aca="false">Data!F1070</f>
        <v>A2</v>
      </c>
      <c r="G1070" s="81" t="str">
        <f aca="false">Data!G1070</f>
        <v>No descriptors available</v>
      </c>
      <c r="H1070" s="81" t="s">
        <v>624</v>
      </c>
      <c r="I1070" s="80" t="s">
        <v>624</v>
      </c>
    </row>
    <row r="1071" customFormat="false" ht="15" hidden="false" customHeight="true" outlineLevel="0" collapsed="false">
      <c r="A1071" s="80" t="n">
        <f aca="false">Data!A1071</f>
        <v>1070</v>
      </c>
      <c r="B1071" s="80" t="str">
        <f aca="false">IFERROR(INDEX(対訳マスタ!$C$2:$C$136,MATCH(Data!B1071,対訳マスタ!$B$2:$B$136,0)),Data!B1071)</f>
        <v>コミュニケーション言語方略</v>
      </c>
      <c r="C1071" s="80" t="str">
        <f aca="false">IF(Data!C1071="—","—",IFERROR(INDEX(対訳マスタ!$C$2:$C$136,MATCH(Data!C1071,対訳マスタ!$B$2:$B$136,0)),Data!C1071))</f>
        <v>仲介</v>
      </c>
      <c r="D1071" s="80" t="str">
        <f aca="false">IF(Data!D1071="—","—",IFERROR(INDEX(対訳マスタ!$C$2:$C$136,MATCH(Data!D1071,対訳マスタ!$B$2:$B$136,0)),Data!D1071))</f>
        <v>テキストを簡略化する方略</v>
      </c>
      <c r="E1071" s="80" t="str">
        <f aca="false">IFERROR(INDEX(対訳マスタ!$C$2:$C$136,MATCH(Data!E1071,対訳マスタ!$B$2:$B$136,0)),Data!E1071)</f>
        <v>密度の高いテキストの展開・補足</v>
      </c>
      <c r="F1071" s="80" t="str">
        <f aca="false">Data!F1071</f>
        <v>A1</v>
      </c>
      <c r="G1071" s="81" t="str">
        <f aca="false">Data!G1071</f>
        <v>No descriptors available</v>
      </c>
      <c r="H1071" s="81" t="s">
        <v>624</v>
      </c>
      <c r="I1071" s="80" t="s">
        <v>624</v>
      </c>
    </row>
    <row r="1072" customFormat="false" ht="15" hidden="false" customHeight="true" outlineLevel="0" collapsed="false">
      <c r="A1072" s="80" t="n">
        <f aca="false">Data!A1072</f>
        <v>1071</v>
      </c>
      <c r="B1072" s="80" t="str">
        <f aca="false">IFERROR(INDEX(対訳マスタ!$C$2:$C$136,MATCH(Data!B1072,対訳マスタ!$B$2:$B$136,0)),Data!B1072)</f>
        <v>コミュニケーション言語方略</v>
      </c>
      <c r="C1072" s="80" t="str">
        <f aca="false">IF(Data!C1072="—","—",IFERROR(INDEX(対訳マスタ!$C$2:$C$136,MATCH(Data!C1072,対訳マスタ!$B$2:$B$136,0)),Data!C1072))</f>
        <v>仲介</v>
      </c>
      <c r="D1072" s="80" t="str">
        <f aca="false">IF(Data!D1072="—","—",IFERROR(INDEX(対訳マスタ!$C$2:$C$136,MATCH(Data!D1072,対訳マスタ!$B$2:$B$136,0)),Data!D1072))</f>
        <v>テキストを簡略化する方略</v>
      </c>
      <c r="E1072" s="80" t="str">
        <f aca="false">IFERROR(INDEX(対訳マスタ!$C$2:$C$136,MATCH(Data!E1072,対訳マスタ!$B$2:$B$136,0)),Data!E1072)</f>
        <v>密度の高いテキストの展開・補足</v>
      </c>
      <c r="F1072" s="80" t="str">
        <f aca="false">Data!F1072</f>
        <v>Pre-A1</v>
      </c>
      <c r="G1072" s="81" t="str">
        <f aca="false">Data!G1072</f>
        <v>No descriptors available</v>
      </c>
      <c r="H1072" s="81" t="s">
        <v>624</v>
      </c>
      <c r="I1072" s="80" t="s">
        <v>624</v>
      </c>
    </row>
    <row r="1073" customFormat="false" ht="26.25" hidden="false" customHeight="true" outlineLevel="0" collapsed="false">
      <c r="A1073" s="70" t="n">
        <f aca="false">Data!A1073</f>
        <v>1072</v>
      </c>
      <c r="B1073" s="70" t="str">
        <f aca="false">IFERROR(INDEX(対訳マスタ!$C$2:$C$136,MATCH(Data!B1073,対訳マスタ!$B$2:$B$136,0)),Data!B1073)</f>
        <v>コミュニケーション言語方略</v>
      </c>
      <c r="C1073" s="70" t="str">
        <f aca="false">IF(Data!C1073="—","—",IFERROR(INDEX(対訳マスタ!$C$2:$C$136,MATCH(Data!C1073,対訳マスタ!$B$2:$B$136,0)),Data!C1073))</f>
        <v>仲介</v>
      </c>
      <c r="D1073" s="70" t="str">
        <f aca="false">IF(Data!D1073="—","—",IFERROR(INDEX(対訳マスタ!$C$2:$C$136,MATCH(Data!D1073,対訳マスタ!$B$2:$B$136,0)),Data!D1073))</f>
        <v>テキストを簡略化する方略</v>
      </c>
      <c r="E1073" s="70" t="str">
        <f aca="false">IFERROR(INDEX(対訳マスタ!$C$2:$C$136,MATCH(Data!E1073,対訳マスタ!$B$2:$B$136,0)),Data!E1073)</f>
        <v>テキストの整理・簡素化</v>
      </c>
      <c r="F1073" s="70" t="str">
        <f aca="false">Data!F1073</f>
        <v>C2</v>
      </c>
      <c r="G1073" s="31" t="str">
        <f aca="false">Data!G1073</f>
        <v>Can redraft a complex source text, improving coherence, cohesion and the flow of an argument, while removing sections unnecessary for its purpose.</v>
      </c>
      <c r="H1073" s="71" t="s">
        <v>2966</v>
      </c>
      <c r="I1073" s="79" t="s">
        <v>3089</v>
      </c>
    </row>
    <row r="1074" customFormat="false" ht="21.75" hidden="false" customHeight="true" outlineLevel="0" collapsed="false">
      <c r="A1074" s="70" t="n">
        <f aca="false">Data!A1074</f>
        <v>1073</v>
      </c>
      <c r="B1074" s="70" t="str">
        <f aca="false">IFERROR(INDEX(対訳マスタ!$C$2:$C$136,MATCH(Data!B1074,対訳マスタ!$B$2:$B$136,0)),Data!B1074)</f>
        <v>コミュニケーション言語方略</v>
      </c>
      <c r="C1074" s="70" t="str">
        <f aca="false">IF(Data!C1074="—","—",IFERROR(INDEX(対訳マスタ!$C$2:$C$136,MATCH(Data!C1074,対訳マスタ!$B$2:$B$136,0)),Data!C1074))</f>
        <v>仲介</v>
      </c>
      <c r="D1074" s="70" t="str">
        <f aca="false">IF(Data!D1074="—","—",IFERROR(INDEX(対訳マスタ!$C$2:$C$136,MATCH(Data!D1074,対訳マスタ!$B$2:$B$136,0)),Data!D1074))</f>
        <v>テキストを簡略化する方略</v>
      </c>
      <c r="E1074" s="70" t="str">
        <f aca="false">IFERROR(INDEX(対訳マスタ!$C$2:$C$136,MATCH(Data!E1074,対訳マスタ!$B$2:$B$136,0)),Data!E1074)</f>
        <v>テキストの整理・簡素化</v>
      </c>
      <c r="F1074" s="70" t="str">
        <f aca="false">Data!F1074</f>
        <v>C1</v>
      </c>
      <c r="G1074" s="31" t="str">
        <f aca="false">Data!G1074</f>
        <v>Can reorganise a complex source text in order to focus on the points of most relevance to the target audience.</v>
      </c>
      <c r="H1074" s="71" t="s">
        <v>2965</v>
      </c>
      <c r="I1074" s="79" t="s">
        <v>3089</v>
      </c>
    </row>
    <row r="1075" customFormat="false" ht="21.75" hidden="false" customHeight="true" outlineLevel="0" collapsed="false">
      <c r="A1075" s="70" t="n">
        <f aca="false">Data!A1075</f>
        <v>1074</v>
      </c>
      <c r="B1075" s="70" t="str">
        <f aca="false">IFERROR(INDEX(対訳マスタ!$C$2:$C$136,MATCH(Data!B1075,対訳マスタ!$B$2:$B$136,0)),Data!B1075)</f>
        <v>コミュニケーション言語方略</v>
      </c>
      <c r="C1075" s="70" t="str">
        <f aca="false">IF(Data!C1075="—","—",IFERROR(INDEX(対訳マスタ!$C$2:$C$136,MATCH(Data!C1075,対訳マスタ!$B$2:$B$136,0)),Data!C1075))</f>
        <v>仲介</v>
      </c>
      <c r="D1075" s="70" t="str">
        <f aca="false">IF(Data!D1075="—","—",IFERROR(INDEX(対訳マスタ!$C$2:$C$136,MATCH(Data!D1075,対訳マスタ!$B$2:$B$136,0)),Data!D1075))</f>
        <v>テキストを簡略化する方略</v>
      </c>
      <c r="E1075" s="70" t="str">
        <f aca="false">IFERROR(INDEX(対訳マスタ!$C$2:$C$136,MATCH(Data!E1075,対訳マスタ!$B$2:$B$136,0)),Data!E1075)</f>
        <v>テキストの整理・簡素化</v>
      </c>
      <c r="F1075" s="70" t="str">
        <f aca="false">Data!F1075</f>
        <v>B2+</v>
      </c>
      <c r="G1075" s="31" t="str">
        <f aca="false">Data!G1075</f>
        <v>Can simplify a source text by excluding non-relevant or repetitive information and taking into consideration the intended audience.</v>
      </c>
      <c r="H1075" s="71" t="s">
        <v>2964</v>
      </c>
      <c r="I1075" s="79" t="s">
        <v>3089</v>
      </c>
    </row>
    <row r="1076" customFormat="false" ht="32.25" hidden="false" customHeight="true" outlineLevel="0" collapsed="false">
      <c r="A1076" s="70" t="n">
        <f aca="false">Data!A1076</f>
        <v>1075</v>
      </c>
      <c r="B1076" s="70" t="str">
        <f aca="false">IFERROR(INDEX(対訳マスタ!$C$2:$C$136,MATCH(Data!B1076,対訳マスタ!$B$2:$B$136,0)),Data!B1076)</f>
        <v>コミュニケーション言語方略</v>
      </c>
      <c r="C1076" s="70" t="str">
        <f aca="false">IF(Data!C1076="—","—",IFERROR(INDEX(対訳マスタ!$C$2:$C$136,MATCH(Data!C1076,対訳マスタ!$B$2:$B$136,0)),Data!C1076))</f>
        <v>仲介</v>
      </c>
      <c r="D1076" s="70" t="str">
        <f aca="false">IF(Data!D1076="—","—",IFERROR(INDEX(対訳マスタ!$C$2:$C$136,MATCH(Data!D1076,対訳マスタ!$B$2:$B$136,0)),Data!D1076))</f>
        <v>テキストを簡略化する方略</v>
      </c>
      <c r="E1076" s="70" t="str">
        <f aca="false">IFERROR(INDEX(対訳マスタ!$C$2:$C$136,MATCH(Data!E1076,対訳マスタ!$B$2:$B$136,0)),Data!E1076)</f>
        <v>テキストの整理・簡素化</v>
      </c>
      <c r="F1076" s="70" t="str">
        <f aca="false">Data!F1076</f>
        <v>B2</v>
      </c>
      <c r="G1076" s="31" t="str">
        <f aca="false">Data!G1076</f>
        <v>Can edit a source text by deleting the parts that do not add new information that is relevant for a given audience in order to make the significant content more accessible for them.</v>
      </c>
      <c r="H1076" s="71" t="s">
        <v>3526</v>
      </c>
      <c r="I1076" s="79" t="s">
        <v>3089</v>
      </c>
    </row>
    <row r="1077" customFormat="false" ht="26.25" hidden="false" customHeight="true" outlineLevel="0" collapsed="false">
      <c r="A1077" s="70" t="n">
        <f aca="false">Data!A1077</f>
        <v>1076</v>
      </c>
      <c r="B1077" s="70" t="str">
        <f aca="false">IFERROR(INDEX(対訳マスタ!$C$2:$C$136,MATCH(Data!B1077,対訳マスタ!$B$2:$B$136,0)),Data!B1077)</f>
        <v>コミュニケーション言語方略</v>
      </c>
      <c r="C1077" s="70" t="str">
        <f aca="false">IF(Data!C1077="—","—",IFERROR(INDEX(対訳マスタ!$C$2:$C$136,MATCH(Data!C1077,対訳マスタ!$B$2:$B$136,0)),Data!C1077))</f>
        <v>仲介</v>
      </c>
      <c r="D1077" s="70" t="str">
        <f aca="false">IF(Data!D1077="—","—",IFERROR(INDEX(対訳マスタ!$C$2:$C$136,MATCH(Data!D1077,対訳マスタ!$B$2:$B$136,0)),Data!D1077))</f>
        <v>テキストを簡略化する方略</v>
      </c>
      <c r="E1077" s="70" t="str">
        <f aca="false">IFERROR(INDEX(対訳マスタ!$C$2:$C$136,MATCH(Data!E1077,対訳マスタ!$B$2:$B$136,0)),Data!E1077)</f>
        <v>テキストの整理・簡素化</v>
      </c>
      <c r="F1077" s="70" t="str">
        <f aca="false">Data!F1077</f>
        <v>B2</v>
      </c>
      <c r="G1077" s="31" t="str">
        <f aca="false">Data!G1077</f>
        <v>Can identify related or repeated information in different parts of a text and merge it in order to make the essential message clearer.</v>
      </c>
      <c r="H1077" s="71" t="s">
        <v>2963</v>
      </c>
      <c r="I1077" s="79" t="s">
        <v>3089</v>
      </c>
    </row>
    <row r="1078" customFormat="false" ht="26.25" hidden="false" customHeight="true" outlineLevel="0" collapsed="false">
      <c r="A1078" s="70" t="n">
        <f aca="false">Data!A1078</f>
        <v>1077</v>
      </c>
      <c r="B1078" s="70" t="str">
        <f aca="false">IFERROR(INDEX(対訳マスタ!$C$2:$C$136,MATCH(Data!B1078,対訳マスタ!$B$2:$B$136,0)),Data!B1078)</f>
        <v>コミュニケーション言語方略</v>
      </c>
      <c r="C1078" s="70" t="str">
        <f aca="false">IF(Data!C1078="—","—",IFERROR(INDEX(対訳マスタ!$C$2:$C$136,MATCH(Data!C1078,対訳マスタ!$B$2:$B$136,0)),Data!C1078))</f>
        <v>仲介</v>
      </c>
      <c r="D1078" s="70" t="str">
        <f aca="false">IF(Data!D1078="—","—",IFERROR(INDEX(対訳マスタ!$C$2:$C$136,MATCH(Data!D1078,対訳マスタ!$B$2:$B$136,0)),Data!D1078))</f>
        <v>テキストを簡略化する方略</v>
      </c>
      <c r="E1078" s="70" t="str">
        <f aca="false">IFERROR(INDEX(対訳マスタ!$C$2:$C$136,MATCH(Data!E1078,対訳マスタ!$B$2:$B$136,0)),Data!E1078)</f>
        <v>テキストの整理・簡素化</v>
      </c>
      <c r="F1078" s="70" t="str">
        <f aca="false">Data!F1078</f>
        <v>B1</v>
      </c>
      <c r="G1078" s="31" t="str">
        <f aca="false">Data!G1078</f>
        <v>Can identify and mark (e.g. underline, highlight) the essential information in a straightforward, informational text, in order to pass this information on to someone else.</v>
      </c>
      <c r="H1078" s="71" t="s">
        <v>2962</v>
      </c>
      <c r="I1078" s="79" t="s">
        <v>3089</v>
      </c>
    </row>
    <row r="1079" customFormat="false" ht="21.75" hidden="false" customHeight="true" outlineLevel="0" collapsed="false">
      <c r="A1079" s="70" t="n">
        <f aca="false">Data!A1079</f>
        <v>1078</v>
      </c>
      <c r="B1079" s="70" t="str">
        <f aca="false">IFERROR(INDEX(対訳マスタ!$C$2:$C$136,MATCH(Data!B1079,対訳マスタ!$B$2:$B$136,0)),Data!B1079)</f>
        <v>コミュニケーション言語方略</v>
      </c>
      <c r="C1079" s="70" t="str">
        <f aca="false">IF(Data!C1079="—","—",IFERROR(INDEX(対訳マスタ!$C$2:$C$136,MATCH(Data!C1079,対訳マスタ!$B$2:$B$136,0)),Data!C1079))</f>
        <v>仲介</v>
      </c>
      <c r="D1079" s="70" t="str">
        <f aca="false">IF(Data!D1079="—","—",IFERROR(INDEX(対訳マスタ!$C$2:$C$136,MATCH(Data!D1079,対訳マスタ!$B$2:$B$136,0)),Data!D1079))</f>
        <v>テキストを簡略化する方略</v>
      </c>
      <c r="E1079" s="70" t="str">
        <f aca="false">IFERROR(INDEX(対訳マスタ!$C$2:$C$136,MATCH(Data!E1079,対訳マスタ!$B$2:$B$136,0)),Data!E1079)</f>
        <v>テキストの整理・簡素化</v>
      </c>
      <c r="F1079" s="70" t="str">
        <f aca="false">Data!F1079</f>
        <v>A2</v>
      </c>
      <c r="G1079" s="31" t="str">
        <f aca="false">Data!G1079</f>
        <v>Can identify and mark (e.g. underline, highlight) the key sentences in a short everyday text.</v>
      </c>
      <c r="H1079" s="71" t="s">
        <v>2961</v>
      </c>
      <c r="I1079" s="79" t="s">
        <v>3089</v>
      </c>
    </row>
    <row r="1080" customFormat="false" ht="15" hidden="false" customHeight="true" outlineLevel="0" collapsed="false">
      <c r="A1080" s="80" t="n">
        <f aca="false">Data!A1080</f>
        <v>1079</v>
      </c>
      <c r="B1080" s="80" t="str">
        <f aca="false">IFERROR(INDEX(対訳マスタ!$C$2:$C$136,MATCH(Data!B1080,対訳マスタ!$B$2:$B$136,0)),Data!B1080)</f>
        <v>コミュニケーション言語方略</v>
      </c>
      <c r="C1080" s="80" t="str">
        <f aca="false">IF(Data!C1080="—","—",IFERROR(INDEX(対訳マスタ!$C$2:$C$136,MATCH(Data!C1080,対訳マスタ!$B$2:$B$136,0)),Data!C1080))</f>
        <v>仲介</v>
      </c>
      <c r="D1080" s="80" t="str">
        <f aca="false">IF(Data!D1080="—","—",IFERROR(INDEX(対訳マスタ!$C$2:$C$136,MATCH(Data!D1080,対訳マスタ!$B$2:$B$136,0)),Data!D1080))</f>
        <v>テキストを簡略化する方略</v>
      </c>
      <c r="E1080" s="80" t="str">
        <f aca="false">IFERROR(INDEX(対訳マスタ!$C$2:$C$136,MATCH(Data!E1080,対訳マスタ!$B$2:$B$136,0)),Data!E1080)</f>
        <v>テキストの整理・簡素化</v>
      </c>
      <c r="F1080" s="80" t="str">
        <f aca="false">Data!F1080</f>
        <v>A1</v>
      </c>
      <c r="G1080" s="81" t="str">
        <f aca="false">Data!G1080</f>
        <v>No descriptors available</v>
      </c>
      <c r="H1080" s="81" t="s">
        <v>624</v>
      </c>
      <c r="I1080" s="80" t="s">
        <v>624</v>
      </c>
    </row>
    <row r="1081" customFormat="false" ht="15" hidden="false" customHeight="true" outlineLevel="0" collapsed="false">
      <c r="A1081" s="80" t="n">
        <f aca="false">Data!A1081</f>
        <v>1080</v>
      </c>
      <c r="B1081" s="80" t="str">
        <f aca="false">IFERROR(INDEX(対訳マスタ!$C$2:$C$136,MATCH(Data!B1081,対訳マスタ!$B$2:$B$136,0)),Data!B1081)</f>
        <v>コミュニケーション言語方略</v>
      </c>
      <c r="C1081" s="80" t="str">
        <f aca="false">IF(Data!C1081="—","—",IFERROR(INDEX(対訳マスタ!$C$2:$C$136,MATCH(Data!C1081,対訳マスタ!$B$2:$B$136,0)),Data!C1081))</f>
        <v>仲介</v>
      </c>
      <c r="D1081" s="80" t="str">
        <f aca="false">IF(Data!D1081="—","—",IFERROR(INDEX(対訳マスタ!$C$2:$C$136,MATCH(Data!D1081,対訳マスタ!$B$2:$B$136,0)),Data!D1081))</f>
        <v>テキストを簡略化する方略</v>
      </c>
      <c r="E1081" s="80" t="str">
        <f aca="false">IFERROR(INDEX(対訳マスタ!$C$2:$C$136,MATCH(Data!E1081,対訳マスタ!$B$2:$B$136,0)),Data!E1081)</f>
        <v>テキストの整理・簡素化</v>
      </c>
      <c r="F1081" s="80" t="str">
        <f aca="false">Data!F1081</f>
        <v>Pre-A1</v>
      </c>
      <c r="G1081" s="81" t="str">
        <f aca="false">Data!G1081</f>
        <v>No descriptors available</v>
      </c>
      <c r="H1081" s="81" t="s">
        <v>624</v>
      </c>
      <c r="I1081" s="80" t="s">
        <v>624</v>
      </c>
    </row>
    <row r="1082" customFormat="false" ht="32.25" hidden="false" customHeight="true" outlineLevel="0" collapsed="false">
      <c r="A1082" s="70" t="n">
        <f aca="false">Data!A1082</f>
        <v>1081</v>
      </c>
      <c r="B1082" s="70" t="str">
        <f aca="false">IFERROR(INDEX(対訳マスタ!$C$2:$C$136,MATCH(Data!B1082,対訳マスタ!$B$2:$B$136,0)),Data!B1082)</f>
        <v>複言語・複文化能力</v>
      </c>
      <c r="C1082" s="70" t="str">
        <f aca="false">IF(Data!C1082="—","—",IFERROR(INDEX(対訳マスタ!$C$2:$C$136,MATCH(Data!C1082,対訳マスタ!$B$2:$B$136,0)),Data!C1082))</f>
        <v>—</v>
      </c>
      <c r="D1082" s="70" t="str">
        <f aca="false">IF(Data!D1082="—","—",IFERROR(INDEX(対訳マスタ!$C$2:$C$136,MATCH(Data!D1082,対訳マスタ!$B$2:$B$136,0)),Data!D1082))</f>
        <v>—</v>
      </c>
      <c r="E1082" s="70" t="str">
        <f aca="false">IFERROR(INDEX(対訳マスタ!$C$2:$C$136,MATCH(Data!E1082,対訳マスタ!$B$2:$B$136,0)),Data!E1082)</f>
        <v>複文化レパートリーの活用</v>
      </c>
      <c r="F1082" s="70" t="str">
        <f aca="false">Data!F1082</f>
        <v>C2</v>
      </c>
      <c r="G1082" s="31" t="str">
        <f aca="false">Data!G1082</f>
        <v>Can initiate and control their actions and forms of expression according to context, showing awareness of cultural differences and making subtle adjustments in order to prevent and/or repair misunderstandings and cultural incidents.</v>
      </c>
      <c r="H1082" s="71" t="s">
        <v>2972</v>
      </c>
      <c r="I1082" s="79" t="s">
        <v>3089</v>
      </c>
    </row>
    <row r="1083" customFormat="false" ht="26.25" hidden="false" customHeight="true" outlineLevel="0" collapsed="false">
      <c r="A1083" s="70" t="n">
        <f aca="false">Data!A1083</f>
        <v>1082</v>
      </c>
      <c r="B1083" s="70" t="str">
        <f aca="false">IFERROR(INDEX(対訳マスタ!$C$2:$C$136,MATCH(Data!B1083,対訳マスタ!$B$2:$B$136,0)),Data!B1083)</f>
        <v>複言語・複文化能力</v>
      </c>
      <c r="C1083" s="70" t="str">
        <f aca="false">IF(Data!C1083="—","—",IFERROR(INDEX(対訳マスタ!$C$2:$C$136,MATCH(Data!C1083,対訳マスタ!$B$2:$B$136,0)),Data!C1083))</f>
        <v>—</v>
      </c>
      <c r="D1083" s="70" t="str">
        <f aca="false">IF(Data!D1083="—","—",IFERROR(INDEX(対訳マスタ!$C$2:$C$136,MATCH(Data!D1083,対訳マスタ!$B$2:$B$136,0)),Data!D1083))</f>
        <v>—</v>
      </c>
      <c r="E1083" s="70" t="str">
        <f aca="false">IFERROR(INDEX(対訳マスタ!$C$2:$C$136,MATCH(Data!E1083,対訳マスタ!$B$2:$B$136,0)),Data!E1083)</f>
        <v>複文化レパートリーの活用</v>
      </c>
      <c r="F1083" s="70" t="str">
        <f aca="false">Data!F1083</f>
        <v>C1</v>
      </c>
      <c r="G1083" s="31" t="str">
        <f aca="false">Data!G1083</f>
        <v>Can identify differences in sociolinguistic/-pragmatic conventions, critically reflect on them and adjust their communication accordingly.</v>
      </c>
      <c r="H1083" s="71" t="s">
        <v>2971</v>
      </c>
      <c r="I1083" s="79" t="s">
        <v>3089</v>
      </c>
    </row>
    <row r="1084" customFormat="false" ht="21.75" hidden="false" customHeight="true" outlineLevel="0" collapsed="false">
      <c r="A1084" s="70" t="n">
        <f aca="false">Data!A1084</f>
        <v>1083</v>
      </c>
      <c r="B1084" s="70" t="str">
        <f aca="false">IFERROR(INDEX(対訳マスタ!$C$2:$C$136,MATCH(Data!B1084,対訳マスタ!$B$2:$B$136,0)),Data!B1084)</f>
        <v>複言語・複文化能力</v>
      </c>
      <c r="C1084" s="70" t="str">
        <f aca="false">IF(Data!C1084="—","—",IFERROR(INDEX(対訳マスタ!$C$2:$C$136,MATCH(Data!C1084,対訳マスタ!$B$2:$B$136,0)),Data!C1084))</f>
        <v>—</v>
      </c>
      <c r="D1084" s="70" t="str">
        <f aca="false">IF(Data!D1084="—","—",IFERROR(INDEX(対訳マスタ!$C$2:$C$136,MATCH(Data!D1084,対訳マスタ!$B$2:$B$136,0)),Data!D1084))</f>
        <v>—</v>
      </c>
      <c r="E1084" s="70" t="str">
        <f aca="false">IFERROR(INDEX(対訳マスタ!$C$2:$C$136,MATCH(Data!E1084,対訳マスタ!$B$2:$B$136,0)),Data!E1084)</f>
        <v>複文化レパートリーの活用</v>
      </c>
      <c r="F1084" s="70" t="str">
        <f aca="false">Data!F1084</f>
        <v>C1</v>
      </c>
      <c r="G1084" s="31" t="str">
        <f aca="false">Data!G1084</f>
        <v>Can sensitively explain the background to and interpret and discuss aspects of cultural values and practices drawing on intercultural encounters, reading, film, etc.</v>
      </c>
      <c r="H1084" s="71" t="s">
        <v>3527</v>
      </c>
      <c r="I1084" s="79" t="s">
        <v>3089</v>
      </c>
    </row>
    <row r="1085" customFormat="false" ht="21.75" hidden="false" customHeight="true" outlineLevel="0" collapsed="false">
      <c r="A1085" s="70" t="n">
        <f aca="false">Data!A1085</f>
        <v>1084</v>
      </c>
      <c r="B1085" s="70" t="str">
        <f aca="false">IFERROR(INDEX(対訳マスタ!$C$2:$C$136,MATCH(Data!B1085,対訳マスタ!$B$2:$B$136,0)),Data!B1085)</f>
        <v>複言語・複文化能力</v>
      </c>
      <c r="C1085" s="70" t="str">
        <f aca="false">IF(Data!C1085="—","—",IFERROR(INDEX(対訳マスタ!$C$2:$C$136,MATCH(Data!C1085,対訳マスタ!$B$2:$B$136,0)),Data!C1085))</f>
        <v>—</v>
      </c>
      <c r="D1085" s="70" t="str">
        <f aca="false">IF(Data!D1085="—","—",IFERROR(INDEX(対訳マスタ!$C$2:$C$136,MATCH(Data!D1085,対訳マスタ!$B$2:$B$136,0)),Data!D1085))</f>
        <v>—</v>
      </c>
      <c r="E1085" s="70" t="str">
        <f aca="false">IFERROR(INDEX(対訳マスタ!$C$2:$C$136,MATCH(Data!E1085,対訳マスタ!$B$2:$B$136,0)),Data!E1085)</f>
        <v>複文化レパートリーの活用</v>
      </c>
      <c r="F1085" s="70" t="str">
        <f aca="false">Data!F1085</f>
        <v>C1</v>
      </c>
      <c r="G1085" s="31" t="str">
        <f aca="false">Data!G1085</f>
        <v>Can deal with ambiguity in cross-cultural communication and express their reactions constructively and culturally appropriately in order to bring clarity.</v>
      </c>
      <c r="H1085" s="71" t="s">
        <v>3528</v>
      </c>
      <c r="I1085" s="79" t="s">
        <v>3089</v>
      </c>
    </row>
    <row r="1086" customFormat="false" ht="32.25" hidden="false" customHeight="true" outlineLevel="0" collapsed="false">
      <c r="A1086" s="70" t="n">
        <f aca="false">Data!A1086</f>
        <v>1085</v>
      </c>
      <c r="B1086" s="70" t="str">
        <f aca="false">IFERROR(INDEX(対訳マスタ!$C$2:$C$136,MATCH(Data!B1086,対訳マスタ!$B$2:$B$136,0)),Data!B1086)</f>
        <v>複言語・複文化能力</v>
      </c>
      <c r="C1086" s="70" t="str">
        <f aca="false">IF(Data!C1086="—","—",IFERROR(INDEX(対訳マスタ!$C$2:$C$136,MATCH(Data!C1086,対訳マスタ!$B$2:$B$136,0)),Data!C1086))</f>
        <v>—</v>
      </c>
      <c r="D1086" s="70" t="str">
        <f aca="false">IF(Data!D1086="—","—",IFERROR(INDEX(対訳マスタ!$C$2:$C$136,MATCH(Data!D1086,対訳マスタ!$B$2:$B$136,0)),Data!D1086))</f>
        <v>—</v>
      </c>
      <c r="E1086" s="70" t="str">
        <f aca="false">IFERROR(INDEX(対訳マスタ!$C$2:$C$136,MATCH(Data!E1086,対訳マスタ!$B$2:$B$136,0)),Data!E1086)</f>
        <v>複文化レパートリーの活用</v>
      </c>
      <c r="F1086" s="70" t="str">
        <f aca="false">Data!F1086</f>
        <v>B2</v>
      </c>
      <c r="G1086" s="31" t="str">
        <f aca="false">Data!G1086</f>
        <v>**Can describe and evaluate the viewpoints and practices of their own and other social groups, showing awareness of the implicit values on which judgments and prejudices are frequently based.</v>
      </c>
      <c r="H1086" s="71" t="s">
        <v>3529</v>
      </c>
      <c r="I1086" s="79" t="s">
        <v>3089</v>
      </c>
    </row>
    <row r="1087" customFormat="false" ht="32.25" hidden="false" customHeight="true" outlineLevel="0" collapsed="false">
      <c r="A1087" s="70" t="n">
        <f aca="false">Data!A1087</f>
        <v>1086</v>
      </c>
      <c r="B1087" s="70" t="str">
        <f aca="false">IFERROR(INDEX(対訳マスタ!$C$2:$C$136,MATCH(Data!B1087,対訳マスタ!$B$2:$B$136,0)),Data!B1087)</f>
        <v>複言語・複文化能力</v>
      </c>
      <c r="C1087" s="70" t="str">
        <f aca="false">IF(Data!C1087="—","—",IFERROR(INDEX(対訳マスタ!$C$2:$C$136,MATCH(Data!C1087,対訳マスタ!$B$2:$B$136,0)),Data!C1087))</f>
        <v>—</v>
      </c>
      <c r="D1087" s="70" t="str">
        <f aca="false">IF(Data!D1087="—","—",IFERROR(INDEX(対訳マスタ!$C$2:$C$136,MATCH(Data!D1087,対訳マスタ!$B$2:$B$136,0)),Data!D1087))</f>
        <v>—</v>
      </c>
      <c r="E1087" s="70" t="str">
        <f aca="false">IFERROR(INDEX(対訳マスタ!$C$2:$C$136,MATCH(Data!E1087,対訳マスタ!$B$2:$B$136,0)),Data!E1087)</f>
        <v>複文化レパートリーの活用</v>
      </c>
      <c r="F1087" s="70" t="str">
        <f aca="false">Data!F1087</f>
        <v>B2</v>
      </c>
      <c r="G1087" s="31" t="str">
        <f aca="false">Data!G1087</f>
        <v>**Can explain their interpretation of the cultural assumptions, preconceptions, stereotypes and prejudices of their own community and of other communities that they are familiar with.</v>
      </c>
      <c r="H1087" s="71" t="s">
        <v>3530</v>
      </c>
      <c r="I1087" s="79" t="s">
        <v>3089</v>
      </c>
    </row>
    <row r="1088" customFormat="false" ht="32.25" hidden="false" customHeight="true" outlineLevel="0" collapsed="false">
      <c r="A1088" s="70" t="n">
        <f aca="false">Data!A1088</f>
        <v>1087</v>
      </c>
      <c r="B1088" s="70" t="str">
        <f aca="false">IFERROR(INDEX(対訳マスタ!$C$2:$C$136,MATCH(Data!B1088,対訳マスタ!$B$2:$B$136,0)),Data!B1088)</f>
        <v>複言語・複文化能力</v>
      </c>
      <c r="C1088" s="70" t="str">
        <f aca="false">IF(Data!C1088="—","—",IFERROR(INDEX(対訳マスタ!$C$2:$C$136,MATCH(Data!C1088,対訳マスタ!$B$2:$B$136,0)),Data!C1088))</f>
        <v>—</v>
      </c>
      <c r="D1088" s="70" t="str">
        <f aca="false">IF(Data!D1088="—","—",IFERROR(INDEX(対訳マスタ!$C$2:$C$136,MATCH(Data!D1088,対訳マスタ!$B$2:$B$136,0)),Data!D1088))</f>
        <v>—</v>
      </c>
      <c r="E1088" s="70" t="str">
        <f aca="false">IFERROR(INDEX(対訳マスタ!$C$2:$C$136,MATCH(Data!E1088,対訳マスタ!$B$2:$B$136,0)),Data!E1088)</f>
        <v>複文化レパートリーの活用</v>
      </c>
      <c r="F1088" s="70" t="str">
        <f aca="false">Data!F1088</f>
        <v>B2</v>
      </c>
      <c r="G1088" s="31" t="str">
        <f aca="false">Data!G1088</f>
        <v>**Can interpret and explain a document or event from another culture and relate it to documents or events from their own culture(s) and/or from cultures with which they are familiar.</v>
      </c>
      <c r="H1088" s="71" t="s">
        <v>3531</v>
      </c>
      <c r="I1088" s="79" t="s">
        <v>3089</v>
      </c>
    </row>
    <row r="1089" customFormat="false" ht="21.75" hidden="false" customHeight="true" outlineLevel="0" collapsed="false">
      <c r="A1089" s="70" t="n">
        <f aca="false">Data!A1089</f>
        <v>1088</v>
      </c>
      <c r="B1089" s="70" t="str">
        <f aca="false">IFERROR(INDEX(対訳マスタ!$C$2:$C$136,MATCH(Data!B1089,対訳マスタ!$B$2:$B$136,0)),Data!B1089)</f>
        <v>複言語・複文化能力</v>
      </c>
      <c r="C1089" s="70" t="str">
        <f aca="false">IF(Data!C1089="—","—",IFERROR(INDEX(対訳マスタ!$C$2:$C$136,MATCH(Data!C1089,対訳マスタ!$B$2:$B$136,0)),Data!C1089))</f>
        <v>—</v>
      </c>
      <c r="D1089" s="70" t="str">
        <f aca="false">IF(Data!D1089="—","—",IFERROR(INDEX(対訳マスタ!$C$2:$C$136,MATCH(Data!D1089,対訳マスタ!$B$2:$B$136,0)),Data!D1089))</f>
        <v>—</v>
      </c>
      <c r="E1089" s="70" t="str">
        <f aca="false">IFERROR(INDEX(対訳マスタ!$C$2:$C$136,MATCH(Data!E1089,対訳マスタ!$B$2:$B$136,0)),Data!E1089)</f>
        <v>複文化レパートリーの活用</v>
      </c>
      <c r="F1089" s="70" t="str">
        <f aca="false">Data!F1089</f>
        <v>B2</v>
      </c>
      <c r="G1089" s="31" t="str">
        <f aca="false">Data!G1089</f>
        <v>**Can discuss the objectivity and balance of information and opinions expressed in the media about their own and other communities.</v>
      </c>
      <c r="H1089" s="71" t="s">
        <v>3532</v>
      </c>
      <c r="I1089" s="79" t="s">
        <v>3089</v>
      </c>
    </row>
    <row r="1090" customFormat="false" ht="32.25" hidden="false" customHeight="true" outlineLevel="0" collapsed="false">
      <c r="A1090" s="70" t="n">
        <f aca="false">Data!A1090</f>
        <v>1089</v>
      </c>
      <c r="B1090" s="70" t="str">
        <f aca="false">IFERROR(INDEX(対訳マスタ!$C$2:$C$136,MATCH(Data!B1090,対訳マスタ!$B$2:$B$136,0)),Data!B1090)</f>
        <v>複言語・複文化能力</v>
      </c>
      <c r="C1090" s="70" t="str">
        <f aca="false">IF(Data!C1090="—","—",IFERROR(INDEX(対訳マスタ!$C$2:$C$136,MATCH(Data!C1090,対訳マスタ!$B$2:$B$136,0)),Data!C1090))</f>
        <v>—</v>
      </c>
      <c r="D1090" s="70" t="str">
        <f aca="false">IF(Data!D1090="—","—",IFERROR(INDEX(対訳マスタ!$C$2:$C$136,MATCH(Data!D1090,対訳マスタ!$B$2:$B$136,0)),Data!D1090))</f>
        <v>—</v>
      </c>
      <c r="E1090" s="70" t="str">
        <f aca="false">IFERROR(INDEX(対訳マスタ!$C$2:$C$136,MATCH(Data!E1090,対訳マスタ!$B$2:$B$136,0)),Data!E1090)</f>
        <v>複文化レパートリーの活用</v>
      </c>
      <c r="F1090" s="70" t="str">
        <f aca="false">Data!F1090</f>
        <v>B2</v>
      </c>
      <c r="G1090" s="31" t="str">
        <f aca="false">Data!G1090</f>
        <v>Can identify and reflect on similarities and differences in culturally determined behavioural patterns (e.g. gestures and speech volume or, for sign languages, sign size) and discuss their significance in order to negotiate mutual understanding.</v>
      </c>
      <c r="H1090" s="71" t="s">
        <v>3533</v>
      </c>
      <c r="I1090" s="79" t="s">
        <v>3089</v>
      </c>
    </row>
    <row r="1091" customFormat="false" ht="32.25" hidden="false" customHeight="true" outlineLevel="0" collapsed="false">
      <c r="A1091" s="70" t="n">
        <f aca="false">Data!A1091</f>
        <v>1090</v>
      </c>
      <c r="B1091" s="70" t="str">
        <f aca="false">IFERROR(INDEX(対訳マスタ!$C$2:$C$136,MATCH(Data!B1091,対訳マスタ!$B$2:$B$136,0)),Data!B1091)</f>
        <v>複言語・複文化能力</v>
      </c>
      <c r="C1091" s="70" t="str">
        <f aca="false">IF(Data!C1091="—","—",IFERROR(INDEX(対訳マスタ!$C$2:$C$136,MATCH(Data!C1091,対訳マスタ!$B$2:$B$136,0)),Data!C1091))</f>
        <v>—</v>
      </c>
      <c r="D1091" s="70" t="str">
        <f aca="false">IF(Data!D1091="—","—",IFERROR(INDEX(対訳マスタ!$C$2:$C$136,MATCH(Data!D1091,対訳マスタ!$B$2:$B$136,0)),Data!D1091))</f>
        <v>—</v>
      </c>
      <c r="E1091" s="70" t="str">
        <f aca="false">IFERROR(INDEX(対訳マスタ!$C$2:$C$136,MATCH(Data!E1091,対訳マスタ!$B$2:$B$136,0)),Data!E1091)</f>
        <v>複文化レパートリーの活用</v>
      </c>
      <c r="F1091" s="70" t="str">
        <f aca="false">Data!F1091</f>
        <v>B2</v>
      </c>
      <c r="G1091" s="31" t="str">
        <f aca="false">Data!G1091</f>
        <v>Can, in an intercultural encounter, recognise that what one normally takes for granted in a particular situation is not necessarily shared by others, and can react and express themselves appropriately.</v>
      </c>
      <c r="H1091" s="71" t="s">
        <v>3534</v>
      </c>
      <c r="I1091" s="79" t="s">
        <v>3089</v>
      </c>
    </row>
    <row r="1092" customFormat="false" ht="15" hidden="false" customHeight="true" outlineLevel="0" collapsed="false">
      <c r="A1092" s="70" t="n">
        <f aca="false">Data!A1092</f>
        <v>1091</v>
      </c>
      <c r="B1092" s="70" t="str">
        <f aca="false">IFERROR(INDEX(対訳マスタ!$C$2:$C$136,MATCH(Data!B1092,対訳マスタ!$B$2:$B$136,0)),Data!B1092)</f>
        <v>複言語・複文化能力</v>
      </c>
      <c r="C1092" s="70" t="str">
        <f aca="false">IF(Data!C1092="—","—",IFERROR(INDEX(対訳マスタ!$C$2:$C$136,MATCH(Data!C1092,対訳マスタ!$B$2:$B$136,0)),Data!C1092))</f>
        <v>—</v>
      </c>
      <c r="D1092" s="70" t="str">
        <f aca="false">IF(Data!D1092="—","—",IFERROR(INDEX(対訳マスタ!$C$2:$C$136,MATCH(Data!D1092,対訳マスタ!$B$2:$B$136,0)),Data!D1092))</f>
        <v>—</v>
      </c>
      <c r="E1092" s="70" t="str">
        <f aca="false">IFERROR(INDEX(対訳マスタ!$C$2:$C$136,MATCH(Data!E1092,対訳マスタ!$B$2:$B$136,0)),Data!E1092)</f>
        <v>複文化レパートリーの活用</v>
      </c>
      <c r="F1092" s="70" t="str">
        <f aca="false">Data!F1092</f>
        <v>B2</v>
      </c>
      <c r="G1092" s="31" t="str">
        <f aca="false">Data!G1092</f>
        <v>Can generally interpret cultural cues appropriately in the culture concerned.</v>
      </c>
      <c r="H1092" s="71" t="s">
        <v>2970</v>
      </c>
      <c r="I1092" s="79" t="s">
        <v>3089</v>
      </c>
    </row>
    <row r="1093" customFormat="false" ht="21.75" hidden="false" customHeight="true" outlineLevel="0" collapsed="false">
      <c r="A1093" s="70" t="n">
        <f aca="false">Data!A1093</f>
        <v>1092</v>
      </c>
      <c r="B1093" s="70" t="str">
        <f aca="false">IFERROR(INDEX(対訳マスタ!$C$2:$C$136,MATCH(Data!B1093,対訳マスタ!$B$2:$B$136,0)),Data!B1093)</f>
        <v>複言語・複文化能力</v>
      </c>
      <c r="C1093" s="70" t="str">
        <f aca="false">IF(Data!C1093="—","—",IFERROR(INDEX(対訳マスタ!$C$2:$C$136,MATCH(Data!C1093,対訳マスタ!$B$2:$B$136,0)),Data!C1093))</f>
        <v>—</v>
      </c>
      <c r="D1093" s="70" t="str">
        <f aca="false">IF(Data!D1093="—","—",IFERROR(INDEX(対訳マスタ!$C$2:$C$136,MATCH(Data!D1093,対訳マスタ!$B$2:$B$136,0)),Data!D1093))</f>
        <v>—</v>
      </c>
      <c r="E1093" s="70" t="str">
        <f aca="false">IFERROR(INDEX(対訳マスタ!$C$2:$C$136,MATCH(Data!E1093,対訳マスタ!$B$2:$B$136,0)),Data!E1093)</f>
        <v>複文化レパートリーの活用</v>
      </c>
      <c r="F1093" s="70" t="str">
        <f aca="false">Data!F1093</f>
        <v>B2</v>
      </c>
      <c r="G1093" s="31" t="str">
        <f aca="false">Data!G1093</f>
        <v>Can reflect on and explain particular ways of communicating in their own and other cultures, and the risks of misunderstanding they generate.</v>
      </c>
      <c r="H1093" s="71" t="s">
        <v>3535</v>
      </c>
      <c r="I1093" s="79" t="s">
        <v>3089</v>
      </c>
    </row>
    <row r="1094" customFormat="false" ht="21.75" hidden="false" customHeight="true" outlineLevel="0" collapsed="false">
      <c r="A1094" s="70" t="n">
        <f aca="false">Data!A1094</f>
        <v>1093</v>
      </c>
      <c r="B1094" s="70" t="str">
        <f aca="false">IFERROR(INDEX(対訳マスタ!$C$2:$C$136,MATCH(Data!B1094,対訳マスタ!$B$2:$B$136,0)),Data!B1094)</f>
        <v>複言語・複文化能力</v>
      </c>
      <c r="C1094" s="70" t="str">
        <f aca="false">IF(Data!C1094="—","—",IFERROR(INDEX(対訳マスタ!$C$2:$C$136,MATCH(Data!C1094,対訳マスタ!$B$2:$B$136,0)),Data!C1094))</f>
        <v>—</v>
      </c>
      <c r="D1094" s="70" t="str">
        <f aca="false">IF(Data!D1094="—","—",IFERROR(INDEX(対訳マスタ!$C$2:$C$136,MATCH(Data!D1094,対訳マスタ!$B$2:$B$136,0)),Data!D1094))</f>
        <v>—</v>
      </c>
      <c r="E1094" s="70" t="str">
        <f aca="false">IFERROR(INDEX(対訳マスタ!$C$2:$C$136,MATCH(Data!E1094,対訳マスタ!$B$2:$B$136,0)),Data!E1094)</f>
        <v>複文化レパートリーの活用</v>
      </c>
      <c r="F1094" s="70" t="str">
        <f aca="false">Data!F1094</f>
        <v>B1</v>
      </c>
      <c r="G1094" s="31" t="str">
        <f aca="false">Data!G1094</f>
        <v>Can generally act according to conventions regarding posture, eye contact and distance from others.</v>
      </c>
      <c r="H1094" s="71" t="s">
        <v>3536</v>
      </c>
      <c r="I1094" s="79" t="s">
        <v>3089</v>
      </c>
    </row>
    <row r="1095" customFormat="false" ht="15" hidden="false" customHeight="true" outlineLevel="0" collapsed="false">
      <c r="A1095" s="70" t="n">
        <f aca="false">Data!A1095</f>
        <v>1094</v>
      </c>
      <c r="B1095" s="70" t="str">
        <f aca="false">IFERROR(INDEX(対訳マスタ!$C$2:$C$136,MATCH(Data!B1095,対訳マスタ!$B$2:$B$136,0)),Data!B1095)</f>
        <v>複言語・複文化能力</v>
      </c>
      <c r="C1095" s="70" t="str">
        <f aca="false">IF(Data!C1095="—","—",IFERROR(INDEX(対訳マスタ!$C$2:$C$136,MATCH(Data!C1095,対訳マスタ!$B$2:$B$136,0)),Data!C1095))</f>
        <v>—</v>
      </c>
      <c r="D1095" s="70" t="str">
        <f aca="false">IF(Data!D1095="—","—",IFERROR(INDEX(対訳マスタ!$C$2:$C$136,MATCH(Data!D1095,対訳マスタ!$B$2:$B$136,0)),Data!D1095))</f>
        <v>—</v>
      </c>
      <c r="E1095" s="70" t="str">
        <f aca="false">IFERROR(INDEX(対訳マスタ!$C$2:$C$136,MATCH(Data!E1095,対訳マスタ!$B$2:$B$136,0)),Data!E1095)</f>
        <v>複文化レパートリーの活用</v>
      </c>
      <c r="F1095" s="70" t="str">
        <f aca="false">Data!F1095</f>
        <v>B1</v>
      </c>
      <c r="G1095" s="31" t="str">
        <f aca="false">Data!G1095</f>
        <v>Can generally respond appropriately to the most commonly used cultural cues.</v>
      </c>
      <c r="H1095" s="71" t="s">
        <v>2969</v>
      </c>
      <c r="I1095" s="79" t="s">
        <v>3089</v>
      </c>
    </row>
    <row r="1096" customFormat="false" ht="21.75" hidden="false" customHeight="true" outlineLevel="0" collapsed="false">
      <c r="A1096" s="70" t="n">
        <f aca="false">Data!A1096</f>
        <v>1095</v>
      </c>
      <c r="B1096" s="70" t="str">
        <f aca="false">IFERROR(INDEX(対訳マスタ!$C$2:$C$136,MATCH(Data!B1096,対訳マスタ!$B$2:$B$136,0)),Data!B1096)</f>
        <v>複言語・複文化能力</v>
      </c>
      <c r="C1096" s="70" t="str">
        <f aca="false">IF(Data!C1096="—","—",IFERROR(INDEX(対訳マスタ!$C$2:$C$136,MATCH(Data!C1096,対訳マスタ!$B$2:$B$136,0)),Data!C1096))</f>
        <v>—</v>
      </c>
      <c r="D1096" s="70" t="str">
        <f aca="false">IF(Data!D1096="—","—",IFERROR(INDEX(対訳マスタ!$C$2:$C$136,MATCH(Data!D1096,対訳マスタ!$B$2:$B$136,0)),Data!D1096))</f>
        <v>—</v>
      </c>
      <c r="E1096" s="70" t="str">
        <f aca="false">IFERROR(INDEX(対訳マスタ!$C$2:$C$136,MATCH(Data!E1096,対訳マスタ!$B$2:$B$136,0)),Data!E1096)</f>
        <v>複文化レパートリーの活用</v>
      </c>
      <c r="F1096" s="70" t="str">
        <f aca="false">Data!F1096</f>
        <v>B1</v>
      </c>
      <c r="G1096" s="31" t="str">
        <f aca="false">Data!G1096</f>
        <v>Can explain features of their own culture to members of another culture or explain features of the other culture to members of their own culture.</v>
      </c>
      <c r="H1096" s="71" t="s">
        <v>3537</v>
      </c>
      <c r="I1096" s="79" t="s">
        <v>3089</v>
      </c>
    </row>
    <row r="1097" customFormat="false" ht="21.75" hidden="false" customHeight="true" outlineLevel="0" collapsed="false">
      <c r="A1097" s="70" t="n">
        <f aca="false">Data!A1097</f>
        <v>1096</v>
      </c>
      <c r="B1097" s="70" t="str">
        <f aca="false">IFERROR(INDEX(対訳マスタ!$C$2:$C$136,MATCH(Data!B1097,対訳マスタ!$B$2:$B$136,0)),Data!B1097)</f>
        <v>複言語・複文化能力</v>
      </c>
      <c r="C1097" s="70" t="str">
        <f aca="false">IF(Data!C1097="—","—",IFERROR(INDEX(対訳マスタ!$C$2:$C$136,MATCH(Data!C1097,対訳マスタ!$B$2:$B$136,0)),Data!C1097))</f>
        <v>—</v>
      </c>
      <c r="D1097" s="70" t="str">
        <f aca="false">IF(Data!D1097="—","—",IFERROR(INDEX(対訳マスタ!$C$2:$C$136,MATCH(Data!D1097,対訳マスタ!$B$2:$B$136,0)),Data!D1097))</f>
        <v>—</v>
      </c>
      <c r="E1097" s="70" t="str">
        <f aca="false">IFERROR(INDEX(対訳マスタ!$C$2:$C$136,MATCH(Data!E1097,対訳マスタ!$B$2:$B$136,0)),Data!E1097)</f>
        <v>複文化レパートリーの活用</v>
      </c>
      <c r="F1097" s="70" t="str">
        <f aca="false">Data!F1097</f>
        <v>B1</v>
      </c>
      <c r="G1097" s="31" t="str">
        <f aca="false">Data!G1097</f>
        <v>Can explain in simple terms how their own values and behaviours influence their views of other people’s values and behaviours.</v>
      </c>
      <c r="H1097" s="71" t="s">
        <v>3538</v>
      </c>
      <c r="I1097" s="79" t="s">
        <v>3089</v>
      </c>
    </row>
    <row r="1098" customFormat="false" ht="21.75" hidden="false" customHeight="true" outlineLevel="0" collapsed="false">
      <c r="A1098" s="70" t="n">
        <f aca="false">Data!A1098</f>
        <v>1097</v>
      </c>
      <c r="B1098" s="70" t="str">
        <f aca="false">IFERROR(INDEX(対訳マスタ!$C$2:$C$136,MATCH(Data!B1098,対訳マスタ!$B$2:$B$136,0)),Data!B1098)</f>
        <v>複言語・複文化能力</v>
      </c>
      <c r="C1098" s="70" t="str">
        <f aca="false">IF(Data!C1098="—","—",IFERROR(INDEX(対訳マスタ!$C$2:$C$136,MATCH(Data!C1098,対訳マスタ!$B$2:$B$136,0)),Data!C1098))</f>
        <v>—</v>
      </c>
      <c r="D1098" s="70" t="str">
        <f aca="false">IF(Data!D1098="—","—",IFERROR(INDEX(対訳マスタ!$C$2:$C$136,MATCH(Data!D1098,対訳マスタ!$B$2:$B$136,0)),Data!D1098))</f>
        <v>—</v>
      </c>
      <c r="E1098" s="70" t="str">
        <f aca="false">IFERROR(INDEX(対訳マスタ!$C$2:$C$136,MATCH(Data!E1098,対訳マスタ!$B$2:$B$136,0)),Data!E1098)</f>
        <v>複文化レパートリーの活用</v>
      </c>
      <c r="F1098" s="70" t="str">
        <f aca="false">Data!F1098</f>
        <v>B1</v>
      </c>
      <c r="G1098" s="31" t="str">
        <f aca="false">Data!G1098</f>
        <v>Can discuss in simple terms the way in which things that may look “strange” to them in another sociocultural context may well be “normal” for the other people concerned.</v>
      </c>
      <c r="H1098" s="71" t="s">
        <v>3539</v>
      </c>
      <c r="I1098" s="79" t="s">
        <v>3089</v>
      </c>
    </row>
    <row r="1099" customFormat="false" ht="21.75" hidden="false" customHeight="true" outlineLevel="0" collapsed="false">
      <c r="A1099" s="70" t="n">
        <f aca="false">Data!A1099</f>
        <v>1098</v>
      </c>
      <c r="B1099" s="70" t="str">
        <f aca="false">IFERROR(INDEX(対訳マスタ!$C$2:$C$136,MATCH(Data!B1099,対訳マスタ!$B$2:$B$136,0)),Data!B1099)</f>
        <v>複言語・複文化能力</v>
      </c>
      <c r="C1099" s="70" t="str">
        <f aca="false">IF(Data!C1099="—","—",IFERROR(INDEX(対訳マスタ!$C$2:$C$136,MATCH(Data!C1099,対訳マスタ!$B$2:$B$136,0)),Data!C1099))</f>
        <v>—</v>
      </c>
      <c r="D1099" s="70" t="str">
        <f aca="false">IF(Data!D1099="—","—",IFERROR(INDEX(対訳マスタ!$C$2:$C$136,MATCH(Data!D1099,対訳マスタ!$B$2:$B$136,0)),Data!D1099))</f>
        <v>—</v>
      </c>
      <c r="E1099" s="70" t="str">
        <f aca="false">IFERROR(INDEX(対訳マスタ!$C$2:$C$136,MATCH(Data!E1099,対訳マスタ!$B$2:$B$136,0)),Data!E1099)</f>
        <v>複文化レパートリーの活用</v>
      </c>
      <c r="F1099" s="70" t="str">
        <f aca="false">Data!F1099</f>
        <v>B1</v>
      </c>
      <c r="G1099" s="31" t="str">
        <f aca="false">Data!G1099</f>
        <v>Can discuss in simple terms the way their own culturally determined actions may be perceived differently by people from other cultures.</v>
      </c>
      <c r="H1099" s="71" t="s">
        <v>3540</v>
      </c>
      <c r="I1099" s="79" t="s">
        <v>3089</v>
      </c>
    </row>
    <row r="1100" customFormat="false" ht="26.25" hidden="false" customHeight="true" outlineLevel="0" collapsed="false">
      <c r="A1100" s="70" t="n">
        <f aca="false">Data!A1100</f>
        <v>1099</v>
      </c>
      <c r="B1100" s="70" t="str">
        <f aca="false">IFERROR(INDEX(対訳マスタ!$C$2:$C$136,MATCH(Data!B1100,対訳マスタ!$B$2:$B$136,0)),Data!B1100)</f>
        <v>複言語・複文化能力</v>
      </c>
      <c r="C1100" s="70" t="str">
        <f aca="false">IF(Data!C1100="—","—",IFERROR(INDEX(対訳マスタ!$C$2:$C$136,MATCH(Data!C1100,対訳マスタ!$B$2:$B$136,0)),Data!C1100))</f>
        <v>—</v>
      </c>
      <c r="D1100" s="70" t="str">
        <f aca="false">IF(Data!D1100="—","—",IFERROR(INDEX(対訳マスタ!$C$2:$C$136,MATCH(Data!D1100,対訳マスタ!$B$2:$B$136,0)),Data!D1100))</f>
        <v>—</v>
      </c>
      <c r="E1100" s="70" t="str">
        <f aca="false">IFERROR(INDEX(対訳マスタ!$C$2:$C$136,MATCH(Data!E1100,対訳マスタ!$B$2:$B$136,0)),Data!E1100)</f>
        <v>複文化レパートリーの活用</v>
      </c>
      <c r="F1100" s="70" t="str">
        <f aca="false">Data!F1100</f>
        <v>A2</v>
      </c>
      <c r="G1100" s="31" t="str">
        <f aca="false">Data!G1100</f>
        <v>Can recognise and apply basic cultural conventions associated with everyday social exchanges (e.g. different greetings, rituals).</v>
      </c>
      <c r="H1100" s="71" t="s">
        <v>2968</v>
      </c>
      <c r="I1100" s="79" t="s">
        <v>3089</v>
      </c>
    </row>
    <row r="1101" customFormat="false" ht="21.75" hidden="false" customHeight="true" outlineLevel="0" collapsed="false">
      <c r="A1101" s="70" t="n">
        <f aca="false">Data!A1101</f>
        <v>1100</v>
      </c>
      <c r="B1101" s="70" t="str">
        <f aca="false">IFERROR(INDEX(対訳マスタ!$C$2:$C$136,MATCH(Data!B1101,対訳マスタ!$B$2:$B$136,0)),Data!B1101)</f>
        <v>複言語・複文化能力</v>
      </c>
      <c r="C1101" s="70" t="str">
        <f aca="false">IF(Data!C1101="—","—",IFERROR(INDEX(対訳マスタ!$C$2:$C$136,MATCH(Data!C1101,対訳マスタ!$B$2:$B$136,0)),Data!C1101))</f>
        <v>—</v>
      </c>
      <c r="D1101" s="70" t="str">
        <f aca="false">IF(Data!D1101="—","—",IFERROR(INDEX(対訳マスタ!$C$2:$C$136,MATCH(Data!D1101,対訳マスタ!$B$2:$B$136,0)),Data!D1101))</f>
        <v>—</v>
      </c>
      <c r="E1101" s="70" t="str">
        <f aca="false">IFERROR(INDEX(対訳マスタ!$C$2:$C$136,MATCH(Data!E1101,対訳マスタ!$B$2:$B$136,0)),Data!E1101)</f>
        <v>複文化レパートリーの活用</v>
      </c>
      <c r="F1101" s="70" t="str">
        <f aca="false">Data!F1101</f>
        <v>A2</v>
      </c>
      <c r="G1101" s="31" t="str">
        <f aca="false">Data!G1101</f>
        <v>Can act appropriately in everyday greetings, farewells and expressions of thanks and apology, although they have difficulty coping with any departure from the routine.</v>
      </c>
      <c r="H1101" s="71" t="s">
        <v>3541</v>
      </c>
      <c r="I1101" s="79" t="s">
        <v>3089</v>
      </c>
    </row>
    <row r="1102" customFormat="false" ht="21.75" hidden="false" customHeight="true" outlineLevel="0" collapsed="false">
      <c r="A1102" s="70" t="n">
        <f aca="false">Data!A1102</f>
        <v>1101</v>
      </c>
      <c r="B1102" s="70" t="str">
        <f aca="false">IFERROR(INDEX(対訳マスタ!$C$2:$C$136,MATCH(Data!B1102,対訳マスタ!$B$2:$B$136,0)),Data!B1102)</f>
        <v>複言語・複文化能力</v>
      </c>
      <c r="C1102" s="70" t="str">
        <f aca="false">IF(Data!C1102="—","—",IFERROR(INDEX(対訳マスタ!$C$2:$C$136,MATCH(Data!C1102,対訳マスタ!$B$2:$B$136,0)),Data!C1102))</f>
        <v>—</v>
      </c>
      <c r="D1102" s="70" t="str">
        <f aca="false">IF(Data!D1102="—","—",IFERROR(INDEX(対訳マスタ!$C$2:$C$136,MATCH(Data!D1102,対訳マスタ!$B$2:$B$136,0)),Data!D1102))</f>
        <v>—</v>
      </c>
      <c r="E1102" s="70" t="str">
        <f aca="false">IFERROR(INDEX(対訳マスタ!$C$2:$C$136,MATCH(Data!E1102,対訳マスタ!$B$2:$B$136,0)),Data!E1102)</f>
        <v>複文化レパートリーの活用</v>
      </c>
      <c r="F1102" s="70" t="str">
        <f aca="false">Data!F1102</f>
        <v>A2</v>
      </c>
      <c r="G1102" s="31" t="str">
        <f aca="false">Data!G1102</f>
        <v>Can recognise that their behaviour in an everyday transaction may convey a message different from the one they intend, and can try to explain this simply.</v>
      </c>
      <c r="H1102" s="71" t="s">
        <v>3542</v>
      </c>
      <c r="I1102" s="79" t="s">
        <v>3089</v>
      </c>
    </row>
    <row r="1103" customFormat="false" ht="21.75" hidden="false" customHeight="true" outlineLevel="0" collapsed="false">
      <c r="A1103" s="70" t="n">
        <f aca="false">Data!A1103</f>
        <v>1102</v>
      </c>
      <c r="B1103" s="70" t="str">
        <f aca="false">IFERROR(INDEX(対訳マスタ!$C$2:$C$136,MATCH(Data!B1103,対訳マスタ!$B$2:$B$136,0)),Data!B1103)</f>
        <v>複言語・複文化能力</v>
      </c>
      <c r="C1103" s="70" t="str">
        <f aca="false">IF(Data!C1103="—","—",IFERROR(INDEX(対訳マスタ!$C$2:$C$136,MATCH(Data!C1103,対訳マスタ!$B$2:$B$136,0)),Data!C1103))</f>
        <v>—</v>
      </c>
      <c r="D1103" s="70" t="str">
        <f aca="false">IF(Data!D1103="—","—",IFERROR(INDEX(対訳マスタ!$C$2:$C$136,MATCH(Data!D1103,対訳マスタ!$B$2:$B$136,0)),Data!D1103))</f>
        <v>—</v>
      </c>
      <c r="E1103" s="70" t="str">
        <f aca="false">IFERROR(INDEX(対訳マスタ!$C$2:$C$136,MATCH(Data!E1103,対訳マスタ!$B$2:$B$136,0)),Data!E1103)</f>
        <v>複文化レパートリーの活用</v>
      </c>
      <c r="F1103" s="70" t="str">
        <f aca="false">Data!F1103</f>
        <v>A2</v>
      </c>
      <c r="G1103" s="31" t="str">
        <f aca="false">Data!G1103</f>
        <v>Can recognise when difficulties occur in interaction with members of other cultures, even though they may not be sure how to behave in the situation.</v>
      </c>
      <c r="H1103" s="71" t="s">
        <v>3543</v>
      </c>
      <c r="I1103" s="79" t="s">
        <v>3089</v>
      </c>
    </row>
    <row r="1104" customFormat="false" ht="32.25" hidden="false" customHeight="true" outlineLevel="0" collapsed="false">
      <c r="A1104" s="70" t="n">
        <f aca="false">Data!A1104</f>
        <v>1103</v>
      </c>
      <c r="B1104" s="70" t="str">
        <f aca="false">IFERROR(INDEX(対訳マスタ!$C$2:$C$136,MATCH(Data!B1104,対訳マスタ!$B$2:$B$136,0)),Data!B1104)</f>
        <v>複言語・複文化能力</v>
      </c>
      <c r="C1104" s="70" t="str">
        <f aca="false">IF(Data!C1104="—","—",IFERROR(INDEX(対訳マスタ!$C$2:$C$136,MATCH(Data!C1104,対訳マスタ!$B$2:$B$136,0)),Data!C1104))</f>
        <v>—</v>
      </c>
      <c r="D1104" s="70" t="str">
        <f aca="false">IF(Data!D1104="—","—",IFERROR(INDEX(対訳マスタ!$C$2:$C$136,MATCH(Data!D1104,対訳マスタ!$B$2:$B$136,0)),Data!D1104))</f>
        <v>—</v>
      </c>
      <c r="E1104" s="70" t="str">
        <f aca="false">IFERROR(INDEX(対訳マスタ!$C$2:$C$136,MATCH(Data!E1104,対訳マスタ!$B$2:$B$136,0)),Data!E1104)</f>
        <v>複文化レパートリーの活用</v>
      </c>
      <c r="F1104" s="70" t="str">
        <f aca="false">Data!F1104</f>
        <v>A1</v>
      </c>
      <c r="G1104" s="31" t="str">
        <f aca="false">Data!G1104</f>
        <v>Can recognise differing ways of numbering, measuring distance, telling the time, etc. even though they may have difficulty applying this in even simple everyday transactions of a concrete type.</v>
      </c>
      <c r="H1104" s="71" t="s">
        <v>2967</v>
      </c>
      <c r="I1104" s="79" t="s">
        <v>3089</v>
      </c>
    </row>
    <row r="1105" customFormat="false" ht="15" hidden="false" customHeight="true" outlineLevel="0" collapsed="false">
      <c r="A1105" s="80" t="n">
        <f aca="false">Data!A1105</f>
        <v>1104</v>
      </c>
      <c r="B1105" s="80" t="str">
        <f aca="false">IFERROR(INDEX(対訳マスタ!$C$2:$C$136,MATCH(Data!B1105,対訳マスタ!$B$2:$B$136,0)),Data!B1105)</f>
        <v>複言語・複文化能力</v>
      </c>
      <c r="C1105" s="80" t="str">
        <f aca="false">IF(Data!C1105="—","—",IFERROR(INDEX(対訳マスタ!$C$2:$C$136,MATCH(Data!C1105,対訳マスタ!$B$2:$B$136,0)),Data!C1105))</f>
        <v>—</v>
      </c>
      <c r="D1105" s="80" t="str">
        <f aca="false">IF(Data!D1105="—","—",IFERROR(INDEX(対訳マスタ!$C$2:$C$136,MATCH(Data!D1105,対訳マスタ!$B$2:$B$136,0)),Data!D1105))</f>
        <v>—</v>
      </c>
      <c r="E1105" s="80" t="str">
        <f aca="false">IFERROR(INDEX(対訳マスタ!$C$2:$C$136,MATCH(Data!E1105,対訳マスタ!$B$2:$B$136,0)),Data!E1105)</f>
        <v>複文化レパートリーの活用</v>
      </c>
      <c r="F1105" s="80" t="str">
        <f aca="false">Data!F1105</f>
        <v>Pre-A1</v>
      </c>
      <c r="G1105" s="81" t="str">
        <f aca="false">Data!G1105</f>
        <v>No descriptors available</v>
      </c>
      <c r="H1105" s="81" t="s">
        <v>624</v>
      </c>
      <c r="I1105" s="80" t="s">
        <v>624</v>
      </c>
    </row>
    <row r="1106" customFormat="false" ht="15" hidden="false" customHeight="true" outlineLevel="0" collapsed="false">
      <c r="A1106" s="80" t="n">
        <f aca="false">Data!A1106</f>
        <v>1105</v>
      </c>
      <c r="B1106" s="80" t="str">
        <f aca="false">IFERROR(INDEX(対訳マスタ!$C$2:$C$136,MATCH(Data!B1106,対訳マスタ!$B$2:$B$136,0)),Data!B1106)</f>
        <v>複言語・複文化能力</v>
      </c>
      <c r="C1106" s="80" t="str">
        <f aca="false">IF(Data!C1106="—","—",IFERROR(INDEX(対訳マスタ!$C$2:$C$136,MATCH(Data!C1106,対訳マスタ!$B$2:$B$136,0)),Data!C1106))</f>
        <v>—</v>
      </c>
      <c r="D1106" s="80" t="str">
        <f aca="false">IF(Data!D1106="—","—",IFERROR(INDEX(対訳マスタ!$C$2:$C$136,MATCH(Data!D1106,対訳マスタ!$B$2:$B$136,0)),Data!D1106))</f>
        <v>—</v>
      </c>
      <c r="E1106" s="80" t="str">
        <f aca="false">IFERROR(INDEX(対訳マスタ!$C$2:$C$136,MATCH(Data!E1106,対訳マスタ!$B$2:$B$136,0)),Data!E1106)</f>
        <v>複言語理解</v>
      </c>
      <c r="F1106" s="80" t="str">
        <f aca="false">Data!F1106</f>
        <v>C2</v>
      </c>
      <c r="G1106" s="81" t="str">
        <f aca="false">Data!G1106</f>
        <v>No descriptors available; see B2</v>
      </c>
      <c r="H1106" s="81" t="s">
        <v>624</v>
      </c>
      <c r="I1106" s="80" t="s">
        <v>624</v>
      </c>
    </row>
    <row r="1107" customFormat="false" ht="15" hidden="false" customHeight="true" outlineLevel="0" collapsed="false">
      <c r="A1107" s="80" t="n">
        <f aca="false">Data!A1107</f>
        <v>1106</v>
      </c>
      <c r="B1107" s="80" t="str">
        <f aca="false">IFERROR(INDEX(対訳マスタ!$C$2:$C$136,MATCH(Data!B1107,対訳マスタ!$B$2:$B$136,0)),Data!B1107)</f>
        <v>複言語・複文化能力</v>
      </c>
      <c r="C1107" s="80" t="str">
        <f aca="false">IF(Data!C1107="—","—",IFERROR(INDEX(対訳マスタ!$C$2:$C$136,MATCH(Data!C1107,対訳マスタ!$B$2:$B$136,0)),Data!C1107))</f>
        <v>—</v>
      </c>
      <c r="D1107" s="80" t="str">
        <f aca="false">IF(Data!D1107="—","—",IFERROR(INDEX(対訳マスタ!$C$2:$C$136,MATCH(Data!D1107,対訳マスタ!$B$2:$B$136,0)),Data!D1107))</f>
        <v>—</v>
      </c>
      <c r="E1107" s="80" t="str">
        <f aca="false">IFERROR(INDEX(対訳マスタ!$C$2:$C$136,MATCH(Data!E1107,対訳マスタ!$B$2:$B$136,0)),Data!E1107)</f>
        <v>複言語理解</v>
      </c>
      <c r="F1107" s="80" t="str">
        <f aca="false">Data!F1107</f>
        <v>C1</v>
      </c>
      <c r="G1107" s="81" t="str">
        <f aca="false">Data!G1107</f>
        <v>No descriptors available; see B2</v>
      </c>
      <c r="H1107" s="81" t="s">
        <v>624</v>
      </c>
      <c r="I1107" s="80" t="s">
        <v>624</v>
      </c>
    </row>
    <row r="1108" customFormat="false" ht="26.25" hidden="false" customHeight="true" outlineLevel="0" collapsed="false">
      <c r="A1108" s="70" t="n">
        <f aca="false">Data!A1108</f>
        <v>1107</v>
      </c>
      <c r="B1108" s="70" t="str">
        <f aca="false">IFERROR(INDEX(対訳マスタ!$C$2:$C$136,MATCH(Data!B1108,対訳マスタ!$B$2:$B$136,0)),Data!B1108)</f>
        <v>複言語・複文化能力</v>
      </c>
      <c r="C1108" s="70" t="str">
        <f aca="false">IF(Data!C1108="—","—",IFERROR(INDEX(対訳マスタ!$C$2:$C$136,MATCH(Data!C1108,対訳マスタ!$B$2:$B$136,0)),Data!C1108))</f>
        <v>—</v>
      </c>
      <c r="D1108" s="70" t="str">
        <f aca="false">IF(Data!D1108="—","—",IFERROR(INDEX(対訳マスタ!$C$2:$C$136,MATCH(Data!D1108,対訳マスタ!$B$2:$B$136,0)),Data!D1108))</f>
        <v>—</v>
      </c>
      <c r="E1108" s="70" t="str">
        <f aca="false">IFERROR(INDEX(対訳マスタ!$C$2:$C$136,MATCH(Data!E1108,対訳マスタ!$B$2:$B$136,0)),Data!E1108)</f>
        <v>複言語理解</v>
      </c>
      <c r="F1108" s="70" t="str">
        <f aca="false">Data!F1108</f>
        <v>B2</v>
      </c>
      <c r="G1108" s="31" t="str">
        <f aca="false">Data!G1108</f>
        <v>Can use their knowledge of contrasting genre conventions and textual patterns in languages in their plurilingual repertoire in order to support comprehension.</v>
      </c>
      <c r="H1108" s="71" t="s">
        <v>2976</v>
      </c>
      <c r="I1108" s="79" t="s">
        <v>3089</v>
      </c>
    </row>
    <row r="1109" customFormat="false" ht="32.25" hidden="false" customHeight="true" outlineLevel="0" collapsed="false">
      <c r="A1109" s="70" t="n">
        <f aca="false">Data!A1109</f>
        <v>1108</v>
      </c>
      <c r="B1109" s="70" t="str">
        <f aca="false">IFERROR(INDEX(対訳マスタ!$C$2:$C$136,MATCH(Data!B1109,対訳マスタ!$B$2:$B$136,0)),Data!B1109)</f>
        <v>複言語・複文化能力</v>
      </c>
      <c r="C1109" s="70" t="str">
        <f aca="false">IF(Data!C1109="—","—",IFERROR(INDEX(対訳マスタ!$C$2:$C$136,MATCH(Data!C1109,対訳マスタ!$B$2:$B$136,0)),Data!C1109))</f>
        <v>—</v>
      </c>
      <c r="D1109" s="70" t="str">
        <f aca="false">IF(Data!D1109="—","—",IFERROR(INDEX(対訳マスタ!$C$2:$C$136,MATCH(Data!D1109,対訳マスタ!$B$2:$B$136,0)),Data!D1109))</f>
        <v>—</v>
      </c>
      <c r="E1109" s="70" t="str">
        <f aca="false">IFERROR(INDEX(対訳マスタ!$C$2:$C$136,MATCH(Data!E1109,対訳マスタ!$B$2:$B$136,0)),Data!E1109)</f>
        <v>複言語理解</v>
      </c>
      <c r="F1109" s="70" t="str">
        <f aca="false">Data!F1109</f>
        <v>B1</v>
      </c>
      <c r="G1109" s="31" t="str">
        <f aca="false">Data!G1109</f>
        <v>Can use what they have understood in one language to understand the topic and main message of a text in another language (e.g. when reading short newspaper articles in different languages on the same theme).</v>
      </c>
      <c r="H1109" s="71" t="s">
        <v>3544</v>
      </c>
      <c r="I1109" s="79" t="s">
        <v>3089</v>
      </c>
    </row>
    <row r="1110" customFormat="false" ht="21.75" hidden="false" customHeight="true" outlineLevel="0" collapsed="false">
      <c r="A1110" s="70" t="n">
        <f aca="false">Data!A1110</f>
        <v>1109</v>
      </c>
      <c r="B1110" s="70" t="str">
        <f aca="false">IFERROR(INDEX(対訳マスタ!$C$2:$C$136,MATCH(Data!B1110,対訳マスタ!$B$2:$B$136,0)),Data!B1110)</f>
        <v>複言語・複文化能力</v>
      </c>
      <c r="C1110" s="70" t="str">
        <f aca="false">IF(Data!C1110="—","—",IFERROR(INDEX(対訳マスタ!$C$2:$C$136,MATCH(Data!C1110,対訳マスタ!$B$2:$B$136,0)),Data!C1110))</f>
        <v>—</v>
      </c>
      <c r="D1110" s="70" t="str">
        <f aca="false">IF(Data!D1110="—","—",IFERROR(INDEX(対訳マスタ!$C$2:$C$136,MATCH(Data!D1110,対訳マスタ!$B$2:$B$136,0)),Data!D1110))</f>
        <v>—</v>
      </c>
      <c r="E1110" s="70" t="str">
        <f aca="false">IFERROR(INDEX(対訳マスタ!$C$2:$C$136,MATCH(Data!E1110,対訳マスタ!$B$2:$B$136,0)),Data!E1110)</f>
        <v>複言語理解</v>
      </c>
      <c r="F1110" s="70" t="str">
        <f aca="false">Data!F1110</f>
        <v>B1</v>
      </c>
      <c r="G1110" s="31" t="str">
        <f aca="false">Data!G1110</f>
        <v>Can use parallel translations of texts (e.g. magazine articles, stories, passages from novels) to develop comprehension in different languages.</v>
      </c>
      <c r="H1110" s="71" t="s">
        <v>3545</v>
      </c>
      <c r="I1110" s="79" t="s">
        <v>3089</v>
      </c>
    </row>
    <row r="1111" customFormat="false" ht="32.25" hidden="false" customHeight="true" outlineLevel="0" collapsed="false">
      <c r="A1111" s="70" t="n">
        <f aca="false">Data!A1111</f>
        <v>1110</v>
      </c>
      <c r="B1111" s="70" t="str">
        <f aca="false">IFERROR(INDEX(対訳マスタ!$C$2:$C$136,MATCH(Data!B1111,対訳マスタ!$B$2:$B$136,0)),Data!B1111)</f>
        <v>複言語・複文化能力</v>
      </c>
      <c r="C1111" s="70" t="str">
        <f aca="false">IF(Data!C1111="—","—",IFERROR(INDEX(対訳マスタ!$C$2:$C$136,MATCH(Data!C1111,対訳マスタ!$B$2:$B$136,0)),Data!C1111))</f>
        <v>—</v>
      </c>
      <c r="D1111" s="70" t="str">
        <f aca="false">IF(Data!D1111="—","—",IFERROR(INDEX(対訳マスタ!$C$2:$C$136,MATCH(Data!D1111,対訳マスタ!$B$2:$B$136,0)),Data!D1111))</f>
        <v>—</v>
      </c>
      <c r="E1111" s="70" t="str">
        <f aca="false">IFERROR(INDEX(対訳マスタ!$C$2:$C$136,MATCH(Data!E1111,対訳マスタ!$B$2:$B$136,0)),Data!E1111)</f>
        <v>複言語理解</v>
      </c>
      <c r="F1111" s="70" t="str">
        <f aca="false">Data!F1111</f>
        <v>B1</v>
      </c>
      <c r="G1111" s="31" t="str">
        <f aca="false">Data!G1111</f>
        <v>Can deduce the message of a text by exploiting what they have understood from texts on the same theme in different languages (e.g. news in brief, museum brochures, online reviews).</v>
      </c>
      <c r="H1111" s="71" t="s">
        <v>3546</v>
      </c>
      <c r="I1111" s="79" t="s">
        <v>3089</v>
      </c>
    </row>
    <row r="1112" customFormat="false" ht="26.25" hidden="false" customHeight="true" outlineLevel="0" collapsed="false">
      <c r="A1112" s="70" t="n">
        <f aca="false">Data!A1112</f>
        <v>1111</v>
      </c>
      <c r="B1112" s="70" t="str">
        <f aca="false">IFERROR(INDEX(対訳マスタ!$C$2:$C$136,MATCH(Data!B1112,対訳マスタ!$B$2:$B$136,0)),Data!B1112)</f>
        <v>複言語・複文化能力</v>
      </c>
      <c r="C1112" s="70" t="str">
        <f aca="false">IF(Data!C1112="—","—",IFERROR(INDEX(対訳マスタ!$C$2:$C$136,MATCH(Data!C1112,対訳マスタ!$B$2:$B$136,0)),Data!C1112))</f>
        <v>—</v>
      </c>
      <c r="D1112" s="70" t="str">
        <f aca="false">IF(Data!D1112="—","—",IFERROR(INDEX(対訳マスタ!$C$2:$C$136,MATCH(Data!D1112,対訳マスタ!$B$2:$B$136,0)),Data!D1112))</f>
        <v>—</v>
      </c>
      <c r="E1112" s="70" t="str">
        <f aca="false">IFERROR(INDEX(対訳マスタ!$C$2:$C$136,MATCH(Data!E1112,対訳マスタ!$B$2:$B$136,0)),Data!E1112)</f>
        <v>複言語理解</v>
      </c>
      <c r="F1112" s="70" t="str">
        <f aca="false">Data!F1112</f>
        <v>B1</v>
      </c>
      <c r="G1112" s="31" t="str">
        <f aca="false">Data!G1112</f>
        <v>Can extract information from documents in different languages in their field (e.g. to include in a presentation).</v>
      </c>
      <c r="H1112" s="71" t="s">
        <v>2975</v>
      </c>
      <c r="I1112" s="79" t="s">
        <v>3089</v>
      </c>
    </row>
    <row r="1113" customFormat="false" ht="32.25" hidden="false" customHeight="true" outlineLevel="0" collapsed="false">
      <c r="A1113" s="70" t="n">
        <f aca="false">Data!A1113</f>
        <v>1112</v>
      </c>
      <c r="B1113" s="70" t="str">
        <f aca="false">IFERROR(INDEX(対訳マスタ!$C$2:$C$136,MATCH(Data!B1113,対訳マスタ!$B$2:$B$136,0)),Data!B1113)</f>
        <v>複言語・複文化能力</v>
      </c>
      <c r="C1113" s="70" t="str">
        <f aca="false">IF(Data!C1113="—","—",IFERROR(INDEX(対訳マスタ!$C$2:$C$136,MATCH(Data!C1113,対訳マスタ!$B$2:$B$136,0)),Data!C1113))</f>
        <v>—</v>
      </c>
      <c r="D1113" s="70" t="str">
        <f aca="false">IF(Data!D1113="—","—",IFERROR(INDEX(対訳マスタ!$C$2:$C$136,MATCH(Data!D1113,対訳マスタ!$B$2:$B$136,0)),Data!D1113))</f>
        <v>—</v>
      </c>
      <c r="E1113" s="70" t="str">
        <f aca="false">IFERROR(INDEX(対訳マスタ!$C$2:$C$136,MATCH(Data!E1113,対訳マスタ!$B$2:$B$136,0)),Data!E1113)</f>
        <v>複言語理解</v>
      </c>
      <c r="F1113" s="70" t="str">
        <f aca="false">Data!F1113</f>
        <v>B1</v>
      </c>
      <c r="G1113" s="31" t="str">
        <f aca="false">Data!G1113</f>
        <v>Can recognise similarities and contrasts between the way concepts are expressed in different languages, in order to distinguish between identical uses of the same word/sign and “false friends”.</v>
      </c>
      <c r="H1113" s="71" t="s">
        <v>3547</v>
      </c>
      <c r="I1113" s="79" t="s">
        <v>3089</v>
      </c>
    </row>
    <row r="1114" customFormat="false" ht="32.25" hidden="false" customHeight="true" outlineLevel="0" collapsed="false">
      <c r="A1114" s="70" t="n">
        <f aca="false">Data!A1114</f>
        <v>1113</v>
      </c>
      <c r="B1114" s="70" t="str">
        <f aca="false">IFERROR(INDEX(対訳マスタ!$C$2:$C$136,MATCH(Data!B1114,対訳マスタ!$B$2:$B$136,0)),Data!B1114)</f>
        <v>複言語・複文化能力</v>
      </c>
      <c r="C1114" s="70" t="str">
        <f aca="false">IF(Data!C1114="—","—",IFERROR(INDEX(対訳マスタ!$C$2:$C$136,MATCH(Data!C1114,対訳マスタ!$B$2:$B$136,0)),Data!C1114))</f>
        <v>—</v>
      </c>
      <c r="D1114" s="70" t="str">
        <f aca="false">IF(Data!D1114="—","—",IFERROR(INDEX(対訳マスタ!$C$2:$C$136,MATCH(Data!D1114,対訳マスタ!$B$2:$B$136,0)),Data!D1114))</f>
        <v>—</v>
      </c>
      <c r="E1114" s="70" t="str">
        <f aca="false">IFERROR(INDEX(対訳マスタ!$C$2:$C$136,MATCH(Data!E1114,対訳マスタ!$B$2:$B$136,0)),Data!E1114)</f>
        <v>複言語理解</v>
      </c>
      <c r="F1114" s="70" t="str">
        <f aca="false">Data!F1114</f>
        <v>B1</v>
      </c>
      <c r="G1114" s="31" t="str">
        <f aca="false">Data!G1114</f>
        <v>Can use their knowledge of contrasting grammatical structures and functional expressions of languages in their plurilingual repertoire in order to support comprehension.</v>
      </c>
      <c r="H1114" s="71" t="s">
        <v>3548</v>
      </c>
      <c r="I1114" s="79" t="s">
        <v>3089</v>
      </c>
    </row>
    <row r="1115" customFormat="false" ht="21.75" hidden="false" customHeight="true" outlineLevel="0" collapsed="false">
      <c r="A1115" s="70" t="n">
        <f aca="false">Data!A1115</f>
        <v>1114</v>
      </c>
      <c r="B1115" s="70" t="str">
        <f aca="false">IFERROR(INDEX(対訳マスタ!$C$2:$C$136,MATCH(Data!B1115,対訳マスタ!$B$2:$B$136,0)),Data!B1115)</f>
        <v>複言語・複文化能力</v>
      </c>
      <c r="C1115" s="70" t="str">
        <f aca="false">IF(Data!C1115="—","—",IFERROR(INDEX(対訳マスタ!$C$2:$C$136,MATCH(Data!C1115,対訳マスタ!$B$2:$B$136,0)),Data!C1115))</f>
        <v>—</v>
      </c>
      <c r="D1115" s="70" t="str">
        <f aca="false">IF(Data!D1115="—","—",IFERROR(INDEX(対訳マスタ!$C$2:$C$136,MATCH(Data!D1115,対訳マスタ!$B$2:$B$136,0)),Data!D1115))</f>
        <v>—</v>
      </c>
      <c r="E1115" s="70" t="str">
        <f aca="false">IFERROR(INDEX(対訳マスタ!$C$2:$C$136,MATCH(Data!E1115,対訳マスタ!$B$2:$B$136,0)),Data!E1115)</f>
        <v>複言語理解</v>
      </c>
      <c r="F1115" s="70" t="str">
        <f aca="false">Data!F1115</f>
        <v>A2</v>
      </c>
      <c r="G1115" s="31" t="str">
        <f aca="false">Data!G1115</f>
        <v>Can understand short, clearly articulated announcements by piecing together what they understand from the available versions in different languages.</v>
      </c>
      <c r="H1115" s="71" t="s">
        <v>3549</v>
      </c>
      <c r="I1115" s="79" t="s">
        <v>3089</v>
      </c>
    </row>
    <row r="1116" customFormat="false" ht="21.75" hidden="false" customHeight="true" outlineLevel="0" collapsed="false">
      <c r="A1116" s="70" t="n">
        <f aca="false">Data!A1116</f>
        <v>1115</v>
      </c>
      <c r="B1116" s="70" t="str">
        <f aca="false">IFERROR(INDEX(対訳マスタ!$C$2:$C$136,MATCH(Data!B1116,対訳マスタ!$B$2:$B$136,0)),Data!B1116)</f>
        <v>複言語・複文化能力</v>
      </c>
      <c r="C1116" s="70" t="str">
        <f aca="false">IF(Data!C1116="—","—",IFERROR(INDEX(対訳マスタ!$C$2:$C$136,MATCH(Data!C1116,対訳マスタ!$B$2:$B$136,0)),Data!C1116))</f>
        <v>—</v>
      </c>
      <c r="D1116" s="70" t="str">
        <f aca="false">IF(Data!D1116="—","—",IFERROR(INDEX(対訳マスタ!$C$2:$C$136,MATCH(Data!D1116,対訳マスタ!$B$2:$B$136,0)),Data!D1116))</f>
        <v>—</v>
      </c>
      <c r="E1116" s="70" t="str">
        <f aca="false">IFERROR(INDEX(対訳マスタ!$C$2:$C$136,MATCH(Data!E1116,対訳マスタ!$B$2:$B$136,0)),Data!E1116)</f>
        <v>複言語理解</v>
      </c>
      <c r="F1116" s="70" t="str">
        <f aca="false">Data!F1116</f>
        <v>A2</v>
      </c>
      <c r="G1116" s="31" t="str">
        <f aca="false">Data!G1116</f>
        <v>Can understand short, clearly expressed messages and instructions by piecing together what they understand from the versions in different languages.</v>
      </c>
      <c r="H1116" s="71" t="s">
        <v>3550</v>
      </c>
      <c r="I1116" s="79" t="s">
        <v>3089</v>
      </c>
    </row>
    <row r="1117" customFormat="false" ht="26.25" hidden="false" customHeight="true" outlineLevel="0" collapsed="false">
      <c r="A1117" s="70" t="n">
        <f aca="false">Data!A1117</f>
        <v>1116</v>
      </c>
      <c r="B1117" s="70" t="str">
        <f aca="false">IFERROR(INDEX(対訳マスタ!$C$2:$C$136,MATCH(Data!B1117,対訳マスタ!$B$2:$B$136,0)),Data!B1117)</f>
        <v>複言語・複文化能力</v>
      </c>
      <c r="C1117" s="70" t="str">
        <f aca="false">IF(Data!C1117="—","—",IFERROR(INDEX(対訳マスタ!$C$2:$C$136,MATCH(Data!C1117,対訳マスタ!$B$2:$B$136,0)),Data!C1117))</f>
        <v>—</v>
      </c>
      <c r="D1117" s="70" t="str">
        <f aca="false">IF(Data!D1117="—","—",IFERROR(INDEX(対訳マスタ!$C$2:$C$136,MATCH(Data!D1117,対訳マスタ!$B$2:$B$136,0)),Data!D1117))</f>
        <v>—</v>
      </c>
      <c r="E1117" s="70" t="str">
        <f aca="false">IFERROR(INDEX(対訳マスタ!$C$2:$C$136,MATCH(Data!E1117,対訳マスタ!$B$2:$B$136,0)),Data!E1117)</f>
        <v>複言語理解</v>
      </c>
      <c r="F1117" s="70" t="str">
        <f aca="false">Data!F1117</f>
        <v>A2</v>
      </c>
      <c r="G1117" s="31" t="str">
        <f aca="false">Data!G1117</f>
        <v>Can use simple warnings, instructions and product information given in parallel in different languages to find relevant information.</v>
      </c>
      <c r="H1117" s="71" t="s">
        <v>2974</v>
      </c>
      <c r="I1117" s="79" t="s">
        <v>3089</v>
      </c>
    </row>
    <row r="1118" customFormat="false" ht="64.5" hidden="false" customHeight="true" outlineLevel="0" collapsed="false">
      <c r="A1118" s="70" t="n">
        <f aca="false">Data!A1118</f>
        <v>1117</v>
      </c>
      <c r="B1118" s="70" t="str">
        <f aca="false">IFERROR(INDEX(対訳マスタ!$C$2:$C$136,MATCH(Data!B1118,対訳マスタ!$B$2:$B$136,0)),Data!B1118)</f>
        <v>複言語・複文化能力</v>
      </c>
      <c r="C1118" s="70" t="str">
        <f aca="false">IF(Data!C1118="—","—",IFERROR(INDEX(対訳マスタ!$C$2:$C$136,MATCH(Data!C1118,対訳マスタ!$B$2:$B$136,0)),Data!C1118))</f>
        <v>—</v>
      </c>
      <c r="D1118" s="70" t="str">
        <f aca="false">IF(Data!D1118="—","—",IFERROR(INDEX(対訳マスタ!$C$2:$C$136,MATCH(Data!D1118,対訳マスタ!$B$2:$B$136,0)),Data!D1118))</f>
        <v>—</v>
      </c>
      <c r="E1118" s="70" t="str">
        <f aca="false">IFERROR(INDEX(対訳マスタ!$C$2:$C$136,MATCH(Data!E1118,対訳マスタ!$B$2:$B$136,0)),Data!E1118)</f>
        <v>複言語理解</v>
      </c>
      <c r="F1118" s="70" t="str">
        <f aca="false">Data!F1118</f>
        <v>A1</v>
      </c>
      <c r="G1118" s="31" t="str">
        <f aca="false">Data!G1118</f>
        <v>Can recognise internationalisms and words/signs common to different languages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v>
      </c>
      <c r="H1118" s="71" t="s">
        <v>2973</v>
      </c>
      <c r="I1118" s="79" t="s">
        <v>3089</v>
      </c>
    </row>
    <row r="1119" customFormat="false" ht="15" hidden="false" customHeight="true" outlineLevel="0" collapsed="false">
      <c r="A1119" s="80" t="n">
        <f aca="false">Data!A1119</f>
        <v>1118</v>
      </c>
      <c r="B1119" s="80" t="str">
        <f aca="false">IFERROR(INDEX(対訳マスタ!$C$2:$C$136,MATCH(Data!B1119,対訳マスタ!$B$2:$B$136,0)),Data!B1119)</f>
        <v>複言語・複文化能力</v>
      </c>
      <c r="C1119" s="80" t="str">
        <f aca="false">IF(Data!C1119="—","—",IFERROR(INDEX(対訳マスタ!$C$2:$C$136,MATCH(Data!C1119,対訳マスタ!$B$2:$B$136,0)),Data!C1119))</f>
        <v>—</v>
      </c>
      <c r="D1119" s="80" t="str">
        <f aca="false">IF(Data!D1119="—","—",IFERROR(INDEX(対訳マスタ!$C$2:$C$136,MATCH(Data!D1119,対訳マスタ!$B$2:$B$136,0)),Data!D1119))</f>
        <v>—</v>
      </c>
      <c r="E1119" s="80" t="str">
        <f aca="false">IFERROR(INDEX(対訳マスタ!$C$2:$C$136,MATCH(Data!E1119,対訳マスタ!$B$2:$B$136,0)),Data!E1119)</f>
        <v>複言語理解</v>
      </c>
      <c r="F1119" s="80" t="str">
        <f aca="false">Data!F1119</f>
        <v>Pre-A1</v>
      </c>
      <c r="G1119" s="81" t="str">
        <f aca="false">Data!G1119</f>
        <v>No descriptors available</v>
      </c>
      <c r="H1119" s="81" t="s">
        <v>624</v>
      </c>
      <c r="I1119" s="80" t="s">
        <v>624</v>
      </c>
    </row>
    <row r="1120" customFormat="false" ht="32.25" hidden="false" customHeight="true" outlineLevel="0" collapsed="false">
      <c r="A1120" s="70" t="n">
        <f aca="false">Data!A1120</f>
        <v>1119</v>
      </c>
      <c r="B1120" s="70" t="str">
        <f aca="false">IFERROR(INDEX(対訳マスタ!$C$2:$C$136,MATCH(Data!B1120,対訳マスタ!$B$2:$B$136,0)),Data!B1120)</f>
        <v>複言語・複文化能力</v>
      </c>
      <c r="C1120" s="70" t="str">
        <f aca="false">IF(Data!C1120="—","—",IFERROR(INDEX(対訳マスタ!$C$2:$C$136,MATCH(Data!C1120,対訳マスタ!$B$2:$B$136,0)),Data!C1120))</f>
        <v>—</v>
      </c>
      <c r="D1120" s="70" t="str">
        <f aca="false">IF(Data!D1120="—","—",IFERROR(INDEX(対訳マスタ!$C$2:$C$136,MATCH(Data!D1120,対訳マスタ!$B$2:$B$136,0)),Data!D1120))</f>
        <v>—</v>
      </c>
      <c r="E1120" s="70" t="str">
        <f aca="false">IFERROR(INDEX(対訳マスタ!$C$2:$C$136,MATCH(Data!E1120,対訳マスタ!$B$2:$B$136,0)),Data!E1120)</f>
        <v>複言語レパートリーの活用</v>
      </c>
      <c r="F1120" s="70" t="str">
        <f aca="false">Data!F1120</f>
        <v>C2</v>
      </c>
      <c r="G1120" s="31" t="str">
        <f aca="false">Data!G1120</f>
        <v>Can interact in a multilingual context on abstract and specialised topics by alternating flexibly between languages in their plurilingual repertoire and if necessary explaining the different contributions made.</v>
      </c>
      <c r="H1120" s="71" t="s">
        <v>3551</v>
      </c>
      <c r="I1120" s="79" t="s">
        <v>3089</v>
      </c>
    </row>
    <row r="1121" customFormat="false" ht="26.25" hidden="false" customHeight="true" outlineLevel="0" collapsed="false">
      <c r="A1121" s="70" t="n">
        <f aca="false">Data!A1121</f>
        <v>1120</v>
      </c>
      <c r="B1121" s="70" t="str">
        <f aca="false">IFERROR(INDEX(対訳マスタ!$C$2:$C$136,MATCH(Data!B1121,対訳マスタ!$B$2:$B$136,0)),Data!B1121)</f>
        <v>複言語・複文化能力</v>
      </c>
      <c r="C1121" s="70" t="str">
        <f aca="false">IF(Data!C1121="—","—",IFERROR(INDEX(対訳マスタ!$C$2:$C$136,MATCH(Data!C1121,対訳マスタ!$B$2:$B$136,0)),Data!C1121))</f>
        <v>—</v>
      </c>
      <c r="D1121" s="70" t="str">
        <f aca="false">IF(Data!D1121="—","—",IFERROR(INDEX(対訳マスタ!$C$2:$C$136,MATCH(Data!D1121,対訳マスタ!$B$2:$B$136,0)),Data!D1121))</f>
        <v>—</v>
      </c>
      <c r="E1121" s="70" t="str">
        <f aca="false">IFERROR(INDEX(対訳マスタ!$C$2:$C$136,MATCH(Data!E1121,対訳マスタ!$B$2:$B$136,0)),Data!E1121)</f>
        <v>複言語レパートリーの活用</v>
      </c>
      <c r="F1121" s="70" t="str">
        <f aca="false">Data!F1121</f>
        <v>C2</v>
      </c>
      <c r="G1121" s="31" t="str">
        <f aca="false">Data!G1121</f>
        <v>Can explore similarities and differences between metaphors and other figures of speech in the languages in their plurilingual repertoire, either for rhetorical effect or for fun.</v>
      </c>
      <c r="H1121" s="71" t="s">
        <v>2982</v>
      </c>
      <c r="I1121" s="79" t="s">
        <v>3089</v>
      </c>
    </row>
    <row r="1122" customFormat="false" ht="32.25" hidden="false" customHeight="true" outlineLevel="0" collapsed="false">
      <c r="A1122" s="70" t="n">
        <f aca="false">Data!A1122</f>
        <v>1121</v>
      </c>
      <c r="B1122" s="70" t="str">
        <f aca="false">IFERROR(INDEX(対訳マスタ!$C$2:$C$136,MATCH(Data!B1122,対訳マスタ!$B$2:$B$136,0)),Data!B1122)</f>
        <v>複言語・複文化能力</v>
      </c>
      <c r="C1122" s="70" t="str">
        <f aca="false">IF(Data!C1122="—","—",IFERROR(INDEX(対訳マスタ!$C$2:$C$136,MATCH(Data!C1122,対訳マスタ!$B$2:$B$136,0)),Data!C1122))</f>
        <v>—</v>
      </c>
      <c r="D1122" s="70" t="str">
        <f aca="false">IF(Data!D1122="—","—",IFERROR(INDEX(対訳マスタ!$C$2:$C$136,MATCH(Data!D1122,対訳マスタ!$B$2:$B$136,0)),Data!D1122))</f>
        <v>—</v>
      </c>
      <c r="E1122" s="70" t="str">
        <f aca="false">IFERROR(INDEX(対訳マスタ!$C$2:$C$136,MATCH(Data!E1122,対訳マスタ!$B$2:$B$136,0)),Data!E1122)</f>
        <v>複言語レパートリーの活用</v>
      </c>
      <c r="F1122" s="70" t="str">
        <f aca="false">Data!F1122</f>
        <v>C1</v>
      </c>
      <c r="G1122" s="31" t="str">
        <f aca="false">Data!G1122</f>
        <v>Can alternate between languages flexibly to facilitate communication in a multilingual context, summarising and glossing in different languages in their plurilingual repertoire contributions to the discussion and texts referred to.</v>
      </c>
      <c r="H1122" s="71" t="s">
        <v>3552</v>
      </c>
      <c r="I1122" s="79" t="s">
        <v>3089</v>
      </c>
    </row>
    <row r="1123" customFormat="false" ht="32.25" hidden="false" customHeight="true" outlineLevel="0" collapsed="false">
      <c r="A1123" s="70" t="n">
        <f aca="false">Data!A1123</f>
        <v>1122</v>
      </c>
      <c r="B1123" s="70" t="str">
        <f aca="false">IFERROR(INDEX(対訳マスタ!$C$2:$C$136,MATCH(Data!B1123,対訳マスタ!$B$2:$B$136,0)),Data!B1123)</f>
        <v>複言語・複文化能力</v>
      </c>
      <c r="C1123" s="70" t="str">
        <f aca="false">IF(Data!C1123="—","—",IFERROR(INDEX(対訳マスタ!$C$2:$C$136,MATCH(Data!C1123,対訳マスタ!$B$2:$B$136,0)),Data!C1123))</f>
        <v>—</v>
      </c>
      <c r="D1123" s="70" t="str">
        <f aca="false">IF(Data!D1123="—","—",IFERROR(INDEX(対訳マスタ!$C$2:$C$136,MATCH(Data!D1123,対訳マスタ!$B$2:$B$136,0)),Data!D1123))</f>
        <v>—</v>
      </c>
      <c r="E1123" s="70" t="str">
        <f aca="false">IFERROR(INDEX(対訳マスタ!$C$2:$C$136,MATCH(Data!E1123,対訳マスタ!$B$2:$B$136,0)),Data!E1123)</f>
        <v>複言語レパートリーの活用</v>
      </c>
      <c r="F1123" s="70" t="str">
        <f aca="false">Data!F1123</f>
        <v>C1</v>
      </c>
      <c r="G1123" s="31" t="str">
        <f aca="false">Data!G1123</f>
        <v>Can participate effectively in a conversation in two or more languages in their plurilingual repertoire, adjusting to the changes of language and catering to the needs and linguistic skills of the interlocutors.</v>
      </c>
      <c r="H1123" s="71" t="s">
        <v>3553</v>
      </c>
      <c r="I1123" s="79" t="s">
        <v>3089</v>
      </c>
    </row>
    <row r="1124" customFormat="false" ht="32.25" hidden="false" customHeight="true" outlineLevel="0" collapsed="false">
      <c r="A1124" s="70" t="n">
        <f aca="false">Data!A1124</f>
        <v>1123</v>
      </c>
      <c r="B1124" s="70" t="str">
        <f aca="false">IFERROR(INDEX(対訳マスタ!$C$2:$C$136,MATCH(Data!B1124,対訳マスタ!$B$2:$B$136,0)),Data!B1124)</f>
        <v>複言語・複文化能力</v>
      </c>
      <c r="C1124" s="70" t="str">
        <f aca="false">IF(Data!C1124="—","—",IFERROR(INDEX(対訳マスタ!$C$2:$C$136,MATCH(Data!C1124,対訳マスタ!$B$2:$B$136,0)),Data!C1124))</f>
        <v>—</v>
      </c>
      <c r="D1124" s="70" t="str">
        <f aca="false">IF(Data!D1124="—","—",IFERROR(INDEX(対訳マスタ!$C$2:$C$136,MATCH(Data!D1124,対訳マスタ!$B$2:$B$136,0)),Data!D1124))</f>
        <v>—</v>
      </c>
      <c r="E1124" s="70" t="str">
        <f aca="false">IFERROR(INDEX(対訳マスタ!$C$2:$C$136,MATCH(Data!E1124,対訳マスタ!$B$2:$B$136,0)),Data!E1124)</f>
        <v>複言語レパートリーの活用</v>
      </c>
      <c r="F1124" s="70" t="str">
        <f aca="false">Data!F1124</f>
        <v>C1</v>
      </c>
      <c r="G1124" s="31" t="str">
        <f aca="false">Data!G1124</f>
        <v>Can use and explain specialised terminology from another language in their plurilingual repertoire more familiar to the interlocutor(s), in order to improve understanding in a discussion of abstract and specialised topics.</v>
      </c>
      <c r="H1124" s="71" t="s">
        <v>3554</v>
      </c>
      <c r="I1124" s="79" t="s">
        <v>3089</v>
      </c>
    </row>
    <row r="1125" customFormat="false" ht="26.25" hidden="false" customHeight="true" outlineLevel="0" collapsed="false">
      <c r="A1125" s="70" t="n">
        <f aca="false">Data!A1125</f>
        <v>1124</v>
      </c>
      <c r="B1125" s="70" t="str">
        <f aca="false">IFERROR(INDEX(対訳マスタ!$C$2:$C$136,MATCH(Data!B1125,対訳マスタ!$B$2:$B$136,0)),Data!B1125)</f>
        <v>複言語・複文化能力</v>
      </c>
      <c r="C1125" s="70" t="str">
        <f aca="false">IF(Data!C1125="—","—",IFERROR(INDEX(対訳マスタ!$C$2:$C$136,MATCH(Data!C1125,対訳マスタ!$B$2:$B$136,0)),Data!C1125))</f>
        <v>—</v>
      </c>
      <c r="D1125" s="70" t="str">
        <f aca="false">IF(Data!D1125="—","—",IFERROR(INDEX(対訳マスタ!$C$2:$C$136,MATCH(Data!D1125,対訳マスタ!$B$2:$B$136,0)),Data!D1125))</f>
        <v>—</v>
      </c>
      <c r="E1125" s="70" t="str">
        <f aca="false">IFERROR(INDEX(対訳マスタ!$C$2:$C$136,MATCH(Data!E1125,対訳マスタ!$B$2:$B$136,0)),Data!E1125)</f>
        <v>複言語レパートリーの活用</v>
      </c>
      <c r="F1125" s="70" t="str">
        <f aca="false">Data!F1125</f>
        <v>C1</v>
      </c>
      <c r="G1125" s="31" t="str">
        <f aca="false">Data!G1125</f>
        <v>Can respond spontaneously and flexibly in the appropriate language when someone else changes to another language in their plurilingual repertoire.</v>
      </c>
      <c r="H1125" s="71" t="s">
        <v>2981</v>
      </c>
      <c r="I1125" s="79" t="s">
        <v>3089</v>
      </c>
    </row>
    <row r="1126" customFormat="false" ht="32.25" hidden="false" customHeight="true" outlineLevel="0" collapsed="false">
      <c r="A1126" s="70" t="n">
        <f aca="false">Data!A1126</f>
        <v>1125</v>
      </c>
      <c r="B1126" s="70" t="str">
        <f aca="false">IFERROR(INDEX(対訳マスタ!$C$2:$C$136,MATCH(Data!B1126,対訳マスタ!$B$2:$B$136,0)),Data!B1126)</f>
        <v>複言語・複文化能力</v>
      </c>
      <c r="C1126" s="70" t="str">
        <f aca="false">IF(Data!C1126="—","—",IFERROR(INDEX(対訳マスタ!$C$2:$C$136,MATCH(Data!C1126,対訳マスタ!$B$2:$B$136,0)),Data!C1126))</f>
        <v>—</v>
      </c>
      <c r="D1126" s="70" t="str">
        <f aca="false">IF(Data!D1126="—","—",IFERROR(INDEX(対訳マスタ!$C$2:$C$136,MATCH(Data!D1126,対訳マスタ!$B$2:$B$136,0)),Data!D1126))</f>
        <v>—</v>
      </c>
      <c r="E1126" s="70" t="str">
        <f aca="false">IFERROR(INDEX(対訳マスタ!$C$2:$C$136,MATCH(Data!E1126,対訳マスタ!$B$2:$B$136,0)),Data!E1126)</f>
        <v>複言語レパートリーの活用</v>
      </c>
      <c r="F1126" s="70" t="str">
        <f aca="false">Data!F1126</f>
        <v>C1</v>
      </c>
      <c r="G1126" s="31" t="str">
        <f aca="false">Data!G1126</f>
        <v>Can support comprehension and discussion of a text spoken, signed or written in one language by explaining, summarising, clarifying and expanding it in another language in their plurilingual repertoire.</v>
      </c>
      <c r="H1126" s="71" t="s">
        <v>3555</v>
      </c>
      <c r="I1126" s="79" t="s">
        <v>3089</v>
      </c>
    </row>
    <row r="1127" customFormat="false" ht="32.25" hidden="false" customHeight="true" outlineLevel="0" collapsed="false">
      <c r="A1127" s="70" t="n">
        <f aca="false">Data!A1127</f>
        <v>1126</v>
      </c>
      <c r="B1127" s="70" t="str">
        <f aca="false">IFERROR(INDEX(対訳マスタ!$C$2:$C$136,MATCH(Data!B1127,対訳マスタ!$B$2:$B$136,0)),Data!B1127)</f>
        <v>複言語・複文化能力</v>
      </c>
      <c r="C1127" s="70" t="str">
        <f aca="false">IF(Data!C1127="—","—",IFERROR(INDEX(対訳マスタ!$C$2:$C$136,MATCH(Data!C1127,対訳マスタ!$B$2:$B$136,0)),Data!C1127))</f>
        <v>—</v>
      </c>
      <c r="D1127" s="70" t="str">
        <f aca="false">IF(Data!D1127="—","—",IFERROR(INDEX(対訳マスタ!$C$2:$C$136,MATCH(Data!D1127,対訳マスタ!$B$2:$B$136,0)),Data!D1127))</f>
        <v>—</v>
      </c>
      <c r="E1127" s="70" t="str">
        <f aca="false">IFERROR(INDEX(対訳マスタ!$C$2:$C$136,MATCH(Data!E1127,対訳マスタ!$B$2:$B$136,0)),Data!E1127)</f>
        <v>複言語レパートリーの活用</v>
      </c>
      <c r="F1127" s="70" t="str">
        <f aca="false">Data!F1127</f>
        <v>B2</v>
      </c>
      <c r="G1127" s="31" t="str">
        <f aca="false">Data!G1127</f>
        <v>**Can recognise the extent to which it is appropriate to make flexible use of different languages in their plurilingual repertoire in a specific situation, in order to increase the efficiency of communication.</v>
      </c>
      <c r="H1127" s="71" t="s">
        <v>3556</v>
      </c>
      <c r="I1127" s="79" t="s">
        <v>3089</v>
      </c>
    </row>
    <row r="1128" customFormat="false" ht="21.75" hidden="false" customHeight="true" outlineLevel="0" collapsed="false">
      <c r="A1128" s="70" t="n">
        <f aca="false">Data!A1128</f>
        <v>1127</v>
      </c>
      <c r="B1128" s="70" t="str">
        <f aca="false">IFERROR(INDEX(対訳マスタ!$C$2:$C$136,MATCH(Data!B1128,対訳マスタ!$B$2:$B$136,0)),Data!B1128)</f>
        <v>複言語・複文化能力</v>
      </c>
      <c r="C1128" s="70" t="str">
        <f aca="false">IF(Data!C1128="—","—",IFERROR(INDEX(対訳マスタ!$C$2:$C$136,MATCH(Data!C1128,対訳マスタ!$B$2:$B$136,0)),Data!C1128))</f>
        <v>—</v>
      </c>
      <c r="D1128" s="70" t="str">
        <f aca="false">IF(Data!D1128="—","—",IFERROR(INDEX(対訳マスタ!$C$2:$C$136,MATCH(Data!D1128,対訳マスタ!$B$2:$B$136,0)),Data!D1128))</f>
        <v>—</v>
      </c>
      <c r="E1128" s="70" t="str">
        <f aca="false">IFERROR(INDEX(対訳マスタ!$C$2:$C$136,MATCH(Data!E1128,対訳マスタ!$B$2:$B$136,0)),Data!E1128)</f>
        <v>複言語レパートリーの活用</v>
      </c>
      <c r="F1128" s="70" t="str">
        <f aca="false">Data!F1128</f>
        <v>B2</v>
      </c>
      <c r="G1128" s="31" t="str">
        <f aca="false">Data!G1128</f>
        <v>**Can alternate efficiently between languages in their plurilingual repertoire in order to facilitate comprehension with and between third parties who lack a common language.</v>
      </c>
      <c r="H1128" s="71" t="s">
        <v>3557</v>
      </c>
      <c r="I1128" s="79" t="s">
        <v>3089</v>
      </c>
    </row>
    <row r="1129" customFormat="false" ht="32.25" hidden="false" customHeight="true" outlineLevel="0" collapsed="false">
      <c r="A1129" s="70" t="n">
        <f aca="false">Data!A1129</f>
        <v>1128</v>
      </c>
      <c r="B1129" s="70" t="str">
        <f aca="false">IFERROR(INDEX(対訳マスタ!$C$2:$C$136,MATCH(Data!B1129,対訳マスタ!$B$2:$B$136,0)),Data!B1129)</f>
        <v>複言語・複文化能力</v>
      </c>
      <c r="C1129" s="70" t="str">
        <f aca="false">IF(Data!C1129="—","—",IFERROR(INDEX(対訳マスタ!$C$2:$C$136,MATCH(Data!C1129,対訳マスタ!$B$2:$B$136,0)),Data!C1129))</f>
        <v>—</v>
      </c>
      <c r="D1129" s="70" t="str">
        <f aca="false">IF(Data!D1129="—","—",IFERROR(INDEX(対訳マスタ!$C$2:$C$136,MATCH(Data!D1129,対訳マスタ!$B$2:$B$136,0)),Data!D1129))</f>
        <v>—</v>
      </c>
      <c r="E1129" s="70" t="str">
        <f aca="false">IFERROR(INDEX(対訳マスタ!$C$2:$C$136,MATCH(Data!E1129,対訳マスタ!$B$2:$B$136,0)),Data!E1129)</f>
        <v>複言語レパートリーの活用</v>
      </c>
      <c r="F1129" s="70" t="str">
        <f aca="false">Data!F1129</f>
        <v>B2</v>
      </c>
      <c r="G1129" s="31" t="str">
        <f aca="false">Data!G1129</f>
        <v>**Can introduce into an utterance an expression from another language in their plurilingual repertoire that is particularly apt for the situation/concept being discussed, explaining it for the interlocutor when necessary.</v>
      </c>
      <c r="H1129" s="71" t="s">
        <v>3558</v>
      </c>
      <c r="I1129" s="79" t="s">
        <v>3089</v>
      </c>
    </row>
    <row r="1130" customFormat="false" ht="32.25" hidden="false" customHeight="true" outlineLevel="0" collapsed="false">
      <c r="A1130" s="70" t="n">
        <f aca="false">Data!A1130</f>
        <v>1129</v>
      </c>
      <c r="B1130" s="70" t="str">
        <f aca="false">IFERROR(INDEX(対訳マスタ!$C$2:$C$136,MATCH(Data!B1130,対訳マスタ!$B$2:$B$136,0)),Data!B1130)</f>
        <v>複言語・複文化能力</v>
      </c>
      <c r="C1130" s="70" t="str">
        <f aca="false">IF(Data!C1130="—","—",IFERROR(INDEX(対訳マスタ!$C$2:$C$136,MATCH(Data!C1130,対訳マスタ!$B$2:$B$136,0)),Data!C1130))</f>
        <v>—</v>
      </c>
      <c r="D1130" s="70" t="str">
        <f aca="false">IF(Data!D1130="—","—",IFERROR(INDEX(対訳マスタ!$C$2:$C$136,MATCH(Data!D1130,対訳マスタ!$B$2:$B$136,0)),Data!D1130))</f>
        <v>—</v>
      </c>
      <c r="E1130" s="70" t="str">
        <f aca="false">IFERROR(INDEX(対訳マスタ!$C$2:$C$136,MATCH(Data!E1130,対訳マスタ!$B$2:$B$136,0)),Data!E1130)</f>
        <v>複言語レパートリーの活用</v>
      </c>
      <c r="F1130" s="70" t="str">
        <f aca="false">Data!F1130</f>
        <v>B2</v>
      </c>
      <c r="G1130" s="31" t="str">
        <f aca="false">Data!G1130</f>
        <v>Can alternate between languages in their plurilingual repertoire in order to communicate specialised information and issues on a subject in their field of interest to different interlocutors.</v>
      </c>
      <c r="H1130" s="71" t="s">
        <v>3559</v>
      </c>
      <c r="I1130" s="79" t="s">
        <v>3089</v>
      </c>
    </row>
    <row r="1131" customFormat="false" ht="32.25" hidden="false" customHeight="true" outlineLevel="0" collapsed="false">
      <c r="A1131" s="70" t="n">
        <f aca="false">Data!A1131</f>
        <v>1130</v>
      </c>
      <c r="B1131" s="70" t="str">
        <f aca="false">IFERROR(INDEX(対訳マスタ!$C$2:$C$136,MATCH(Data!B1131,対訳マスタ!$B$2:$B$136,0)),Data!B1131)</f>
        <v>複言語・複文化能力</v>
      </c>
      <c r="C1131" s="70" t="str">
        <f aca="false">IF(Data!C1131="—","—",IFERROR(INDEX(対訳マスタ!$C$2:$C$136,MATCH(Data!C1131,対訳マスタ!$B$2:$B$136,0)),Data!C1131))</f>
        <v>—</v>
      </c>
      <c r="D1131" s="70" t="str">
        <f aca="false">IF(Data!D1131="—","—",IFERROR(INDEX(対訳マスタ!$C$2:$C$136,MATCH(Data!D1131,対訳マスタ!$B$2:$B$136,0)),Data!D1131))</f>
        <v>—</v>
      </c>
      <c r="E1131" s="70" t="str">
        <f aca="false">IFERROR(INDEX(対訳マスタ!$C$2:$C$136,MATCH(Data!E1131,対訳マスタ!$B$2:$B$136,0)),Data!E1131)</f>
        <v>複言語レパートリーの活用</v>
      </c>
      <c r="F1131" s="70" t="str">
        <f aca="false">Data!F1131</f>
        <v>B2</v>
      </c>
      <c r="G1131" s="31" t="str">
        <f aca="false">Data!G1131</f>
        <v>Can make use of different languages in their plurilingual repertoire during collaborative interaction, in order to clarify the nature of a task, the main steps, the decisions to be taken and the outcomes expected.</v>
      </c>
      <c r="H1131" s="71" t="s">
        <v>3560</v>
      </c>
      <c r="I1131" s="79" t="s">
        <v>3089</v>
      </c>
    </row>
    <row r="1132" customFormat="false" ht="26.25" hidden="false" customHeight="true" outlineLevel="0" collapsed="false">
      <c r="A1132" s="70" t="n">
        <f aca="false">Data!A1132</f>
        <v>1131</v>
      </c>
      <c r="B1132" s="70" t="str">
        <f aca="false">IFERROR(INDEX(対訳マスタ!$C$2:$C$136,MATCH(Data!B1132,対訳マスタ!$B$2:$B$136,0)),Data!B1132)</f>
        <v>複言語・複文化能力</v>
      </c>
      <c r="C1132" s="70" t="str">
        <f aca="false">IF(Data!C1132="—","—",IFERROR(INDEX(対訳マスタ!$C$2:$C$136,MATCH(Data!C1132,対訳マスタ!$B$2:$B$136,0)),Data!C1132))</f>
        <v>—</v>
      </c>
      <c r="D1132" s="70" t="str">
        <f aca="false">IF(Data!D1132="—","—",IFERROR(INDEX(対訳マスタ!$C$2:$C$136,MATCH(Data!D1132,対訳マスタ!$B$2:$B$136,0)),Data!D1132))</f>
        <v>—</v>
      </c>
      <c r="E1132" s="70" t="str">
        <f aca="false">IFERROR(INDEX(対訳マスタ!$C$2:$C$136,MATCH(Data!E1132,対訳マスタ!$B$2:$B$136,0)),Data!E1132)</f>
        <v>複言語レパートリーの活用</v>
      </c>
      <c r="F1132" s="70" t="str">
        <f aca="false">Data!F1132</f>
        <v>B2</v>
      </c>
      <c r="G1132" s="31" t="str">
        <f aca="false">Data!G1132</f>
        <v>Can make use of different languages in their plurilingual repertoire to encourage other people to use the language in which they feel more comfortable</v>
      </c>
      <c r="H1132" s="71" t="s">
        <v>2980</v>
      </c>
      <c r="I1132" s="79" t="s">
        <v>3089</v>
      </c>
    </row>
    <row r="1133" customFormat="false" ht="26.25" hidden="false" customHeight="true" outlineLevel="0" collapsed="false">
      <c r="A1133" s="70" t="n">
        <f aca="false">Data!A1133</f>
        <v>1132</v>
      </c>
      <c r="B1133" s="70" t="str">
        <f aca="false">IFERROR(INDEX(対訳マスタ!$C$2:$C$136,MATCH(Data!B1133,対訳マスタ!$B$2:$B$136,0)),Data!B1133)</f>
        <v>複言語・複文化能力</v>
      </c>
      <c r="C1133" s="70" t="str">
        <f aca="false">IF(Data!C1133="—","—",IFERROR(INDEX(対訳マスタ!$C$2:$C$136,MATCH(Data!C1133,対訳マスタ!$B$2:$B$136,0)),Data!C1133))</f>
        <v>—</v>
      </c>
      <c r="D1133" s="70" t="str">
        <f aca="false">IF(Data!D1133="—","—",IFERROR(INDEX(対訳マスタ!$C$2:$C$136,MATCH(Data!D1133,対訳マスタ!$B$2:$B$136,0)),Data!D1133))</f>
        <v>—</v>
      </c>
      <c r="E1133" s="70" t="str">
        <f aca="false">IFERROR(INDEX(対訳マスタ!$C$2:$C$136,MATCH(Data!E1133,対訳マスタ!$B$2:$B$136,0)),Data!E1133)</f>
        <v>複言語レパートリーの活用</v>
      </c>
      <c r="F1133" s="70" t="str">
        <f aca="false">Data!F1133</f>
        <v>B1</v>
      </c>
      <c r="G1133" s="31" t="str">
        <f aca="false">Data!G1133</f>
        <v>Can exploit creatively their limited repertoire in different languages in their plurilingual repertoire for everyday contexts, in order to cope with an unexpected situation.</v>
      </c>
      <c r="H1133" s="71" t="s">
        <v>2979</v>
      </c>
      <c r="I1133" s="79" t="s">
        <v>3089</v>
      </c>
    </row>
    <row r="1134" customFormat="false" ht="26.25" hidden="false" customHeight="true" outlineLevel="0" collapsed="false">
      <c r="A1134" s="70" t="n">
        <f aca="false">Data!A1134</f>
        <v>1133</v>
      </c>
      <c r="B1134" s="70" t="str">
        <f aca="false">IFERROR(INDEX(対訳マスタ!$C$2:$C$136,MATCH(Data!B1134,対訳マスタ!$B$2:$B$136,0)),Data!B1134)</f>
        <v>複言語・複文化能力</v>
      </c>
      <c r="C1134" s="70" t="str">
        <f aca="false">IF(Data!C1134="—","—",IFERROR(INDEX(対訳マスタ!$C$2:$C$136,MATCH(Data!C1134,対訳マスタ!$B$2:$B$136,0)),Data!C1134))</f>
        <v>—</v>
      </c>
      <c r="D1134" s="70" t="str">
        <f aca="false">IF(Data!D1134="—","—",IFERROR(INDEX(対訳マスタ!$C$2:$C$136,MATCH(Data!D1134,対訳マスタ!$B$2:$B$136,0)),Data!D1134))</f>
        <v>—</v>
      </c>
      <c r="E1134" s="70" t="str">
        <f aca="false">IFERROR(INDEX(対訳マスタ!$C$2:$C$136,MATCH(Data!E1134,対訳マスタ!$B$2:$B$136,0)),Data!E1134)</f>
        <v>複言語レパートリーの活用</v>
      </c>
      <c r="F1134" s="70" t="str">
        <f aca="false">Data!F1134</f>
        <v>A2</v>
      </c>
      <c r="G1134" s="31" t="str">
        <f aca="false">Data!G1134</f>
        <v>Can mobilise their limited repertoire in different languages in order to explain a problem or to ask for help or clarification.</v>
      </c>
      <c r="H1134" s="71" t="s">
        <v>2978</v>
      </c>
      <c r="I1134" s="79" t="s">
        <v>3089</v>
      </c>
    </row>
    <row r="1135" customFormat="false" ht="21.75" hidden="false" customHeight="true" outlineLevel="0" collapsed="false">
      <c r="A1135" s="70" t="n">
        <f aca="false">Data!A1135</f>
        <v>1134</v>
      </c>
      <c r="B1135" s="70" t="str">
        <f aca="false">IFERROR(INDEX(対訳マスタ!$C$2:$C$136,MATCH(Data!B1135,対訳マスタ!$B$2:$B$136,0)),Data!B1135)</f>
        <v>複言語・複文化能力</v>
      </c>
      <c r="C1135" s="70" t="str">
        <f aca="false">IF(Data!C1135="—","—",IFERROR(INDEX(対訳マスタ!$C$2:$C$136,MATCH(Data!C1135,対訳マスタ!$B$2:$B$136,0)),Data!C1135))</f>
        <v>—</v>
      </c>
      <c r="D1135" s="70" t="str">
        <f aca="false">IF(Data!D1135="—","—",IFERROR(INDEX(対訳マスタ!$C$2:$C$136,MATCH(Data!D1135,対訳マスタ!$B$2:$B$136,0)),Data!D1135))</f>
        <v>—</v>
      </c>
      <c r="E1135" s="70" t="str">
        <f aca="false">IFERROR(INDEX(対訳マスタ!$C$2:$C$136,MATCH(Data!E1135,対訳マスタ!$B$2:$B$136,0)),Data!E1135)</f>
        <v>複言語レパートリーの活用</v>
      </c>
      <c r="F1135" s="70" t="str">
        <f aca="false">Data!F1135</f>
        <v>A2</v>
      </c>
      <c r="G1135" s="31" t="str">
        <f aca="false">Data!G1135</f>
        <v>Can use simple words/signs and phrases from different languages in their plurilingual repertoire to conduct a simple, practical transaction or information exchange.</v>
      </c>
      <c r="H1135" s="71" t="s">
        <v>3561</v>
      </c>
      <c r="I1135" s="79" t="s">
        <v>3089</v>
      </c>
    </row>
    <row r="1136" customFormat="false" ht="32.25" hidden="false" customHeight="true" outlineLevel="0" collapsed="false">
      <c r="A1136" s="70" t="n">
        <f aca="false">Data!A1136</f>
        <v>1135</v>
      </c>
      <c r="B1136" s="70" t="str">
        <f aca="false">IFERROR(INDEX(対訳マスタ!$C$2:$C$136,MATCH(Data!B1136,対訳マスタ!$B$2:$B$136,0)),Data!B1136)</f>
        <v>複言語・複文化能力</v>
      </c>
      <c r="C1136" s="70" t="str">
        <f aca="false">IF(Data!C1136="—","—",IFERROR(INDEX(対訳マスタ!$C$2:$C$136,MATCH(Data!C1136,対訳マスタ!$B$2:$B$136,0)),Data!C1136))</f>
        <v>—</v>
      </c>
      <c r="D1136" s="70" t="str">
        <f aca="false">IF(Data!D1136="—","—",IFERROR(INDEX(対訳マスタ!$C$2:$C$136,MATCH(Data!D1136,対訳マスタ!$B$2:$B$136,0)),Data!D1136))</f>
        <v>—</v>
      </c>
      <c r="E1136" s="70" t="str">
        <f aca="false">IFERROR(INDEX(対訳マスタ!$C$2:$C$136,MATCH(Data!E1136,対訳マスタ!$B$2:$B$136,0)),Data!E1136)</f>
        <v>複言語レパートリーの活用</v>
      </c>
      <c r="F1136" s="70" t="str">
        <f aca="false">Data!F1136</f>
        <v>A2</v>
      </c>
      <c r="G1136" s="31" t="str">
        <f aca="false">Data!G1136</f>
        <v>Can use a simple word/sign from another language in their plurilingual repertoire to make themselves understood in a routine everyday situation, when they cannot think of an adequate expression in the language being used.</v>
      </c>
      <c r="H1136" s="71" t="s">
        <v>3562</v>
      </c>
      <c r="I1136" s="79" t="s">
        <v>3089</v>
      </c>
    </row>
    <row r="1137" customFormat="false" ht="26.25" hidden="false" customHeight="true" outlineLevel="0" collapsed="false">
      <c r="A1137" s="70" t="n">
        <f aca="false">Data!A1137</f>
        <v>1136</v>
      </c>
      <c r="B1137" s="70" t="str">
        <f aca="false">IFERROR(INDEX(対訳マスタ!$C$2:$C$136,MATCH(Data!B1137,対訳マスタ!$B$2:$B$136,0)),Data!B1137)</f>
        <v>複言語・複文化能力</v>
      </c>
      <c r="C1137" s="70" t="str">
        <f aca="false">IF(Data!C1137="—","—",IFERROR(INDEX(対訳マスタ!$C$2:$C$136,MATCH(Data!C1137,対訳マスタ!$B$2:$B$136,0)),Data!C1137))</f>
        <v>—</v>
      </c>
      <c r="D1137" s="70" t="str">
        <f aca="false">IF(Data!D1137="—","—",IFERROR(INDEX(対訳マスタ!$C$2:$C$136,MATCH(Data!D1137,対訳マスタ!$B$2:$B$136,0)),Data!D1137))</f>
        <v>—</v>
      </c>
      <c r="E1137" s="70" t="str">
        <f aca="false">IFERROR(INDEX(対訳マスタ!$C$2:$C$136,MATCH(Data!E1137,対訳マスタ!$B$2:$B$136,0)),Data!E1137)</f>
        <v>複言語レパートリーの活用</v>
      </c>
      <c r="F1137" s="70" t="str">
        <f aca="false">Data!F1137</f>
        <v>A1</v>
      </c>
      <c r="G1137" s="31" t="str">
        <f aca="false">Data!G1137</f>
        <v>Can use a very limited repertoire in different languages to conduct a very basic, concrete, everyday transaction with a collaborative interlocutor.</v>
      </c>
      <c r="H1137" s="71" t="s">
        <v>2977</v>
      </c>
      <c r="I1137" s="79" t="s">
        <v>3089</v>
      </c>
    </row>
    <row r="1138" customFormat="false" ht="15" hidden="false" customHeight="true" outlineLevel="0" collapsed="false">
      <c r="A1138" s="80" t="n">
        <f aca="false">Data!A1138</f>
        <v>1137</v>
      </c>
      <c r="B1138" s="80" t="str">
        <f aca="false">IFERROR(INDEX(対訳マスタ!$C$2:$C$136,MATCH(Data!B1138,対訳マスタ!$B$2:$B$136,0)),Data!B1138)</f>
        <v>複言語・複文化能力</v>
      </c>
      <c r="C1138" s="80" t="str">
        <f aca="false">IF(Data!C1138="—","—",IFERROR(INDEX(対訳マスタ!$C$2:$C$136,MATCH(Data!C1138,対訳マスタ!$B$2:$B$136,0)),Data!C1138))</f>
        <v>—</v>
      </c>
      <c r="D1138" s="80" t="str">
        <f aca="false">IF(Data!D1138="—","—",IFERROR(INDEX(対訳マスタ!$C$2:$C$136,MATCH(Data!D1138,対訳マスタ!$B$2:$B$136,0)),Data!D1138))</f>
        <v>—</v>
      </c>
      <c r="E1138" s="80" t="str">
        <f aca="false">IFERROR(INDEX(対訳マスタ!$C$2:$C$136,MATCH(Data!E1138,対訳マスタ!$B$2:$B$136,0)),Data!E1138)</f>
        <v>複言語レパートリーの活用</v>
      </c>
      <c r="F1138" s="80" t="str">
        <f aca="false">Data!F1138</f>
        <v>Pre-A1</v>
      </c>
      <c r="G1138" s="81" t="str">
        <f aca="false">Data!G1138</f>
        <v>No descriptors available</v>
      </c>
      <c r="H1138" s="81" t="s">
        <v>624</v>
      </c>
      <c r="I1138" s="80" t="s">
        <v>624</v>
      </c>
    </row>
    <row r="1139" customFormat="false" ht="32.25" hidden="false" customHeight="true" outlineLevel="0" collapsed="false">
      <c r="A1139" s="70" t="n">
        <f aca="false">Data!A1139</f>
        <v>1138</v>
      </c>
      <c r="B1139" s="70" t="str">
        <f aca="false">IFERROR(INDEX(対訳マスタ!$C$2:$C$136,MATCH(Data!B1139,対訳マスタ!$B$2:$B$136,0)),Data!B1139)</f>
        <v>コミュニケーション言語能力</v>
      </c>
      <c r="C1139" s="70" t="str">
        <f aca="false">IF(Data!C1139="—","—",IFERROR(INDEX(対訳マスタ!$C$2:$C$136,MATCH(Data!C1139,対訳マスタ!$B$2:$B$136,0)),Data!C1139))</f>
        <v>—</v>
      </c>
      <c r="D1139" s="70" t="str">
        <f aca="false">IF(Data!D1139="—","—",IFERROR(INDEX(対訳マスタ!$C$2:$C$136,MATCH(Data!D1139,対訳マスタ!$B$2:$B$136,0)),Data!D1139))</f>
        <v>言語能力</v>
      </c>
      <c r="E1139" s="70" t="str">
        <f aca="false">IFERROR(INDEX(対訳マスタ!$C$2:$C$136,MATCH(Data!E1139,対訳マスタ!$B$2:$B$136,0)),Data!E1139)</f>
        <v>言語レパートリー全般の幅</v>
      </c>
      <c r="F1139" s="70" t="str">
        <f aca="false">Data!F1139</f>
        <v>C2</v>
      </c>
      <c r="G1139" s="31" t="str">
        <f aca="false">Data!G1139</f>
        <v>Can exploit a comprehensive and reliable mastery of a very wide range of language to formulate thoughts precisely, give emphasis, differentiate and eliminate ambiguity. No signs of having to restrict what they want to say.</v>
      </c>
      <c r="H1139" s="71" t="s">
        <v>2992</v>
      </c>
      <c r="I1139" s="79" t="s">
        <v>3089</v>
      </c>
    </row>
    <row r="1140" customFormat="false" ht="21.75" hidden="false" customHeight="true" outlineLevel="0" collapsed="false">
      <c r="A1140" s="70" t="n">
        <f aca="false">Data!A1140</f>
        <v>1139</v>
      </c>
      <c r="B1140" s="70" t="str">
        <f aca="false">IFERROR(INDEX(対訳マスタ!$C$2:$C$136,MATCH(Data!B1140,対訳マスタ!$B$2:$B$136,0)),Data!B1140)</f>
        <v>コミュニケーション言語能力</v>
      </c>
      <c r="C1140" s="70" t="str">
        <f aca="false">IF(Data!C1140="—","—",IFERROR(INDEX(対訳マスタ!$C$2:$C$136,MATCH(Data!C1140,対訳マスタ!$B$2:$B$136,0)),Data!C1140))</f>
        <v>—</v>
      </c>
      <c r="D1140" s="70" t="str">
        <f aca="false">IF(Data!D1140="—","—",IFERROR(INDEX(対訳マスタ!$C$2:$C$136,MATCH(Data!D1140,対訳マスタ!$B$2:$B$136,0)),Data!D1140))</f>
        <v>言語能力</v>
      </c>
      <c r="E1140" s="70" t="str">
        <f aca="false">IFERROR(INDEX(対訳マスタ!$C$2:$C$136,MATCH(Data!E1140,対訳マスタ!$B$2:$B$136,0)),Data!E1140)</f>
        <v>言語レパートリー全般の幅</v>
      </c>
      <c r="F1140" s="70" t="str">
        <f aca="false">Data!F1140</f>
        <v>C1</v>
      </c>
      <c r="G1140" s="31" t="str">
        <f aca="false">Data!G1140</f>
        <v>Can use a broad range of complex grammatical structures appropriately and with considerable flexibility.</v>
      </c>
      <c r="H1140" s="71" t="s">
        <v>2991</v>
      </c>
      <c r="I1140" s="79" t="s">
        <v>3089</v>
      </c>
    </row>
    <row r="1141" customFormat="false" ht="21.75" hidden="false" customHeight="true" outlineLevel="0" collapsed="false">
      <c r="A1141" s="70" t="n">
        <f aca="false">Data!A1141</f>
        <v>1140</v>
      </c>
      <c r="B1141" s="70" t="str">
        <f aca="false">IFERROR(INDEX(対訳マスタ!$C$2:$C$136,MATCH(Data!B1141,対訳マスタ!$B$2:$B$136,0)),Data!B1141)</f>
        <v>コミュニケーション言語能力</v>
      </c>
      <c r="C1141" s="70" t="str">
        <f aca="false">IF(Data!C1141="—","—",IFERROR(INDEX(対訳マスタ!$C$2:$C$136,MATCH(Data!C1141,対訳マスタ!$B$2:$B$136,0)),Data!C1141))</f>
        <v>—</v>
      </c>
      <c r="D1141" s="70" t="str">
        <f aca="false">IF(Data!D1141="—","—",IFERROR(INDEX(対訳マスタ!$C$2:$C$136,MATCH(Data!D1141,対訳マスタ!$B$2:$B$136,0)),Data!D1141))</f>
        <v>言語能力</v>
      </c>
      <c r="E1141" s="70" t="str">
        <f aca="false">IFERROR(INDEX(対訳マスタ!$C$2:$C$136,MATCH(Data!E1141,対訳マスタ!$B$2:$B$136,0)),Data!E1141)</f>
        <v>言語レパートリー全般の幅</v>
      </c>
      <c r="F1141" s="70" t="str">
        <f aca="false">Data!F1141</f>
        <v>C1</v>
      </c>
      <c r="G1141" s="31" t="str">
        <f aca="false">Data!G1141</f>
        <v>Can select an appropriate formulation from a broad range of language to express themselves clearly, without having to restrict what they want to say.</v>
      </c>
      <c r="H1141" s="71" t="s">
        <v>3563</v>
      </c>
      <c r="I1141" s="79" t="s">
        <v>3089</v>
      </c>
    </row>
    <row r="1142" customFormat="false" ht="21.75" hidden="false" customHeight="true" outlineLevel="0" collapsed="false">
      <c r="A1142" s="70" t="n">
        <f aca="false">Data!A1142</f>
        <v>1141</v>
      </c>
      <c r="B1142" s="70" t="str">
        <f aca="false">IFERROR(INDEX(対訳マスタ!$C$2:$C$136,MATCH(Data!B1142,対訳マスタ!$B$2:$B$136,0)),Data!B1142)</f>
        <v>コミュニケーション言語能力</v>
      </c>
      <c r="C1142" s="70" t="str">
        <f aca="false">IF(Data!C1142="—","—",IFERROR(INDEX(対訳マスタ!$C$2:$C$136,MATCH(Data!C1142,対訳マスタ!$B$2:$B$136,0)),Data!C1142))</f>
        <v>—</v>
      </c>
      <c r="D1142" s="70" t="str">
        <f aca="false">IF(Data!D1142="—","—",IFERROR(INDEX(対訳マスタ!$C$2:$C$136,MATCH(Data!D1142,対訳マスタ!$B$2:$B$136,0)),Data!D1142))</f>
        <v>言語能力</v>
      </c>
      <c r="E1142" s="70" t="str">
        <f aca="false">IFERROR(INDEX(対訳マスタ!$C$2:$C$136,MATCH(Data!E1142,対訳マスタ!$B$2:$B$136,0)),Data!E1142)</f>
        <v>言語レパートリー全般の幅</v>
      </c>
      <c r="F1142" s="70" t="str">
        <f aca="false">Data!F1142</f>
        <v>B2+</v>
      </c>
      <c r="G1142" s="31" t="str">
        <f aca="false">Data!G1142</f>
        <v>Can express themselves clearly without much sign of having to restrict what they want to say.</v>
      </c>
      <c r="H1142" s="71" t="s">
        <v>2990</v>
      </c>
      <c r="I1142" s="79" t="s">
        <v>3089</v>
      </c>
    </row>
    <row r="1143" customFormat="false" ht="32.25" hidden="false" customHeight="true" outlineLevel="0" collapsed="false">
      <c r="A1143" s="70" t="n">
        <f aca="false">Data!A1143</f>
        <v>1142</v>
      </c>
      <c r="B1143" s="70" t="str">
        <f aca="false">IFERROR(INDEX(対訳マスタ!$C$2:$C$136,MATCH(Data!B1143,対訳マスタ!$B$2:$B$136,0)),Data!B1143)</f>
        <v>コミュニケーション言語能力</v>
      </c>
      <c r="C1143" s="70" t="str">
        <f aca="false">IF(Data!C1143="—","—",IFERROR(INDEX(対訳マスタ!$C$2:$C$136,MATCH(Data!C1143,対訳マスタ!$B$2:$B$136,0)),Data!C1143))</f>
        <v>—</v>
      </c>
      <c r="D1143" s="70" t="str">
        <f aca="false">IF(Data!D1143="—","—",IFERROR(INDEX(対訳マスタ!$C$2:$C$136,MATCH(Data!D1143,対訳マスタ!$B$2:$B$136,0)),Data!D1143))</f>
        <v>言語能力</v>
      </c>
      <c r="E1143" s="70" t="str">
        <f aca="false">IFERROR(INDEX(対訳マスタ!$C$2:$C$136,MATCH(Data!E1143,対訳マスタ!$B$2:$B$136,0)),Data!E1143)</f>
        <v>言語レパートリー全般の幅</v>
      </c>
      <c r="F1143" s="70" t="str">
        <f aca="false">Data!F1143</f>
        <v>B2</v>
      </c>
      <c r="G1143" s="31" t="str">
        <f aca="false">Data!G1143</f>
        <v>Has a sufficient range of language to be able to give clear descriptions, express viewpoints and develop arguments without much conspicuous searching for words/signs, using some complex sentence forms to do so.</v>
      </c>
      <c r="H1143" s="71" t="s">
        <v>2989</v>
      </c>
      <c r="I1143" s="79" t="s">
        <v>3089</v>
      </c>
    </row>
    <row r="1144" customFormat="false" ht="32.25" hidden="false" customHeight="true" outlineLevel="0" collapsed="false">
      <c r="A1144" s="70" t="n">
        <f aca="false">Data!A1144</f>
        <v>1143</v>
      </c>
      <c r="B1144" s="70" t="str">
        <f aca="false">IFERROR(INDEX(対訳マスタ!$C$2:$C$136,MATCH(Data!B1144,対訳マスタ!$B$2:$B$136,0)),Data!B1144)</f>
        <v>コミュニケーション言語能力</v>
      </c>
      <c r="C1144" s="70" t="str">
        <f aca="false">IF(Data!C1144="—","—",IFERROR(INDEX(対訳マスタ!$C$2:$C$136,MATCH(Data!C1144,対訳マスタ!$B$2:$B$136,0)),Data!C1144))</f>
        <v>—</v>
      </c>
      <c r="D1144" s="70" t="str">
        <f aca="false">IF(Data!D1144="—","—",IFERROR(INDEX(対訳マスタ!$C$2:$C$136,MATCH(Data!D1144,対訳マスタ!$B$2:$B$136,0)),Data!D1144))</f>
        <v>言語能力</v>
      </c>
      <c r="E1144" s="70" t="str">
        <f aca="false">IFERROR(INDEX(対訳マスタ!$C$2:$C$136,MATCH(Data!E1144,対訳マスタ!$B$2:$B$136,0)),Data!E1144)</f>
        <v>言語レパートリー全般の幅</v>
      </c>
      <c r="F1144" s="70" t="str">
        <f aca="false">Data!F1144</f>
        <v>B1+</v>
      </c>
      <c r="G1144" s="31" t="str">
        <f aca="false">Data!G1144</f>
        <v>Has a sufficient range of language to describe unpredictable situations, explain the main points in an idea or problem with reasonable precision and express thoughts on abstract or cultural topics such as music and film.</v>
      </c>
      <c r="H1144" s="71" t="s">
        <v>2988</v>
      </c>
      <c r="I1144" s="79" t="s">
        <v>3089</v>
      </c>
    </row>
    <row r="1145" customFormat="false" ht="42.75" hidden="false" customHeight="true" outlineLevel="0" collapsed="false">
      <c r="A1145" s="70" t="n">
        <f aca="false">Data!A1145</f>
        <v>1144</v>
      </c>
      <c r="B1145" s="70" t="str">
        <f aca="false">IFERROR(INDEX(対訳マスタ!$C$2:$C$136,MATCH(Data!B1145,対訳マスタ!$B$2:$B$136,0)),Data!B1145)</f>
        <v>コミュニケーション言語能力</v>
      </c>
      <c r="C1145" s="70" t="str">
        <f aca="false">IF(Data!C1145="—","—",IFERROR(INDEX(対訳マスタ!$C$2:$C$136,MATCH(Data!C1145,対訳マスタ!$B$2:$B$136,0)),Data!C1145))</f>
        <v>—</v>
      </c>
      <c r="D1145" s="70" t="str">
        <f aca="false">IF(Data!D1145="—","—",IFERROR(INDEX(対訳マスタ!$C$2:$C$136,MATCH(Data!D1145,対訳マスタ!$B$2:$B$136,0)),Data!D1145))</f>
        <v>言語能力</v>
      </c>
      <c r="E1145" s="70" t="str">
        <f aca="false">IFERROR(INDEX(対訳マスタ!$C$2:$C$136,MATCH(Data!E1145,対訳マスタ!$B$2:$B$136,0)),Data!E1145)</f>
        <v>言語レパートリー全般の幅</v>
      </c>
      <c r="F1145" s="70" t="str">
        <f aca="false">Data!F1145</f>
        <v>B1</v>
      </c>
      <c r="G1145" s="31" t="str">
        <f aca="false">Data!G1145</f>
        <v>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v>
      </c>
      <c r="H1145" s="71" t="s">
        <v>2987</v>
      </c>
      <c r="I1145" s="79" t="s">
        <v>3089</v>
      </c>
    </row>
    <row r="1146" customFormat="false" ht="32.25" hidden="false" customHeight="true" outlineLevel="0" collapsed="false">
      <c r="A1146" s="70" t="n">
        <f aca="false">Data!A1146</f>
        <v>1145</v>
      </c>
      <c r="B1146" s="70" t="str">
        <f aca="false">IFERROR(INDEX(対訳マスタ!$C$2:$C$136,MATCH(Data!B1146,対訳マスタ!$B$2:$B$136,0)),Data!B1146)</f>
        <v>コミュニケーション言語能力</v>
      </c>
      <c r="C1146" s="70" t="str">
        <f aca="false">IF(Data!C1146="—","—",IFERROR(INDEX(対訳マスタ!$C$2:$C$136,MATCH(Data!C1146,対訳マスタ!$B$2:$B$136,0)),Data!C1146))</f>
        <v>—</v>
      </c>
      <c r="D1146" s="70" t="str">
        <f aca="false">IF(Data!D1146="—","—",IFERROR(INDEX(対訳マスタ!$C$2:$C$136,MATCH(Data!D1146,対訳マスタ!$B$2:$B$136,0)),Data!D1146))</f>
        <v>言語能力</v>
      </c>
      <c r="E1146" s="70" t="str">
        <f aca="false">IFERROR(INDEX(対訳マスタ!$C$2:$C$136,MATCH(Data!E1146,対訳マスタ!$B$2:$B$136,0)),Data!E1146)</f>
        <v>言語レパートリー全般の幅</v>
      </c>
      <c r="F1146" s="70" t="str">
        <f aca="false">Data!F1146</f>
        <v>A2+</v>
      </c>
      <c r="G1146" s="31" t="str">
        <f aca="false">Data!G1146</f>
        <v>Has a repertoire of basic language which enables them to deal with everyday situations with predictable content, though they will generally have to compromise the message and search for words/signs.</v>
      </c>
      <c r="H1146" s="71" t="s">
        <v>2986</v>
      </c>
      <c r="I1146" s="79" t="s">
        <v>3089</v>
      </c>
    </row>
    <row r="1147" customFormat="false" ht="21.75" hidden="false" customHeight="true" outlineLevel="0" collapsed="false">
      <c r="A1147" s="70" t="n">
        <f aca="false">Data!A1147</f>
        <v>1146</v>
      </c>
      <c r="B1147" s="70" t="str">
        <f aca="false">IFERROR(INDEX(対訳マスタ!$C$2:$C$136,MATCH(Data!B1147,対訳マスタ!$B$2:$B$136,0)),Data!B1147)</f>
        <v>コミュニケーション言語能力</v>
      </c>
      <c r="C1147" s="70" t="str">
        <f aca="false">IF(Data!C1147="—","—",IFERROR(INDEX(対訳マスタ!$C$2:$C$136,MATCH(Data!C1147,対訳マスタ!$B$2:$B$136,0)),Data!C1147))</f>
        <v>—</v>
      </c>
      <c r="D1147" s="70" t="str">
        <f aca="false">IF(Data!D1147="—","—",IFERROR(INDEX(対訳マスタ!$C$2:$C$136,MATCH(Data!D1147,対訳マスタ!$B$2:$B$136,0)),Data!D1147))</f>
        <v>言語能力</v>
      </c>
      <c r="E1147" s="70" t="str">
        <f aca="false">IFERROR(INDEX(対訳マスタ!$C$2:$C$136,MATCH(Data!E1147,対訳マスタ!$B$2:$B$136,0)),Data!E1147)</f>
        <v>言語レパートリー全般の幅</v>
      </c>
      <c r="F1147" s="70" t="str">
        <f aca="false">Data!F1147</f>
        <v>A2</v>
      </c>
      <c r="G1147" s="31" t="str">
        <f aca="false">Data!G1147</f>
        <v>Can produce brief, everyday expressions in order to satisfy simple needs of a concrete type (e.g. personal details, daily routines, wants and needs, requests for information).</v>
      </c>
      <c r="H1147" s="71" t="s">
        <v>3564</v>
      </c>
      <c r="I1147" s="79" t="s">
        <v>3089</v>
      </c>
    </row>
    <row r="1148" customFormat="false" ht="32.25" hidden="false" customHeight="true" outlineLevel="0" collapsed="false">
      <c r="A1148" s="70" t="n">
        <f aca="false">Data!A1148</f>
        <v>1147</v>
      </c>
      <c r="B1148" s="70" t="str">
        <f aca="false">IFERROR(INDEX(対訳マスタ!$C$2:$C$136,MATCH(Data!B1148,対訳マスタ!$B$2:$B$136,0)),Data!B1148)</f>
        <v>コミュニケーション言語能力</v>
      </c>
      <c r="C1148" s="70" t="str">
        <f aca="false">IF(Data!C1148="—","—",IFERROR(INDEX(対訳マスタ!$C$2:$C$136,MATCH(Data!C1148,対訳マスタ!$B$2:$B$136,0)),Data!C1148))</f>
        <v>—</v>
      </c>
      <c r="D1148" s="70" t="str">
        <f aca="false">IF(Data!D1148="—","—",IFERROR(INDEX(対訳マスタ!$C$2:$C$136,MATCH(Data!D1148,対訳マスタ!$B$2:$B$136,0)),Data!D1148))</f>
        <v>言語能力</v>
      </c>
      <c r="E1148" s="70" t="str">
        <f aca="false">IFERROR(INDEX(対訳マスタ!$C$2:$C$136,MATCH(Data!E1148,対訳マスタ!$B$2:$B$136,0)),Data!E1148)</f>
        <v>言語レパートリー全般の幅</v>
      </c>
      <c r="F1148" s="70" t="str">
        <f aca="false">Data!F1148</f>
        <v>A2</v>
      </c>
      <c r="G1148" s="31" t="str">
        <f aca="false">Data!G1148</f>
        <v>Can use basic sentence patterns and communicate with memorised phrases, groups of a few words/signs and formulae about themselves and other people, what they do, places, possessions, etc.</v>
      </c>
      <c r="H1148" s="71" t="s">
        <v>3565</v>
      </c>
      <c r="I1148" s="79" t="s">
        <v>3089</v>
      </c>
    </row>
    <row r="1149" customFormat="false" ht="26.25" hidden="false" customHeight="true" outlineLevel="0" collapsed="false">
      <c r="A1149" s="70" t="n">
        <f aca="false">Data!A1149</f>
        <v>1148</v>
      </c>
      <c r="B1149" s="70" t="str">
        <f aca="false">IFERROR(INDEX(対訳マスタ!$C$2:$C$136,MATCH(Data!B1149,対訳マスタ!$B$2:$B$136,0)),Data!B1149)</f>
        <v>コミュニケーション言語能力</v>
      </c>
      <c r="C1149" s="70" t="str">
        <f aca="false">IF(Data!C1149="—","—",IFERROR(INDEX(対訳マスタ!$C$2:$C$136,MATCH(Data!C1149,対訳マスタ!$B$2:$B$136,0)),Data!C1149))</f>
        <v>—</v>
      </c>
      <c r="D1149" s="70" t="str">
        <f aca="false">IF(Data!D1149="—","—",IFERROR(INDEX(対訳マスタ!$C$2:$C$136,MATCH(Data!D1149,対訳マスタ!$B$2:$B$136,0)),Data!D1149))</f>
        <v>言語能力</v>
      </c>
      <c r="E1149" s="70" t="str">
        <f aca="false">IFERROR(INDEX(対訳マスタ!$C$2:$C$136,MATCH(Data!E1149,対訳マスタ!$B$2:$B$136,0)),Data!E1149)</f>
        <v>言語レパートリー全般の幅</v>
      </c>
      <c r="F1149" s="70" t="str">
        <f aca="false">Data!F1149</f>
        <v>A2</v>
      </c>
      <c r="G1149" s="31" t="str">
        <f aca="false">Data!G1149</f>
        <v>Has a limited repertoire of short, memorised phrases covering predictable survival situations; frequent breakdowns and misunderstandings occur in non-routine situations.</v>
      </c>
      <c r="H1149" s="71" t="s">
        <v>2985</v>
      </c>
      <c r="I1149" s="79" t="s">
        <v>3089</v>
      </c>
    </row>
    <row r="1150" customFormat="false" ht="26.25" hidden="false" customHeight="true" outlineLevel="0" collapsed="false">
      <c r="A1150" s="70" t="n">
        <f aca="false">Data!A1150</f>
        <v>1149</v>
      </c>
      <c r="B1150" s="70" t="str">
        <f aca="false">IFERROR(INDEX(対訳マスタ!$C$2:$C$136,MATCH(Data!B1150,対訳マスタ!$B$2:$B$136,0)),Data!B1150)</f>
        <v>コミュニケーション言語能力</v>
      </c>
      <c r="C1150" s="70" t="str">
        <f aca="false">IF(Data!C1150="—","—",IFERROR(INDEX(対訳マスタ!$C$2:$C$136,MATCH(Data!C1150,対訳マスタ!$B$2:$B$136,0)),Data!C1150))</f>
        <v>—</v>
      </c>
      <c r="D1150" s="70" t="str">
        <f aca="false">IF(Data!D1150="—","—",IFERROR(INDEX(対訳マスタ!$C$2:$C$136,MATCH(Data!D1150,対訳マスタ!$B$2:$B$136,0)),Data!D1150))</f>
        <v>言語能力</v>
      </c>
      <c r="E1150" s="70" t="str">
        <f aca="false">IFERROR(INDEX(対訳マスタ!$C$2:$C$136,MATCH(Data!E1150,対訳マスタ!$B$2:$B$136,0)),Data!E1150)</f>
        <v>言語レパートリー全般の幅</v>
      </c>
      <c r="F1150" s="70" t="str">
        <f aca="false">Data!F1150</f>
        <v>A1</v>
      </c>
      <c r="G1150" s="31" t="str">
        <f aca="false">Data!G1150</f>
        <v>Has a very basic range of simple expressions about personal details and needs of a concrete type.</v>
      </c>
      <c r="H1150" s="71" t="s">
        <v>2984</v>
      </c>
      <c r="I1150" s="79" t="s">
        <v>3089</v>
      </c>
    </row>
    <row r="1151" customFormat="false" ht="21.75" hidden="false" customHeight="true" outlineLevel="0" collapsed="false">
      <c r="A1151" s="70" t="n">
        <f aca="false">Data!A1151</f>
        <v>1150</v>
      </c>
      <c r="B1151" s="70" t="str">
        <f aca="false">IFERROR(INDEX(対訳マスタ!$C$2:$C$136,MATCH(Data!B1151,対訳マスタ!$B$2:$B$136,0)),Data!B1151)</f>
        <v>コミュニケーション言語能力</v>
      </c>
      <c r="C1151" s="70" t="str">
        <f aca="false">IF(Data!C1151="—","—",IFERROR(INDEX(対訳マスタ!$C$2:$C$136,MATCH(Data!C1151,対訳マスタ!$B$2:$B$136,0)),Data!C1151))</f>
        <v>—</v>
      </c>
      <c r="D1151" s="70" t="str">
        <f aca="false">IF(Data!D1151="—","—",IFERROR(INDEX(対訳マスタ!$C$2:$C$136,MATCH(Data!D1151,対訳マスタ!$B$2:$B$136,0)),Data!D1151))</f>
        <v>言語能力</v>
      </c>
      <c r="E1151" s="70" t="str">
        <f aca="false">IFERROR(INDEX(対訳マスタ!$C$2:$C$136,MATCH(Data!E1151,対訳マスタ!$B$2:$B$136,0)),Data!E1151)</f>
        <v>言語レパートリー全般の幅</v>
      </c>
      <c r="F1151" s="70" t="str">
        <f aca="false">Data!F1151</f>
        <v>A1</v>
      </c>
      <c r="G1151" s="31" t="str">
        <f aca="false">Data!G1151</f>
        <v>Can use some basic structures in one-clause sentences with some omission or reduction of elements.</v>
      </c>
      <c r="H1151" s="71" t="s">
        <v>3566</v>
      </c>
      <c r="I1151" s="79" t="s">
        <v>3089</v>
      </c>
    </row>
    <row r="1152" customFormat="false" ht="21.75" hidden="false" customHeight="true" outlineLevel="0" collapsed="false">
      <c r="A1152" s="70" t="n">
        <f aca="false">Data!A1152</f>
        <v>1151</v>
      </c>
      <c r="B1152" s="70" t="str">
        <f aca="false">IFERROR(INDEX(対訳マスタ!$C$2:$C$136,MATCH(Data!B1152,対訳マスタ!$B$2:$B$136,0)),Data!B1152)</f>
        <v>コミュニケーション言語能力</v>
      </c>
      <c r="C1152" s="70" t="str">
        <f aca="false">IF(Data!C1152="—","—",IFERROR(INDEX(対訳マスタ!$C$2:$C$136,MATCH(Data!C1152,対訳マスタ!$B$2:$B$136,0)),Data!C1152))</f>
        <v>—</v>
      </c>
      <c r="D1152" s="70" t="str">
        <f aca="false">IF(Data!D1152="—","—",IFERROR(INDEX(対訳マスタ!$C$2:$C$136,MATCH(Data!D1152,対訳マスタ!$B$2:$B$136,0)),Data!D1152))</f>
        <v>言語能力</v>
      </c>
      <c r="E1152" s="70" t="str">
        <f aca="false">IFERROR(INDEX(対訳マスタ!$C$2:$C$136,MATCH(Data!E1152,対訳マスタ!$B$2:$B$136,0)),Data!E1152)</f>
        <v>言語レパートリー全般の幅</v>
      </c>
      <c r="F1152" s="70" t="str">
        <f aca="false">Data!F1152</f>
        <v>Pre-A1</v>
      </c>
      <c r="G1152" s="31" t="str">
        <f aca="false">Data!G1152</f>
        <v>Can use isolated words/signs and basic expressions in order to give simple information about themselves.</v>
      </c>
      <c r="H1152" s="71" t="s">
        <v>2983</v>
      </c>
      <c r="I1152" s="79" t="s">
        <v>3089</v>
      </c>
    </row>
    <row r="1153" customFormat="false" ht="26.25" hidden="false" customHeight="true" outlineLevel="0" collapsed="false">
      <c r="A1153" s="70" t="n">
        <f aca="false">Data!A1153</f>
        <v>1152</v>
      </c>
      <c r="B1153" s="70" t="str">
        <f aca="false">IFERROR(INDEX(対訳マスタ!$C$2:$C$136,MATCH(Data!B1153,対訳マスタ!$B$2:$B$136,0)),Data!B1153)</f>
        <v>コミュニケーション言語能力</v>
      </c>
      <c r="C1153" s="70" t="str">
        <f aca="false">IF(Data!C1153="—","—",IFERROR(INDEX(対訳マスタ!$C$2:$C$136,MATCH(Data!C1153,対訳マスタ!$B$2:$B$136,0)),Data!C1153))</f>
        <v>—</v>
      </c>
      <c r="D1153" s="70" t="str">
        <f aca="false">IF(Data!D1153="—","—",IFERROR(INDEX(対訳マスタ!$C$2:$C$136,MATCH(Data!D1153,対訳マスタ!$B$2:$B$136,0)),Data!D1153))</f>
        <v>言語能力</v>
      </c>
      <c r="E1153" s="70" t="str">
        <f aca="false">IFERROR(INDEX(対訳マスタ!$C$2:$C$136,MATCH(Data!E1153,対訳マスタ!$B$2:$B$136,0)),Data!E1153)</f>
        <v>語彙の幅</v>
      </c>
      <c r="F1153" s="70" t="str">
        <f aca="false">Data!F1153</f>
        <v>C2</v>
      </c>
      <c r="G1153" s="31" t="str">
        <f aca="false">Data!G1153</f>
        <v>Has a good command of a very broad lexical repertoire including idiomatic expressions and colloquialisms; shows awareness of connotative levels of meaning.</v>
      </c>
      <c r="H1153" s="71" t="s">
        <v>3000</v>
      </c>
      <c r="I1153" s="79" t="s">
        <v>3089</v>
      </c>
    </row>
    <row r="1154" customFormat="false" ht="21.75" hidden="false" customHeight="true" outlineLevel="0" collapsed="false">
      <c r="A1154" s="70" t="n">
        <f aca="false">Data!A1154</f>
        <v>1153</v>
      </c>
      <c r="B1154" s="70" t="str">
        <f aca="false">IFERROR(INDEX(対訳マスタ!$C$2:$C$136,MATCH(Data!B1154,対訳マスタ!$B$2:$B$136,0)),Data!B1154)</f>
        <v>コミュニケーション言語能力</v>
      </c>
      <c r="C1154" s="70" t="str">
        <f aca="false">IF(Data!C1154="—","—",IFERROR(INDEX(対訳マスタ!$C$2:$C$136,MATCH(Data!C1154,対訳マスタ!$B$2:$B$136,0)),Data!C1154))</f>
        <v>—</v>
      </c>
      <c r="D1154" s="70" t="str">
        <f aca="false">IF(Data!D1154="—","—",IFERROR(INDEX(対訳マスタ!$C$2:$C$136,MATCH(Data!D1154,対訳マスタ!$B$2:$B$136,0)),Data!D1154))</f>
        <v>言語能力</v>
      </c>
      <c r="E1154" s="70" t="str">
        <f aca="false">IFERROR(INDEX(対訳マスタ!$C$2:$C$136,MATCH(Data!E1154,対訳マスタ!$B$2:$B$136,0)),Data!E1154)</f>
        <v>語彙の幅</v>
      </c>
      <c r="F1154" s="70" t="str">
        <f aca="false">Data!F1154</f>
        <v>C1</v>
      </c>
      <c r="G1154" s="31" t="str">
        <f aca="false">Data!G1154</f>
        <v>Has a good command of a broad lexical repertoire allowing gaps to be readily overcome with circumlocutions; little obvious searching for expressions or avoidance strategies.</v>
      </c>
      <c r="H1154" s="71" t="s">
        <v>3567</v>
      </c>
      <c r="I1154" s="79" t="s">
        <v>3089</v>
      </c>
    </row>
    <row r="1155" customFormat="false" ht="21.75" hidden="false" customHeight="true" outlineLevel="0" collapsed="false">
      <c r="A1155" s="70" t="n">
        <f aca="false">Data!A1155</f>
        <v>1154</v>
      </c>
      <c r="B1155" s="70" t="str">
        <f aca="false">IFERROR(INDEX(対訳マスタ!$C$2:$C$136,MATCH(Data!B1155,対訳マスタ!$B$2:$B$136,0)),Data!B1155)</f>
        <v>コミュニケーション言語能力</v>
      </c>
      <c r="C1155" s="70" t="str">
        <f aca="false">IF(Data!C1155="—","—",IFERROR(INDEX(対訳マスタ!$C$2:$C$136,MATCH(Data!C1155,対訳マスタ!$B$2:$B$136,0)),Data!C1155))</f>
        <v>—</v>
      </c>
      <c r="D1155" s="70" t="str">
        <f aca="false">IF(Data!D1155="—","—",IFERROR(INDEX(対訳マスタ!$C$2:$C$136,MATCH(Data!D1155,対訳マスタ!$B$2:$B$136,0)),Data!D1155))</f>
        <v>言語能力</v>
      </c>
      <c r="E1155" s="70" t="str">
        <f aca="false">IFERROR(INDEX(対訳マスタ!$C$2:$C$136,MATCH(Data!E1155,対訳マスタ!$B$2:$B$136,0)),Data!E1155)</f>
        <v>語彙の幅</v>
      </c>
      <c r="F1155" s="70" t="str">
        <f aca="false">Data!F1155</f>
        <v>C1</v>
      </c>
      <c r="G1155" s="31" t="str">
        <f aca="false">Data!G1155</f>
        <v>Can select from several vocabulary options in almost all situations by exploiting synonyms of even words/signs less commonly encountered.</v>
      </c>
      <c r="H1155" s="71" t="s">
        <v>3568</v>
      </c>
      <c r="I1155" s="79" t="s">
        <v>3089</v>
      </c>
    </row>
    <row r="1156" customFormat="false" ht="21.75" hidden="false" customHeight="true" outlineLevel="0" collapsed="false">
      <c r="A1156" s="70" t="n">
        <f aca="false">Data!A1156</f>
        <v>1155</v>
      </c>
      <c r="B1156" s="70" t="str">
        <f aca="false">IFERROR(INDEX(対訳マスタ!$C$2:$C$136,MATCH(Data!B1156,対訳マスタ!$B$2:$B$136,0)),Data!B1156)</f>
        <v>コミュニケーション言語能力</v>
      </c>
      <c r="C1156" s="70" t="str">
        <f aca="false">IF(Data!C1156="—","—",IFERROR(INDEX(対訳マスタ!$C$2:$C$136,MATCH(Data!C1156,対訳マスタ!$B$2:$B$136,0)),Data!C1156))</f>
        <v>—</v>
      </c>
      <c r="D1156" s="70" t="str">
        <f aca="false">IF(Data!D1156="—","—",IFERROR(INDEX(対訳マスタ!$C$2:$C$136,MATCH(Data!D1156,対訳マスタ!$B$2:$B$136,0)),Data!D1156))</f>
        <v>言語能力</v>
      </c>
      <c r="E1156" s="70" t="str">
        <f aca="false">IFERROR(INDEX(対訳マスタ!$C$2:$C$136,MATCH(Data!E1156,対訳マスタ!$B$2:$B$136,0)),Data!E1156)</f>
        <v>語彙の幅</v>
      </c>
      <c r="F1156" s="70" t="str">
        <f aca="false">Data!F1156</f>
        <v>C1</v>
      </c>
      <c r="G1156" s="31" t="str">
        <f aca="false">Data!G1156</f>
        <v>Has a good command of common idiomatic expressions and colloquialisms; can play with words/signs fairly well.</v>
      </c>
      <c r="H1156" s="71" t="s">
        <v>2999</v>
      </c>
      <c r="I1156" s="79" t="s">
        <v>3089</v>
      </c>
    </row>
    <row r="1157" customFormat="false" ht="21.75" hidden="false" customHeight="true" outlineLevel="0" collapsed="false">
      <c r="A1157" s="70" t="n">
        <f aca="false">Data!A1157</f>
        <v>1156</v>
      </c>
      <c r="B1157" s="70" t="str">
        <f aca="false">IFERROR(INDEX(対訳マスタ!$C$2:$C$136,MATCH(Data!B1157,対訳マスタ!$B$2:$B$136,0)),Data!B1157)</f>
        <v>コミュニケーション言語能力</v>
      </c>
      <c r="C1157" s="70" t="str">
        <f aca="false">IF(Data!C1157="—","—",IFERROR(INDEX(対訳マスタ!$C$2:$C$136,MATCH(Data!C1157,対訳マスタ!$B$2:$B$136,0)),Data!C1157))</f>
        <v>—</v>
      </c>
      <c r="D1157" s="70" t="str">
        <f aca="false">IF(Data!D1157="—","—",IFERROR(INDEX(対訳マスタ!$C$2:$C$136,MATCH(Data!D1157,対訳マスタ!$B$2:$B$136,0)),Data!D1157))</f>
        <v>言語能力</v>
      </c>
      <c r="E1157" s="70" t="str">
        <f aca="false">IFERROR(INDEX(対訳マスタ!$C$2:$C$136,MATCH(Data!E1157,対訳マスタ!$B$2:$B$136,0)),Data!E1157)</f>
        <v>語彙の幅</v>
      </c>
      <c r="F1157" s="70" t="str">
        <f aca="false">Data!F1157</f>
        <v>C1</v>
      </c>
      <c r="G1157" s="31" t="str">
        <f aca="false">Data!G1157</f>
        <v>Can understand and use appropriately the range of technical vocabulary and idiomatic expressions common to their area of specialisation.</v>
      </c>
      <c r="H1157" s="71" t="s">
        <v>3569</v>
      </c>
      <c r="I1157" s="79" t="s">
        <v>3089</v>
      </c>
    </row>
    <row r="1158" customFormat="false" ht="26.25" hidden="false" customHeight="true" outlineLevel="0" collapsed="false">
      <c r="A1158" s="70" t="n">
        <f aca="false">Data!A1158</f>
        <v>1157</v>
      </c>
      <c r="B1158" s="70" t="str">
        <f aca="false">IFERROR(INDEX(対訳マスタ!$C$2:$C$136,MATCH(Data!B1158,対訳マスタ!$B$2:$B$136,0)),Data!B1158)</f>
        <v>コミュニケーション言語能力</v>
      </c>
      <c r="C1158" s="70" t="str">
        <f aca="false">IF(Data!C1158="—","—",IFERROR(INDEX(対訳マスタ!$C$2:$C$136,MATCH(Data!C1158,対訳マスタ!$B$2:$B$136,0)),Data!C1158))</f>
        <v>—</v>
      </c>
      <c r="D1158" s="70" t="str">
        <f aca="false">IF(Data!D1158="—","—",IFERROR(INDEX(対訳マスタ!$C$2:$C$136,MATCH(Data!D1158,対訳マスタ!$B$2:$B$136,0)),Data!D1158))</f>
        <v>言語能力</v>
      </c>
      <c r="E1158" s="70" t="str">
        <f aca="false">IFERROR(INDEX(対訳マスタ!$C$2:$C$136,MATCH(Data!E1158,対訳マスタ!$B$2:$B$136,0)),Data!E1158)</f>
        <v>語彙の幅</v>
      </c>
      <c r="F1158" s="70" t="str">
        <f aca="false">Data!F1158</f>
        <v>B2+</v>
      </c>
      <c r="G1158" s="31" t="str">
        <f aca="false">Data!G1158</f>
        <v>Can understand and use the main technical terminology of their field, when discussing their area of specialisation with other specialists.</v>
      </c>
      <c r="H1158" s="71" t="s">
        <v>2998</v>
      </c>
      <c r="I1158" s="79" t="s">
        <v>3089</v>
      </c>
    </row>
    <row r="1159" customFormat="false" ht="21.75" hidden="false" customHeight="true" outlineLevel="0" collapsed="false">
      <c r="A1159" s="70" t="n">
        <f aca="false">Data!A1159</f>
        <v>1158</v>
      </c>
      <c r="B1159" s="70" t="str">
        <f aca="false">IFERROR(INDEX(対訳マスタ!$C$2:$C$136,MATCH(Data!B1159,対訳マスタ!$B$2:$B$136,0)),Data!B1159)</f>
        <v>コミュニケーション言語能力</v>
      </c>
      <c r="C1159" s="70" t="str">
        <f aca="false">IF(Data!C1159="—","—",IFERROR(INDEX(対訳マスタ!$C$2:$C$136,MATCH(Data!C1159,対訳マスタ!$B$2:$B$136,0)),Data!C1159))</f>
        <v>—</v>
      </c>
      <c r="D1159" s="70" t="str">
        <f aca="false">IF(Data!D1159="—","—",IFERROR(INDEX(対訳マスタ!$C$2:$C$136,MATCH(Data!D1159,対訳マスタ!$B$2:$B$136,0)),Data!D1159))</f>
        <v>言語能力</v>
      </c>
      <c r="E1159" s="70" t="str">
        <f aca="false">IFERROR(INDEX(対訳マスタ!$C$2:$C$136,MATCH(Data!E1159,対訳マスタ!$B$2:$B$136,0)),Data!E1159)</f>
        <v>語彙の幅</v>
      </c>
      <c r="F1159" s="70" t="str">
        <f aca="false">Data!F1159</f>
        <v>B2</v>
      </c>
      <c r="G1159" s="31" t="str">
        <f aca="false">Data!G1159</f>
        <v>Has a good range of vocabulary for matters connected to their field and most general topics.</v>
      </c>
      <c r="H1159" s="71" t="s">
        <v>2997</v>
      </c>
      <c r="I1159" s="79" t="s">
        <v>3089</v>
      </c>
    </row>
    <row r="1160" customFormat="false" ht="21.75" hidden="false" customHeight="true" outlineLevel="0" collapsed="false">
      <c r="A1160" s="70" t="n">
        <f aca="false">Data!A1160</f>
        <v>1159</v>
      </c>
      <c r="B1160" s="70" t="str">
        <f aca="false">IFERROR(INDEX(対訳マスタ!$C$2:$C$136,MATCH(Data!B1160,対訳マスタ!$B$2:$B$136,0)),Data!B1160)</f>
        <v>コミュニケーション言語能力</v>
      </c>
      <c r="C1160" s="70" t="str">
        <f aca="false">IF(Data!C1160="—","—",IFERROR(INDEX(対訳マスタ!$C$2:$C$136,MATCH(Data!C1160,対訳マスタ!$B$2:$B$136,0)),Data!C1160))</f>
        <v>—</v>
      </c>
      <c r="D1160" s="70" t="str">
        <f aca="false">IF(Data!D1160="—","—",IFERROR(INDEX(対訳マスタ!$C$2:$C$136,MATCH(Data!D1160,対訳マスタ!$B$2:$B$136,0)),Data!D1160))</f>
        <v>言語能力</v>
      </c>
      <c r="E1160" s="70" t="str">
        <f aca="false">IFERROR(INDEX(対訳マスタ!$C$2:$C$136,MATCH(Data!E1160,対訳マスタ!$B$2:$B$136,0)),Data!E1160)</f>
        <v>語彙の幅</v>
      </c>
      <c r="F1160" s="70" t="str">
        <f aca="false">Data!F1160</f>
        <v>B2</v>
      </c>
      <c r="G1160" s="31" t="str">
        <f aca="false">Data!G1160</f>
        <v>Can vary formulation to avoid frequent repetition, but lexical gaps can still cause hesitation and circumlocution.</v>
      </c>
      <c r="H1160" s="71" t="s">
        <v>3570</v>
      </c>
      <c r="I1160" s="79" t="s">
        <v>3089</v>
      </c>
    </row>
    <row r="1161" customFormat="false" ht="21.75" hidden="false" customHeight="true" outlineLevel="0" collapsed="false">
      <c r="A1161" s="70" t="n">
        <f aca="false">Data!A1161</f>
        <v>1160</v>
      </c>
      <c r="B1161" s="70" t="str">
        <f aca="false">IFERROR(INDEX(対訳マスタ!$C$2:$C$136,MATCH(Data!B1161,対訳マスタ!$B$2:$B$136,0)),Data!B1161)</f>
        <v>コミュニケーション言語能力</v>
      </c>
      <c r="C1161" s="70" t="str">
        <f aca="false">IF(Data!C1161="—","—",IFERROR(INDEX(対訳マスタ!$C$2:$C$136,MATCH(Data!C1161,対訳マスタ!$B$2:$B$136,0)),Data!C1161))</f>
        <v>—</v>
      </c>
      <c r="D1161" s="70" t="str">
        <f aca="false">IF(Data!D1161="—","—",IFERROR(INDEX(対訳マスタ!$C$2:$C$136,MATCH(Data!D1161,対訳マスタ!$B$2:$B$136,0)),Data!D1161))</f>
        <v>言語能力</v>
      </c>
      <c r="E1161" s="70" t="str">
        <f aca="false">IFERROR(INDEX(対訳マスタ!$C$2:$C$136,MATCH(Data!E1161,対訳マスタ!$B$2:$B$136,0)),Data!E1161)</f>
        <v>語彙の幅</v>
      </c>
      <c r="F1161" s="70" t="str">
        <f aca="false">Data!F1161</f>
        <v>B2</v>
      </c>
      <c r="G1161" s="31" t="str">
        <f aca="false">Data!G1161</f>
        <v>Can produce appropriate collocations of many words/signs in most contexts fairly systematically.</v>
      </c>
      <c r="H1161" s="71" t="s">
        <v>3571</v>
      </c>
      <c r="I1161" s="79" t="s">
        <v>3089</v>
      </c>
    </row>
    <row r="1162" customFormat="false" ht="21.75" hidden="false" customHeight="true" outlineLevel="0" collapsed="false">
      <c r="A1162" s="70" t="n">
        <f aca="false">Data!A1162</f>
        <v>1161</v>
      </c>
      <c r="B1162" s="70" t="str">
        <f aca="false">IFERROR(INDEX(対訳マスタ!$C$2:$C$136,MATCH(Data!B1162,対訳マスタ!$B$2:$B$136,0)),Data!B1162)</f>
        <v>コミュニケーション言語能力</v>
      </c>
      <c r="C1162" s="70" t="str">
        <f aca="false">IF(Data!C1162="—","—",IFERROR(INDEX(対訳マスタ!$C$2:$C$136,MATCH(Data!C1162,対訳マスタ!$B$2:$B$136,0)),Data!C1162))</f>
        <v>—</v>
      </c>
      <c r="D1162" s="70" t="str">
        <f aca="false">IF(Data!D1162="—","—",IFERROR(INDEX(対訳マスタ!$C$2:$C$136,MATCH(Data!D1162,対訳マスタ!$B$2:$B$136,0)),Data!D1162))</f>
        <v>言語能力</v>
      </c>
      <c r="E1162" s="70" t="str">
        <f aca="false">IFERROR(INDEX(対訳マスタ!$C$2:$C$136,MATCH(Data!E1162,対訳マスタ!$B$2:$B$136,0)),Data!E1162)</f>
        <v>語彙の幅</v>
      </c>
      <c r="F1162" s="70" t="str">
        <f aca="false">Data!F1162</f>
        <v>B2</v>
      </c>
      <c r="G1162" s="31" t="str">
        <f aca="false">Data!G1162</f>
        <v>Can understand and use much of the specialist vocabulary of their field but has problems with specialist terminology outside it.</v>
      </c>
      <c r="H1162" s="71" t="s">
        <v>3572</v>
      </c>
      <c r="I1162" s="79" t="s">
        <v>3089</v>
      </c>
    </row>
    <row r="1163" customFormat="false" ht="15" hidden="false" customHeight="true" outlineLevel="0" collapsed="false">
      <c r="A1163" s="70" t="n">
        <f aca="false">Data!A1163</f>
        <v>1162</v>
      </c>
      <c r="B1163" s="70" t="str">
        <f aca="false">IFERROR(INDEX(対訳マスタ!$C$2:$C$136,MATCH(Data!B1163,対訳マスタ!$B$2:$B$136,0)),Data!B1163)</f>
        <v>コミュニケーション言語能力</v>
      </c>
      <c r="C1163" s="70" t="str">
        <f aca="false">IF(Data!C1163="—","—",IFERROR(INDEX(対訳マスタ!$C$2:$C$136,MATCH(Data!C1163,対訳マスタ!$B$2:$B$136,0)),Data!C1163))</f>
        <v>—</v>
      </c>
      <c r="D1163" s="70" t="str">
        <f aca="false">IF(Data!D1163="—","—",IFERROR(INDEX(対訳マスタ!$C$2:$C$136,MATCH(Data!D1163,対訳マスタ!$B$2:$B$136,0)),Data!D1163))</f>
        <v>言語能力</v>
      </c>
      <c r="E1163" s="70" t="str">
        <f aca="false">IFERROR(INDEX(対訳マスタ!$C$2:$C$136,MATCH(Data!E1163,対訳マスタ!$B$2:$B$136,0)),Data!E1163)</f>
        <v>語彙の幅</v>
      </c>
      <c r="F1163" s="70" t="str">
        <f aca="false">Data!F1163</f>
        <v>B1</v>
      </c>
      <c r="G1163" s="31" t="str">
        <f aca="false">Data!G1163</f>
        <v>Has a good range of vocabulary related to familiar topics and everyday situations.</v>
      </c>
      <c r="H1163" s="71" t="s">
        <v>2996</v>
      </c>
      <c r="I1163" s="79" t="s">
        <v>3089</v>
      </c>
    </row>
    <row r="1164" customFormat="false" ht="32.25" hidden="false" customHeight="true" outlineLevel="0" collapsed="false">
      <c r="A1164" s="70" t="n">
        <f aca="false">Data!A1164</f>
        <v>1163</v>
      </c>
      <c r="B1164" s="70" t="str">
        <f aca="false">IFERROR(INDEX(対訳マスタ!$C$2:$C$136,MATCH(Data!B1164,対訳マスタ!$B$2:$B$136,0)),Data!B1164)</f>
        <v>コミュニケーション言語能力</v>
      </c>
      <c r="C1164" s="70" t="str">
        <f aca="false">IF(Data!C1164="—","—",IFERROR(INDEX(対訳マスタ!$C$2:$C$136,MATCH(Data!C1164,対訳マスタ!$B$2:$B$136,0)),Data!C1164))</f>
        <v>—</v>
      </c>
      <c r="D1164" s="70" t="str">
        <f aca="false">IF(Data!D1164="—","—",IFERROR(INDEX(対訳マスタ!$C$2:$C$136,MATCH(Data!D1164,対訳マスタ!$B$2:$B$136,0)),Data!D1164))</f>
        <v>言語能力</v>
      </c>
      <c r="E1164" s="70" t="str">
        <f aca="false">IFERROR(INDEX(対訳マスタ!$C$2:$C$136,MATCH(Data!E1164,対訳マスタ!$B$2:$B$136,0)),Data!E1164)</f>
        <v>語彙の幅</v>
      </c>
      <c r="F1164" s="70" t="str">
        <f aca="false">Data!F1164</f>
        <v>B1</v>
      </c>
      <c r="G1164" s="31" t="str">
        <f aca="false">Data!G1164</f>
        <v>Has sufficient vocabulary to express themselves with some circumlocutions on most topics pertinent to their everyday life such as family, hobbies and interests, work, travel and current events.</v>
      </c>
      <c r="H1164" s="71" t="s">
        <v>3573</v>
      </c>
      <c r="I1164" s="79" t="s">
        <v>3089</v>
      </c>
    </row>
    <row r="1165" customFormat="false" ht="21.75" hidden="false" customHeight="true" outlineLevel="0" collapsed="false">
      <c r="A1165" s="70" t="n">
        <f aca="false">Data!A1165</f>
        <v>1164</v>
      </c>
      <c r="B1165" s="70" t="str">
        <f aca="false">IFERROR(INDEX(対訳マスタ!$C$2:$C$136,MATCH(Data!B1165,対訳マスタ!$B$2:$B$136,0)),Data!B1165)</f>
        <v>コミュニケーション言語能力</v>
      </c>
      <c r="C1165" s="70" t="str">
        <f aca="false">IF(Data!C1165="—","—",IFERROR(INDEX(対訳マスタ!$C$2:$C$136,MATCH(Data!C1165,対訳マスタ!$B$2:$B$136,0)),Data!C1165))</f>
        <v>—</v>
      </c>
      <c r="D1165" s="70" t="str">
        <f aca="false">IF(Data!D1165="—","—",IFERROR(INDEX(対訳マスタ!$C$2:$C$136,MATCH(Data!D1165,対訳マスタ!$B$2:$B$136,0)),Data!D1165))</f>
        <v>言語能力</v>
      </c>
      <c r="E1165" s="70" t="str">
        <f aca="false">IFERROR(INDEX(対訳マスタ!$C$2:$C$136,MATCH(Data!E1165,対訳マスタ!$B$2:$B$136,0)),Data!E1165)</f>
        <v>語彙の幅</v>
      </c>
      <c r="F1165" s="70" t="str">
        <f aca="false">Data!F1165</f>
        <v>A2+</v>
      </c>
      <c r="G1165" s="31" t="str">
        <f aca="false">Data!G1165</f>
        <v>Has sufficient vocabulary to conduct routine everyday transactions involving familiar situations and topics.</v>
      </c>
      <c r="H1165" s="71" t="s">
        <v>2995</v>
      </c>
      <c r="I1165" s="79" t="s">
        <v>3089</v>
      </c>
    </row>
    <row r="1166" customFormat="false" ht="15" hidden="false" customHeight="true" outlineLevel="0" collapsed="false">
      <c r="A1166" s="70" t="n">
        <f aca="false">Data!A1166</f>
        <v>1165</v>
      </c>
      <c r="B1166" s="70" t="str">
        <f aca="false">IFERROR(INDEX(対訳マスタ!$C$2:$C$136,MATCH(Data!B1166,対訳マスタ!$B$2:$B$136,0)),Data!B1166)</f>
        <v>コミュニケーション言語能力</v>
      </c>
      <c r="C1166" s="70" t="str">
        <f aca="false">IF(Data!C1166="—","—",IFERROR(INDEX(対訳マスタ!$C$2:$C$136,MATCH(Data!C1166,対訳マスタ!$B$2:$B$136,0)),Data!C1166))</f>
        <v>—</v>
      </c>
      <c r="D1166" s="70" t="str">
        <f aca="false">IF(Data!D1166="—","—",IFERROR(INDEX(対訳マスタ!$C$2:$C$136,MATCH(Data!D1166,対訳マスタ!$B$2:$B$136,0)),Data!D1166))</f>
        <v>言語能力</v>
      </c>
      <c r="E1166" s="70" t="str">
        <f aca="false">IFERROR(INDEX(対訳マスタ!$C$2:$C$136,MATCH(Data!E1166,対訳マスタ!$B$2:$B$136,0)),Data!E1166)</f>
        <v>語彙の幅</v>
      </c>
      <c r="F1166" s="70" t="str">
        <f aca="false">Data!F1166</f>
        <v>A2</v>
      </c>
      <c r="G1166" s="31" t="str">
        <f aca="false">Data!G1166</f>
        <v>Has sufficient vocabulary for the expression of basic communicative needs.</v>
      </c>
      <c r="H1166" s="71" t="s">
        <v>3574</v>
      </c>
      <c r="I1166" s="79" t="s">
        <v>3089</v>
      </c>
    </row>
    <row r="1167" customFormat="false" ht="15" hidden="false" customHeight="true" outlineLevel="0" collapsed="false">
      <c r="A1167" s="70" t="n">
        <f aca="false">Data!A1167</f>
        <v>1166</v>
      </c>
      <c r="B1167" s="70" t="str">
        <f aca="false">IFERROR(INDEX(対訳マスタ!$C$2:$C$136,MATCH(Data!B1167,対訳マスタ!$B$2:$B$136,0)),Data!B1167)</f>
        <v>コミュニケーション言語能力</v>
      </c>
      <c r="C1167" s="70" t="str">
        <f aca="false">IF(Data!C1167="—","—",IFERROR(INDEX(対訳マスタ!$C$2:$C$136,MATCH(Data!C1167,対訳マスタ!$B$2:$B$136,0)),Data!C1167))</f>
        <v>—</v>
      </c>
      <c r="D1167" s="70" t="str">
        <f aca="false">IF(Data!D1167="—","—",IFERROR(INDEX(対訳マスタ!$C$2:$C$136,MATCH(Data!D1167,対訳マスタ!$B$2:$B$136,0)),Data!D1167))</f>
        <v>言語能力</v>
      </c>
      <c r="E1167" s="70" t="str">
        <f aca="false">IFERROR(INDEX(対訳マスタ!$C$2:$C$136,MATCH(Data!E1167,対訳マスタ!$B$2:$B$136,0)),Data!E1167)</f>
        <v>語彙の幅</v>
      </c>
      <c r="F1167" s="70" t="str">
        <f aca="false">Data!F1167</f>
        <v>A2</v>
      </c>
      <c r="G1167" s="31" t="str">
        <f aca="false">Data!G1167</f>
        <v>Has sufficient vocabulary for coping with simple survival needs.</v>
      </c>
      <c r="H1167" s="71" t="s">
        <v>2994</v>
      </c>
      <c r="I1167" s="79" t="s">
        <v>3089</v>
      </c>
    </row>
    <row r="1168" customFormat="false" ht="21.75" hidden="false" customHeight="true" outlineLevel="0" collapsed="false">
      <c r="A1168" s="70" t="n">
        <f aca="false">Data!A1168</f>
        <v>1167</v>
      </c>
      <c r="B1168" s="70" t="str">
        <f aca="false">IFERROR(INDEX(対訳マスタ!$C$2:$C$136,MATCH(Data!B1168,対訳マスタ!$B$2:$B$136,0)),Data!B1168)</f>
        <v>コミュニケーション言語能力</v>
      </c>
      <c r="C1168" s="70" t="str">
        <f aca="false">IF(Data!C1168="—","—",IFERROR(INDEX(対訳マスタ!$C$2:$C$136,MATCH(Data!C1168,対訳マスタ!$B$2:$B$136,0)),Data!C1168))</f>
        <v>—</v>
      </c>
      <c r="D1168" s="70" t="str">
        <f aca="false">IF(Data!D1168="—","—",IFERROR(INDEX(対訳マスタ!$C$2:$C$136,MATCH(Data!D1168,対訳マスタ!$B$2:$B$136,0)),Data!D1168))</f>
        <v>言語能力</v>
      </c>
      <c r="E1168" s="70" t="str">
        <f aca="false">IFERROR(INDEX(対訳マスタ!$C$2:$C$136,MATCH(Data!E1168,対訳マスタ!$B$2:$B$136,0)),Data!E1168)</f>
        <v>語彙の幅</v>
      </c>
      <c r="F1168" s="70" t="str">
        <f aca="false">Data!F1168</f>
        <v>A1</v>
      </c>
      <c r="G1168" s="31" t="str">
        <f aca="false">Data!G1168</f>
        <v>Has a basic vocabulary repertoire of words/signs and phrases related to particular concrete situations.</v>
      </c>
      <c r="H1168" s="71" t="s">
        <v>2993</v>
      </c>
      <c r="I1168" s="79" t="s">
        <v>3089</v>
      </c>
    </row>
    <row r="1169" customFormat="false" ht="15" hidden="false" customHeight="true" outlineLevel="0" collapsed="false">
      <c r="A1169" s="80" t="n">
        <f aca="false">Data!A1169</f>
        <v>1168</v>
      </c>
      <c r="B1169" s="80" t="str">
        <f aca="false">IFERROR(INDEX(対訳マスタ!$C$2:$C$136,MATCH(Data!B1169,対訳マスタ!$B$2:$B$136,0)),Data!B1169)</f>
        <v>コミュニケーション言語能力</v>
      </c>
      <c r="C1169" s="80" t="str">
        <f aca="false">IF(Data!C1169="—","—",IFERROR(INDEX(対訳マスタ!$C$2:$C$136,MATCH(Data!C1169,対訳マスタ!$B$2:$B$136,0)),Data!C1169))</f>
        <v>—</v>
      </c>
      <c r="D1169" s="80" t="str">
        <f aca="false">IF(Data!D1169="—","—",IFERROR(INDEX(対訳マスタ!$C$2:$C$136,MATCH(Data!D1169,対訳マスタ!$B$2:$B$136,0)),Data!D1169))</f>
        <v>言語能力</v>
      </c>
      <c r="E1169" s="80" t="str">
        <f aca="false">IFERROR(INDEX(対訳マスタ!$C$2:$C$136,MATCH(Data!E1169,対訳マスタ!$B$2:$B$136,0)),Data!E1169)</f>
        <v>語彙の幅</v>
      </c>
      <c r="F1169" s="80" t="str">
        <f aca="false">Data!F1169</f>
        <v>Pre-A1</v>
      </c>
      <c r="G1169" s="81" t="str">
        <f aca="false">Data!G1169</f>
        <v>No descriptors available</v>
      </c>
      <c r="H1169" s="81" t="s">
        <v>624</v>
      </c>
      <c r="I1169" s="80" t="s">
        <v>624</v>
      </c>
    </row>
    <row r="1170" customFormat="false" ht="26.25" hidden="false" customHeight="true" outlineLevel="0" collapsed="false">
      <c r="A1170" s="70" t="n">
        <f aca="false">Data!A1170</f>
        <v>1169</v>
      </c>
      <c r="B1170" s="70" t="str">
        <f aca="false">IFERROR(INDEX(対訳マスタ!$C$2:$C$136,MATCH(Data!B1170,対訳マスタ!$B$2:$B$136,0)),Data!B1170)</f>
        <v>コミュニケーション言語能力</v>
      </c>
      <c r="C1170" s="70" t="str">
        <f aca="false">IF(Data!C1170="—","—",IFERROR(INDEX(対訳マスタ!$C$2:$C$136,MATCH(Data!C1170,対訳マスタ!$B$2:$B$136,0)),Data!C1170))</f>
        <v>—</v>
      </c>
      <c r="D1170" s="70" t="str">
        <f aca="false">IF(Data!D1170="—","—",IFERROR(INDEX(対訳マスタ!$C$2:$C$136,MATCH(Data!D1170,対訳マスタ!$B$2:$B$136,0)),Data!D1170))</f>
        <v>言語能力</v>
      </c>
      <c r="E1170" s="70" t="str">
        <f aca="false">IFERROR(INDEX(対訳マスタ!$C$2:$C$136,MATCH(Data!E1170,対訳マスタ!$B$2:$B$136,0)),Data!E1170)</f>
        <v>文法的正確さ</v>
      </c>
      <c r="F1170" s="70" t="str">
        <f aca="false">Data!F1170</f>
        <v>C2</v>
      </c>
      <c r="G1170" s="31" t="str">
        <f aca="false">Data!G1170</f>
        <v>Maintains consistent grammatical control of complex language, even while attention is otherwise engaged (e.g. in forward planning, in monitoring others’ reactions).</v>
      </c>
      <c r="H1170" s="71" t="s">
        <v>3009</v>
      </c>
      <c r="I1170" s="79" t="s">
        <v>3089</v>
      </c>
    </row>
    <row r="1171" customFormat="false" ht="21.75" hidden="false" customHeight="true" outlineLevel="0" collapsed="false">
      <c r="A1171" s="70" t="n">
        <f aca="false">Data!A1171</f>
        <v>1170</v>
      </c>
      <c r="B1171" s="70" t="str">
        <f aca="false">IFERROR(INDEX(対訳マスタ!$C$2:$C$136,MATCH(Data!B1171,対訳マスタ!$B$2:$B$136,0)),Data!B1171)</f>
        <v>コミュニケーション言語能力</v>
      </c>
      <c r="C1171" s="70" t="str">
        <f aca="false">IF(Data!C1171="—","—",IFERROR(INDEX(対訳マスタ!$C$2:$C$136,MATCH(Data!C1171,対訳マスタ!$B$2:$B$136,0)),Data!C1171))</f>
        <v>—</v>
      </c>
      <c r="D1171" s="70" t="str">
        <f aca="false">IF(Data!D1171="—","—",IFERROR(INDEX(対訳マスタ!$C$2:$C$136,MATCH(Data!D1171,対訳マスタ!$B$2:$B$136,0)),Data!D1171))</f>
        <v>言語能力</v>
      </c>
      <c r="E1171" s="70" t="str">
        <f aca="false">IFERROR(INDEX(対訳マスタ!$C$2:$C$136,MATCH(Data!E1171,対訳マスタ!$B$2:$B$136,0)),Data!E1171)</f>
        <v>文法的正確さ</v>
      </c>
      <c r="F1171" s="70" t="str">
        <f aca="false">Data!F1171</f>
        <v>C1</v>
      </c>
      <c r="G1171" s="31" t="str">
        <f aca="false">Data!G1171</f>
        <v>Consistently maintains a high degree of grammatical accuracy; errors are rare and difficult to spot.</v>
      </c>
      <c r="H1171" s="71" t="s">
        <v>3008</v>
      </c>
      <c r="I1171" s="79" t="s">
        <v>3089</v>
      </c>
    </row>
    <row r="1172" customFormat="false" ht="32.25" hidden="false" customHeight="true" outlineLevel="0" collapsed="false">
      <c r="A1172" s="70" t="n">
        <f aca="false">Data!A1172</f>
        <v>1171</v>
      </c>
      <c r="B1172" s="70" t="str">
        <f aca="false">IFERROR(INDEX(対訳マスタ!$C$2:$C$136,MATCH(Data!B1172,対訳マスタ!$B$2:$B$136,0)),Data!B1172)</f>
        <v>コミュニケーション言語能力</v>
      </c>
      <c r="C1172" s="70" t="str">
        <f aca="false">IF(Data!C1172="—","—",IFERROR(INDEX(対訳マスタ!$C$2:$C$136,MATCH(Data!C1172,対訳マスタ!$B$2:$B$136,0)),Data!C1172))</f>
        <v>—</v>
      </c>
      <c r="D1172" s="70" t="str">
        <f aca="false">IF(Data!D1172="—","—",IFERROR(INDEX(対訳マスタ!$C$2:$C$136,MATCH(Data!D1172,対訳マスタ!$B$2:$B$136,0)),Data!D1172))</f>
        <v>言語能力</v>
      </c>
      <c r="E1172" s="70" t="str">
        <f aca="false">IFERROR(INDEX(対訳マスタ!$C$2:$C$136,MATCH(Data!E1172,対訳マスタ!$B$2:$B$136,0)),Data!E1172)</f>
        <v>文法的正確さ</v>
      </c>
      <c r="F1172" s="70" t="str">
        <f aca="false">Data!F1172</f>
        <v>B2+</v>
      </c>
      <c r="G1172" s="31" t="str">
        <f aca="false">Data!G1172</f>
        <v>Good grammatical control; occasional “slips” or non-systematic errors and minor flaws in sentence structure may still occur, but they are rare and can often be corrected in retrospect.</v>
      </c>
      <c r="H1172" s="71" t="s">
        <v>3007</v>
      </c>
      <c r="I1172" s="79" t="s">
        <v>3089</v>
      </c>
    </row>
    <row r="1173" customFormat="false" ht="21.75" hidden="false" customHeight="true" outlineLevel="0" collapsed="false">
      <c r="A1173" s="70" t="n">
        <f aca="false">Data!A1173</f>
        <v>1172</v>
      </c>
      <c r="B1173" s="70" t="str">
        <f aca="false">IFERROR(INDEX(対訳マスタ!$C$2:$C$136,MATCH(Data!B1173,対訳マスタ!$B$2:$B$136,0)),Data!B1173)</f>
        <v>コミュニケーション言語能力</v>
      </c>
      <c r="C1173" s="70" t="str">
        <f aca="false">IF(Data!C1173="—","—",IFERROR(INDEX(対訳マスタ!$C$2:$C$136,MATCH(Data!C1173,対訳マスタ!$B$2:$B$136,0)),Data!C1173))</f>
        <v>—</v>
      </c>
      <c r="D1173" s="70" t="str">
        <f aca="false">IF(Data!D1173="—","—",IFERROR(INDEX(対訳マスタ!$C$2:$C$136,MATCH(Data!D1173,対訳マスタ!$B$2:$B$136,0)),Data!D1173))</f>
        <v>言語能力</v>
      </c>
      <c r="E1173" s="70" t="str">
        <f aca="false">IFERROR(INDEX(対訳マスタ!$C$2:$C$136,MATCH(Data!E1173,対訳マスタ!$B$2:$B$136,0)),Data!E1173)</f>
        <v>文法的正確さ</v>
      </c>
      <c r="F1173" s="70" t="str">
        <f aca="false">Data!F1173</f>
        <v>B2</v>
      </c>
      <c r="G1173" s="31" t="str">
        <f aca="false">Data!G1173</f>
        <v>Shows a relatively high degree of grammatical control. Does not make mistakes which lead to misunderstanding.</v>
      </c>
      <c r="H1173" s="71" t="s">
        <v>3006</v>
      </c>
      <c r="I1173" s="79" t="s">
        <v>3089</v>
      </c>
    </row>
    <row r="1174" customFormat="false" ht="21.75" hidden="false" customHeight="true" outlineLevel="0" collapsed="false">
      <c r="A1174" s="70" t="n">
        <f aca="false">Data!A1174</f>
        <v>1173</v>
      </c>
      <c r="B1174" s="70" t="str">
        <f aca="false">IFERROR(INDEX(対訳マスタ!$C$2:$C$136,MATCH(Data!B1174,対訳マスタ!$B$2:$B$136,0)),Data!B1174)</f>
        <v>コミュニケーション言語能力</v>
      </c>
      <c r="C1174" s="70" t="str">
        <f aca="false">IF(Data!C1174="—","—",IFERROR(INDEX(対訳マスタ!$C$2:$C$136,MATCH(Data!C1174,対訳マスタ!$B$2:$B$136,0)),Data!C1174))</f>
        <v>—</v>
      </c>
      <c r="D1174" s="70" t="str">
        <f aca="false">IF(Data!D1174="—","—",IFERROR(INDEX(対訳マスタ!$C$2:$C$136,MATCH(Data!D1174,対訳マスタ!$B$2:$B$136,0)),Data!D1174))</f>
        <v>言語能力</v>
      </c>
      <c r="E1174" s="70" t="str">
        <f aca="false">IFERROR(INDEX(対訳マスタ!$C$2:$C$136,MATCH(Data!E1174,対訳マスタ!$B$2:$B$136,0)),Data!E1174)</f>
        <v>文法的正確さ</v>
      </c>
      <c r="F1174" s="70" t="str">
        <f aca="false">Data!F1174</f>
        <v>B2</v>
      </c>
      <c r="G1174" s="31" t="str">
        <f aca="false">Data!G1174</f>
        <v>Has a good command of simple language structures and some complex grammatical forms, although they tend to use complex structures rigidly with some inaccuracy.</v>
      </c>
      <c r="H1174" s="71" t="s">
        <v>3575</v>
      </c>
      <c r="I1174" s="79" t="s">
        <v>3089</v>
      </c>
    </row>
    <row r="1175" customFormat="false" ht="32.25" hidden="false" customHeight="true" outlineLevel="0" collapsed="false">
      <c r="A1175" s="70" t="n">
        <f aca="false">Data!A1175</f>
        <v>1174</v>
      </c>
      <c r="B1175" s="70" t="str">
        <f aca="false">IFERROR(INDEX(対訳マスタ!$C$2:$C$136,MATCH(Data!B1175,対訳マスタ!$B$2:$B$136,0)),Data!B1175)</f>
        <v>コミュニケーション言語能力</v>
      </c>
      <c r="C1175" s="70" t="str">
        <f aca="false">IF(Data!C1175="—","—",IFERROR(INDEX(対訳マスタ!$C$2:$C$136,MATCH(Data!C1175,対訳マスタ!$B$2:$B$136,0)),Data!C1175))</f>
        <v>—</v>
      </c>
      <c r="D1175" s="70" t="str">
        <f aca="false">IF(Data!D1175="—","—",IFERROR(INDEX(対訳マスタ!$C$2:$C$136,MATCH(Data!D1175,対訳マスタ!$B$2:$B$136,0)),Data!D1175))</f>
        <v>言語能力</v>
      </c>
      <c r="E1175" s="70" t="str">
        <f aca="false">IFERROR(INDEX(対訳マスタ!$C$2:$C$136,MATCH(Data!E1175,対訳マスタ!$B$2:$B$136,0)),Data!E1175)</f>
        <v>文法的正確さ</v>
      </c>
      <c r="F1175" s="70" t="str">
        <f aca="false">Data!F1175</f>
        <v>B1+</v>
      </c>
      <c r="G1175" s="31" t="str">
        <f aca="false">Data!G1175</f>
        <v>Communicates with reasonable accuracy in familiar contexts; generally good control, though with noticeable mother-tongue influence. Errors occur, but it is clear what they are trying to express.</v>
      </c>
      <c r="H1175" s="71" t="s">
        <v>3005</v>
      </c>
      <c r="I1175" s="79" t="s">
        <v>3089</v>
      </c>
    </row>
    <row r="1176" customFormat="false" ht="26.25" hidden="false" customHeight="true" outlineLevel="0" collapsed="false">
      <c r="A1176" s="70" t="n">
        <f aca="false">Data!A1176</f>
        <v>1175</v>
      </c>
      <c r="B1176" s="70" t="str">
        <f aca="false">IFERROR(INDEX(対訳マスタ!$C$2:$C$136,MATCH(Data!B1176,対訳マスタ!$B$2:$B$136,0)),Data!B1176)</f>
        <v>コミュニケーション言語能力</v>
      </c>
      <c r="C1176" s="70" t="str">
        <f aca="false">IF(Data!C1176="—","—",IFERROR(INDEX(対訳マスタ!$C$2:$C$136,MATCH(Data!C1176,対訳マスタ!$B$2:$B$136,0)),Data!C1176))</f>
        <v>—</v>
      </c>
      <c r="D1176" s="70" t="str">
        <f aca="false">IF(Data!D1176="—","—",IFERROR(INDEX(対訳マスタ!$C$2:$C$136,MATCH(Data!D1176,対訳マスタ!$B$2:$B$136,0)),Data!D1176))</f>
        <v>言語能力</v>
      </c>
      <c r="E1176" s="70" t="str">
        <f aca="false">IFERROR(INDEX(対訳マスタ!$C$2:$C$136,MATCH(Data!E1176,対訳マスタ!$B$2:$B$136,0)),Data!E1176)</f>
        <v>文法的正確さ</v>
      </c>
      <c r="F1176" s="70" t="str">
        <f aca="false">Data!F1176</f>
        <v>B1</v>
      </c>
      <c r="G1176" s="31" t="str">
        <f aca="false">Data!G1176</f>
        <v>Uses reasonably accurately a repertoire of frequently used “routines” and patterns associated with more predictable situations.</v>
      </c>
      <c r="H1176" s="71" t="s">
        <v>3004</v>
      </c>
      <c r="I1176" s="79" t="s">
        <v>3089</v>
      </c>
    </row>
    <row r="1177" customFormat="false" ht="26.25" hidden="false" customHeight="true" outlineLevel="0" collapsed="false">
      <c r="A1177" s="70" t="n">
        <f aca="false">Data!A1177</f>
        <v>1176</v>
      </c>
      <c r="B1177" s="70" t="str">
        <f aca="false">IFERROR(INDEX(対訳マスタ!$C$2:$C$136,MATCH(Data!B1177,対訳マスタ!$B$2:$B$136,0)),Data!B1177)</f>
        <v>コミュニケーション言語能力</v>
      </c>
      <c r="C1177" s="70" t="str">
        <f aca="false">IF(Data!C1177="—","—",IFERROR(INDEX(対訳マスタ!$C$2:$C$136,MATCH(Data!C1177,対訳マスタ!$B$2:$B$136,0)),Data!C1177))</f>
        <v>—</v>
      </c>
      <c r="D1177" s="70" t="str">
        <f aca="false">IF(Data!D1177="—","—",IFERROR(INDEX(対訳マスタ!$C$2:$C$136,MATCH(Data!D1177,対訳マスタ!$B$2:$B$136,0)),Data!D1177))</f>
        <v>言語能力</v>
      </c>
      <c r="E1177" s="70" t="str">
        <f aca="false">IFERROR(INDEX(対訳マスタ!$C$2:$C$136,MATCH(Data!E1177,対訳マスタ!$B$2:$B$136,0)),Data!E1177)</f>
        <v>文法的正確さ</v>
      </c>
      <c r="F1177" s="70" t="str">
        <f aca="false">Data!F1177</f>
        <v>A2</v>
      </c>
      <c r="G1177" s="31" t="str">
        <f aca="false">Data!G1177</f>
        <v>Uses some simple structures correctly, but still systematically makes basic mistakes; nevertheless, it is usually clear what they are trying to say.</v>
      </c>
      <c r="H1177" s="71" t="s">
        <v>3003</v>
      </c>
      <c r="I1177" s="79" t="s">
        <v>3089</v>
      </c>
    </row>
    <row r="1178" customFormat="false" ht="26.25" hidden="false" customHeight="true" outlineLevel="0" collapsed="false">
      <c r="A1178" s="70" t="n">
        <f aca="false">Data!A1178</f>
        <v>1177</v>
      </c>
      <c r="B1178" s="70" t="str">
        <f aca="false">IFERROR(INDEX(対訳マスタ!$C$2:$C$136,MATCH(Data!B1178,対訳マスタ!$B$2:$B$136,0)),Data!B1178)</f>
        <v>コミュニケーション言語能力</v>
      </c>
      <c r="C1178" s="70" t="str">
        <f aca="false">IF(Data!C1178="—","—",IFERROR(INDEX(対訳マスタ!$C$2:$C$136,MATCH(Data!C1178,対訳マスタ!$B$2:$B$136,0)),Data!C1178))</f>
        <v>—</v>
      </c>
      <c r="D1178" s="70" t="str">
        <f aca="false">IF(Data!D1178="—","—",IFERROR(INDEX(対訳マスタ!$C$2:$C$136,MATCH(Data!D1178,対訳マスタ!$B$2:$B$136,0)),Data!D1178))</f>
        <v>言語能力</v>
      </c>
      <c r="E1178" s="70" t="str">
        <f aca="false">IFERROR(INDEX(対訳マスタ!$C$2:$C$136,MATCH(Data!E1178,対訳マスタ!$B$2:$B$136,0)),Data!E1178)</f>
        <v>文法的正確さ</v>
      </c>
      <c r="F1178" s="70" t="str">
        <f aca="false">Data!F1178</f>
        <v>A1</v>
      </c>
      <c r="G1178" s="31" t="str">
        <f aca="false">Data!G1178</f>
        <v>Shows only limited control of a few simple grammatical structures and sentence patterns in a learnt repertoire.</v>
      </c>
      <c r="H1178" s="71" t="s">
        <v>3002</v>
      </c>
      <c r="I1178" s="79" t="s">
        <v>3089</v>
      </c>
    </row>
    <row r="1179" customFormat="false" ht="15" hidden="false" customHeight="true" outlineLevel="0" collapsed="false">
      <c r="A1179" s="70" t="n">
        <f aca="false">Data!A1179</f>
        <v>1178</v>
      </c>
      <c r="B1179" s="70" t="str">
        <f aca="false">IFERROR(INDEX(対訳マスタ!$C$2:$C$136,MATCH(Data!B1179,対訳マスタ!$B$2:$B$136,0)),Data!B1179)</f>
        <v>コミュニケーション言語能力</v>
      </c>
      <c r="C1179" s="70" t="str">
        <f aca="false">IF(Data!C1179="—","—",IFERROR(INDEX(対訳マスタ!$C$2:$C$136,MATCH(Data!C1179,対訳マスタ!$B$2:$B$136,0)),Data!C1179))</f>
        <v>—</v>
      </c>
      <c r="D1179" s="70" t="str">
        <f aca="false">IF(Data!D1179="—","—",IFERROR(INDEX(対訳マスタ!$C$2:$C$136,MATCH(Data!D1179,対訳マスタ!$B$2:$B$136,0)),Data!D1179))</f>
        <v>言語能力</v>
      </c>
      <c r="E1179" s="70" t="str">
        <f aca="false">IFERROR(INDEX(対訳マスタ!$C$2:$C$136,MATCH(Data!E1179,対訳マスタ!$B$2:$B$136,0)),Data!E1179)</f>
        <v>文法的正確さ</v>
      </c>
      <c r="F1179" s="70" t="str">
        <f aca="false">Data!F1179</f>
        <v>Pre-A1</v>
      </c>
      <c r="G1179" s="31" t="str">
        <f aca="false">Data!G1179</f>
        <v>Can employ very simple principles of word/sign order in short statements.</v>
      </c>
      <c r="H1179" s="71" t="s">
        <v>3001</v>
      </c>
      <c r="I1179" s="79" t="s">
        <v>3089</v>
      </c>
    </row>
    <row r="1180" customFormat="false" ht="15" hidden="false" customHeight="true" outlineLevel="0" collapsed="false">
      <c r="A1180" s="70" t="n">
        <f aca="false">Data!A1180</f>
        <v>1179</v>
      </c>
      <c r="B1180" s="70" t="str">
        <f aca="false">IFERROR(INDEX(対訳マスタ!$C$2:$C$136,MATCH(Data!B1180,対訳マスタ!$B$2:$B$136,0)),Data!B1180)</f>
        <v>コミュニケーション言語能力</v>
      </c>
      <c r="C1180" s="70" t="str">
        <f aca="false">IF(Data!C1180="—","—",IFERROR(INDEX(対訳マスタ!$C$2:$C$136,MATCH(Data!C1180,対訳マスタ!$B$2:$B$136,0)),Data!C1180))</f>
        <v>—</v>
      </c>
      <c r="D1180" s="70" t="str">
        <f aca="false">IF(Data!D1180="—","—",IFERROR(INDEX(対訳マスタ!$C$2:$C$136,MATCH(Data!D1180,対訳マスタ!$B$2:$B$136,0)),Data!D1180))</f>
        <v>言語能力</v>
      </c>
      <c r="E1180" s="70" t="str">
        <f aca="false">IFERROR(INDEX(対訳マスタ!$C$2:$C$136,MATCH(Data!E1180,対訳マスタ!$B$2:$B$136,0)),Data!E1180)</f>
        <v>語彙の運用（使い分けの正確さ）</v>
      </c>
      <c r="F1180" s="70" t="str">
        <f aca="false">Data!F1180</f>
        <v>C2</v>
      </c>
      <c r="G1180" s="31" t="str">
        <f aca="false">Data!G1180</f>
        <v>Consistently correct and appropriate use of vocabulary.</v>
      </c>
      <c r="H1180" s="71" t="s">
        <v>3014</v>
      </c>
      <c r="I1180" s="79" t="s">
        <v>3089</v>
      </c>
    </row>
    <row r="1181" customFormat="false" ht="15" hidden="false" customHeight="true" outlineLevel="0" collapsed="false">
      <c r="A1181" s="70" t="n">
        <f aca="false">Data!A1181</f>
        <v>1180</v>
      </c>
      <c r="B1181" s="70" t="str">
        <f aca="false">IFERROR(INDEX(対訳マスタ!$C$2:$C$136,MATCH(Data!B1181,対訳マスタ!$B$2:$B$136,0)),Data!B1181)</f>
        <v>コミュニケーション言語能力</v>
      </c>
      <c r="C1181" s="70" t="str">
        <f aca="false">IF(Data!C1181="—","—",IFERROR(INDEX(対訳マスタ!$C$2:$C$136,MATCH(Data!C1181,対訳マスタ!$B$2:$B$136,0)),Data!C1181))</f>
        <v>—</v>
      </c>
      <c r="D1181" s="70" t="str">
        <f aca="false">IF(Data!D1181="—","—",IFERROR(INDEX(対訳マスタ!$C$2:$C$136,MATCH(Data!D1181,対訳マスタ!$B$2:$B$136,0)),Data!D1181))</f>
        <v>言語能力</v>
      </c>
      <c r="E1181" s="70" t="str">
        <f aca="false">IFERROR(INDEX(対訳マスタ!$C$2:$C$136,MATCH(Data!E1181,対訳マスタ!$B$2:$B$136,0)),Data!E1181)</f>
        <v>語彙の運用（使い分けの正確さ）</v>
      </c>
      <c r="F1181" s="70" t="str">
        <f aca="false">Data!F1181</f>
        <v>C1</v>
      </c>
      <c r="G1181" s="31" t="str">
        <f aca="false">Data!G1181</f>
        <v>Uses less common vocabulary idiomatically and appropriately.</v>
      </c>
      <c r="H1181" s="71" t="s">
        <v>3013</v>
      </c>
      <c r="I1181" s="79" t="s">
        <v>3089</v>
      </c>
    </row>
    <row r="1182" customFormat="false" ht="15" hidden="false" customHeight="true" outlineLevel="0" collapsed="false">
      <c r="A1182" s="70" t="n">
        <f aca="false">Data!A1182</f>
        <v>1181</v>
      </c>
      <c r="B1182" s="70" t="str">
        <f aca="false">IFERROR(INDEX(対訳マスタ!$C$2:$C$136,MATCH(Data!B1182,対訳マスタ!$B$2:$B$136,0)),Data!B1182)</f>
        <v>コミュニケーション言語能力</v>
      </c>
      <c r="C1182" s="70" t="str">
        <f aca="false">IF(Data!C1182="—","—",IFERROR(INDEX(対訳マスタ!$C$2:$C$136,MATCH(Data!C1182,対訳マスタ!$B$2:$B$136,0)),Data!C1182))</f>
        <v>—</v>
      </c>
      <c r="D1182" s="70" t="str">
        <f aca="false">IF(Data!D1182="—","—",IFERROR(INDEX(対訳マスタ!$C$2:$C$136,MATCH(Data!D1182,対訳マスタ!$B$2:$B$136,0)),Data!D1182))</f>
        <v>言語能力</v>
      </c>
      <c r="E1182" s="70" t="str">
        <f aca="false">IFERROR(INDEX(対訳マスタ!$C$2:$C$136,MATCH(Data!E1182,対訳マスタ!$B$2:$B$136,0)),Data!E1182)</f>
        <v>語彙の運用（使い分けの正確さ）</v>
      </c>
      <c r="F1182" s="70" t="str">
        <f aca="false">Data!F1182</f>
        <v>C1</v>
      </c>
      <c r="G1182" s="31" t="str">
        <f aca="false">Data!G1182</f>
        <v>Occasional minor slips, but no significant vocabulary errors.</v>
      </c>
      <c r="H1182" s="71" t="s">
        <v>3576</v>
      </c>
      <c r="I1182" s="79" t="s">
        <v>3089</v>
      </c>
    </row>
    <row r="1183" customFormat="false" ht="26.25" hidden="false" customHeight="true" outlineLevel="0" collapsed="false">
      <c r="A1183" s="70" t="n">
        <f aca="false">Data!A1183</f>
        <v>1182</v>
      </c>
      <c r="B1183" s="70" t="str">
        <f aca="false">IFERROR(INDEX(対訳マスタ!$C$2:$C$136,MATCH(Data!B1183,対訳マスタ!$B$2:$B$136,0)),Data!B1183)</f>
        <v>コミュニケーション言語能力</v>
      </c>
      <c r="C1183" s="70" t="str">
        <f aca="false">IF(Data!C1183="—","—",IFERROR(INDEX(対訳マスタ!$C$2:$C$136,MATCH(Data!C1183,対訳マスタ!$B$2:$B$136,0)),Data!C1183))</f>
        <v>—</v>
      </c>
      <c r="D1183" s="70" t="str">
        <f aca="false">IF(Data!D1183="—","—",IFERROR(INDEX(対訳マスタ!$C$2:$C$136,MATCH(Data!D1183,対訳マスタ!$B$2:$B$136,0)),Data!D1183))</f>
        <v>言語能力</v>
      </c>
      <c r="E1183" s="70" t="str">
        <f aca="false">IFERROR(INDEX(対訳マスタ!$C$2:$C$136,MATCH(Data!E1183,対訳マスタ!$B$2:$B$136,0)),Data!E1183)</f>
        <v>語彙の運用（使い分けの正確さ）</v>
      </c>
      <c r="F1183" s="70" t="str">
        <f aca="false">Data!F1183</f>
        <v>B2</v>
      </c>
      <c r="G1183" s="31" t="str">
        <f aca="false">Data!G1183</f>
        <v>Lexical accuracy is generally high, though some confusion and incorrect word/sign choice does occur without hindering communication.</v>
      </c>
      <c r="H1183" s="71" t="s">
        <v>3012</v>
      </c>
      <c r="I1183" s="79" t="s">
        <v>3089</v>
      </c>
    </row>
    <row r="1184" customFormat="false" ht="21.75" hidden="false" customHeight="true" outlineLevel="0" collapsed="false">
      <c r="A1184" s="70" t="n">
        <f aca="false">Data!A1184</f>
        <v>1183</v>
      </c>
      <c r="B1184" s="70" t="str">
        <f aca="false">IFERROR(INDEX(対訳マスタ!$C$2:$C$136,MATCH(Data!B1184,対訳マスタ!$B$2:$B$136,0)),Data!B1184)</f>
        <v>コミュニケーション言語能力</v>
      </c>
      <c r="C1184" s="70" t="str">
        <f aca="false">IF(Data!C1184="—","—",IFERROR(INDEX(対訳マスタ!$C$2:$C$136,MATCH(Data!C1184,対訳マスタ!$B$2:$B$136,0)),Data!C1184))</f>
        <v>—</v>
      </c>
      <c r="D1184" s="70" t="str">
        <f aca="false">IF(Data!D1184="—","—",IFERROR(INDEX(対訳マスタ!$C$2:$C$136,MATCH(Data!D1184,対訳マスタ!$B$2:$B$136,0)),Data!D1184))</f>
        <v>言語能力</v>
      </c>
      <c r="E1184" s="70" t="str">
        <f aca="false">IFERROR(INDEX(対訳マスタ!$C$2:$C$136,MATCH(Data!E1184,対訳マスタ!$B$2:$B$136,0)),Data!E1184)</f>
        <v>語彙の運用（使い分けの正確さ）</v>
      </c>
      <c r="F1184" s="70" t="str">
        <f aca="false">Data!F1184</f>
        <v>B1</v>
      </c>
      <c r="G1184" s="31" t="str">
        <f aca="false">Data!G1184</f>
        <v>Shows good control of elementary vocabulary but major errors still occur when expressing more complex thoughts or handling unfamiliar topics and situations.</v>
      </c>
      <c r="H1184" s="71" t="s">
        <v>3577</v>
      </c>
      <c r="I1184" s="79" t="s">
        <v>3089</v>
      </c>
    </row>
    <row r="1185" customFormat="false" ht="15" hidden="false" customHeight="true" outlineLevel="0" collapsed="false">
      <c r="A1185" s="70" t="n">
        <f aca="false">Data!A1185</f>
        <v>1184</v>
      </c>
      <c r="B1185" s="70" t="str">
        <f aca="false">IFERROR(INDEX(対訳マスタ!$C$2:$C$136,MATCH(Data!B1185,対訳マスタ!$B$2:$B$136,0)),Data!B1185)</f>
        <v>コミュニケーション言語能力</v>
      </c>
      <c r="C1185" s="70" t="str">
        <f aca="false">IF(Data!C1185="—","—",IFERROR(INDEX(対訳マスタ!$C$2:$C$136,MATCH(Data!C1185,対訳マスタ!$B$2:$B$136,0)),Data!C1185))</f>
        <v>—</v>
      </c>
      <c r="D1185" s="70" t="str">
        <f aca="false">IF(Data!D1185="—","—",IFERROR(INDEX(対訳マスタ!$C$2:$C$136,MATCH(Data!D1185,対訳マスタ!$B$2:$B$136,0)),Data!D1185))</f>
        <v>言語能力</v>
      </c>
      <c r="E1185" s="70" t="str">
        <f aca="false">IFERROR(INDEX(対訳マスタ!$C$2:$C$136,MATCH(Data!E1185,対訳マスタ!$B$2:$B$136,0)),Data!E1185)</f>
        <v>語彙の運用（使い分けの正確さ）</v>
      </c>
      <c r="F1185" s="70" t="str">
        <f aca="false">Data!F1185</f>
        <v>B1</v>
      </c>
      <c r="G1185" s="31" t="str">
        <f aca="false">Data!G1185</f>
        <v>Uses a wide range of simple vocabulary appropriately when discussing familiar topics.</v>
      </c>
      <c r="H1185" s="71" t="s">
        <v>3011</v>
      </c>
      <c r="I1185" s="79" t="s">
        <v>3089</v>
      </c>
    </row>
    <row r="1186" customFormat="false" ht="15" hidden="false" customHeight="true" outlineLevel="0" collapsed="false">
      <c r="A1186" s="70" t="n">
        <f aca="false">Data!A1186</f>
        <v>1185</v>
      </c>
      <c r="B1186" s="70" t="str">
        <f aca="false">IFERROR(INDEX(対訳マスタ!$C$2:$C$136,MATCH(Data!B1186,対訳マスタ!$B$2:$B$136,0)),Data!B1186)</f>
        <v>コミュニケーション言語能力</v>
      </c>
      <c r="C1186" s="70" t="str">
        <f aca="false">IF(Data!C1186="—","—",IFERROR(INDEX(対訳マスタ!$C$2:$C$136,MATCH(Data!C1186,対訳マスタ!$B$2:$B$136,0)),Data!C1186))</f>
        <v>—</v>
      </c>
      <c r="D1186" s="70" t="str">
        <f aca="false">IF(Data!D1186="—","—",IFERROR(INDEX(対訳マスタ!$C$2:$C$136,MATCH(Data!D1186,対訳マスタ!$B$2:$B$136,0)),Data!D1186))</f>
        <v>言語能力</v>
      </c>
      <c r="E1186" s="70" t="str">
        <f aca="false">IFERROR(INDEX(対訳マスタ!$C$2:$C$136,MATCH(Data!E1186,対訳マスタ!$B$2:$B$136,0)),Data!E1186)</f>
        <v>語彙の運用（使い分けの正確さ）</v>
      </c>
      <c r="F1186" s="70" t="str">
        <f aca="false">Data!F1186</f>
        <v>A2</v>
      </c>
      <c r="G1186" s="31" t="str">
        <f aca="false">Data!G1186</f>
        <v>Can control a narrow repertoire dealing with concrete, everyday needs.</v>
      </c>
      <c r="H1186" s="71" t="s">
        <v>3010</v>
      </c>
      <c r="I1186" s="79" t="s">
        <v>3089</v>
      </c>
    </row>
    <row r="1187" customFormat="false" ht="15" hidden="false" customHeight="true" outlineLevel="0" collapsed="false">
      <c r="A1187" s="80" t="n">
        <f aca="false">Data!A1187</f>
        <v>1186</v>
      </c>
      <c r="B1187" s="80" t="str">
        <f aca="false">IFERROR(INDEX(対訳マスタ!$C$2:$C$136,MATCH(Data!B1187,対訳マスタ!$B$2:$B$136,0)),Data!B1187)</f>
        <v>コミュニケーション言語能力</v>
      </c>
      <c r="C1187" s="80" t="str">
        <f aca="false">IF(Data!C1187="—","—",IFERROR(INDEX(対訳マスタ!$C$2:$C$136,MATCH(Data!C1187,対訳マスタ!$B$2:$B$136,0)),Data!C1187))</f>
        <v>—</v>
      </c>
      <c r="D1187" s="80" t="str">
        <f aca="false">IF(Data!D1187="—","—",IFERROR(INDEX(対訳マスタ!$C$2:$C$136,MATCH(Data!D1187,対訳マスタ!$B$2:$B$136,0)),Data!D1187))</f>
        <v>言語能力</v>
      </c>
      <c r="E1187" s="80" t="str">
        <f aca="false">IFERROR(INDEX(対訳マスタ!$C$2:$C$136,MATCH(Data!E1187,対訳マスタ!$B$2:$B$136,0)),Data!E1187)</f>
        <v>語彙の運用（使い分けの正確さ）</v>
      </c>
      <c r="F1187" s="80" t="str">
        <f aca="false">Data!F1187</f>
        <v>A1</v>
      </c>
      <c r="G1187" s="81" t="str">
        <f aca="false">Data!G1187</f>
        <v>No descriptors available</v>
      </c>
      <c r="H1187" s="81" t="s">
        <v>624</v>
      </c>
      <c r="I1187" s="80" t="s">
        <v>624</v>
      </c>
    </row>
    <row r="1188" customFormat="false" ht="15" hidden="false" customHeight="true" outlineLevel="0" collapsed="false">
      <c r="A1188" s="80" t="n">
        <f aca="false">Data!A1188</f>
        <v>1187</v>
      </c>
      <c r="B1188" s="80" t="str">
        <f aca="false">IFERROR(INDEX(対訳マスタ!$C$2:$C$136,MATCH(Data!B1188,対訳マスタ!$B$2:$B$136,0)),Data!B1188)</f>
        <v>コミュニケーション言語能力</v>
      </c>
      <c r="C1188" s="80" t="str">
        <f aca="false">IF(Data!C1188="—","—",IFERROR(INDEX(対訳マスタ!$C$2:$C$136,MATCH(Data!C1188,対訳マスタ!$B$2:$B$136,0)),Data!C1188))</f>
        <v>—</v>
      </c>
      <c r="D1188" s="80" t="str">
        <f aca="false">IF(Data!D1188="—","—",IFERROR(INDEX(対訳マスタ!$C$2:$C$136,MATCH(Data!D1188,対訳マスタ!$B$2:$B$136,0)),Data!D1188))</f>
        <v>言語能力</v>
      </c>
      <c r="E1188" s="80" t="str">
        <f aca="false">IFERROR(INDEX(対訳マスタ!$C$2:$C$136,MATCH(Data!E1188,対訳マスタ!$B$2:$B$136,0)),Data!E1188)</f>
        <v>語彙の運用（使い分けの正確さ）</v>
      </c>
      <c r="F1188" s="80" t="str">
        <f aca="false">Data!F1188</f>
        <v>Pre-A1</v>
      </c>
      <c r="G1188" s="81" t="str">
        <f aca="false">Data!G1188</f>
        <v>No descriptors available</v>
      </c>
      <c r="H1188" s="81" t="s">
        <v>624</v>
      </c>
      <c r="I1188" s="80" t="s">
        <v>624</v>
      </c>
    </row>
    <row r="1189" customFormat="false" ht="53.25" hidden="false" customHeight="true" outlineLevel="0" collapsed="false">
      <c r="A1189" s="70" t="n">
        <f aca="false">Data!A1189</f>
        <v>1188</v>
      </c>
      <c r="B1189" s="70" t="str">
        <f aca="false">IFERROR(INDEX(対訳マスタ!$C$2:$C$136,MATCH(Data!B1189,対訳マスタ!$B$2:$B$136,0)),Data!B1189)</f>
        <v>コミュニケーション言語能力</v>
      </c>
      <c r="C1189" s="70" t="str">
        <f aca="false">IF(Data!C1189="—","—",IFERROR(INDEX(対訳マスタ!$C$2:$C$136,MATCH(Data!C1189,対訳マスタ!$B$2:$B$136,0)),Data!C1189))</f>
        <v>—</v>
      </c>
      <c r="D1189" s="70" t="str">
        <f aca="false">IF(Data!D1189="—","—",IFERROR(INDEX(対訳マスタ!$C$2:$C$136,MATCH(Data!D1189,対訳マスタ!$B$2:$B$136,0)),Data!D1189))</f>
        <v>言語能力</v>
      </c>
      <c r="E1189" s="70" t="str">
        <f aca="false">IFERROR(INDEX(対訳マスタ!$C$2:$C$136,MATCH(Data!E1189,対訳マスタ!$B$2:$B$136,0)),Data!E1189)</f>
        <v>音韻の運用（総合）</v>
      </c>
      <c r="F1189" s="70" t="str">
        <f aca="false">Data!F1189</f>
        <v>C2</v>
      </c>
      <c r="G1189" s="31" t="str">
        <f aca="false">Data!G1189</f>
        <v>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v>
      </c>
      <c r="H1189" s="71" t="s">
        <v>3020</v>
      </c>
      <c r="I1189" s="79" t="s">
        <v>3089</v>
      </c>
    </row>
    <row r="1190" customFormat="false" ht="42.75" hidden="false" customHeight="true" outlineLevel="0" collapsed="false">
      <c r="A1190" s="70" t="n">
        <f aca="false">Data!A1190</f>
        <v>1189</v>
      </c>
      <c r="B1190" s="70" t="str">
        <f aca="false">IFERROR(INDEX(対訳マスタ!$C$2:$C$136,MATCH(Data!B1190,対訳マスタ!$B$2:$B$136,0)),Data!B1190)</f>
        <v>コミュニケーション言語能力</v>
      </c>
      <c r="C1190" s="70" t="str">
        <f aca="false">IF(Data!C1190="—","—",IFERROR(INDEX(対訳マスタ!$C$2:$C$136,MATCH(Data!C1190,対訳マスタ!$B$2:$B$136,0)),Data!C1190))</f>
        <v>—</v>
      </c>
      <c r="D1190" s="70" t="str">
        <f aca="false">IF(Data!D1190="—","—",IFERROR(INDEX(対訳マスタ!$C$2:$C$136,MATCH(Data!D1190,対訳マスタ!$B$2:$B$136,0)),Data!D1190))</f>
        <v>言語能力</v>
      </c>
      <c r="E1190" s="70" t="str">
        <f aca="false">IFERROR(INDEX(対訳マスタ!$C$2:$C$136,MATCH(Data!E1190,対訳マスタ!$B$2:$B$136,0)),Data!E1190)</f>
        <v>音韻の運用（総合）</v>
      </c>
      <c r="F1190" s="70" t="str">
        <f aca="false">Data!F1190</f>
        <v>C1</v>
      </c>
      <c r="G1190" s="31" t="str">
        <f aca="false">Data!G1190</f>
        <v>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v>
      </c>
      <c r="H1190" s="71" t="s">
        <v>3019</v>
      </c>
      <c r="I1190" s="79" t="s">
        <v>3089</v>
      </c>
    </row>
    <row r="1191" customFormat="false" ht="32.25" hidden="false" customHeight="true" outlineLevel="0" collapsed="false">
      <c r="A1191" s="70" t="n">
        <f aca="false">Data!A1191</f>
        <v>1190</v>
      </c>
      <c r="B1191" s="70" t="str">
        <f aca="false">IFERROR(INDEX(対訳マスタ!$C$2:$C$136,MATCH(Data!B1191,対訳マスタ!$B$2:$B$136,0)),Data!B1191)</f>
        <v>コミュニケーション言語能力</v>
      </c>
      <c r="C1191" s="70" t="str">
        <f aca="false">IF(Data!C1191="—","—",IFERROR(INDEX(対訳マスタ!$C$2:$C$136,MATCH(Data!C1191,対訳マスタ!$B$2:$B$136,0)),Data!C1191))</f>
        <v>—</v>
      </c>
      <c r="D1191" s="70" t="str">
        <f aca="false">IF(Data!D1191="—","—",IFERROR(INDEX(対訳マスタ!$C$2:$C$136,MATCH(Data!D1191,対訳マスタ!$B$2:$B$136,0)),Data!D1191))</f>
        <v>言語能力</v>
      </c>
      <c r="E1191" s="70" t="str">
        <f aca="false">IFERROR(INDEX(対訳マスタ!$C$2:$C$136,MATCH(Data!E1191,対訳マスタ!$B$2:$B$136,0)),Data!E1191)</f>
        <v>音韻の運用（総合）</v>
      </c>
      <c r="F1191" s="70" t="str">
        <f aca="false">Data!F1191</f>
        <v>B2</v>
      </c>
      <c r="G1191" s="31" t="str">
        <f aca="false">Data!G1191</f>
        <v>Can generally use appropriate intonation, place stress correctly and articulate individual sounds clearly; accent tends to be influenced by the other language(s) they speak, but has little or no effect on intelligibility.</v>
      </c>
      <c r="H1191" s="71" t="s">
        <v>3018</v>
      </c>
      <c r="I1191" s="79" t="s">
        <v>3089</v>
      </c>
    </row>
    <row r="1192" customFormat="false" ht="32.25" hidden="false" customHeight="true" outlineLevel="0" collapsed="false">
      <c r="A1192" s="70" t="n">
        <f aca="false">Data!A1192</f>
        <v>1191</v>
      </c>
      <c r="B1192" s="70" t="str">
        <f aca="false">IFERROR(INDEX(対訳マスタ!$C$2:$C$136,MATCH(Data!B1192,対訳マスタ!$B$2:$B$136,0)),Data!B1192)</f>
        <v>コミュニケーション言語能力</v>
      </c>
      <c r="C1192" s="70" t="str">
        <f aca="false">IF(Data!C1192="—","—",IFERROR(INDEX(対訳マスタ!$C$2:$C$136,MATCH(Data!C1192,対訳マスタ!$B$2:$B$136,0)),Data!C1192))</f>
        <v>—</v>
      </c>
      <c r="D1192" s="70" t="str">
        <f aca="false">IF(Data!D1192="—","—",IFERROR(INDEX(対訳マスタ!$C$2:$C$136,MATCH(Data!D1192,対訳マスタ!$B$2:$B$136,0)),Data!D1192))</f>
        <v>言語能力</v>
      </c>
      <c r="E1192" s="70" t="str">
        <f aca="false">IFERROR(INDEX(対訳マスタ!$C$2:$C$136,MATCH(Data!E1192,対訳マスタ!$B$2:$B$136,0)),Data!E1192)</f>
        <v>音韻の運用（総合）</v>
      </c>
      <c r="F1192" s="70" t="str">
        <f aca="false">Data!F1192</f>
        <v>B1</v>
      </c>
      <c r="G1192" s="31" t="str">
        <f aca="false">Data!G1192</f>
        <v>Pronunciation is generally intelligible; intonation and stress at both utterance and word levels do not prevent understanding of the message. Accent is usually influenced by the other language(s) they speak. </v>
      </c>
      <c r="H1192" s="71" t="s">
        <v>3017</v>
      </c>
      <c r="I1192" s="79" t="s">
        <v>3089</v>
      </c>
    </row>
    <row r="1193" customFormat="false" ht="53.25" hidden="false" customHeight="true" outlineLevel="0" collapsed="false">
      <c r="A1193" s="70" t="n">
        <f aca="false">Data!A1193</f>
        <v>1192</v>
      </c>
      <c r="B1193" s="70" t="str">
        <f aca="false">IFERROR(INDEX(対訳マスタ!$C$2:$C$136,MATCH(Data!B1193,対訳マスタ!$B$2:$B$136,0)),Data!B1193)</f>
        <v>コミュニケーション言語能力</v>
      </c>
      <c r="C1193" s="70" t="str">
        <f aca="false">IF(Data!C1193="—","—",IFERROR(INDEX(対訳マスタ!$C$2:$C$136,MATCH(Data!C1193,対訳マスタ!$B$2:$B$136,0)),Data!C1193))</f>
        <v>—</v>
      </c>
      <c r="D1193" s="70" t="str">
        <f aca="false">IF(Data!D1193="—","—",IFERROR(INDEX(対訳マスタ!$C$2:$C$136,MATCH(Data!D1193,対訳マスタ!$B$2:$B$136,0)),Data!D1193))</f>
        <v>言語能力</v>
      </c>
      <c r="E1193" s="70" t="str">
        <f aca="false">IFERROR(INDEX(対訳マスタ!$C$2:$C$136,MATCH(Data!E1193,対訳マスタ!$B$2:$B$136,0)),Data!E1193)</f>
        <v>音韻の運用（総合）</v>
      </c>
      <c r="F1193" s="70" t="str">
        <f aca="false">Data!F1193</f>
        <v>A2</v>
      </c>
      <c r="G1193" s="31" t="str">
        <f aca="false">Data!G1193</f>
        <v>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v>
      </c>
      <c r="H1193" s="71" t="s">
        <v>3016</v>
      </c>
      <c r="I1193" s="79" t="s">
        <v>3089</v>
      </c>
    </row>
    <row r="1194" customFormat="false" ht="42.75" hidden="false" customHeight="true" outlineLevel="0" collapsed="false">
      <c r="A1194" s="70" t="n">
        <f aca="false">Data!A1194</f>
        <v>1193</v>
      </c>
      <c r="B1194" s="70" t="str">
        <f aca="false">IFERROR(INDEX(対訳マスタ!$C$2:$C$136,MATCH(Data!B1194,対訳マスタ!$B$2:$B$136,0)),Data!B1194)</f>
        <v>コミュニケーション言語能力</v>
      </c>
      <c r="C1194" s="70" t="str">
        <f aca="false">IF(Data!C1194="—","—",IFERROR(INDEX(対訳マスタ!$C$2:$C$136,MATCH(Data!C1194,対訳マスタ!$B$2:$B$136,0)),Data!C1194))</f>
        <v>—</v>
      </c>
      <c r="D1194" s="70" t="str">
        <f aca="false">IF(Data!D1194="—","—",IFERROR(INDEX(対訳マスタ!$C$2:$C$136,MATCH(Data!D1194,対訳マスタ!$B$2:$B$136,0)),Data!D1194))</f>
        <v>言語能力</v>
      </c>
      <c r="E1194" s="70" t="str">
        <f aca="false">IFERROR(INDEX(対訳マスタ!$C$2:$C$136,MATCH(Data!E1194,対訳マスタ!$B$2:$B$136,0)),Data!E1194)</f>
        <v>音韻の運用（総合）</v>
      </c>
      <c r="F1194" s="70" t="str">
        <f aca="false">Data!F1194</f>
        <v>A1</v>
      </c>
      <c r="G1194" s="31" t="str">
        <f aca="false">Data!G1194</f>
        <v>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v>
      </c>
      <c r="H1194" s="71" t="s">
        <v>3015</v>
      </c>
      <c r="I1194" s="79" t="s">
        <v>3089</v>
      </c>
    </row>
    <row r="1195" customFormat="false" ht="15" hidden="false" customHeight="true" outlineLevel="0" collapsed="false">
      <c r="A1195" s="70" t="n">
        <f aca="false">Data!A1195</f>
        <v>1194</v>
      </c>
      <c r="B1195" s="70" t="str">
        <f aca="false">IFERROR(INDEX(対訳マスタ!$C$2:$C$136,MATCH(Data!B1195,対訳マスタ!$B$2:$B$136,0)),Data!B1195)</f>
        <v>コミュニケーション言語能力</v>
      </c>
      <c r="C1195" s="70" t="str">
        <f aca="false">IF(Data!C1195="—","—",IFERROR(INDEX(対訳マスタ!$C$2:$C$136,MATCH(Data!C1195,対訳マスタ!$B$2:$B$136,0)),Data!C1195))</f>
        <v>—</v>
      </c>
      <c r="D1195" s="70" t="str">
        <f aca="false">IF(Data!D1195="—","—",IFERROR(INDEX(対訳マスタ!$C$2:$C$136,MATCH(Data!D1195,対訳マスタ!$B$2:$B$136,0)),Data!D1195))</f>
        <v>言語能力</v>
      </c>
      <c r="E1195" s="70" t="str">
        <f aca="false">IFERROR(INDEX(対訳マスタ!$C$2:$C$136,MATCH(Data!E1195,対訳マスタ!$B$2:$B$136,0)),Data!E1195)</f>
        <v>個々の音の調音</v>
      </c>
      <c r="F1195" s="70" t="str">
        <f aca="false">Data!F1195</f>
        <v>C2</v>
      </c>
      <c r="G1195" s="31" t="str">
        <f aca="false">Data!G1195</f>
        <v>Can articulate virtually all the sounds of the target language with clarity and precision.</v>
      </c>
      <c r="H1195" s="71" t="s">
        <v>3026</v>
      </c>
      <c r="I1195" s="79" t="s">
        <v>3089</v>
      </c>
    </row>
    <row r="1196" customFormat="false" ht="26.25" hidden="false" customHeight="true" outlineLevel="0" collapsed="false">
      <c r="A1196" s="70" t="n">
        <f aca="false">Data!A1196</f>
        <v>1195</v>
      </c>
      <c r="B1196" s="70" t="str">
        <f aca="false">IFERROR(INDEX(対訳マスタ!$C$2:$C$136,MATCH(Data!B1196,対訳マスタ!$B$2:$B$136,0)),Data!B1196)</f>
        <v>コミュニケーション言語能力</v>
      </c>
      <c r="C1196" s="70" t="str">
        <f aca="false">IF(Data!C1196="—","—",IFERROR(INDEX(対訳マスタ!$C$2:$C$136,MATCH(Data!C1196,対訳マスタ!$B$2:$B$136,0)),Data!C1196))</f>
        <v>—</v>
      </c>
      <c r="D1196" s="70" t="str">
        <f aca="false">IF(Data!D1196="—","—",IFERROR(INDEX(対訳マスタ!$C$2:$C$136,MATCH(Data!D1196,対訳マスタ!$B$2:$B$136,0)),Data!D1196))</f>
        <v>言語能力</v>
      </c>
      <c r="E1196" s="70" t="str">
        <f aca="false">IFERROR(INDEX(対訳マスタ!$C$2:$C$136,MATCH(Data!E1196,対訳マスタ!$B$2:$B$136,0)),Data!E1196)</f>
        <v>個々の音の調音</v>
      </c>
      <c r="F1196" s="70" t="str">
        <f aca="false">Data!F1196</f>
        <v>C1</v>
      </c>
      <c r="G1196" s="31" t="str">
        <f aca="false">Data!G1196</f>
        <v>Can articulate virtually all the sounds of the target language with a high degree of control. They can usually self-correct if they noticeably mispronounce a sound.</v>
      </c>
      <c r="H1196" s="71" t="s">
        <v>3025</v>
      </c>
      <c r="I1196" s="79" t="s">
        <v>3089</v>
      </c>
    </row>
    <row r="1197" customFormat="false" ht="32.25" hidden="false" customHeight="true" outlineLevel="0" collapsed="false">
      <c r="A1197" s="70" t="n">
        <f aca="false">Data!A1197</f>
        <v>1196</v>
      </c>
      <c r="B1197" s="70" t="str">
        <f aca="false">IFERROR(INDEX(対訳マスタ!$C$2:$C$136,MATCH(Data!B1197,対訳マスタ!$B$2:$B$136,0)),Data!B1197)</f>
        <v>コミュニケーション言語能力</v>
      </c>
      <c r="C1197" s="70" t="str">
        <f aca="false">IF(Data!C1197="—","—",IFERROR(INDEX(対訳マスタ!$C$2:$C$136,MATCH(Data!C1197,対訳マスタ!$B$2:$B$136,0)),Data!C1197))</f>
        <v>—</v>
      </c>
      <c r="D1197" s="70" t="str">
        <f aca="false">IF(Data!D1197="—","—",IFERROR(INDEX(対訳マスタ!$C$2:$C$136,MATCH(Data!D1197,対訳マスタ!$B$2:$B$136,0)),Data!D1197))</f>
        <v>言語能力</v>
      </c>
      <c r="E1197" s="70" t="str">
        <f aca="false">IFERROR(INDEX(対訳マスタ!$C$2:$C$136,MATCH(Data!E1197,対訳マスタ!$B$2:$B$136,0)),Data!E1197)</f>
        <v>個々の音の調音</v>
      </c>
      <c r="F1197" s="70" t="str">
        <f aca="false">Data!F1197</f>
        <v>B2</v>
      </c>
      <c r="G1197" s="31" t="str">
        <f aca="false">Data!G1197</f>
        <v>Can articulate a high proportion of the sounds in the target language clearly in extended stretches of production; is intelligible throughout, despite a few systematic mispronunciations.</v>
      </c>
      <c r="H1197" s="71" t="s">
        <v>3578</v>
      </c>
      <c r="I1197" s="79" t="s">
        <v>3089</v>
      </c>
    </row>
    <row r="1198" customFormat="false" ht="26.25" hidden="false" customHeight="true" outlineLevel="0" collapsed="false">
      <c r="A1198" s="70" t="n">
        <f aca="false">Data!A1198</f>
        <v>1197</v>
      </c>
      <c r="B1198" s="70" t="str">
        <f aca="false">IFERROR(INDEX(対訳マスタ!$C$2:$C$136,MATCH(Data!B1198,対訳マスタ!$B$2:$B$136,0)),Data!B1198)</f>
        <v>コミュニケーション言語能力</v>
      </c>
      <c r="C1198" s="70" t="str">
        <f aca="false">IF(Data!C1198="—","—",IFERROR(INDEX(対訳マスタ!$C$2:$C$136,MATCH(Data!C1198,対訳マスタ!$B$2:$B$136,0)),Data!C1198))</f>
        <v>—</v>
      </c>
      <c r="D1198" s="70" t="str">
        <f aca="false">IF(Data!D1198="—","—",IFERROR(INDEX(対訳マスタ!$C$2:$C$136,MATCH(Data!D1198,対訳マスタ!$B$2:$B$136,0)),Data!D1198))</f>
        <v>言語能力</v>
      </c>
      <c r="E1198" s="70" t="str">
        <f aca="false">IFERROR(INDEX(対訳マスタ!$C$2:$C$136,MATCH(Data!E1198,対訳マスタ!$B$2:$B$136,0)),Data!E1198)</f>
        <v>個々の音の調音</v>
      </c>
      <c r="F1198" s="70" t="str">
        <f aca="false">Data!F1198</f>
        <v>B2</v>
      </c>
      <c r="G1198" s="31" t="str">
        <f aca="false">Data!G1198</f>
        <v>Can generalise from their repertoire to predict the phonological features of most unfamiliar words (e.g. word stress) with reasonable accuracy (e.g. while reading).</v>
      </c>
      <c r="H1198" s="71" t="s">
        <v>3024</v>
      </c>
      <c r="I1198" s="79" t="s">
        <v>3089</v>
      </c>
    </row>
    <row r="1199" customFormat="false" ht="26.25" hidden="false" customHeight="true" outlineLevel="0" collapsed="false">
      <c r="A1199" s="70" t="n">
        <f aca="false">Data!A1199</f>
        <v>1198</v>
      </c>
      <c r="B1199" s="70" t="str">
        <f aca="false">IFERROR(INDEX(対訳マスタ!$C$2:$C$136,MATCH(Data!B1199,対訳マスタ!$B$2:$B$136,0)),Data!B1199)</f>
        <v>コミュニケーション言語能力</v>
      </c>
      <c r="C1199" s="70" t="str">
        <f aca="false">IF(Data!C1199="—","—",IFERROR(INDEX(対訳マスタ!$C$2:$C$136,MATCH(Data!C1199,対訳マスタ!$B$2:$B$136,0)),Data!C1199))</f>
        <v>—</v>
      </c>
      <c r="D1199" s="70" t="str">
        <f aca="false">IF(Data!D1199="—","—",IFERROR(INDEX(対訳マスタ!$C$2:$C$136,MATCH(Data!D1199,対訳マスタ!$B$2:$B$136,0)),Data!D1199))</f>
        <v>言語能力</v>
      </c>
      <c r="E1199" s="70" t="str">
        <f aca="false">IFERROR(INDEX(対訳マスタ!$C$2:$C$136,MATCH(Data!E1199,対訳マスタ!$B$2:$B$136,0)),Data!E1199)</f>
        <v>個々の音の調音</v>
      </c>
      <c r="F1199" s="70" t="str">
        <f aca="false">Data!F1199</f>
        <v>B1</v>
      </c>
      <c r="G1199" s="31" t="str">
        <f aca="false">Data!G1199</f>
        <v>Is generally intelligible throughout, despite regular mispronunciation of individual sounds and words they are less familiar with.</v>
      </c>
      <c r="H1199" s="71" t="s">
        <v>3023</v>
      </c>
      <c r="I1199" s="79" t="s">
        <v>3089</v>
      </c>
    </row>
    <row r="1200" customFormat="false" ht="26.25" hidden="false" customHeight="true" outlineLevel="0" collapsed="false">
      <c r="A1200" s="70" t="n">
        <f aca="false">Data!A1200</f>
        <v>1199</v>
      </c>
      <c r="B1200" s="70" t="str">
        <f aca="false">IFERROR(INDEX(対訳マスタ!$C$2:$C$136,MATCH(Data!B1200,対訳マスタ!$B$2:$B$136,0)),Data!B1200)</f>
        <v>コミュニケーション言語能力</v>
      </c>
      <c r="C1200" s="70" t="str">
        <f aca="false">IF(Data!C1200="—","—",IFERROR(INDEX(対訳マスタ!$C$2:$C$136,MATCH(Data!C1200,対訳マスタ!$B$2:$B$136,0)),Data!C1200))</f>
        <v>—</v>
      </c>
      <c r="D1200" s="70" t="str">
        <f aca="false">IF(Data!D1200="—","—",IFERROR(INDEX(対訳マスタ!$C$2:$C$136,MATCH(Data!D1200,対訳マスタ!$B$2:$B$136,0)),Data!D1200))</f>
        <v>言語能力</v>
      </c>
      <c r="E1200" s="70" t="str">
        <f aca="false">IFERROR(INDEX(対訳マスタ!$C$2:$C$136,MATCH(Data!E1200,対訳マスタ!$B$2:$B$136,0)),Data!E1200)</f>
        <v>個々の音の調音</v>
      </c>
      <c r="F1200" s="70" t="str">
        <f aca="false">Data!F1200</f>
        <v>A2</v>
      </c>
      <c r="G1200" s="31" t="str">
        <f aca="false">Data!G1200</f>
        <v>Pronunciation is generally intelligible when communicating in simple everyday situations, provided the interlocutor makes an effort to understand specific sounds.</v>
      </c>
      <c r="H1200" s="71" t="s">
        <v>3022</v>
      </c>
      <c r="I1200" s="79" t="s">
        <v>3089</v>
      </c>
    </row>
    <row r="1201" customFormat="false" ht="32.25" hidden="false" customHeight="true" outlineLevel="0" collapsed="false">
      <c r="A1201" s="70" t="n">
        <f aca="false">Data!A1201</f>
        <v>1200</v>
      </c>
      <c r="B1201" s="70" t="str">
        <f aca="false">IFERROR(INDEX(対訳マスタ!$C$2:$C$136,MATCH(Data!B1201,対訳マスタ!$B$2:$B$136,0)),Data!B1201)</f>
        <v>コミュニケーション言語能力</v>
      </c>
      <c r="C1201" s="70" t="str">
        <f aca="false">IF(Data!C1201="—","—",IFERROR(INDEX(対訳マスタ!$C$2:$C$136,MATCH(Data!C1201,対訳マスタ!$B$2:$B$136,0)),Data!C1201))</f>
        <v>—</v>
      </c>
      <c r="D1201" s="70" t="str">
        <f aca="false">IF(Data!D1201="—","—",IFERROR(INDEX(対訳マスタ!$C$2:$C$136,MATCH(Data!D1201,対訳マスタ!$B$2:$B$136,0)),Data!D1201))</f>
        <v>言語能力</v>
      </c>
      <c r="E1201" s="70" t="str">
        <f aca="false">IFERROR(INDEX(対訳マスタ!$C$2:$C$136,MATCH(Data!E1201,対訳マスタ!$B$2:$B$136,0)),Data!E1201)</f>
        <v>個々の音の調音</v>
      </c>
      <c r="F1201" s="70" t="str">
        <f aca="false">Data!F1201</f>
        <v>A2</v>
      </c>
      <c r="G1201" s="31" t="str">
        <f aca="false">Data!G1201</f>
        <v>Systematic mispronunciation of phonemes does not hinder intelligibility, provided the interlocutor makes an effort to recognise and adjust to the influence of the speaker’s language background on pronunciation.</v>
      </c>
      <c r="H1201" s="71" t="s">
        <v>3579</v>
      </c>
      <c r="I1201" s="79" t="s">
        <v>3089</v>
      </c>
    </row>
    <row r="1202" customFormat="false" ht="15" hidden="false" customHeight="true" outlineLevel="0" collapsed="false">
      <c r="A1202" s="70" t="n">
        <f aca="false">Data!A1202</f>
        <v>1201</v>
      </c>
      <c r="B1202" s="70" t="str">
        <f aca="false">IFERROR(INDEX(対訳マスタ!$C$2:$C$136,MATCH(Data!B1202,対訳マスタ!$B$2:$B$136,0)),Data!B1202)</f>
        <v>コミュニケーション言語能力</v>
      </c>
      <c r="C1202" s="70" t="str">
        <f aca="false">IF(Data!C1202="—","—",IFERROR(INDEX(対訳マスタ!$C$2:$C$136,MATCH(Data!C1202,対訳マスタ!$B$2:$B$136,0)),Data!C1202))</f>
        <v>—</v>
      </c>
      <c r="D1202" s="70" t="str">
        <f aca="false">IF(Data!D1202="—","—",IFERROR(INDEX(対訳マスタ!$C$2:$C$136,MATCH(Data!D1202,対訳マスタ!$B$2:$B$136,0)),Data!D1202))</f>
        <v>言語能力</v>
      </c>
      <c r="E1202" s="70" t="str">
        <f aca="false">IFERROR(INDEX(対訳マスタ!$C$2:$C$136,MATCH(Data!E1202,対訳マスタ!$B$2:$B$136,0)),Data!E1202)</f>
        <v>個々の音の調音</v>
      </c>
      <c r="F1202" s="70" t="str">
        <f aca="false">Data!F1202</f>
        <v>A1</v>
      </c>
      <c r="G1202" s="31" t="str">
        <f aca="false">Data!G1202</f>
        <v>Can reproduce sounds in the target language if carefully guided.</v>
      </c>
      <c r="H1202" s="71" t="s">
        <v>3021</v>
      </c>
      <c r="I1202" s="79" t="s">
        <v>3089</v>
      </c>
    </row>
    <row r="1203" customFormat="false" ht="32.25" hidden="false" customHeight="true" outlineLevel="0" collapsed="false">
      <c r="A1203" s="70" t="n">
        <f aca="false">Data!A1203</f>
        <v>1202</v>
      </c>
      <c r="B1203" s="70" t="str">
        <f aca="false">IFERROR(INDEX(対訳マスタ!$C$2:$C$136,MATCH(Data!B1203,対訳マスタ!$B$2:$B$136,0)),Data!B1203)</f>
        <v>コミュニケーション言語能力</v>
      </c>
      <c r="C1203" s="70" t="str">
        <f aca="false">IF(Data!C1203="—","—",IFERROR(INDEX(対訳マスタ!$C$2:$C$136,MATCH(Data!C1203,対訳マスタ!$B$2:$B$136,0)),Data!C1203))</f>
        <v>—</v>
      </c>
      <c r="D1203" s="70" t="str">
        <f aca="false">IF(Data!D1203="—","—",IFERROR(INDEX(対訳マスタ!$C$2:$C$136,MATCH(Data!D1203,対訳マスタ!$B$2:$B$136,0)),Data!D1203))</f>
        <v>言語能力</v>
      </c>
      <c r="E1203" s="70" t="str">
        <f aca="false">IFERROR(INDEX(対訳マスタ!$C$2:$C$136,MATCH(Data!E1203,対訳マスタ!$B$2:$B$136,0)),Data!E1203)</f>
        <v>個々の音の調音</v>
      </c>
      <c r="F1203" s="70" t="str">
        <f aca="false">Data!F1203</f>
        <v>A1</v>
      </c>
      <c r="G1203" s="31" t="str">
        <f aca="false">Data!G1203</f>
        <v>Can articulate a limited number of sounds, so that speech is only intelligible if the interlocutor provides support (e.g. by repeating correctly and by eliciting repetition of new sounds).</v>
      </c>
      <c r="H1203" s="71" t="s">
        <v>3580</v>
      </c>
      <c r="I1203" s="79" t="s">
        <v>3089</v>
      </c>
    </row>
    <row r="1204" customFormat="false" ht="32.25" hidden="false" customHeight="true" outlineLevel="0" collapsed="false">
      <c r="A1204" s="70" t="n">
        <f aca="false">Data!A1204</f>
        <v>1203</v>
      </c>
      <c r="B1204" s="70" t="str">
        <f aca="false">IFERROR(INDEX(対訳マスタ!$C$2:$C$136,MATCH(Data!B1204,対訳マスタ!$B$2:$B$136,0)),Data!B1204)</f>
        <v>コミュニケーション言語能力</v>
      </c>
      <c r="C1204" s="70" t="str">
        <f aca="false">IF(Data!C1204="—","—",IFERROR(INDEX(対訳マスタ!$C$2:$C$136,MATCH(Data!C1204,対訳マスタ!$B$2:$B$136,0)),Data!C1204))</f>
        <v>—</v>
      </c>
      <c r="D1204" s="70" t="str">
        <f aca="false">IF(Data!D1204="—","—",IFERROR(INDEX(対訳マスタ!$C$2:$C$136,MATCH(Data!D1204,対訳マスタ!$B$2:$B$136,0)),Data!D1204))</f>
        <v>言語能力</v>
      </c>
      <c r="E1204" s="70" t="str">
        <f aca="false">IFERROR(INDEX(対訳マスタ!$C$2:$C$136,MATCH(Data!E1204,対訳マスタ!$B$2:$B$136,0)),Data!E1204)</f>
        <v>韻律（プロソディ）</v>
      </c>
      <c r="F1204" s="70" t="str">
        <f aca="false">Data!F1204</f>
        <v>C2</v>
      </c>
      <c r="G1204" s="31" t="str">
        <f aca="false">Data!G1204</f>
        <v>Can exploit prosodic features (e.g. stress, rhythm and intonation) appropriately and effectively in order to convey finer shades of meaning (e.g. to differentiate and emphasise).</v>
      </c>
      <c r="H1204" s="71" t="s">
        <v>3032</v>
      </c>
      <c r="I1204" s="79" t="s">
        <v>3089</v>
      </c>
    </row>
    <row r="1205" customFormat="false" ht="21.75" hidden="false" customHeight="true" outlineLevel="0" collapsed="false">
      <c r="A1205" s="70" t="n">
        <f aca="false">Data!A1205</f>
        <v>1204</v>
      </c>
      <c r="B1205" s="70" t="str">
        <f aca="false">IFERROR(INDEX(対訳マスタ!$C$2:$C$136,MATCH(Data!B1205,対訳マスタ!$B$2:$B$136,0)),Data!B1205)</f>
        <v>コミュニケーション言語能力</v>
      </c>
      <c r="C1205" s="70" t="str">
        <f aca="false">IF(Data!C1205="—","—",IFERROR(INDEX(対訳マスタ!$C$2:$C$136,MATCH(Data!C1205,対訳マスタ!$B$2:$B$136,0)),Data!C1205))</f>
        <v>—</v>
      </c>
      <c r="D1205" s="70" t="str">
        <f aca="false">IF(Data!D1205="—","—",IFERROR(INDEX(対訳マスタ!$C$2:$C$136,MATCH(Data!D1205,対訳マスタ!$B$2:$B$136,0)),Data!D1205))</f>
        <v>言語能力</v>
      </c>
      <c r="E1205" s="70" t="str">
        <f aca="false">IFERROR(INDEX(対訳マスタ!$C$2:$C$136,MATCH(Data!E1205,対訳マスタ!$B$2:$B$136,0)),Data!E1205)</f>
        <v>韻律（プロソディ）</v>
      </c>
      <c r="F1205" s="70" t="str">
        <f aca="false">Data!F1205</f>
        <v>C1</v>
      </c>
      <c r="G1205" s="31" t="str">
        <f aca="false">Data!G1205</f>
        <v>Can produce smooth, intelligible spoken discourse with only occasional lapses in control of stress, rhythm and/or intonation, which do not affect intelligibility or effectiveness.</v>
      </c>
      <c r="H1205" s="71" t="s">
        <v>3581</v>
      </c>
      <c r="I1205" s="79" t="s">
        <v>3089</v>
      </c>
    </row>
    <row r="1206" customFormat="false" ht="26.25" hidden="false" customHeight="true" outlineLevel="0" collapsed="false">
      <c r="A1206" s="70" t="n">
        <f aca="false">Data!A1206</f>
        <v>1205</v>
      </c>
      <c r="B1206" s="70" t="str">
        <f aca="false">IFERROR(INDEX(対訳マスタ!$C$2:$C$136,MATCH(Data!B1206,対訳マスタ!$B$2:$B$136,0)),Data!B1206)</f>
        <v>コミュニケーション言語能力</v>
      </c>
      <c r="C1206" s="70" t="str">
        <f aca="false">IF(Data!C1206="—","—",IFERROR(INDEX(対訳マスタ!$C$2:$C$136,MATCH(Data!C1206,対訳マスタ!$B$2:$B$136,0)),Data!C1206))</f>
        <v>—</v>
      </c>
      <c r="D1206" s="70" t="str">
        <f aca="false">IF(Data!D1206="—","—",IFERROR(INDEX(対訳マスタ!$C$2:$C$136,MATCH(Data!D1206,対訳マスタ!$B$2:$B$136,0)),Data!D1206))</f>
        <v>言語能力</v>
      </c>
      <c r="E1206" s="70" t="str">
        <f aca="false">IFERROR(INDEX(対訳マスタ!$C$2:$C$136,MATCH(Data!E1206,対訳マスタ!$B$2:$B$136,0)),Data!E1206)</f>
        <v>韻律（プロソディ）</v>
      </c>
      <c r="F1206" s="70" t="str">
        <f aca="false">Data!F1206</f>
        <v>C1</v>
      </c>
      <c r="G1206" s="31" t="str">
        <f aca="false">Data!G1206</f>
        <v>Can vary intonation and place stress correctly in order to express precisely what they mean to say.</v>
      </c>
      <c r="H1206" s="71" t="s">
        <v>3031</v>
      </c>
      <c r="I1206" s="79" t="s">
        <v>3089</v>
      </c>
    </row>
    <row r="1207" customFormat="false" ht="26.25" hidden="false" customHeight="true" outlineLevel="0" collapsed="false">
      <c r="A1207" s="70" t="n">
        <f aca="false">Data!A1207</f>
        <v>1206</v>
      </c>
      <c r="B1207" s="70" t="str">
        <f aca="false">IFERROR(INDEX(対訳マスタ!$C$2:$C$136,MATCH(Data!B1207,対訳マスタ!$B$2:$B$136,0)),Data!B1207)</f>
        <v>コミュニケーション言語能力</v>
      </c>
      <c r="C1207" s="70" t="str">
        <f aca="false">IF(Data!C1207="—","—",IFERROR(INDEX(対訳マスタ!$C$2:$C$136,MATCH(Data!C1207,対訳マスタ!$B$2:$B$136,0)),Data!C1207))</f>
        <v>—</v>
      </c>
      <c r="D1207" s="70" t="str">
        <f aca="false">IF(Data!D1207="—","—",IFERROR(INDEX(対訳マスタ!$C$2:$C$136,MATCH(Data!D1207,対訳マスタ!$B$2:$B$136,0)),Data!D1207))</f>
        <v>言語能力</v>
      </c>
      <c r="E1207" s="70" t="str">
        <f aca="false">IFERROR(INDEX(対訳マスタ!$C$2:$C$136,MATCH(Data!E1207,対訳マスタ!$B$2:$B$136,0)),Data!E1207)</f>
        <v>韻律（プロソディ）</v>
      </c>
      <c r="F1207" s="70" t="str">
        <f aca="false">Data!F1207</f>
        <v>B2</v>
      </c>
      <c r="G1207" s="31" t="str">
        <f aca="false">Data!G1207</f>
        <v>Can employ prosodic features (e.g. stress, intonation, rhythm) to support the message they intend to convey, though with some influence from the other languages they speak.</v>
      </c>
      <c r="H1207" s="71" t="s">
        <v>3030</v>
      </c>
      <c r="I1207" s="79" t="s">
        <v>3089</v>
      </c>
    </row>
    <row r="1208" customFormat="false" ht="26.25" hidden="false" customHeight="true" outlineLevel="0" collapsed="false">
      <c r="A1208" s="70" t="n">
        <f aca="false">Data!A1208</f>
        <v>1207</v>
      </c>
      <c r="B1208" s="70" t="str">
        <f aca="false">IFERROR(INDEX(対訳マスタ!$C$2:$C$136,MATCH(Data!B1208,対訳マスタ!$B$2:$B$136,0)),Data!B1208)</f>
        <v>コミュニケーション言語能力</v>
      </c>
      <c r="C1208" s="70" t="str">
        <f aca="false">IF(Data!C1208="—","—",IFERROR(INDEX(対訳マスタ!$C$2:$C$136,MATCH(Data!C1208,対訳マスタ!$B$2:$B$136,0)),Data!C1208))</f>
        <v>—</v>
      </c>
      <c r="D1208" s="70" t="str">
        <f aca="false">IF(Data!D1208="—","—",IFERROR(INDEX(対訳マスタ!$C$2:$C$136,MATCH(Data!D1208,対訳マスタ!$B$2:$B$136,0)),Data!D1208))</f>
        <v>言語能力</v>
      </c>
      <c r="E1208" s="70" t="str">
        <f aca="false">IFERROR(INDEX(対訳マスタ!$C$2:$C$136,MATCH(Data!E1208,対訳マスタ!$B$2:$B$136,0)),Data!E1208)</f>
        <v>韻律（プロソディ）</v>
      </c>
      <c r="F1208" s="70" t="str">
        <f aca="false">Data!F1208</f>
        <v>B1</v>
      </c>
      <c r="G1208" s="31" t="str">
        <f aca="false">Data!G1208</f>
        <v>Can convey their message in an intelligible way in spite of a strong influence on stress, intonation and/or rhythm from the other language(s) they speak.</v>
      </c>
      <c r="H1208" s="71" t="s">
        <v>3029</v>
      </c>
      <c r="I1208" s="79" t="s">
        <v>3089</v>
      </c>
    </row>
    <row r="1209" customFormat="false" ht="32.25" hidden="false" customHeight="true" outlineLevel="0" collapsed="false">
      <c r="A1209" s="70" t="n">
        <f aca="false">Data!A1209</f>
        <v>1208</v>
      </c>
      <c r="B1209" s="70" t="str">
        <f aca="false">IFERROR(INDEX(対訳マスタ!$C$2:$C$136,MATCH(Data!B1209,対訳マスタ!$B$2:$B$136,0)),Data!B1209)</f>
        <v>コミュニケーション言語能力</v>
      </c>
      <c r="C1209" s="70" t="str">
        <f aca="false">IF(Data!C1209="—","—",IFERROR(INDEX(対訳マスタ!$C$2:$C$136,MATCH(Data!C1209,対訳マスタ!$B$2:$B$136,0)),Data!C1209))</f>
        <v>—</v>
      </c>
      <c r="D1209" s="70" t="str">
        <f aca="false">IF(Data!D1209="—","—",IFERROR(INDEX(対訳マスタ!$C$2:$C$136,MATCH(Data!D1209,対訳マスタ!$B$2:$B$136,0)),Data!D1209))</f>
        <v>言語能力</v>
      </c>
      <c r="E1209" s="70" t="str">
        <f aca="false">IFERROR(INDEX(対訳マスタ!$C$2:$C$136,MATCH(Data!E1209,対訳マスタ!$B$2:$B$136,0)),Data!E1209)</f>
        <v>韻律（プロソディ）</v>
      </c>
      <c r="F1209" s="70" t="str">
        <f aca="false">Data!F1209</f>
        <v>A2</v>
      </c>
      <c r="G1209" s="31" t="str">
        <f aca="false">Data!G1209</f>
        <v>Can use the prosodic features of everyday words and phrases intelligibly, in spite of a strong influence on stress, intonation and/or rhythm from the other language(s) they speak.</v>
      </c>
      <c r="H1209" s="71" t="s">
        <v>3582</v>
      </c>
      <c r="I1209" s="79" t="s">
        <v>3089</v>
      </c>
    </row>
    <row r="1210" customFormat="false" ht="21.75" hidden="false" customHeight="true" outlineLevel="0" collapsed="false">
      <c r="A1210" s="70" t="n">
        <f aca="false">Data!A1210</f>
        <v>1209</v>
      </c>
      <c r="B1210" s="70" t="str">
        <f aca="false">IFERROR(INDEX(対訳マスタ!$C$2:$C$136,MATCH(Data!B1210,対訳マスタ!$B$2:$B$136,0)),Data!B1210)</f>
        <v>コミュニケーション言語能力</v>
      </c>
      <c r="C1210" s="70" t="str">
        <f aca="false">IF(Data!C1210="—","—",IFERROR(INDEX(対訳マスタ!$C$2:$C$136,MATCH(Data!C1210,対訳マスタ!$B$2:$B$136,0)),Data!C1210))</f>
        <v>—</v>
      </c>
      <c r="D1210" s="70" t="str">
        <f aca="false">IF(Data!D1210="—","—",IFERROR(INDEX(対訳マスタ!$C$2:$C$136,MATCH(Data!D1210,対訳マスタ!$B$2:$B$136,0)),Data!D1210))</f>
        <v>言語能力</v>
      </c>
      <c r="E1210" s="70" t="str">
        <f aca="false">IFERROR(INDEX(対訳マスタ!$C$2:$C$136,MATCH(Data!E1210,対訳マスタ!$B$2:$B$136,0)),Data!E1210)</f>
        <v>韻律（プロソディ）</v>
      </c>
      <c r="F1210" s="70" t="str">
        <f aca="false">Data!F1210</f>
        <v>A2</v>
      </c>
      <c r="G1210" s="31" t="str">
        <f aca="false">Data!G1210</f>
        <v>Prosodic features (e.g. word stress) are adequate for familiar everyday words and simple utterances.</v>
      </c>
      <c r="H1210" s="71" t="s">
        <v>3028</v>
      </c>
      <c r="I1210" s="79" t="s">
        <v>3089</v>
      </c>
    </row>
    <row r="1211" customFormat="false" ht="32.25" hidden="false" customHeight="true" outlineLevel="0" collapsed="false">
      <c r="A1211" s="70" t="n">
        <f aca="false">Data!A1211</f>
        <v>1210</v>
      </c>
      <c r="B1211" s="70" t="str">
        <f aca="false">IFERROR(INDEX(対訳マスタ!$C$2:$C$136,MATCH(Data!B1211,対訳マスタ!$B$2:$B$136,0)),Data!B1211)</f>
        <v>コミュニケーション言語能力</v>
      </c>
      <c r="C1211" s="70" t="str">
        <f aca="false">IF(Data!C1211="—","—",IFERROR(INDEX(対訳マスタ!$C$2:$C$136,MATCH(Data!C1211,対訳マスタ!$B$2:$B$136,0)),Data!C1211))</f>
        <v>—</v>
      </c>
      <c r="D1211" s="70" t="str">
        <f aca="false">IF(Data!D1211="—","—",IFERROR(INDEX(対訳マスタ!$C$2:$C$136,MATCH(Data!D1211,対訳マスタ!$B$2:$B$136,0)),Data!D1211))</f>
        <v>言語能力</v>
      </c>
      <c r="E1211" s="70" t="str">
        <f aca="false">IFERROR(INDEX(対訳マスタ!$C$2:$C$136,MATCH(Data!E1211,対訳マスタ!$B$2:$B$136,0)),Data!E1211)</f>
        <v>韻律（プロソディ）</v>
      </c>
      <c r="F1211" s="70" t="str">
        <f aca="false">Data!F1211</f>
        <v>A1</v>
      </c>
      <c r="G1211" s="31" t="str">
        <f aca="false">Data!G1211</f>
        <v>Can use the prosodic features of a limited repertoire of simple words and phrases intelligibly, in spite of a very strong influence on stress, rhythm and/or intonation from the other language(s) they speak; their interlocutor needs to be collaborative.</v>
      </c>
      <c r="H1211" s="71" t="s">
        <v>3027</v>
      </c>
      <c r="I1211" s="79" t="s">
        <v>3089</v>
      </c>
    </row>
    <row r="1212" customFormat="false" ht="15" hidden="false" customHeight="true" outlineLevel="0" collapsed="false">
      <c r="A1212" s="70" t="n">
        <f aca="false">Data!A1212</f>
        <v>1211</v>
      </c>
      <c r="B1212" s="70" t="str">
        <f aca="false">IFERROR(INDEX(対訳マスタ!$C$2:$C$136,MATCH(Data!B1212,対訳マスタ!$B$2:$B$136,0)),Data!B1212)</f>
        <v>コミュニケーション言語能力</v>
      </c>
      <c r="C1212" s="70" t="str">
        <f aca="false">IF(Data!C1212="—","—",IFERROR(INDEX(対訳マスタ!$C$2:$C$136,MATCH(Data!C1212,対訳マスタ!$B$2:$B$136,0)),Data!C1212))</f>
        <v>—</v>
      </c>
      <c r="D1212" s="70" t="str">
        <f aca="false">IF(Data!D1212="—","—",IFERROR(INDEX(対訳マスタ!$C$2:$C$136,MATCH(Data!D1212,対訳マスタ!$B$2:$B$136,0)),Data!D1212))</f>
        <v>言語能力</v>
      </c>
      <c r="E1212" s="70" t="str">
        <f aca="false">IFERROR(INDEX(対訳マスタ!$C$2:$C$136,MATCH(Data!E1212,対訳マスタ!$B$2:$B$136,0)),Data!E1212)</f>
        <v>正書法（綴り・表記）の運用</v>
      </c>
      <c r="F1212" s="70" t="str">
        <f aca="false">Data!F1212</f>
        <v>C2</v>
      </c>
      <c r="G1212" s="31" t="str">
        <f aca="false">Data!G1212</f>
        <v>Writing is orthographically free of error.</v>
      </c>
      <c r="H1212" s="71" t="s">
        <v>3038</v>
      </c>
      <c r="I1212" s="79" t="s">
        <v>3089</v>
      </c>
    </row>
    <row r="1213" customFormat="false" ht="15" hidden="false" customHeight="true" outlineLevel="0" collapsed="false">
      <c r="A1213" s="70" t="n">
        <f aca="false">Data!A1213</f>
        <v>1212</v>
      </c>
      <c r="B1213" s="70" t="str">
        <f aca="false">IFERROR(INDEX(対訳マスタ!$C$2:$C$136,MATCH(Data!B1213,対訳マスタ!$B$2:$B$136,0)),Data!B1213)</f>
        <v>コミュニケーション言語能力</v>
      </c>
      <c r="C1213" s="70" t="str">
        <f aca="false">IF(Data!C1213="—","—",IFERROR(INDEX(対訳マスタ!$C$2:$C$136,MATCH(Data!C1213,対訳マスタ!$B$2:$B$136,0)),Data!C1213))</f>
        <v>—</v>
      </c>
      <c r="D1213" s="70" t="str">
        <f aca="false">IF(Data!D1213="—","—",IFERROR(INDEX(対訳マスタ!$C$2:$C$136,MATCH(Data!D1213,対訳マスタ!$B$2:$B$136,0)),Data!D1213))</f>
        <v>言語能力</v>
      </c>
      <c r="E1213" s="70" t="str">
        <f aca="false">IFERROR(INDEX(対訳マスタ!$C$2:$C$136,MATCH(Data!E1213,対訳マスタ!$B$2:$B$136,0)),Data!E1213)</f>
        <v>正書法（綴り・表記）の運用</v>
      </c>
      <c r="F1213" s="70" t="str">
        <f aca="false">Data!F1213</f>
        <v>C1</v>
      </c>
      <c r="G1213" s="31" t="str">
        <f aca="false">Data!G1213</f>
        <v>Layout, paragraphing and punctuation are consistent and helpful.</v>
      </c>
      <c r="H1213" s="71" t="s">
        <v>3583</v>
      </c>
      <c r="I1213" s="79" t="s">
        <v>3089</v>
      </c>
    </row>
    <row r="1214" customFormat="false" ht="15" hidden="false" customHeight="true" outlineLevel="0" collapsed="false">
      <c r="A1214" s="70" t="n">
        <f aca="false">Data!A1214</f>
        <v>1213</v>
      </c>
      <c r="B1214" s="70" t="str">
        <f aca="false">IFERROR(INDEX(対訳マスタ!$C$2:$C$136,MATCH(Data!B1214,対訳マスタ!$B$2:$B$136,0)),Data!B1214)</f>
        <v>コミュニケーション言語能力</v>
      </c>
      <c r="C1214" s="70" t="str">
        <f aca="false">IF(Data!C1214="—","—",IFERROR(INDEX(対訳マスタ!$C$2:$C$136,MATCH(Data!C1214,対訳マスタ!$B$2:$B$136,0)),Data!C1214))</f>
        <v>—</v>
      </c>
      <c r="D1214" s="70" t="str">
        <f aca="false">IF(Data!D1214="—","—",IFERROR(INDEX(対訳マスタ!$C$2:$C$136,MATCH(Data!D1214,対訳マスタ!$B$2:$B$136,0)),Data!D1214))</f>
        <v>言語能力</v>
      </c>
      <c r="E1214" s="70" t="str">
        <f aca="false">IFERROR(INDEX(対訳マスタ!$C$2:$C$136,MATCH(Data!E1214,対訳マスタ!$B$2:$B$136,0)),Data!E1214)</f>
        <v>正書法（綴り・表記）の運用</v>
      </c>
      <c r="F1214" s="70" t="str">
        <f aca="false">Data!F1214</f>
        <v>C1</v>
      </c>
      <c r="G1214" s="31" t="str">
        <f aca="false">Data!G1214</f>
        <v>Spelling is accurate, apart from occasional slips of the pen.</v>
      </c>
      <c r="H1214" s="71" t="s">
        <v>3037</v>
      </c>
      <c r="I1214" s="79" t="s">
        <v>3089</v>
      </c>
    </row>
    <row r="1215" customFormat="false" ht="21.75" hidden="false" customHeight="true" outlineLevel="0" collapsed="false">
      <c r="A1215" s="70" t="n">
        <f aca="false">Data!A1215</f>
        <v>1214</v>
      </c>
      <c r="B1215" s="70" t="str">
        <f aca="false">IFERROR(INDEX(対訳マスタ!$C$2:$C$136,MATCH(Data!B1215,対訳マスタ!$B$2:$B$136,0)),Data!B1215)</f>
        <v>コミュニケーション言語能力</v>
      </c>
      <c r="C1215" s="70" t="str">
        <f aca="false">IF(Data!C1215="—","—",IFERROR(INDEX(対訳マスタ!$C$2:$C$136,MATCH(Data!C1215,対訳マスタ!$B$2:$B$136,0)),Data!C1215))</f>
        <v>—</v>
      </c>
      <c r="D1215" s="70" t="str">
        <f aca="false">IF(Data!D1215="—","—",IFERROR(INDEX(対訳マスタ!$C$2:$C$136,MATCH(Data!D1215,対訳マスタ!$B$2:$B$136,0)),Data!D1215))</f>
        <v>言語能力</v>
      </c>
      <c r="E1215" s="70" t="str">
        <f aca="false">IFERROR(INDEX(対訳マスタ!$C$2:$C$136,MATCH(Data!E1215,対訳マスタ!$B$2:$B$136,0)),Data!E1215)</f>
        <v>正書法（綴り・表記）の運用</v>
      </c>
      <c r="F1215" s="70" t="str">
        <f aca="false">Data!F1215</f>
        <v>B2</v>
      </c>
      <c r="G1215" s="31" t="str">
        <f aca="false">Data!G1215</f>
        <v>Can produce clearly intelligible, continuous writing which follows standard layout and paragraphing conventions.</v>
      </c>
      <c r="H1215" s="71" t="s">
        <v>3584</v>
      </c>
      <c r="I1215" s="79" t="s">
        <v>3089</v>
      </c>
    </row>
    <row r="1216" customFormat="false" ht="21.75" hidden="false" customHeight="true" outlineLevel="0" collapsed="false">
      <c r="A1216" s="70" t="n">
        <f aca="false">Data!A1216</f>
        <v>1215</v>
      </c>
      <c r="B1216" s="70" t="str">
        <f aca="false">IFERROR(INDEX(対訳マスタ!$C$2:$C$136,MATCH(Data!B1216,対訳マスタ!$B$2:$B$136,0)),Data!B1216)</f>
        <v>コミュニケーション言語能力</v>
      </c>
      <c r="C1216" s="70" t="str">
        <f aca="false">IF(Data!C1216="—","—",IFERROR(INDEX(対訳マスタ!$C$2:$C$136,MATCH(Data!C1216,対訳マスタ!$B$2:$B$136,0)),Data!C1216))</f>
        <v>—</v>
      </c>
      <c r="D1216" s="70" t="str">
        <f aca="false">IF(Data!D1216="—","—",IFERROR(INDEX(対訳マスタ!$C$2:$C$136,MATCH(Data!D1216,対訳マスタ!$B$2:$B$136,0)),Data!D1216))</f>
        <v>言語能力</v>
      </c>
      <c r="E1216" s="70" t="str">
        <f aca="false">IFERROR(INDEX(対訳マスタ!$C$2:$C$136,MATCH(Data!E1216,対訳マスタ!$B$2:$B$136,0)),Data!E1216)</f>
        <v>正書法（綴り・表記）の運用</v>
      </c>
      <c r="F1216" s="70" t="str">
        <f aca="false">Data!F1216</f>
        <v>B2</v>
      </c>
      <c r="G1216" s="31" t="str">
        <f aca="false">Data!G1216</f>
        <v>Spelling and punctuation are reasonably accurate but may show signs of mother-tongue influence.</v>
      </c>
      <c r="H1216" s="71" t="s">
        <v>3036</v>
      </c>
      <c r="I1216" s="79" t="s">
        <v>3089</v>
      </c>
    </row>
    <row r="1217" customFormat="false" ht="15" hidden="false" customHeight="true" outlineLevel="0" collapsed="false">
      <c r="A1217" s="70" t="n">
        <f aca="false">Data!A1217</f>
        <v>1216</v>
      </c>
      <c r="B1217" s="70" t="str">
        <f aca="false">IFERROR(INDEX(対訳マスタ!$C$2:$C$136,MATCH(Data!B1217,対訳マスタ!$B$2:$B$136,0)),Data!B1217)</f>
        <v>コミュニケーション言語能力</v>
      </c>
      <c r="C1217" s="70" t="str">
        <f aca="false">IF(Data!C1217="—","—",IFERROR(INDEX(対訳マスタ!$C$2:$C$136,MATCH(Data!C1217,対訳マスタ!$B$2:$B$136,0)),Data!C1217))</f>
        <v>—</v>
      </c>
      <c r="D1217" s="70" t="str">
        <f aca="false">IF(Data!D1217="—","—",IFERROR(INDEX(対訳マスタ!$C$2:$C$136,MATCH(Data!D1217,対訳マスタ!$B$2:$B$136,0)),Data!D1217))</f>
        <v>言語能力</v>
      </c>
      <c r="E1217" s="70" t="str">
        <f aca="false">IFERROR(INDEX(対訳マスタ!$C$2:$C$136,MATCH(Data!E1217,対訳マスタ!$B$2:$B$136,0)),Data!E1217)</f>
        <v>正書法（綴り・表記）の運用</v>
      </c>
      <c r="F1217" s="70" t="str">
        <f aca="false">Data!F1217</f>
        <v>B1</v>
      </c>
      <c r="G1217" s="31" t="str">
        <f aca="false">Data!G1217</f>
        <v>Can produce continuous writing which is generally intelligible throughout.</v>
      </c>
      <c r="H1217" s="71" t="s">
        <v>3035</v>
      </c>
      <c r="I1217" s="79" t="s">
        <v>3089</v>
      </c>
    </row>
    <row r="1218" customFormat="false" ht="15" hidden="false" customHeight="true" outlineLevel="0" collapsed="false">
      <c r="A1218" s="70" t="n">
        <f aca="false">Data!A1218</f>
        <v>1217</v>
      </c>
      <c r="B1218" s="70" t="str">
        <f aca="false">IFERROR(INDEX(対訳マスタ!$C$2:$C$136,MATCH(Data!B1218,対訳マスタ!$B$2:$B$136,0)),Data!B1218)</f>
        <v>コミュニケーション言語能力</v>
      </c>
      <c r="C1218" s="70" t="str">
        <f aca="false">IF(Data!C1218="—","—",IFERROR(INDEX(対訳マスタ!$C$2:$C$136,MATCH(Data!C1218,対訳マスタ!$B$2:$B$136,0)),Data!C1218))</f>
        <v>—</v>
      </c>
      <c r="D1218" s="70" t="str">
        <f aca="false">IF(Data!D1218="—","—",IFERROR(INDEX(対訳マスタ!$C$2:$C$136,MATCH(Data!D1218,対訳マスタ!$B$2:$B$136,0)),Data!D1218))</f>
        <v>言語能力</v>
      </c>
      <c r="E1218" s="70" t="str">
        <f aca="false">IFERROR(INDEX(対訳マスタ!$C$2:$C$136,MATCH(Data!E1218,対訳マスタ!$B$2:$B$136,0)),Data!E1218)</f>
        <v>正書法（綴り・表記）の運用</v>
      </c>
      <c r="F1218" s="70" t="str">
        <f aca="false">Data!F1218</f>
        <v>B1</v>
      </c>
      <c r="G1218" s="31" t="str">
        <f aca="false">Data!G1218</f>
        <v>Spelling, punctuation and layout are accurate enough to be followed most of the time.</v>
      </c>
      <c r="H1218" s="71" t="s">
        <v>3585</v>
      </c>
      <c r="I1218" s="79" t="s">
        <v>3089</v>
      </c>
    </row>
    <row r="1219" customFormat="false" ht="21.75" hidden="false" customHeight="true" outlineLevel="0" collapsed="false">
      <c r="A1219" s="70" t="n">
        <f aca="false">Data!A1219</f>
        <v>1218</v>
      </c>
      <c r="B1219" s="70" t="str">
        <f aca="false">IFERROR(INDEX(対訳マスタ!$C$2:$C$136,MATCH(Data!B1219,対訳マスタ!$B$2:$B$136,0)),Data!B1219)</f>
        <v>コミュニケーション言語能力</v>
      </c>
      <c r="C1219" s="70" t="str">
        <f aca="false">IF(Data!C1219="—","—",IFERROR(INDEX(対訳マスタ!$C$2:$C$136,MATCH(Data!C1219,対訳マスタ!$B$2:$B$136,0)),Data!C1219))</f>
        <v>—</v>
      </c>
      <c r="D1219" s="70" t="str">
        <f aca="false">IF(Data!D1219="—","—",IFERROR(INDEX(対訳マスタ!$C$2:$C$136,MATCH(Data!D1219,対訳マスタ!$B$2:$B$136,0)),Data!D1219))</f>
        <v>言語能力</v>
      </c>
      <c r="E1219" s="70" t="str">
        <f aca="false">IFERROR(INDEX(対訳マスタ!$C$2:$C$136,MATCH(Data!E1219,対訳マスタ!$B$2:$B$136,0)),Data!E1219)</f>
        <v>正書法（綴り・表記）の運用</v>
      </c>
      <c r="F1219" s="70" t="str">
        <f aca="false">Data!F1219</f>
        <v>A2</v>
      </c>
      <c r="G1219" s="31" t="str">
        <f aca="false">Data!G1219</f>
        <v>Can copy short sentences on everyday subjects, e.g. directions on how to get somewhere.</v>
      </c>
      <c r="H1219" s="71" t="s">
        <v>3034</v>
      </c>
      <c r="I1219" s="79" t="s">
        <v>3089</v>
      </c>
    </row>
    <row r="1220" customFormat="false" ht="21.75" hidden="false" customHeight="true" outlineLevel="0" collapsed="false">
      <c r="A1220" s="70" t="n">
        <f aca="false">Data!A1220</f>
        <v>1219</v>
      </c>
      <c r="B1220" s="70" t="str">
        <f aca="false">IFERROR(INDEX(対訳マスタ!$C$2:$C$136,MATCH(Data!B1220,対訳マスタ!$B$2:$B$136,0)),Data!B1220)</f>
        <v>コミュニケーション言語能力</v>
      </c>
      <c r="C1220" s="70" t="str">
        <f aca="false">IF(Data!C1220="—","—",IFERROR(INDEX(対訳マスタ!$C$2:$C$136,MATCH(Data!C1220,対訳マスタ!$B$2:$B$136,0)),Data!C1220))</f>
        <v>—</v>
      </c>
      <c r="D1220" s="70" t="str">
        <f aca="false">IF(Data!D1220="—","—",IFERROR(INDEX(対訳マスタ!$C$2:$C$136,MATCH(Data!D1220,対訳マスタ!$B$2:$B$136,0)),Data!D1220))</f>
        <v>言語能力</v>
      </c>
      <c r="E1220" s="70" t="str">
        <f aca="false">IFERROR(INDEX(対訳マスタ!$C$2:$C$136,MATCH(Data!E1220,対訳マスタ!$B$2:$B$136,0)),Data!E1220)</f>
        <v>正書法（綴り・表記）の運用</v>
      </c>
      <c r="F1220" s="70" t="str">
        <f aca="false">Data!F1220</f>
        <v>A2</v>
      </c>
      <c r="G1220" s="31" t="str">
        <f aca="false">Data!G1220</f>
        <v>Can write with reasonable phonetic accuracy (but not necessarily fully standard spelling) short words that are in their oral vocabulary.</v>
      </c>
      <c r="H1220" s="71" t="s">
        <v>3586</v>
      </c>
      <c r="I1220" s="79" t="s">
        <v>3089</v>
      </c>
    </row>
    <row r="1221" customFormat="false" ht="21.75" hidden="false" customHeight="true" outlineLevel="0" collapsed="false">
      <c r="A1221" s="70" t="n">
        <f aca="false">Data!A1221</f>
        <v>1220</v>
      </c>
      <c r="B1221" s="70" t="str">
        <f aca="false">IFERROR(INDEX(対訳マスタ!$C$2:$C$136,MATCH(Data!B1221,対訳マスタ!$B$2:$B$136,0)),Data!B1221)</f>
        <v>コミュニケーション言語能力</v>
      </c>
      <c r="C1221" s="70" t="str">
        <f aca="false">IF(Data!C1221="—","—",IFERROR(INDEX(対訳マスタ!$C$2:$C$136,MATCH(Data!C1221,対訳マスタ!$B$2:$B$136,0)),Data!C1221))</f>
        <v>—</v>
      </c>
      <c r="D1221" s="70" t="str">
        <f aca="false">IF(Data!D1221="—","—",IFERROR(INDEX(対訳マスタ!$C$2:$C$136,MATCH(Data!D1221,対訳マスタ!$B$2:$B$136,0)),Data!D1221))</f>
        <v>言語能力</v>
      </c>
      <c r="E1221" s="70" t="str">
        <f aca="false">IFERROR(INDEX(対訳マスタ!$C$2:$C$136,MATCH(Data!E1221,対訳マスタ!$B$2:$B$136,0)),Data!E1221)</f>
        <v>正書法（綴り・表記）の運用</v>
      </c>
      <c r="F1221" s="70" t="str">
        <f aca="false">Data!F1221</f>
        <v>A1</v>
      </c>
      <c r="G1221" s="31" t="str">
        <f aca="false">Data!G1221</f>
        <v>Can copy familiar words and short phrases, e.g. simple signs or instructions, names of everyday objects, names of shops, and set phrases used regularly.</v>
      </c>
      <c r="H1221" s="71" t="s">
        <v>3587</v>
      </c>
      <c r="I1221" s="79" t="s">
        <v>3089</v>
      </c>
    </row>
    <row r="1222" customFormat="false" ht="15" hidden="false" customHeight="true" outlineLevel="0" collapsed="false">
      <c r="A1222" s="70" t="n">
        <f aca="false">Data!A1222</f>
        <v>1221</v>
      </c>
      <c r="B1222" s="70" t="str">
        <f aca="false">IFERROR(INDEX(対訳マスタ!$C$2:$C$136,MATCH(Data!B1222,対訳マスタ!$B$2:$B$136,0)),Data!B1222)</f>
        <v>コミュニケーション言語能力</v>
      </c>
      <c r="C1222" s="70" t="str">
        <f aca="false">IF(Data!C1222="—","—",IFERROR(INDEX(対訳マスタ!$C$2:$C$136,MATCH(Data!C1222,対訳マスタ!$B$2:$B$136,0)),Data!C1222))</f>
        <v>—</v>
      </c>
      <c r="D1222" s="70" t="str">
        <f aca="false">IF(Data!D1222="—","—",IFERROR(INDEX(対訳マスタ!$C$2:$C$136,MATCH(Data!D1222,対訳マスタ!$B$2:$B$136,0)),Data!D1222))</f>
        <v>言語能力</v>
      </c>
      <c r="E1222" s="70" t="str">
        <f aca="false">IFERROR(INDEX(対訳マスタ!$C$2:$C$136,MATCH(Data!E1222,対訳マスタ!$B$2:$B$136,0)),Data!E1222)</f>
        <v>正書法（綴り・表記）の運用</v>
      </c>
      <c r="F1222" s="70" t="str">
        <f aca="false">Data!F1222</f>
        <v>A1</v>
      </c>
      <c r="G1222" s="31" t="str">
        <f aca="false">Data!G1222</f>
        <v>Can spell their address, nationality and other personal details.</v>
      </c>
      <c r="H1222" s="71" t="s">
        <v>3588</v>
      </c>
      <c r="I1222" s="79" t="s">
        <v>3089</v>
      </c>
    </row>
    <row r="1223" customFormat="false" ht="15" hidden="false" customHeight="true" outlineLevel="0" collapsed="false">
      <c r="A1223" s="70" t="n">
        <f aca="false">Data!A1223</f>
        <v>1222</v>
      </c>
      <c r="B1223" s="70" t="str">
        <f aca="false">IFERROR(INDEX(対訳マスタ!$C$2:$C$136,MATCH(Data!B1223,対訳マスタ!$B$2:$B$136,0)),Data!B1223)</f>
        <v>コミュニケーション言語能力</v>
      </c>
      <c r="C1223" s="70" t="str">
        <f aca="false">IF(Data!C1223="—","—",IFERROR(INDEX(対訳マスタ!$C$2:$C$136,MATCH(Data!C1223,対訳マスタ!$B$2:$B$136,0)),Data!C1223))</f>
        <v>—</v>
      </c>
      <c r="D1223" s="70" t="str">
        <f aca="false">IF(Data!D1223="—","—",IFERROR(INDEX(対訳マスタ!$C$2:$C$136,MATCH(Data!D1223,対訳マスタ!$B$2:$B$136,0)),Data!D1223))</f>
        <v>言語能力</v>
      </c>
      <c r="E1223" s="70" t="str">
        <f aca="false">IFERROR(INDEX(対訳マスタ!$C$2:$C$136,MATCH(Data!E1223,対訳マスタ!$B$2:$B$136,0)),Data!E1223)</f>
        <v>正書法（綴り・表記）の運用</v>
      </c>
      <c r="F1223" s="70" t="str">
        <f aca="false">Data!F1223</f>
        <v>A1</v>
      </c>
      <c r="G1223" s="31" t="str">
        <f aca="false">Data!G1223</f>
        <v>Can use basic punctuation (e.g. full stops, question marks).</v>
      </c>
      <c r="H1223" s="71" t="s">
        <v>3033</v>
      </c>
      <c r="I1223" s="79" t="s">
        <v>3089</v>
      </c>
    </row>
    <row r="1224" customFormat="false" ht="15" hidden="false" customHeight="true" outlineLevel="0" collapsed="false">
      <c r="A1224" s="80" t="n">
        <f aca="false">Data!A1224</f>
        <v>1223</v>
      </c>
      <c r="B1224" s="80" t="str">
        <f aca="false">IFERROR(INDEX(対訳マスタ!$C$2:$C$136,MATCH(Data!B1224,対訳マスタ!$B$2:$B$136,0)),Data!B1224)</f>
        <v>コミュニケーション言語能力</v>
      </c>
      <c r="C1224" s="80" t="str">
        <f aca="false">IF(Data!C1224="—","—",IFERROR(INDEX(対訳マスタ!$C$2:$C$136,MATCH(Data!C1224,対訳マスタ!$B$2:$B$136,0)),Data!C1224))</f>
        <v>—</v>
      </c>
      <c r="D1224" s="80" t="str">
        <f aca="false">IF(Data!D1224="—","—",IFERROR(INDEX(対訳マスタ!$C$2:$C$136,MATCH(Data!D1224,対訳マスタ!$B$2:$B$136,0)),Data!D1224))</f>
        <v>言語能力</v>
      </c>
      <c r="E1224" s="80" t="str">
        <f aca="false">IFERROR(INDEX(対訳マスタ!$C$2:$C$136,MATCH(Data!E1224,対訳マスタ!$B$2:$B$136,0)),Data!E1224)</f>
        <v>正書法（綴り・表記）の運用</v>
      </c>
      <c r="F1224" s="80" t="str">
        <f aca="false">Data!F1224</f>
        <v>Pre-A1</v>
      </c>
      <c r="G1224" s="81" t="str">
        <f aca="false">Data!G1224</f>
        <v>No descriptors available</v>
      </c>
      <c r="H1224" s="81" t="s">
        <v>624</v>
      </c>
      <c r="I1224" s="80" t="s">
        <v>624</v>
      </c>
    </row>
    <row r="1225" customFormat="false" ht="32.25" hidden="false" customHeight="true" outlineLevel="0" collapsed="false">
      <c r="A1225" s="70" t="n">
        <f aca="false">Data!A1225</f>
        <v>1224</v>
      </c>
      <c r="B1225" s="70" t="str">
        <f aca="false">IFERROR(INDEX(対訳マスタ!$C$2:$C$136,MATCH(Data!B1225,対訳マスタ!$B$2:$B$136,0)),Data!B1225)</f>
        <v>コミュニケーション言語能力</v>
      </c>
      <c r="C1225" s="70" t="str">
        <f aca="false">IF(Data!C1225="—","—",IFERROR(INDEX(対訳マスタ!$C$2:$C$136,MATCH(Data!C1225,対訳マスタ!$B$2:$B$136,0)),Data!C1225))</f>
        <v>—</v>
      </c>
      <c r="D1225" s="70" t="str">
        <f aca="false">IF(Data!D1225="—","—",IFERROR(INDEX(対訳マスタ!$C$2:$C$136,MATCH(Data!D1225,対訳マスタ!$B$2:$B$136,0)),Data!D1225))</f>
        <v>社会言語能力</v>
      </c>
      <c r="E1225" s="70" t="str">
        <f aca="false">IFERROR(INDEX(対訳マスタ!$C$2:$C$136,MATCH(Data!E1225,対訳マスタ!$B$2:$B$136,0)),Data!E1225)</f>
        <v>社会言語的適切さ（場にふさわしい言葉づかい）</v>
      </c>
      <c r="F1225" s="70" t="str">
        <f aca="false">Data!F1225</f>
        <v>C2</v>
      </c>
      <c r="G1225" s="31" t="str">
        <f aca="false">Data!G1225</f>
        <v>Can mediate effectively and naturally between users of the target language and members of their own community, taking account of sociocultural and sociolinguistic differences.</v>
      </c>
      <c r="H1225" s="71" t="s">
        <v>3589</v>
      </c>
      <c r="I1225" s="79" t="s">
        <v>3089</v>
      </c>
    </row>
    <row r="1226" customFormat="false" ht="21.75" hidden="false" customHeight="true" outlineLevel="0" collapsed="false">
      <c r="A1226" s="70" t="n">
        <f aca="false">Data!A1226</f>
        <v>1225</v>
      </c>
      <c r="B1226" s="70" t="str">
        <f aca="false">IFERROR(INDEX(対訳マスタ!$C$2:$C$136,MATCH(Data!B1226,対訳マスタ!$B$2:$B$136,0)),Data!B1226)</f>
        <v>コミュニケーション言語能力</v>
      </c>
      <c r="C1226" s="70" t="str">
        <f aca="false">IF(Data!C1226="—","—",IFERROR(INDEX(対訳マスタ!$C$2:$C$136,MATCH(Data!C1226,対訳マスタ!$B$2:$B$136,0)),Data!C1226))</f>
        <v>—</v>
      </c>
      <c r="D1226" s="70" t="str">
        <f aca="false">IF(Data!D1226="—","—",IFERROR(INDEX(対訳マスタ!$C$2:$C$136,MATCH(Data!D1226,対訳マスタ!$B$2:$B$136,0)),Data!D1226))</f>
        <v>社会言語能力</v>
      </c>
      <c r="E1226" s="70" t="str">
        <f aca="false">IFERROR(INDEX(対訳マスタ!$C$2:$C$136,MATCH(Data!E1226,対訳マスタ!$B$2:$B$136,0)),Data!E1226)</f>
        <v>社会言語的適切さ（場にふさわしい言葉づかい）</v>
      </c>
      <c r="F1226" s="70" t="str">
        <f aca="false">Data!F1226</f>
        <v>C2</v>
      </c>
      <c r="G1226" s="31" t="str">
        <f aca="false">Data!G1226</f>
        <v>Has a good command of idiomatic expressions and colloquialisms with awareness of connotative levels of meaning.</v>
      </c>
      <c r="H1226" s="71" t="s">
        <v>3046</v>
      </c>
      <c r="I1226" s="79" t="s">
        <v>3089</v>
      </c>
    </row>
    <row r="1227" customFormat="false" ht="21.75" hidden="false" customHeight="true" outlineLevel="0" collapsed="false">
      <c r="A1227" s="70" t="n">
        <f aca="false">Data!A1227</f>
        <v>1226</v>
      </c>
      <c r="B1227" s="70" t="str">
        <f aca="false">IFERROR(INDEX(対訳マスタ!$C$2:$C$136,MATCH(Data!B1227,対訳マスタ!$B$2:$B$136,0)),Data!B1227)</f>
        <v>コミュニケーション言語能力</v>
      </c>
      <c r="C1227" s="70" t="str">
        <f aca="false">IF(Data!C1227="—","—",IFERROR(INDEX(対訳マスタ!$C$2:$C$136,MATCH(Data!C1227,対訳マスタ!$B$2:$B$136,0)),Data!C1227))</f>
        <v>—</v>
      </c>
      <c r="D1227" s="70" t="str">
        <f aca="false">IF(Data!D1227="—","—",IFERROR(INDEX(対訳マスタ!$C$2:$C$136,MATCH(Data!D1227,対訳マスタ!$B$2:$B$136,0)),Data!D1227))</f>
        <v>社会言語能力</v>
      </c>
      <c r="E1227" s="70" t="str">
        <f aca="false">IFERROR(INDEX(対訳マスタ!$C$2:$C$136,MATCH(Data!E1227,対訳マスタ!$B$2:$B$136,0)),Data!E1227)</f>
        <v>社会言語的適切さ（場にふさわしい言葉づかい）</v>
      </c>
      <c r="F1227" s="70" t="str">
        <f aca="false">Data!F1227</f>
        <v>C2</v>
      </c>
      <c r="G1227" s="31" t="str">
        <f aca="false">Data!G1227</f>
        <v>Appreciates virtually all the sociolinguistic and sociocultural implications of language used by proficient users of the target language and can react accordingly.</v>
      </c>
      <c r="H1227" s="71" t="s">
        <v>3590</v>
      </c>
      <c r="I1227" s="79" t="s">
        <v>3089</v>
      </c>
    </row>
    <row r="1228" customFormat="false" ht="21.75" hidden="false" customHeight="true" outlineLevel="0" collapsed="false">
      <c r="A1228" s="70" t="n">
        <f aca="false">Data!A1228</f>
        <v>1227</v>
      </c>
      <c r="B1228" s="70" t="str">
        <f aca="false">IFERROR(INDEX(対訳マスタ!$C$2:$C$136,MATCH(Data!B1228,対訳マスタ!$B$2:$B$136,0)),Data!B1228)</f>
        <v>コミュニケーション言語能力</v>
      </c>
      <c r="C1228" s="70" t="str">
        <f aca="false">IF(Data!C1228="—","—",IFERROR(INDEX(対訳マスタ!$C$2:$C$136,MATCH(Data!C1228,対訳マスタ!$B$2:$B$136,0)),Data!C1228))</f>
        <v>—</v>
      </c>
      <c r="D1228" s="70" t="str">
        <f aca="false">IF(Data!D1228="—","—",IFERROR(INDEX(対訳マスタ!$C$2:$C$136,MATCH(Data!D1228,対訳マスタ!$B$2:$B$136,0)),Data!D1228))</f>
        <v>社会言語能力</v>
      </c>
      <c r="E1228" s="70" t="str">
        <f aca="false">IFERROR(INDEX(対訳マスタ!$C$2:$C$136,MATCH(Data!E1228,対訳マスタ!$B$2:$B$136,0)),Data!E1228)</f>
        <v>社会言語的適切さ（場にふさわしい言葉づかい）</v>
      </c>
      <c r="F1228" s="70" t="str">
        <f aca="false">Data!F1228</f>
        <v>C2</v>
      </c>
      <c r="G1228" s="31" t="str">
        <f aca="false">Data!G1228</f>
        <v>Can effectively employ, both orally and in writing, a wide variety of sophisticated language to command, argue, persuade, dissuade, negotiate and counsel.</v>
      </c>
      <c r="H1228" s="71" t="s">
        <v>3591</v>
      </c>
      <c r="I1228" s="79" t="s">
        <v>3089</v>
      </c>
    </row>
    <row r="1229" customFormat="false" ht="32.25" hidden="false" customHeight="true" outlineLevel="0" collapsed="false">
      <c r="A1229" s="70" t="n">
        <f aca="false">Data!A1229</f>
        <v>1228</v>
      </c>
      <c r="B1229" s="70" t="str">
        <f aca="false">IFERROR(INDEX(対訳マスタ!$C$2:$C$136,MATCH(Data!B1229,対訳マスタ!$B$2:$B$136,0)),Data!B1229)</f>
        <v>コミュニケーション言語能力</v>
      </c>
      <c r="C1229" s="70" t="str">
        <f aca="false">IF(Data!C1229="—","—",IFERROR(INDEX(対訳マスタ!$C$2:$C$136,MATCH(Data!C1229,対訳マスタ!$B$2:$B$136,0)),Data!C1229))</f>
        <v>—</v>
      </c>
      <c r="D1229" s="70" t="str">
        <f aca="false">IF(Data!D1229="—","—",IFERROR(INDEX(対訳マスタ!$C$2:$C$136,MATCH(Data!D1229,対訳マスタ!$B$2:$B$136,0)),Data!D1229))</f>
        <v>社会言語能力</v>
      </c>
      <c r="E1229" s="70" t="str">
        <f aca="false">IFERROR(INDEX(対訳マスタ!$C$2:$C$136,MATCH(Data!E1229,対訳マスタ!$B$2:$B$136,0)),Data!E1229)</f>
        <v>社会言語的適切さ（場にふさわしい言葉づかい）</v>
      </c>
      <c r="F1229" s="70" t="str">
        <f aca="false">Data!F1229</f>
        <v>C1</v>
      </c>
      <c r="G1229" s="31" t="str">
        <f aca="false">Data!G1229</f>
        <v>Can recognise a wide range of idiomatic expressions and colloquialisms, appreciating register shifts; may, however, need to confirm occasional details, especially if the accent is unfamiliar.</v>
      </c>
      <c r="H1229" s="71" t="s">
        <v>3592</v>
      </c>
      <c r="I1229" s="79" t="s">
        <v>3089</v>
      </c>
    </row>
    <row r="1230" customFormat="false" ht="21.75" hidden="false" customHeight="true" outlineLevel="0" collapsed="false">
      <c r="A1230" s="70" t="n">
        <f aca="false">Data!A1230</f>
        <v>1229</v>
      </c>
      <c r="B1230" s="70" t="str">
        <f aca="false">IFERROR(INDEX(対訳マスタ!$C$2:$C$136,MATCH(Data!B1230,対訳マスタ!$B$2:$B$136,0)),Data!B1230)</f>
        <v>コミュニケーション言語能力</v>
      </c>
      <c r="C1230" s="70" t="str">
        <f aca="false">IF(Data!C1230="—","—",IFERROR(INDEX(対訳マスタ!$C$2:$C$136,MATCH(Data!C1230,対訳マスタ!$B$2:$B$136,0)),Data!C1230))</f>
        <v>—</v>
      </c>
      <c r="D1230" s="70" t="str">
        <f aca="false">IF(Data!D1230="—","—",IFERROR(INDEX(対訳マスタ!$C$2:$C$136,MATCH(Data!D1230,対訳マスタ!$B$2:$B$136,0)),Data!D1230))</f>
        <v>社会言語能力</v>
      </c>
      <c r="E1230" s="70" t="str">
        <f aca="false">IFERROR(INDEX(対訳マスタ!$C$2:$C$136,MATCH(Data!E1230,対訳マスタ!$B$2:$B$136,0)),Data!E1230)</f>
        <v>社会言語的適切さ（場にふさわしい言葉づかい）</v>
      </c>
      <c r="F1230" s="70" t="str">
        <f aca="false">Data!F1230</f>
        <v>C1</v>
      </c>
      <c r="G1230" s="31" t="str">
        <f aca="false">Data!G1230</f>
        <v>Can understand humour, irony and implicit cultural references and pick up nuances of meaning.</v>
      </c>
      <c r="H1230" s="71" t="s">
        <v>3593</v>
      </c>
      <c r="I1230" s="79" t="s">
        <v>3089</v>
      </c>
    </row>
    <row r="1231" customFormat="false" ht="15" hidden="false" customHeight="true" outlineLevel="0" collapsed="false">
      <c r="A1231" s="70" t="n">
        <f aca="false">Data!A1231</f>
        <v>1230</v>
      </c>
      <c r="B1231" s="70" t="str">
        <f aca="false">IFERROR(INDEX(対訳マスタ!$C$2:$C$136,MATCH(Data!B1231,対訳マスタ!$B$2:$B$136,0)),Data!B1231)</f>
        <v>コミュニケーション言語能力</v>
      </c>
      <c r="C1231" s="70" t="str">
        <f aca="false">IF(Data!C1231="—","—",IFERROR(INDEX(対訳マスタ!$C$2:$C$136,MATCH(Data!C1231,対訳マスタ!$B$2:$B$136,0)),Data!C1231))</f>
        <v>—</v>
      </c>
      <c r="D1231" s="70" t="str">
        <f aca="false">IF(Data!D1231="—","—",IFERROR(INDEX(対訳マスタ!$C$2:$C$136,MATCH(Data!D1231,対訳マスタ!$B$2:$B$136,0)),Data!D1231))</f>
        <v>社会言語能力</v>
      </c>
      <c r="E1231" s="70" t="str">
        <f aca="false">IFERROR(INDEX(対訳マスタ!$C$2:$C$136,MATCH(Data!E1231,対訳マスタ!$B$2:$B$136,0)),Data!E1231)</f>
        <v>社会言語的適切さ（場にふさわしい言葉づかい）</v>
      </c>
      <c r="F1231" s="70" t="str">
        <f aca="false">Data!F1231</f>
        <v>C1</v>
      </c>
      <c r="G1231" s="31" t="str">
        <f aca="false">Data!G1231</f>
        <v>Can follow films employing a considerable degree of slang and idiomatic usage.</v>
      </c>
      <c r="H1231" s="71" t="s">
        <v>2503</v>
      </c>
      <c r="I1231" s="79" t="s">
        <v>3089</v>
      </c>
    </row>
    <row r="1232" customFormat="false" ht="21.75" hidden="false" customHeight="true" outlineLevel="0" collapsed="false">
      <c r="A1232" s="70" t="n">
        <f aca="false">Data!A1232</f>
        <v>1231</v>
      </c>
      <c r="B1232" s="70" t="str">
        <f aca="false">IFERROR(INDEX(対訳マスタ!$C$2:$C$136,MATCH(Data!B1232,対訳マスタ!$B$2:$B$136,0)),Data!B1232)</f>
        <v>コミュニケーション言語能力</v>
      </c>
      <c r="C1232" s="70" t="str">
        <f aca="false">IF(Data!C1232="—","—",IFERROR(INDEX(対訳マスタ!$C$2:$C$136,MATCH(Data!C1232,対訳マスタ!$B$2:$B$136,0)),Data!C1232))</f>
        <v>—</v>
      </c>
      <c r="D1232" s="70" t="str">
        <f aca="false">IF(Data!D1232="—","—",IFERROR(INDEX(対訳マスタ!$C$2:$C$136,MATCH(Data!D1232,対訳マスタ!$B$2:$B$136,0)),Data!D1232))</f>
        <v>社会言語能力</v>
      </c>
      <c r="E1232" s="70" t="str">
        <f aca="false">IFERROR(INDEX(対訳マスタ!$C$2:$C$136,MATCH(Data!E1232,対訳マスタ!$B$2:$B$136,0)),Data!E1232)</f>
        <v>社会言語的適切さ（場にふさわしい言葉づかい）</v>
      </c>
      <c r="F1232" s="70" t="str">
        <f aca="false">Data!F1232</f>
        <v>C1</v>
      </c>
      <c r="G1232" s="31" t="str">
        <f aca="false">Data!G1232</f>
        <v>Can use language flexibly and effectively for social purposes, including emotional, allusive and joking usage.</v>
      </c>
      <c r="H1232" s="71" t="s">
        <v>2677</v>
      </c>
      <c r="I1232" s="79" t="s">
        <v>3089</v>
      </c>
    </row>
    <row r="1233" customFormat="false" ht="21.75" hidden="false" customHeight="true" outlineLevel="0" collapsed="false">
      <c r="A1233" s="70" t="n">
        <f aca="false">Data!A1233</f>
        <v>1232</v>
      </c>
      <c r="B1233" s="70" t="str">
        <f aca="false">IFERROR(INDEX(対訳マスタ!$C$2:$C$136,MATCH(Data!B1233,対訳マスタ!$B$2:$B$136,0)),Data!B1233)</f>
        <v>コミュニケーション言語能力</v>
      </c>
      <c r="C1233" s="70" t="str">
        <f aca="false">IF(Data!C1233="—","—",IFERROR(INDEX(対訳マスタ!$C$2:$C$136,MATCH(Data!C1233,対訳マスタ!$B$2:$B$136,0)),Data!C1233))</f>
        <v>—</v>
      </c>
      <c r="D1233" s="70" t="str">
        <f aca="false">IF(Data!D1233="—","—",IFERROR(INDEX(対訳マスタ!$C$2:$C$136,MATCH(Data!D1233,対訳マスタ!$B$2:$B$136,0)),Data!D1233))</f>
        <v>社会言語能力</v>
      </c>
      <c r="E1233" s="70" t="str">
        <f aca="false">IFERROR(INDEX(対訳マスタ!$C$2:$C$136,MATCH(Data!E1233,対訳マスタ!$B$2:$B$136,0)),Data!E1233)</f>
        <v>社会言語的適切さ（場にふさわしい言葉づかい）</v>
      </c>
      <c r="F1233" s="70" t="str">
        <f aca="false">Data!F1233</f>
        <v>C1</v>
      </c>
      <c r="G1233" s="31" t="str">
        <f aca="false">Data!G1233</f>
        <v>Can adjust their level of formality (register and style) to suit the social context: formal, informal or colloquial as appropriate, and maintain a consistent register.</v>
      </c>
      <c r="H1233" s="71" t="s">
        <v>3594</v>
      </c>
      <c r="I1233" s="79" t="s">
        <v>3089</v>
      </c>
    </row>
    <row r="1234" customFormat="false" ht="15" hidden="false" customHeight="true" outlineLevel="0" collapsed="false">
      <c r="A1234" s="70" t="n">
        <f aca="false">Data!A1234</f>
        <v>1233</v>
      </c>
      <c r="B1234" s="70" t="str">
        <f aca="false">IFERROR(INDEX(対訳マスタ!$C$2:$C$136,MATCH(Data!B1234,対訳マスタ!$B$2:$B$136,0)),Data!B1234)</f>
        <v>コミュニケーション言語能力</v>
      </c>
      <c r="C1234" s="70" t="str">
        <f aca="false">IF(Data!C1234="—","—",IFERROR(INDEX(対訳マスタ!$C$2:$C$136,MATCH(Data!C1234,対訳マスタ!$B$2:$B$136,0)),Data!C1234))</f>
        <v>—</v>
      </c>
      <c r="D1234" s="70" t="str">
        <f aca="false">IF(Data!D1234="—","—",IFERROR(INDEX(対訳マスタ!$C$2:$C$136,MATCH(Data!D1234,対訳マスタ!$B$2:$B$136,0)),Data!D1234))</f>
        <v>社会言語能力</v>
      </c>
      <c r="E1234" s="70" t="str">
        <f aca="false">IFERROR(INDEX(対訳マスタ!$C$2:$C$136,MATCH(Data!E1234,対訳マスタ!$B$2:$B$136,0)),Data!E1234)</f>
        <v>社会言語的適切さ（場にふさわしい言葉づかい）</v>
      </c>
      <c r="F1234" s="70" t="str">
        <f aca="false">Data!F1234</f>
        <v>C1</v>
      </c>
      <c r="G1234" s="31" t="str">
        <f aca="false">Data!G1234</f>
        <v>Can frame critical remarks or express strong disagreement diplomatically.</v>
      </c>
      <c r="H1234" s="71" t="s">
        <v>3045</v>
      </c>
      <c r="I1234" s="79" t="s">
        <v>3089</v>
      </c>
    </row>
    <row r="1235" customFormat="false" ht="21.75" hidden="false" customHeight="true" outlineLevel="0" collapsed="false">
      <c r="A1235" s="70" t="n">
        <f aca="false">Data!A1235</f>
        <v>1234</v>
      </c>
      <c r="B1235" s="70" t="str">
        <f aca="false">IFERROR(INDEX(対訳マスタ!$C$2:$C$136,MATCH(Data!B1235,対訳マスタ!$B$2:$B$136,0)),Data!B1235)</f>
        <v>コミュニケーション言語能力</v>
      </c>
      <c r="C1235" s="70" t="str">
        <f aca="false">IF(Data!C1235="—","—",IFERROR(INDEX(対訳マスタ!$C$2:$C$136,MATCH(Data!C1235,対訳マスタ!$B$2:$B$136,0)),Data!C1235))</f>
        <v>—</v>
      </c>
      <c r="D1235" s="70" t="str">
        <f aca="false">IF(Data!D1235="—","—",IFERROR(INDEX(対訳マスタ!$C$2:$C$136,MATCH(Data!D1235,対訳マスタ!$B$2:$B$136,0)),Data!D1235))</f>
        <v>社会言語能力</v>
      </c>
      <c r="E1235" s="70" t="str">
        <f aca="false">IFERROR(INDEX(対訳マスタ!$C$2:$C$136,MATCH(Data!E1235,対訳マスタ!$B$2:$B$136,0)),Data!E1235)</f>
        <v>社会言語的適切さ（場にふさわしい言葉づかい）</v>
      </c>
      <c r="F1235" s="70" t="str">
        <f aca="false">Data!F1235</f>
        <v>B2+</v>
      </c>
      <c r="G1235" s="31" t="str">
        <f aca="false">Data!G1235</f>
        <v>Can with some effort keep up with and contribute to group discussions even when talk is fast and colloquial.</v>
      </c>
      <c r="H1235" s="71" t="s">
        <v>3044</v>
      </c>
      <c r="I1235" s="79" t="s">
        <v>3089</v>
      </c>
    </row>
    <row r="1236" customFormat="false" ht="32.25" hidden="false" customHeight="true" outlineLevel="0" collapsed="false">
      <c r="A1236" s="70" t="n">
        <f aca="false">Data!A1236</f>
        <v>1235</v>
      </c>
      <c r="B1236" s="70" t="str">
        <f aca="false">IFERROR(INDEX(対訳マスタ!$C$2:$C$136,MATCH(Data!B1236,対訳マスタ!$B$2:$B$136,0)),Data!B1236)</f>
        <v>コミュニケーション言語能力</v>
      </c>
      <c r="C1236" s="70" t="str">
        <f aca="false">IF(Data!C1236="—","—",IFERROR(INDEX(対訳マスタ!$C$2:$C$136,MATCH(Data!C1236,対訳マスタ!$B$2:$B$136,0)),Data!C1236))</f>
        <v>—</v>
      </c>
      <c r="D1236" s="70" t="str">
        <f aca="false">IF(Data!D1236="—","—",IFERROR(INDEX(対訳マスタ!$C$2:$C$136,MATCH(Data!D1236,対訳マスタ!$B$2:$B$136,0)),Data!D1236))</f>
        <v>社会言語能力</v>
      </c>
      <c r="E1236" s="70" t="str">
        <f aca="false">IFERROR(INDEX(対訳マスタ!$C$2:$C$136,MATCH(Data!E1236,対訳マスタ!$B$2:$B$136,0)),Data!E1236)</f>
        <v>社会言語的適切さ（場にふさわしい言葉づかい）</v>
      </c>
      <c r="F1236" s="70" t="str">
        <f aca="false">Data!F1236</f>
        <v>B2+</v>
      </c>
      <c r="G1236" s="31" t="str">
        <f aca="false">Data!G1236</f>
        <v>Can recognise and interpret sociocultural/sociolinguistic cues and consciously modify their linguistic forms of expression in order to express themselves appropriately in the situation.</v>
      </c>
      <c r="H1236" s="71" t="s">
        <v>3595</v>
      </c>
      <c r="I1236" s="79" t="s">
        <v>3089</v>
      </c>
    </row>
    <row r="1237" customFormat="false" ht="21.75" hidden="false" customHeight="true" outlineLevel="0" collapsed="false">
      <c r="A1237" s="70" t="n">
        <f aca="false">Data!A1237</f>
        <v>1236</v>
      </c>
      <c r="B1237" s="70" t="str">
        <f aca="false">IFERROR(INDEX(対訳マスタ!$C$2:$C$136,MATCH(Data!B1237,対訳マスタ!$B$2:$B$136,0)),Data!B1237)</f>
        <v>コミュニケーション言語能力</v>
      </c>
      <c r="C1237" s="70" t="str">
        <f aca="false">IF(Data!C1237="—","—",IFERROR(INDEX(対訳マスタ!$C$2:$C$136,MATCH(Data!C1237,対訳マスタ!$B$2:$B$136,0)),Data!C1237))</f>
        <v>—</v>
      </c>
      <c r="D1237" s="70" t="str">
        <f aca="false">IF(Data!D1237="—","—",IFERROR(INDEX(対訳マスタ!$C$2:$C$136,MATCH(Data!D1237,対訳マスタ!$B$2:$B$136,0)),Data!D1237))</f>
        <v>社会言語能力</v>
      </c>
      <c r="E1237" s="70" t="str">
        <f aca="false">IFERROR(INDEX(対訳マスタ!$C$2:$C$136,MATCH(Data!E1237,対訳マスタ!$B$2:$B$136,0)),Data!E1237)</f>
        <v>社会言語的適切さ（場にふさわしい言葉づかい）</v>
      </c>
      <c r="F1237" s="70" t="str">
        <f aca="false">Data!F1237</f>
        <v>B2+</v>
      </c>
      <c r="G1237" s="31" t="str">
        <f aca="false">Data!G1237</f>
        <v>Can express themselves confidently, clearly and politely in a formal or informal register, appropriate to the situation and person(s) concerned.</v>
      </c>
      <c r="H1237" s="71" t="s">
        <v>3596</v>
      </c>
      <c r="I1237" s="79" t="s">
        <v>3089</v>
      </c>
    </row>
    <row r="1238" customFormat="false" ht="21.75" hidden="false" customHeight="true" outlineLevel="0" collapsed="false">
      <c r="A1238" s="70" t="n">
        <f aca="false">Data!A1238</f>
        <v>1237</v>
      </c>
      <c r="B1238" s="70" t="str">
        <f aca="false">IFERROR(INDEX(対訳マスタ!$C$2:$C$136,MATCH(Data!B1238,対訳マスタ!$B$2:$B$136,0)),Data!B1238)</f>
        <v>コミュニケーション言語能力</v>
      </c>
      <c r="C1238" s="70" t="str">
        <f aca="false">IF(Data!C1238="—","—",IFERROR(INDEX(対訳マスタ!$C$2:$C$136,MATCH(Data!C1238,対訳マスタ!$B$2:$B$136,0)),Data!C1238))</f>
        <v>—</v>
      </c>
      <c r="D1238" s="70" t="str">
        <f aca="false">IF(Data!D1238="—","—",IFERROR(INDEX(対訳マスタ!$C$2:$C$136,MATCH(Data!D1238,対訳マスタ!$B$2:$B$136,0)),Data!D1238))</f>
        <v>社会言語能力</v>
      </c>
      <c r="E1238" s="70" t="str">
        <f aca="false">IFERROR(INDEX(対訳マスタ!$C$2:$C$136,MATCH(Data!E1238,対訳マスタ!$B$2:$B$136,0)),Data!E1238)</f>
        <v>社会言語的適切さ（場にふさわしい言葉づかい）</v>
      </c>
      <c r="F1238" s="70" t="str">
        <f aca="false">Data!F1238</f>
        <v>B2</v>
      </c>
      <c r="G1238" s="31" t="str">
        <f aca="false">Data!G1238</f>
        <v>Can adjust their expression to make some distinction between formal and informal registers but may not always do so appropriately.</v>
      </c>
      <c r="H1238" s="71" t="s">
        <v>3597</v>
      </c>
      <c r="I1238" s="79" t="s">
        <v>3089</v>
      </c>
    </row>
    <row r="1239" customFormat="false" ht="32.25" hidden="false" customHeight="true" outlineLevel="0" collapsed="false">
      <c r="A1239" s="70" t="n">
        <f aca="false">Data!A1239</f>
        <v>1238</v>
      </c>
      <c r="B1239" s="70" t="str">
        <f aca="false">IFERROR(INDEX(対訳マスタ!$C$2:$C$136,MATCH(Data!B1239,対訳マスタ!$B$2:$B$136,0)),Data!B1239)</f>
        <v>コミュニケーション言語能力</v>
      </c>
      <c r="C1239" s="70" t="str">
        <f aca="false">IF(Data!C1239="—","—",IFERROR(INDEX(対訳マスタ!$C$2:$C$136,MATCH(Data!C1239,対訳マスタ!$B$2:$B$136,0)),Data!C1239))</f>
        <v>—</v>
      </c>
      <c r="D1239" s="70" t="str">
        <f aca="false">IF(Data!D1239="—","—",IFERROR(INDEX(対訳マスタ!$C$2:$C$136,MATCH(Data!D1239,対訳マスタ!$B$2:$B$136,0)),Data!D1239))</f>
        <v>社会言語能力</v>
      </c>
      <c r="E1239" s="70" t="str">
        <f aca="false">IFERROR(INDEX(対訳マスタ!$C$2:$C$136,MATCH(Data!E1239,対訳マスタ!$B$2:$B$136,0)),Data!E1239)</f>
        <v>社会言語的適切さ（場にふさわしい言葉づかい）</v>
      </c>
      <c r="F1239" s="70" t="str">
        <f aca="false">Data!F1239</f>
        <v>B2</v>
      </c>
      <c r="G1239" s="31" t="str">
        <f aca="false">Data!G1239</f>
        <v>Can sustain relationships with users of the target language without unintentionally amusing or irritating them or requiring them to behave other than they would with another proficient user.</v>
      </c>
      <c r="H1239" s="71" t="s">
        <v>3266</v>
      </c>
      <c r="I1239" s="79" t="s">
        <v>3089</v>
      </c>
    </row>
    <row r="1240" customFormat="false" ht="21.75" hidden="false" customHeight="true" outlineLevel="0" collapsed="false">
      <c r="A1240" s="70" t="n">
        <f aca="false">Data!A1240</f>
        <v>1239</v>
      </c>
      <c r="B1240" s="70" t="str">
        <f aca="false">IFERROR(INDEX(対訳マスタ!$C$2:$C$136,MATCH(Data!B1240,対訳マスタ!$B$2:$B$136,0)),Data!B1240)</f>
        <v>コミュニケーション言語能力</v>
      </c>
      <c r="C1240" s="70" t="str">
        <f aca="false">IF(Data!C1240="—","—",IFERROR(INDEX(対訳マスタ!$C$2:$C$136,MATCH(Data!C1240,対訳マスタ!$B$2:$B$136,0)),Data!C1240))</f>
        <v>—</v>
      </c>
      <c r="D1240" s="70" t="str">
        <f aca="false">IF(Data!D1240="—","—",IFERROR(INDEX(対訳マスタ!$C$2:$C$136,MATCH(Data!D1240,対訳マスタ!$B$2:$B$136,0)),Data!D1240))</f>
        <v>社会言語能力</v>
      </c>
      <c r="E1240" s="70" t="str">
        <f aca="false">IFERROR(INDEX(対訳マスタ!$C$2:$C$136,MATCH(Data!E1240,対訳マスタ!$B$2:$B$136,0)),Data!E1240)</f>
        <v>社会言語的適切さ（場にふさわしい言葉づかい）</v>
      </c>
      <c r="F1240" s="70" t="str">
        <f aca="false">Data!F1240</f>
        <v>B2</v>
      </c>
      <c r="G1240" s="31" t="str">
        <f aca="false">Data!G1240</f>
        <v>Can express themselves appropriately in situations and avoid crass errors of formulation.</v>
      </c>
      <c r="H1240" s="71" t="s">
        <v>3043</v>
      </c>
      <c r="I1240" s="79" t="s">
        <v>3089</v>
      </c>
    </row>
    <row r="1241" customFormat="false" ht="21.75" hidden="false" customHeight="true" outlineLevel="0" collapsed="false">
      <c r="A1241" s="70" t="n">
        <f aca="false">Data!A1241</f>
        <v>1240</v>
      </c>
      <c r="B1241" s="70" t="str">
        <f aca="false">IFERROR(INDEX(対訳マスタ!$C$2:$C$136,MATCH(Data!B1241,対訳マスタ!$B$2:$B$136,0)),Data!B1241)</f>
        <v>コミュニケーション言語能力</v>
      </c>
      <c r="C1241" s="70" t="str">
        <f aca="false">IF(Data!C1241="—","—",IFERROR(INDEX(対訳マスタ!$C$2:$C$136,MATCH(Data!C1241,対訳マスタ!$B$2:$B$136,0)),Data!C1241))</f>
        <v>—</v>
      </c>
      <c r="D1241" s="70" t="str">
        <f aca="false">IF(Data!D1241="—","—",IFERROR(INDEX(対訳マスタ!$C$2:$C$136,MATCH(Data!D1241,対訳マスタ!$B$2:$B$136,0)),Data!D1241))</f>
        <v>社会言語能力</v>
      </c>
      <c r="E1241" s="70" t="str">
        <f aca="false">IFERROR(INDEX(対訳マスタ!$C$2:$C$136,MATCH(Data!E1241,対訳マスタ!$B$2:$B$136,0)),Data!E1241)</f>
        <v>社会言語的適切さ（場にふさわしい言葉づかい）</v>
      </c>
      <c r="F1241" s="70" t="str">
        <f aca="false">Data!F1241</f>
        <v>B1</v>
      </c>
      <c r="G1241" s="31" t="str">
        <f aca="false">Data!G1241</f>
        <v>Can perform and respond to a wide range of language functions, using their most common exponents in a neutral register.</v>
      </c>
      <c r="H1241" s="71" t="s">
        <v>3598</v>
      </c>
      <c r="I1241" s="79" t="s">
        <v>3089</v>
      </c>
    </row>
    <row r="1242" customFormat="false" ht="15" hidden="false" customHeight="true" outlineLevel="0" collapsed="false">
      <c r="A1242" s="70" t="n">
        <f aca="false">Data!A1242</f>
        <v>1241</v>
      </c>
      <c r="B1242" s="70" t="str">
        <f aca="false">IFERROR(INDEX(対訳マスタ!$C$2:$C$136,MATCH(Data!B1242,対訳マスタ!$B$2:$B$136,0)),Data!B1242)</f>
        <v>コミュニケーション言語能力</v>
      </c>
      <c r="C1242" s="70" t="str">
        <f aca="false">IF(Data!C1242="—","—",IFERROR(INDEX(対訳マスタ!$C$2:$C$136,MATCH(Data!C1242,対訳マスタ!$B$2:$B$136,0)),Data!C1242))</f>
        <v>—</v>
      </c>
      <c r="D1242" s="70" t="str">
        <f aca="false">IF(Data!D1242="—","—",IFERROR(INDEX(対訳マスタ!$C$2:$C$136,MATCH(Data!D1242,対訳マスタ!$B$2:$B$136,0)),Data!D1242))</f>
        <v>社会言語能力</v>
      </c>
      <c r="E1242" s="70" t="str">
        <f aca="false">IFERROR(INDEX(対訳マスタ!$C$2:$C$136,MATCH(Data!E1242,対訳マスタ!$B$2:$B$136,0)),Data!E1242)</f>
        <v>社会言語的適切さ（場にふさわしい言葉づかい）</v>
      </c>
      <c r="F1242" s="70" t="str">
        <f aca="false">Data!F1242</f>
        <v>B1</v>
      </c>
      <c r="G1242" s="31" t="str">
        <f aca="false">Data!G1242</f>
        <v>Is aware of the salient politeness conventions and acts appropriately.</v>
      </c>
      <c r="H1242" s="71" t="s">
        <v>3042</v>
      </c>
      <c r="I1242" s="79" t="s">
        <v>3089</v>
      </c>
    </row>
    <row r="1243" customFormat="false" ht="32.25" hidden="false" customHeight="true" outlineLevel="0" collapsed="false">
      <c r="A1243" s="70" t="n">
        <f aca="false">Data!A1243</f>
        <v>1242</v>
      </c>
      <c r="B1243" s="70" t="str">
        <f aca="false">IFERROR(INDEX(対訳マスタ!$C$2:$C$136,MATCH(Data!B1243,対訳マスタ!$B$2:$B$136,0)),Data!B1243)</f>
        <v>コミュニケーション言語能力</v>
      </c>
      <c r="C1243" s="70" t="str">
        <f aca="false">IF(Data!C1243="—","—",IFERROR(INDEX(対訳マスタ!$C$2:$C$136,MATCH(Data!C1243,対訳マスタ!$B$2:$B$136,0)),Data!C1243))</f>
        <v>—</v>
      </c>
      <c r="D1243" s="70" t="str">
        <f aca="false">IF(Data!D1243="—","—",IFERROR(INDEX(対訳マスタ!$C$2:$C$136,MATCH(Data!D1243,対訳マスタ!$B$2:$B$136,0)),Data!D1243))</f>
        <v>社会言語能力</v>
      </c>
      <c r="E1243" s="70" t="str">
        <f aca="false">IFERROR(INDEX(対訳マスタ!$C$2:$C$136,MATCH(Data!E1243,対訳マスタ!$B$2:$B$136,0)),Data!E1243)</f>
        <v>社会言語的適切さ（場にふさわしい言葉づかい）</v>
      </c>
      <c r="F1243" s="70" t="str">
        <f aca="false">Data!F1243</f>
        <v>B1</v>
      </c>
      <c r="G1243" s="31" t="str">
        <f aca="false">Data!G1243</f>
        <v>Is aware of, and looks out for signs of, the most significant differences between the customs, usages, attitudes, values and beliefs prevalent in the community concerned and those of their own community.</v>
      </c>
      <c r="H1243" s="71" t="s">
        <v>3599</v>
      </c>
      <c r="I1243" s="79" t="s">
        <v>3089</v>
      </c>
    </row>
    <row r="1244" customFormat="false" ht="21.75" hidden="false" customHeight="true" outlineLevel="0" collapsed="false">
      <c r="A1244" s="70" t="n">
        <f aca="false">Data!A1244</f>
        <v>1243</v>
      </c>
      <c r="B1244" s="70" t="str">
        <f aca="false">IFERROR(INDEX(対訳マスタ!$C$2:$C$136,MATCH(Data!B1244,対訳マスタ!$B$2:$B$136,0)),Data!B1244)</f>
        <v>コミュニケーション言語能力</v>
      </c>
      <c r="C1244" s="70" t="str">
        <f aca="false">IF(Data!C1244="—","—",IFERROR(INDEX(対訳マスタ!$C$2:$C$136,MATCH(Data!C1244,対訳マスタ!$B$2:$B$136,0)),Data!C1244))</f>
        <v>—</v>
      </c>
      <c r="D1244" s="70" t="str">
        <f aca="false">IF(Data!D1244="—","—",IFERROR(INDEX(対訳マスタ!$C$2:$C$136,MATCH(Data!D1244,対訳マスタ!$B$2:$B$136,0)),Data!D1244))</f>
        <v>社会言語能力</v>
      </c>
      <c r="E1244" s="70" t="str">
        <f aca="false">IFERROR(INDEX(対訳マスタ!$C$2:$C$136,MATCH(Data!E1244,対訳マスタ!$B$2:$B$136,0)),Data!E1244)</f>
        <v>社会言語的適切さ（場にふさわしい言葉づかい）</v>
      </c>
      <c r="F1244" s="70" t="str">
        <f aca="false">Data!F1244</f>
        <v>A2+</v>
      </c>
      <c r="G1244" s="31" t="str">
        <f aca="false">Data!G1244</f>
        <v>Can perform and respond to basic language functions, e.g. information exchange and requests, and express opinions and attitudes in a simple way.</v>
      </c>
      <c r="H1244" s="71" t="s">
        <v>3600</v>
      </c>
      <c r="I1244" s="79" t="s">
        <v>3089</v>
      </c>
    </row>
    <row r="1245" customFormat="false" ht="21.75" hidden="false" customHeight="true" outlineLevel="0" collapsed="false">
      <c r="A1245" s="70" t="n">
        <f aca="false">Data!A1245</f>
        <v>1244</v>
      </c>
      <c r="B1245" s="70" t="str">
        <f aca="false">IFERROR(INDEX(対訳マスタ!$C$2:$C$136,MATCH(Data!B1245,対訳マスタ!$B$2:$B$136,0)),Data!B1245)</f>
        <v>コミュニケーション言語能力</v>
      </c>
      <c r="C1245" s="70" t="str">
        <f aca="false">IF(Data!C1245="—","—",IFERROR(INDEX(対訳マスタ!$C$2:$C$136,MATCH(Data!C1245,対訳マスタ!$B$2:$B$136,0)),Data!C1245))</f>
        <v>—</v>
      </c>
      <c r="D1245" s="70" t="str">
        <f aca="false">IF(Data!D1245="—","—",IFERROR(INDEX(対訳マスタ!$C$2:$C$136,MATCH(Data!D1245,対訳マスタ!$B$2:$B$136,0)),Data!D1245))</f>
        <v>社会言語能力</v>
      </c>
      <c r="E1245" s="70" t="str">
        <f aca="false">IFERROR(INDEX(対訳マスタ!$C$2:$C$136,MATCH(Data!E1245,対訳マスタ!$B$2:$B$136,0)),Data!E1245)</f>
        <v>社会言語的適切さ（場にふさわしい言葉づかい）</v>
      </c>
      <c r="F1245" s="70" t="str">
        <f aca="false">Data!F1245</f>
        <v>A2+</v>
      </c>
      <c r="G1245" s="31" t="str">
        <f aca="false">Data!G1245</f>
        <v>Can socialise simply but effectively using the simplest common expressions and following basic routines.</v>
      </c>
      <c r="H1245" s="71" t="s">
        <v>3041</v>
      </c>
      <c r="I1245" s="79" t="s">
        <v>3089</v>
      </c>
    </row>
    <row r="1246" customFormat="false" ht="21.75" hidden="false" customHeight="true" outlineLevel="0" collapsed="false">
      <c r="A1246" s="70" t="n">
        <f aca="false">Data!A1246</f>
        <v>1245</v>
      </c>
      <c r="B1246" s="70" t="str">
        <f aca="false">IFERROR(INDEX(対訳マスタ!$C$2:$C$136,MATCH(Data!B1246,対訳マスタ!$B$2:$B$136,0)),Data!B1246)</f>
        <v>コミュニケーション言語能力</v>
      </c>
      <c r="C1246" s="70" t="str">
        <f aca="false">IF(Data!C1246="—","—",IFERROR(INDEX(対訳マスタ!$C$2:$C$136,MATCH(Data!C1246,対訳マスタ!$B$2:$B$136,0)),Data!C1246))</f>
        <v>—</v>
      </c>
      <c r="D1246" s="70" t="str">
        <f aca="false">IF(Data!D1246="—","—",IFERROR(INDEX(対訳マスタ!$C$2:$C$136,MATCH(Data!D1246,対訳マスタ!$B$2:$B$136,0)),Data!D1246))</f>
        <v>社会言語能力</v>
      </c>
      <c r="E1246" s="70" t="str">
        <f aca="false">IFERROR(INDEX(対訳マスタ!$C$2:$C$136,MATCH(Data!E1246,対訳マスタ!$B$2:$B$136,0)),Data!E1246)</f>
        <v>社会言語的適切さ（場にふさわしい言葉づかい）</v>
      </c>
      <c r="F1246" s="70" t="str">
        <f aca="false">Data!F1246</f>
        <v>A2</v>
      </c>
      <c r="G1246" s="31" t="str">
        <f aca="false">Data!G1246</f>
        <v>Can handle very short social exchanges, using everyday polite forms of greeting and address.</v>
      </c>
      <c r="H1246" s="71" t="s">
        <v>3601</v>
      </c>
      <c r="I1246" s="79" t="s">
        <v>3089</v>
      </c>
    </row>
    <row r="1247" customFormat="false" ht="15" hidden="false" customHeight="true" outlineLevel="0" collapsed="false">
      <c r="A1247" s="70" t="n">
        <f aca="false">Data!A1247</f>
        <v>1246</v>
      </c>
      <c r="B1247" s="70" t="str">
        <f aca="false">IFERROR(INDEX(対訳マスタ!$C$2:$C$136,MATCH(Data!B1247,対訳マスタ!$B$2:$B$136,0)),Data!B1247)</f>
        <v>コミュニケーション言語能力</v>
      </c>
      <c r="C1247" s="70" t="str">
        <f aca="false">IF(Data!C1247="—","—",IFERROR(INDEX(対訳マスタ!$C$2:$C$136,MATCH(Data!C1247,対訳マスタ!$B$2:$B$136,0)),Data!C1247))</f>
        <v>—</v>
      </c>
      <c r="D1247" s="70" t="str">
        <f aca="false">IF(Data!D1247="—","—",IFERROR(INDEX(対訳マスタ!$C$2:$C$136,MATCH(Data!D1247,対訳マスタ!$B$2:$B$136,0)),Data!D1247))</f>
        <v>社会言語能力</v>
      </c>
      <c r="E1247" s="70" t="str">
        <f aca="false">IFERROR(INDEX(対訳マスタ!$C$2:$C$136,MATCH(Data!E1247,対訳マスタ!$B$2:$B$136,0)),Data!E1247)</f>
        <v>社会言語的適切さ（場にふさわしい言葉づかい）</v>
      </c>
      <c r="F1247" s="70" t="str">
        <f aca="false">Data!F1247</f>
        <v>A2</v>
      </c>
      <c r="G1247" s="31" t="str">
        <f aca="false">Data!G1247</f>
        <v>Can make and respond to invitations, suggestions, apologies, etc.</v>
      </c>
      <c r="H1247" s="71" t="s">
        <v>3040</v>
      </c>
      <c r="I1247" s="79" t="s">
        <v>3089</v>
      </c>
    </row>
    <row r="1248" customFormat="false" ht="26.25" hidden="false" customHeight="true" outlineLevel="0" collapsed="false">
      <c r="A1248" s="70" t="n">
        <f aca="false">Data!A1248</f>
        <v>1247</v>
      </c>
      <c r="B1248" s="70" t="str">
        <f aca="false">IFERROR(INDEX(対訳マスタ!$C$2:$C$136,MATCH(Data!B1248,対訳マスタ!$B$2:$B$136,0)),Data!B1248)</f>
        <v>コミュニケーション言語能力</v>
      </c>
      <c r="C1248" s="70" t="str">
        <f aca="false">IF(Data!C1248="—","—",IFERROR(INDEX(対訳マスタ!$C$2:$C$136,MATCH(Data!C1248,対訳マスタ!$B$2:$B$136,0)),Data!C1248))</f>
        <v>—</v>
      </c>
      <c r="D1248" s="70" t="str">
        <f aca="false">IF(Data!D1248="—","—",IFERROR(INDEX(対訳マスタ!$C$2:$C$136,MATCH(Data!D1248,対訳マスタ!$B$2:$B$136,0)),Data!D1248))</f>
        <v>社会言語能力</v>
      </c>
      <c r="E1248" s="70" t="str">
        <f aca="false">IFERROR(INDEX(対訳マスタ!$C$2:$C$136,MATCH(Data!E1248,対訳マスタ!$B$2:$B$136,0)),Data!E1248)</f>
        <v>社会言語的適切さ（場にふさわしい言葉づかい）</v>
      </c>
      <c r="F1248" s="70" t="str">
        <f aca="false">Data!F1248</f>
        <v>A1</v>
      </c>
      <c r="G1248" s="31" t="str">
        <f aca="false">Data!G1248</f>
        <v>Can establish basic social contact by using the simplest everyday polite forms of: greetings and farewells; introductions; saying please, thank you, sorry, etc.</v>
      </c>
      <c r="H1248" s="71" t="s">
        <v>3039</v>
      </c>
      <c r="I1248" s="79" t="s">
        <v>3089</v>
      </c>
    </row>
    <row r="1249" customFormat="false" ht="15" hidden="false" customHeight="true" outlineLevel="0" collapsed="false">
      <c r="A1249" s="80" t="n">
        <f aca="false">Data!A1249</f>
        <v>1248</v>
      </c>
      <c r="B1249" s="80" t="str">
        <f aca="false">IFERROR(INDEX(対訳マスタ!$C$2:$C$136,MATCH(Data!B1249,対訳マスタ!$B$2:$B$136,0)),Data!B1249)</f>
        <v>コミュニケーション言語能力</v>
      </c>
      <c r="C1249" s="80" t="str">
        <f aca="false">IF(Data!C1249="—","—",IFERROR(INDEX(対訳マスタ!$C$2:$C$136,MATCH(Data!C1249,対訳マスタ!$B$2:$B$136,0)),Data!C1249))</f>
        <v>—</v>
      </c>
      <c r="D1249" s="80" t="str">
        <f aca="false">IF(Data!D1249="—","—",IFERROR(INDEX(対訳マスタ!$C$2:$C$136,MATCH(Data!D1249,対訳マスタ!$B$2:$B$136,0)),Data!D1249))</f>
        <v>社会言語能力</v>
      </c>
      <c r="E1249" s="80" t="str">
        <f aca="false">IFERROR(INDEX(対訳マスタ!$C$2:$C$136,MATCH(Data!E1249,対訳マスタ!$B$2:$B$136,0)),Data!E1249)</f>
        <v>社会言語的適切さ（場にふさわしい言葉づかい）</v>
      </c>
      <c r="F1249" s="80" t="str">
        <f aca="false">Data!F1249</f>
        <v>Pre-A1</v>
      </c>
      <c r="G1249" s="81" t="str">
        <f aca="false">Data!G1249</f>
        <v>No descriptors available</v>
      </c>
      <c r="H1249" s="81" t="s">
        <v>624</v>
      </c>
      <c r="I1249" s="80" t="s">
        <v>624</v>
      </c>
    </row>
    <row r="1250" customFormat="false" ht="32.25" hidden="false" customHeight="true" outlineLevel="0" collapsed="false">
      <c r="A1250" s="70" t="n">
        <f aca="false">Data!A1250</f>
        <v>1249</v>
      </c>
      <c r="B1250" s="70" t="str">
        <f aca="false">IFERROR(INDEX(対訳マスタ!$C$2:$C$136,MATCH(Data!B1250,対訳マスタ!$B$2:$B$136,0)),Data!B1250)</f>
        <v>コミュニケーション言語能力</v>
      </c>
      <c r="C1250" s="70" t="str">
        <f aca="false">IF(Data!C1250="—","—",IFERROR(INDEX(対訳マスタ!$C$2:$C$136,MATCH(Data!C1250,対訳マスタ!$B$2:$B$136,0)),Data!C1250))</f>
        <v>—</v>
      </c>
      <c r="D1250" s="70" t="str">
        <f aca="false">IF(Data!D1250="—","—",IFERROR(INDEX(対訳マスタ!$C$2:$C$136,MATCH(Data!D1250,対訳マスタ!$B$2:$B$136,0)),Data!D1250))</f>
        <v>語用能力</v>
      </c>
      <c r="E1250" s="70" t="str">
        <f aca="false">IFERROR(INDEX(対訳マスタ!$C$2:$C$136,MATCH(Data!E1250,対訳マスタ!$B$2:$B$136,0)),Data!E1250)</f>
        <v>柔軟さ（言い回しの融通）</v>
      </c>
      <c r="F1250" s="70" t="str">
        <f aca="false">Data!F1250</f>
        <v>C2</v>
      </c>
      <c r="G1250" s="31" t="str">
        <f aca="false">Data!G1250</f>
        <v>Shows great flexibility in reformulating ideas in differing linguistic forms to give emphasis, differentiate according to the situation, interlocutor, etc. and to eliminate ambiguity.</v>
      </c>
      <c r="H1250" s="71" t="s">
        <v>3052</v>
      </c>
      <c r="I1250" s="79" t="s">
        <v>3089</v>
      </c>
    </row>
    <row r="1251" customFormat="false" ht="21.75" hidden="false" customHeight="true" outlineLevel="0" collapsed="false">
      <c r="A1251" s="70" t="n">
        <f aca="false">Data!A1251</f>
        <v>1250</v>
      </c>
      <c r="B1251" s="70" t="str">
        <f aca="false">IFERROR(INDEX(対訳マスタ!$C$2:$C$136,MATCH(Data!B1251,対訳マスタ!$B$2:$B$136,0)),Data!B1251)</f>
        <v>コミュニケーション言語能力</v>
      </c>
      <c r="C1251" s="70" t="str">
        <f aca="false">IF(Data!C1251="—","—",IFERROR(INDEX(対訳マスタ!$C$2:$C$136,MATCH(Data!C1251,対訳マスタ!$B$2:$B$136,0)),Data!C1251))</f>
        <v>—</v>
      </c>
      <c r="D1251" s="70" t="str">
        <f aca="false">IF(Data!D1251="—","—",IFERROR(INDEX(対訳マスタ!$C$2:$C$136,MATCH(Data!D1251,対訳マスタ!$B$2:$B$136,0)),Data!D1251))</f>
        <v>語用能力</v>
      </c>
      <c r="E1251" s="70" t="str">
        <f aca="false">IFERROR(INDEX(対訳マスタ!$C$2:$C$136,MATCH(Data!E1251,対訳マスタ!$B$2:$B$136,0)),Data!E1251)</f>
        <v>柔軟さ（言い回しの融通）</v>
      </c>
      <c r="F1251" s="70" t="str">
        <f aca="false">Data!F1251</f>
        <v>C1</v>
      </c>
      <c r="G1251" s="31" t="str">
        <f aca="false">Data!G1251</f>
        <v>Can make a positive impact on an intended audience by effectively varying style of expression and sentence length, use of advanced vocabulary and word order.</v>
      </c>
      <c r="H1251" s="71" t="s">
        <v>3602</v>
      </c>
      <c r="I1251" s="79" t="s">
        <v>3089</v>
      </c>
    </row>
    <row r="1252" customFormat="false" ht="21.75" hidden="false" customHeight="true" outlineLevel="0" collapsed="false">
      <c r="A1252" s="70" t="n">
        <f aca="false">Data!A1252</f>
        <v>1251</v>
      </c>
      <c r="B1252" s="70" t="str">
        <f aca="false">IFERROR(INDEX(対訳マスタ!$C$2:$C$136,MATCH(Data!B1252,対訳マスタ!$B$2:$B$136,0)),Data!B1252)</f>
        <v>コミュニケーション言語能力</v>
      </c>
      <c r="C1252" s="70" t="str">
        <f aca="false">IF(Data!C1252="—","—",IFERROR(INDEX(対訳マスタ!$C$2:$C$136,MATCH(Data!C1252,対訳マスタ!$B$2:$B$136,0)),Data!C1252))</f>
        <v>—</v>
      </c>
      <c r="D1252" s="70" t="str">
        <f aca="false">IF(Data!D1252="—","—",IFERROR(INDEX(対訳マスタ!$C$2:$C$136,MATCH(Data!D1252,対訳マスタ!$B$2:$B$136,0)),Data!D1252))</f>
        <v>語用能力</v>
      </c>
      <c r="E1252" s="70" t="str">
        <f aca="false">IFERROR(INDEX(対訳マスタ!$C$2:$C$136,MATCH(Data!E1252,対訳マスタ!$B$2:$B$136,0)),Data!E1252)</f>
        <v>柔軟さ（言い回しの融通）</v>
      </c>
      <c r="F1252" s="70" t="str">
        <f aca="false">Data!F1252</f>
        <v>C1</v>
      </c>
      <c r="G1252" s="31" t="str">
        <f aca="false">Data!G1252</f>
        <v>Can modify their expression to express degrees of commitment or hesitation, confidence or uncertainty.</v>
      </c>
      <c r="H1252" s="71" t="s">
        <v>3051</v>
      </c>
      <c r="I1252" s="79" t="s">
        <v>3089</v>
      </c>
    </row>
    <row r="1253" customFormat="false" ht="26.25" hidden="false" customHeight="true" outlineLevel="0" collapsed="false">
      <c r="A1253" s="70" t="n">
        <f aca="false">Data!A1253</f>
        <v>1252</v>
      </c>
      <c r="B1253" s="70" t="str">
        <f aca="false">IFERROR(INDEX(対訳マスタ!$C$2:$C$136,MATCH(Data!B1253,対訳マスタ!$B$2:$B$136,0)),Data!B1253)</f>
        <v>コミュニケーション言語能力</v>
      </c>
      <c r="C1253" s="70" t="str">
        <f aca="false">IF(Data!C1253="—","—",IFERROR(INDEX(対訳マスタ!$C$2:$C$136,MATCH(Data!C1253,対訳マスタ!$B$2:$B$136,0)),Data!C1253))</f>
        <v>—</v>
      </c>
      <c r="D1253" s="70" t="str">
        <f aca="false">IF(Data!D1253="—","—",IFERROR(INDEX(対訳マスタ!$C$2:$C$136,MATCH(Data!D1253,対訳マスタ!$B$2:$B$136,0)),Data!D1253))</f>
        <v>語用能力</v>
      </c>
      <c r="E1253" s="70" t="str">
        <f aca="false">IFERROR(INDEX(対訳マスタ!$C$2:$C$136,MATCH(Data!E1253,対訳マスタ!$B$2:$B$136,0)),Data!E1253)</f>
        <v>柔軟さ（言い回しの融通）</v>
      </c>
      <c r="F1253" s="70" t="str">
        <f aca="false">Data!F1253</f>
        <v>B2+</v>
      </c>
      <c r="G1253" s="31" t="str">
        <f aca="false">Data!G1253</f>
        <v>Can adjust what they say and the means of expressing it to the situation and the recipient and adopt a level of formality appropriate to the circumstances.</v>
      </c>
      <c r="H1253" s="71" t="s">
        <v>3050</v>
      </c>
      <c r="I1253" s="79" t="s">
        <v>3089</v>
      </c>
    </row>
    <row r="1254" customFormat="false" ht="21.75" hidden="false" customHeight="true" outlineLevel="0" collapsed="false">
      <c r="A1254" s="70" t="n">
        <f aca="false">Data!A1254</f>
        <v>1253</v>
      </c>
      <c r="B1254" s="70" t="str">
        <f aca="false">IFERROR(INDEX(対訳マスタ!$C$2:$C$136,MATCH(Data!B1254,対訳マスタ!$B$2:$B$136,0)),Data!B1254)</f>
        <v>コミュニケーション言語能力</v>
      </c>
      <c r="C1254" s="70" t="str">
        <f aca="false">IF(Data!C1254="—","—",IFERROR(INDEX(対訳マスタ!$C$2:$C$136,MATCH(Data!C1254,対訳マスタ!$B$2:$B$136,0)),Data!C1254))</f>
        <v>—</v>
      </c>
      <c r="D1254" s="70" t="str">
        <f aca="false">IF(Data!D1254="—","—",IFERROR(INDEX(対訳マスタ!$C$2:$C$136,MATCH(Data!D1254,対訳マスタ!$B$2:$B$136,0)),Data!D1254))</f>
        <v>語用能力</v>
      </c>
      <c r="E1254" s="70" t="str">
        <f aca="false">IFERROR(INDEX(対訳マスタ!$C$2:$C$136,MATCH(Data!E1254,対訳マスタ!$B$2:$B$136,0)),Data!E1254)</f>
        <v>柔軟さ（言い回しの融通）</v>
      </c>
      <c r="F1254" s="70" t="str">
        <f aca="false">Data!F1254</f>
        <v>B2</v>
      </c>
      <c r="G1254" s="31" t="str">
        <f aca="false">Data!G1254</f>
        <v>Can adjust to the changes of direction, style and emphasis normally found in conversation.</v>
      </c>
      <c r="H1254" s="71" t="s">
        <v>3603</v>
      </c>
      <c r="I1254" s="79" t="s">
        <v>3089</v>
      </c>
    </row>
    <row r="1255" customFormat="false" ht="15" hidden="false" customHeight="true" outlineLevel="0" collapsed="false">
      <c r="A1255" s="70" t="n">
        <f aca="false">Data!A1255</f>
        <v>1254</v>
      </c>
      <c r="B1255" s="70" t="str">
        <f aca="false">IFERROR(INDEX(対訳マスタ!$C$2:$C$136,MATCH(Data!B1255,対訳マスタ!$B$2:$B$136,0)),Data!B1255)</f>
        <v>コミュニケーション言語能力</v>
      </c>
      <c r="C1255" s="70" t="str">
        <f aca="false">IF(Data!C1255="—","—",IFERROR(INDEX(対訳マスタ!$C$2:$C$136,MATCH(Data!C1255,対訳マスタ!$B$2:$B$136,0)),Data!C1255))</f>
        <v>—</v>
      </c>
      <c r="D1255" s="70" t="str">
        <f aca="false">IF(Data!D1255="—","—",IFERROR(INDEX(対訳マスタ!$C$2:$C$136,MATCH(Data!D1255,対訳マスタ!$B$2:$B$136,0)),Data!D1255))</f>
        <v>語用能力</v>
      </c>
      <c r="E1255" s="70" t="str">
        <f aca="false">IFERROR(INDEX(対訳マスタ!$C$2:$C$136,MATCH(Data!E1255,対訳マスタ!$B$2:$B$136,0)),Data!E1255)</f>
        <v>柔軟さ（言い回しの融通）</v>
      </c>
      <c r="F1255" s="70" t="str">
        <f aca="false">Data!F1255</f>
        <v>B2</v>
      </c>
      <c r="G1255" s="31" t="str">
        <f aca="false">Data!G1255</f>
        <v>Can vary formulation of what they want to say.</v>
      </c>
      <c r="H1255" s="71" t="s">
        <v>3049</v>
      </c>
      <c r="I1255" s="79" t="s">
        <v>3089</v>
      </c>
    </row>
    <row r="1256" customFormat="false" ht="15" hidden="false" customHeight="true" outlineLevel="0" collapsed="false">
      <c r="A1256" s="70" t="n">
        <f aca="false">Data!A1256</f>
        <v>1255</v>
      </c>
      <c r="B1256" s="70" t="str">
        <f aca="false">IFERROR(INDEX(対訳マスタ!$C$2:$C$136,MATCH(Data!B1256,対訳マスタ!$B$2:$B$136,0)),Data!B1256)</f>
        <v>コミュニケーション言語能力</v>
      </c>
      <c r="C1256" s="70" t="str">
        <f aca="false">IF(Data!C1256="—","—",IFERROR(INDEX(対訳マスタ!$C$2:$C$136,MATCH(Data!C1256,対訳マスタ!$B$2:$B$136,0)),Data!C1256))</f>
        <v>—</v>
      </c>
      <c r="D1256" s="70" t="str">
        <f aca="false">IF(Data!D1256="—","—",IFERROR(INDEX(対訳マスタ!$C$2:$C$136,MATCH(Data!D1256,対訳マスタ!$B$2:$B$136,0)),Data!D1256))</f>
        <v>語用能力</v>
      </c>
      <c r="E1256" s="70" t="str">
        <f aca="false">IFERROR(INDEX(対訳マスタ!$C$2:$C$136,MATCH(Data!E1256,対訳マスタ!$B$2:$B$136,0)),Data!E1256)</f>
        <v>柔軟さ（言い回しの融通）</v>
      </c>
      <c r="F1256" s="70" t="str">
        <f aca="false">Data!F1256</f>
        <v>B2</v>
      </c>
      <c r="G1256" s="31" t="str">
        <f aca="false">Data!G1256</f>
        <v>Can reformulate an idea to emphasise or explain a point.</v>
      </c>
      <c r="H1256" s="71" t="s">
        <v>3604</v>
      </c>
      <c r="I1256" s="79" t="s">
        <v>3089</v>
      </c>
    </row>
    <row r="1257" customFormat="false" ht="15" hidden="false" customHeight="true" outlineLevel="0" collapsed="false">
      <c r="A1257" s="70" t="n">
        <f aca="false">Data!A1257</f>
        <v>1256</v>
      </c>
      <c r="B1257" s="70" t="str">
        <f aca="false">IFERROR(INDEX(対訳マスタ!$C$2:$C$136,MATCH(Data!B1257,対訳マスタ!$B$2:$B$136,0)),Data!B1257)</f>
        <v>コミュニケーション言語能力</v>
      </c>
      <c r="C1257" s="70" t="str">
        <f aca="false">IF(Data!C1257="—","—",IFERROR(INDEX(対訳マスタ!$C$2:$C$136,MATCH(Data!C1257,対訳マスタ!$B$2:$B$136,0)),Data!C1257))</f>
        <v>—</v>
      </c>
      <c r="D1257" s="70" t="str">
        <f aca="false">IF(Data!D1257="—","—",IFERROR(INDEX(対訳マスタ!$C$2:$C$136,MATCH(Data!D1257,対訳マスタ!$B$2:$B$136,0)),Data!D1257))</f>
        <v>語用能力</v>
      </c>
      <c r="E1257" s="70" t="str">
        <f aca="false">IFERROR(INDEX(対訳マスタ!$C$2:$C$136,MATCH(Data!E1257,対訳マスタ!$B$2:$B$136,0)),Data!E1257)</f>
        <v>柔軟さ（言い回しの融通）</v>
      </c>
      <c r="F1257" s="70" t="str">
        <f aca="false">Data!F1257</f>
        <v>B1</v>
      </c>
      <c r="G1257" s="31" t="str">
        <f aca="false">Data!G1257</f>
        <v>Can adapt their expression to deal with less routine, even difficult, situations.</v>
      </c>
      <c r="H1257" s="71" t="s">
        <v>3048</v>
      </c>
      <c r="I1257" s="79" t="s">
        <v>3089</v>
      </c>
    </row>
    <row r="1258" customFormat="false" ht="15" hidden="false" customHeight="true" outlineLevel="0" collapsed="false">
      <c r="A1258" s="70" t="n">
        <f aca="false">Data!A1258</f>
        <v>1257</v>
      </c>
      <c r="B1258" s="70" t="str">
        <f aca="false">IFERROR(INDEX(対訳マスタ!$C$2:$C$136,MATCH(Data!B1258,対訳マスタ!$B$2:$B$136,0)),Data!B1258)</f>
        <v>コミュニケーション言語能力</v>
      </c>
      <c r="C1258" s="70" t="str">
        <f aca="false">IF(Data!C1258="—","—",IFERROR(INDEX(対訳マスタ!$C$2:$C$136,MATCH(Data!C1258,対訳マスタ!$B$2:$B$136,0)),Data!C1258))</f>
        <v>—</v>
      </c>
      <c r="D1258" s="70" t="str">
        <f aca="false">IF(Data!D1258="—","—",IFERROR(INDEX(対訳マスタ!$C$2:$C$136,MATCH(Data!D1258,対訳マスタ!$B$2:$B$136,0)),Data!D1258))</f>
        <v>語用能力</v>
      </c>
      <c r="E1258" s="70" t="str">
        <f aca="false">IFERROR(INDEX(対訳マスタ!$C$2:$C$136,MATCH(Data!E1258,対訳マスタ!$B$2:$B$136,0)),Data!E1258)</f>
        <v>柔軟さ（言い回しの融通）</v>
      </c>
      <c r="F1258" s="70" t="str">
        <f aca="false">Data!F1258</f>
        <v>B1</v>
      </c>
      <c r="G1258" s="31" t="str">
        <f aca="false">Data!G1258</f>
        <v>Can exploit a wide range of simple language flexibly to express much of what they want.</v>
      </c>
      <c r="H1258" s="71" t="s">
        <v>3605</v>
      </c>
      <c r="I1258" s="79" t="s">
        <v>3089</v>
      </c>
    </row>
    <row r="1259" customFormat="false" ht="21.75" hidden="false" customHeight="true" outlineLevel="0" collapsed="false">
      <c r="A1259" s="70" t="n">
        <f aca="false">Data!A1259</f>
        <v>1258</v>
      </c>
      <c r="B1259" s="70" t="str">
        <f aca="false">IFERROR(INDEX(対訳マスタ!$C$2:$C$136,MATCH(Data!B1259,対訳マスタ!$B$2:$B$136,0)),Data!B1259)</f>
        <v>コミュニケーション言語能力</v>
      </c>
      <c r="C1259" s="70" t="str">
        <f aca="false">IF(Data!C1259="—","—",IFERROR(INDEX(対訳マスタ!$C$2:$C$136,MATCH(Data!C1259,対訳マスタ!$B$2:$B$136,0)),Data!C1259))</f>
        <v>—</v>
      </c>
      <c r="D1259" s="70" t="str">
        <f aca="false">IF(Data!D1259="—","—",IFERROR(INDEX(対訳マスタ!$C$2:$C$136,MATCH(Data!D1259,対訳マスタ!$B$2:$B$136,0)),Data!D1259))</f>
        <v>語用能力</v>
      </c>
      <c r="E1259" s="70" t="str">
        <f aca="false">IFERROR(INDEX(対訳マスタ!$C$2:$C$136,MATCH(Data!E1259,対訳マスタ!$B$2:$B$136,0)),Data!E1259)</f>
        <v>柔軟さ（言い回しの融通）</v>
      </c>
      <c r="F1259" s="70" t="str">
        <f aca="false">Data!F1259</f>
        <v>A2</v>
      </c>
      <c r="G1259" s="31" t="str">
        <f aca="false">Data!G1259</f>
        <v>Can adapt well-rehearsed, memorised, simple phrases to particular circumstances through limited lexical substitution.</v>
      </c>
      <c r="H1259" s="71" t="s">
        <v>3606</v>
      </c>
      <c r="I1259" s="79" t="s">
        <v>3089</v>
      </c>
    </row>
    <row r="1260" customFormat="false" ht="15" hidden="false" customHeight="true" outlineLevel="0" collapsed="false">
      <c r="A1260" s="70" t="n">
        <f aca="false">Data!A1260</f>
        <v>1259</v>
      </c>
      <c r="B1260" s="70" t="str">
        <f aca="false">IFERROR(INDEX(対訳マスタ!$C$2:$C$136,MATCH(Data!B1260,対訳マスタ!$B$2:$B$136,0)),Data!B1260)</f>
        <v>コミュニケーション言語能力</v>
      </c>
      <c r="C1260" s="70" t="str">
        <f aca="false">IF(Data!C1260="—","—",IFERROR(INDEX(対訳マスタ!$C$2:$C$136,MATCH(Data!C1260,対訳マスタ!$B$2:$B$136,0)),Data!C1260))</f>
        <v>—</v>
      </c>
      <c r="D1260" s="70" t="str">
        <f aca="false">IF(Data!D1260="—","—",IFERROR(INDEX(対訳マスタ!$C$2:$C$136,MATCH(Data!D1260,対訳マスタ!$B$2:$B$136,0)),Data!D1260))</f>
        <v>語用能力</v>
      </c>
      <c r="E1260" s="70" t="str">
        <f aca="false">IFERROR(INDEX(対訳マスタ!$C$2:$C$136,MATCH(Data!E1260,対訳マスタ!$B$2:$B$136,0)),Data!E1260)</f>
        <v>柔軟さ（言い回しの融通）</v>
      </c>
      <c r="F1260" s="70" t="str">
        <f aca="false">Data!F1260</f>
        <v>A2</v>
      </c>
      <c r="G1260" s="31" t="str">
        <f aca="false">Data!G1260</f>
        <v>Can expand learnt phrases through simple recombinations of their elements.</v>
      </c>
      <c r="H1260" s="71" t="s">
        <v>3047</v>
      </c>
      <c r="I1260" s="79" t="s">
        <v>3089</v>
      </c>
    </row>
    <row r="1261" customFormat="false" ht="15" hidden="false" customHeight="true" outlineLevel="0" collapsed="false">
      <c r="A1261" s="80" t="n">
        <f aca="false">Data!A1261</f>
        <v>1260</v>
      </c>
      <c r="B1261" s="80" t="str">
        <f aca="false">IFERROR(INDEX(対訳マスタ!$C$2:$C$136,MATCH(Data!B1261,対訳マスタ!$B$2:$B$136,0)),Data!B1261)</f>
        <v>コミュニケーション言語能力</v>
      </c>
      <c r="C1261" s="80" t="str">
        <f aca="false">IF(Data!C1261="—","—",IFERROR(INDEX(対訳マスタ!$C$2:$C$136,MATCH(Data!C1261,対訳マスタ!$B$2:$B$136,0)),Data!C1261))</f>
        <v>—</v>
      </c>
      <c r="D1261" s="80" t="str">
        <f aca="false">IF(Data!D1261="—","—",IFERROR(INDEX(対訳マスタ!$C$2:$C$136,MATCH(Data!D1261,対訳マスタ!$B$2:$B$136,0)),Data!D1261))</f>
        <v>語用能力</v>
      </c>
      <c r="E1261" s="80" t="str">
        <f aca="false">IFERROR(INDEX(対訳マスタ!$C$2:$C$136,MATCH(Data!E1261,対訳マスタ!$B$2:$B$136,0)),Data!E1261)</f>
        <v>柔軟さ（言い回しの融通）</v>
      </c>
      <c r="F1261" s="80" t="str">
        <f aca="false">Data!F1261</f>
        <v>A1</v>
      </c>
      <c r="G1261" s="81" t="str">
        <f aca="false">Data!G1261</f>
        <v>No descriptors available</v>
      </c>
      <c r="H1261" s="81" t="s">
        <v>624</v>
      </c>
      <c r="I1261" s="80" t="s">
        <v>624</v>
      </c>
    </row>
    <row r="1262" customFormat="false" ht="15" hidden="false" customHeight="true" outlineLevel="0" collapsed="false">
      <c r="A1262" s="80" t="n">
        <f aca="false">Data!A1262</f>
        <v>1261</v>
      </c>
      <c r="B1262" s="80" t="str">
        <f aca="false">IFERROR(INDEX(対訳マスタ!$C$2:$C$136,MATCH(Data!B1262,対訳マスタ!$B$2:$B$136,0)),Data!B1262)</f>
        <v>コミュニケーション言語能力</v>
      </c>
      <c r="C1262" s="80" t="str">
        <f aca="false">IF(Data!C1262="—","—",IFERROR(INDEX(対訳マスタ!$C$2:$C$136,MATCH(Data!C1262,対訳マスタ!$B$2:$B$136,0)),Data!C1262))</f>
        <v>—</v>
      </c>
      <c r="D1262" s="80" t="str">
        <f aca="false">IF(Data!D1262="—","—",IFERROR(INDEX(対訳マスタ!$C$2:$C$136,MATCH(Data!D1262,対訳マスタ!$B$2:$B$136,0)),Data!D1262))</f>
        <v>語用能力</v>
      </c>
      <c r="E1262" s="80" t="str">
        <f aca="false">IFERROR(INDEX(対訳マスタ!$C$2:$C$136,MATCH(Data!E1262,対訳マスタ!$B$2:$B$136,0)),Data!E1262)</f>
        <v>柔軟さ（言い回しの融通）</v>
      </c>
      <c r="F1262" s="80" t="str">
        <f aca="false">Data!F1262</f>
        <v>Pre-A1</v>
      </c>
      <c r="G1262" s="81" t="str">
        <f aca="false">Data!G1262</f>
        <v>No descriptors available</v>
      </c>
      <c r="H1262" s="81" t="s">
        <v>624</v>
      </c>
      <c r="I1262" s="80" t="s">
        <v>624</v>
      </c>
    </row>
    <row r="1263" customFormat="false" ht="15" hidden="false" customHeight="true" outlineLevel="0" collapsed="false">
      <c r="A1263" s="80" t="n">
        <f aca="false">Data!A1263</f>
        <v>1262</v>
      </c>
      <c r="B1263" s="80" t="str">
        <f aca="false">IFERROR(INDEX(対訳マスタ!$C$2:$C$136,MATCH(Data!B1263,対訳マスタ!$B$2:$B$136,0)),Data!B1263)</f>
        <v>コミュニケーション言語能力</v>
      </c>
      <c r="C1263" s="80" t="str">
        <f aca="false">IF(Data!C1263="—","—",IFERROR(INDEX(対訳マスタ!$C$2:$C$136,MATCH(Data!C1263,対訳マスタ!$B$2:$B$136,0)),Data!C1263))</f>
        <v>—</v>
      </c>
      <c r="D1263" s="80" t="str">
        <f aca="false">IF(Data!D1263="—","—",IFERROR(INDEX(対訳マスタ!$C$2:$C$136,MATCH(Data!D1263,対訳マスタ!$B$2:$B$136,0)),Data!D1263))</f>
        <v>語用能力</v>
      </c>
      <c r="E1263" s="80" t="str">
        <f aca="false">IFERROR(INDEX(対訳マスタ!$C$2:$C$136,MATCH(Data!E1263,対訳マスタ!$B$2:$B$136,0)),Data!E1263)</f>
        <v>発言権のやりとり（ターンテイキング）</v>
      </c>
      <c r="F1263" s="80" t="str">
        <f aca="false">Data!F1263</f>
        <v>C2</v>
      </c>
      <c r="G1263" s="81" t="str">
        <f aca="false">Data!G1263</f>
        <v>No descriptors available; see C1</v>
      </c>
      <c r="H1263" s="81" t="s">
        <v>624</v>
      </c>
      <c r="I1263" s="80" t="s">
        <v>624</v>
      </c>
    </row>
    <row r="1264" customFormat="false" ht="32.25" hidden="false" customHeight="true" outlineLevel="0" collapsed="false">
      <c r="A1264" s="70" t="n">
        <f aca="false">Data!A1264</f>
        <v>1263</v>
      </c>
      <c r="B1264" s="70" t="str">
        <f aca="false">IFERROR(INDEX(対訳マスタ!$C$2:$C$136,MATCH(Data!B1264,対訳マスタ!$B$2:$B$136,0)),Data!B1264)</f>
        <v>コミュニケーション言語能力</v>
      </c>
      <c r="C1264" s="70" t="str">
        <f aca="false">IF(Data!C1264="—","—",IFERROR(INDEX(対訳マスタ!$C$2:$C$136,MATCH(Data!C1264,対訳マスタ!$B$2:$B$136,0)),Data!C1264))</f>
        <v>—</v>
      </c>
      <c r="D1264" s="70" t="str">
        <f aca="false">IF(Data!D1264="—","—",IFERROR(INDEX(対訳マスタ!$C$2:$C$136,MATCH(Data!D1264,対訳マスタ!$B$2:$B$136,0)),Data!D1264))</f>
        <v>語用能力</v>
      </c>
      <c r="E1264" s="70" t="str">
        <f aca="false">IFERROR(INDEX(対訳マスタ!$C$2:$C$136,MATCH(Data!E1264,対訳マスタ!$B$2:$B$136,0)),Data!E1264)</f>
        <v>発言権のやりとり（ターンテイキング）</v>
      </c>
      <c r="F1264" s="70" t="str">
        <f aca="false">Data!F1264</f>
        <v>C1</v>
      </c>
      <c r="G1264" s="31" t="str">
        <f aca="false">Data!G1264</f>
        <v>Can select a suitable phrase from a readily available range of discourse functions to preface their remarks appropriately in order to get the floor, or to gain time and keep the floor whilst thinking.</v>
      </c>
      <c r="H1264" s="71" t="s">
        <v>2778</v>
      </c>
      <c r="I1264" s="79" t="s">
        <v>3089</v>
      </c>
    </row>
    <row r="1265" customFormat="false" ht="15" hidden="false" customHeight="true" outlineLevel="0" collapsed="false">
      <c r="A1265" s="70" t="n">
        <f aca="false">Data!A1265</f>
        <v>1264</v>
      </c>
      <c r="B1265" s="70" t="str">
        <f aca="false">IFERROR(INDEX(対訳マスタ!$C$2:$C$136,MATCH(Data!B1265,対訳マスタ!$B$2:$B$136,0)),Data!B1265)</f>
        <v>コミュニケーション言語能力</v>
      </c>
      <c r="C1265" s="70" t="str">
        <f aca="false">IF(Data!C1265="—","—",IFERROR(INDEX(対訳マスタ!$C$2:$C$136,MATCH(Data!C1265,対訳マスタ!$B$2:$B$136,0)),Data!C1265))</f>
        <v>—</v>
      </c>
      <c r="D1265" s="70" t="str">
        <f aca="false">IF(Data!D1265="—","—",IFERROR(INDEX(対訳マスタ!$C$2:$C$136,MATCH(Data!D1265,対訳マスタ!$B$2:$B$136,0)),Data!D1265))</f>
        <v>語用能力</v>
      </c>
      <c r="E1265" s="70" t="str">
        <f aca="false">IFERROR(INDEX(対訳マスタ!$C$2:$C$136,MATCH(Data!E1265,対訳マスタ!$B$2:$B$136,0)),Data!E1265)</f>
        <v>発言権のやりとり（ターンテイキング）</v>
      </c>
      <c r="F1265" s="70" t="str">
        <f aca="false">Data!F1265</f>
        <v>B2</v>
      </c>
      <c r="G1265" s="31" t="str">
        <f aca="false">Data!G1265</f>
        <v>Can intervene appropriately in discussion, exploiting appropriate language to do so.</v>
      </c>
      <c r="H1265" s="71" t="s">
        <v>3401</v>
      </c>
      <c r="I1265" s="79" t="s">
        <v>3089</v>
      </c>
    </row>
    <row r="1266" customFormat="false" ht="15" hidden="false" customHeight="true" outlineLevel="0" collapsed="false">
      <c r="A1266" s="70" t="n">
        <f aca="false">Data!A1266</f>
        <v>1265</v>
      </c>
      <c r="B1266" s="70" t="str">
        <f aca="false">IFERROR(INDEX(対訳マスタ!$C$2:$C$136,MATCH(Data!B1266,対訳マスタ!$B$2:$B$136,0)),Data!B1266)</f>
        <v>コミュニケーション言語能力</v>
      </c>
      <c r="C1266" s="70" t="str">
        <f aca="false">IF(Data!C1266="—","—",IFERROR(INDEX(対訳マスタ!$C$2:$C$136,MATCH(Data!C1266,対訳マスタ!$B$2:$B$136,0)),Data!C1266))</f>
        <v>—</v>
      </c>
      <c r="D1266" s="70" t="str">
        <f aca="false">IF(Data!D1266="—","—",IFERROR(INDEX(対訳マスタ!$C$2:$C$136,MATCH(Data!D1266,対訳マスタ!$B$2:$B$136,0)),Data!D1266))</f>
        <v>語用能力</v>
      </c>
      <c r="E1266" s="70" t="str">
        <f aca="false">IFERROR(INDEX(対訳マスタ!$C$2:$C$136,MATCH(Data!E1266,対訳マスタ!$B$2:$B$136,0)),Data!E1266)</f>
        <v>発言権のやりとり（ターンテイキング）</v>
      </c>
      <c r="F1266" s="70" t="str">
        <f aca="false">Data!F1266</f>
        <v>B2</v>
      </c>
      <c r="G1266" s="31" t="str">
        <f aca="false">Data!G1266</f>
        <v>Can initiate, maintain and end discourse appropriately with effective turntaking.</v>
      </c>
      <c r="H1266" s="71" t="s">
        <v>2777</v>
      </c>
      <c r="I1266" s="79" t="s">
        <v>3089</v>
      </c>
    </row>
    <row r="1267" customFormat="false" ht="21.75" hidden="false" customHeight="true" outlineLevel="0" collapsed="false">
      <c r="A1267" s="70" t="n">
        <f aca="false">Data!A1267</f>
        <v>1266</v>
      </c>
      <c r="B1267" s="70" t="str">
        <f aca="false">IFERROR(INDEX(対訳マスタ!$C$2:$C$136,MATCH(Data!B1267,対訳マスタ!$B$2:$B$136,0)),Data!B1267)</f>
        <v>コミュニケーション言語能力</v>
      </c>
      <c r="C1267" s="70" t="str">
        <f aca="false">IF(Data!C1267="—","—",IFERROR(INDEX(対訳マスタ!$C$2:$C$136,MATCH(Data!C1267,対訳マスタ!$B$2:$B$136,0)),Data!C1267))</f>
        <v>—</v>
      </c>
      <c r="D1267" s="70" t="str">
        <f aca="false">IF(Data!D1267="—","—",IFERROR(INDEX(対訳マスタ!$C$2:$C$136,MATCH(Data!D1267,対訳マスタ!$B$2:$B$136,0)),Data!D1267))</f>
        <v>語用能力</v>
      </c>
      <c r="E1267" s="70" t="str">
        <f aca="false">IFERROR(INDEX(対訳マスタ!$C$2:$C$136,MATCH(Data!E1267,対訳マスタ!$B$2:$B$136,0)),Data!E1267)</f>
        <v>発言権のやりとり（ターンテイキング）</v>
      </c>
      <c r="F1267" s="70" t="str">
        <f aca="false">Data!F1267</f>
        <v>B2</v>
      </c>
      <c r="G1267" s="31" t="str">
        <f aca="false">Data!G1267</f>
        <v>Can initiate discourse, take their turn when appropriate and end conversation when they need to, though they may not always do this elegantly.</v>
      </c>
      <c r="H1267" s="71" t="s">
        <v>3402</v>
      </c>
      <c r="I1267" s="79" t="s">
        <v>3089</v>
      </c>
    </row>
    <row r="1268" customFormat="false" ht="21.75" hidden="false" customHeight="true" outlineLevel="0" collapsed="false">
      <c r="A1268" s="70" t="n">
        <f aca="false">Data!A1268</f>
        <v>1267</v>
      </c>
      <c r="B1268" s="70" t="str">
        <f aca="false">IFERROR(INDEX(対訳マスタ!$C$2:$C$136,MATCH(Data!B1268,対訳マスタ!$B$2:$B$136,0)),Data!B1268)</f>
        <v>コミュニケーション言語能力</v>
      </c>
      <c r="C1268" s="70" t="str">
        <f aca="false">IF(Data!C1268="—","—",IFERROR(INDEX(対訳マスタ!$C$2:$C$136,MATCH(Data!C1268,対訳マスタ!$B$2:$B$136,0)),Data!C1268))</f>
        <v>—</v>
      </c>
      <c r="D1268" s="70" t="str">
        <f aca="false">IF(Data!D1268="—","—",IFERROR(INDEX(対訳マスタ!$C$2:$C$136,MATCH(Data!D1268,対訳マスタ!$B$2:$B$136,0)),Data!D1268))</f>
        <v>語用能力</v>
      </c>
      <c r="E1268" s="70" t="str">
        <f aca="false">IFERROR(INDEX(対訳マスタ!$C$2:$C$136,MATCH(Data!E1268,対訳マスタ!$B$2:$B$136,0)),Data!E1268)</f>
        <v>発言権のやりとり（ターンテイキング）</v>
      </c>
      <c r="F1268" s="70" t="str">
        <f aca="false">Data!F1268</f>
        <v>B2</v>
      </c>
      <c r="G1268" s="31" t="str">
        <f aca="false">Data!G1268</f>
        <v>Can use stock phrases (e.g. “That’s a difficult question to answer”) to gain time and keep the turn whilst formulating what they want to express.</v>
      </c>
      <c r="H1268" s="71" t="s">
        <v>3403</v>
      </c>
      <c r="I1268" s="79" t="s">
        <v>3089</v>
      </c>
    </row>
    <row r="1269" customFormat="false" ht="15" hidden="false" customHeight="true" outlineLevel="0" collapsed="false">
      <c r="A1269" s="70" t="n">
        <f aca="false">Data!A1269</f>
        <v>1268</v>
      </c>
      <c r="B1269" s="70" t="str">
        <f aca="false">IFERROR(INDEX(対訳マスタ!$C$2:$C$136,MATCH(Data!B1269,対訳マスタ!$B$2:$B$136,0)),Data!B1269)</f>
        <v>コミュニケーション言語能力</v>
      </c>
      <c r="C1269" s="70" t="str">
        <f aca="false">IF(Data!C1269="—","—",IFERROR(INDEX(対訳マスタ!$C$2:$C$136,MATCH(Data!C1269,対訳マスタ!$B$2:$B$136,0)),Data!C1269))</f>
        <v>—</v>
      </c>
      <c r="D1269" s="70" t="str">
        <f aca="false">IF(Data!D1269="—","—",IFERROR(INDEX(対訳マスタ!$C$2:$C$136,MATCH(Data!D1269,対訳マスタ!$B$2:$B$136,0)),Data!D1269))</f>
        <v>語用能力</v>
      </c>
      <c r="E1269" s="70" t="str">
        <f aca="false">IFERROR(INDEX(対訳マスタ!$C$2:$C$136,MATCH(Data!E1269,対訳マスタ!$B$2:$B$136,0)),Data!E1269)</f>
        <v>発言権のやりとり（ターンテイキング）</v>
      </c>
      <c r="F1269" s="70" t="str">
        <f aca="false">Data!F1269</f>
        <v>B1+</v>
      </c>
      <c r="G1269" s="31" t="str">
        <f aca="false">Data!G1269</f>
        <v>Can intervene in a discussion on a familiar topic, using a suitable phrase to get the floor.</v>
      </c>
      <c r="H1269" s="71" t="s">
        <v>2776</v>
      </c>
      <c r="I1269" s="79" t="s">
        <v>3089</v>
      </c>
    </row>
    <row r="1270" customFormat="false" ht="26.25" hidden="false" customHeight="true" outlineLevel="0" collapsed="false">
      <c r="A1270" s="70" t="n">
        <f aca="false">Data!A1270</f>
        <v>1269</v>
      </c>
      <c r="B1270" s="70" t="str">
        <f aca="false">IFERROR(INDEX(対訳マスタ!$C$2:$C$136,MATCH(Data!B1270,対訳マスタ!$B$2:$B$136,0)),Data!B1270)</f>
        <v>コミュニケーション言語能力</v>
      </c>
      <c r="C1270" s="70" t="str">
        <f aca="false">IF(Data!C1270="—","—",IFERROR(INDEX(対訳マスタ!$C$2:$C$136,MATCH(Data!C1270,対訳マスタ!$B$2:$B$136,0)),Data!C1270))</f>
        <v>—</v>
      </c>
      <c r="D1270" s="70" t="str">
        <f aca="false">IF(Data!D1270="—","—",IFERROR(INDEX(対訳マスタ!$C$2:$C$136,MATCH(Data!D1270,対訳マスタ!$B$2:$B$136,0)),Data!D1270))</f>
        <v>語用能力</v>
      </c>
      <c r="E1270" s="70" t="str">
        <f aca="false">IFERROR(INDEX(対訳マスタ!$C$2:$C$136,MATCH(Data!E1270,対訳マスタ!$B$2:$B$136,0)),Data!E1270)</f>
        <v>発言権のやりとり（ターンテイキング）</v>
      </c>
      <c r="F1270" s="70" t="str">
        <f aca="false">Data!F1270</f>
        <v>B1</v>
      </c>
      <c r="G1270" s="31" t="str">
        <f aca="false">Data!G1270</f>
        <v>Can initiate, maintain and close simple face-to-face conversation on topics that are familiar or of personal interest.</v>
      </c>
      <c r="H1270" s="71" t="s">
        <v>2775</v>
      </c>
      <c r="I1270" s="79" t="s">
        <v>3089</v>
      </c>
    </row>
    <row r="1271" customFormat="false" ht="15" hidden="false" customHeight="true" outlineLevel="0" collapsed="false">
      <c r="A1271" s="70" t="n">
        <f aca="false">Data!A1271</f>
        <v>1270</v>
      </c>
      <c r="B1271" s="70" t="str">
        <f aca="false">IFERROR(INDEX(対訳マスタ!$C$2:$C$136,MATCH(Data!B1271,対訳マスタ!$B$2:$B$136,0)),Data!B1271)</f>
        <v>コミュニケーション言語能力</v>
      </c>
      <c r="C1271" s="70" t="str">
        <f aca="false">IF(Data!C1271="—","—",IFERROR(INDEX(対訳マスタ!$C$2:$C$136,MATCH(Data!C1271,対訳マスタ!$B$2:$B$136,0)),Data!C1271))</f>
        <v>—</v>
      </c>
      <c r="D1271" s="70" t="str">
        <f aca="false">IF(Data!D1271="—","—",IFERROR(INDEX(対訳マスタ!$C$2:$C$136,MATCH(Data!D1271,対訳マスタ!$B$2:$B$136,0)),Data!D1271))</f>
        <v>語用能力</v>
      </c>
      <c r="E1271" s="70" t="str">
        <f aca="false">IFERROR(INDEX(対訳マスタ!$C$2:$C$136,MATCH(Data!E1271,対訳マスタ!$B$2:$B$136,0)),Data!E1271)</f>
        <v>発言権のやりとり（ターンテイキング）</v>
      </c>
      <c r="F1271" s="70" t="str">
        <f aca="false">Data!F1271</f>
        <v>A2+</v>
      </c>
      <c r="G1271" s="31" t="str">
        <f aca="false">Data!G1271</f>
        <v>Can use simple techniques to start, maintain or close a short conversation.</v>
      </c>
      <c r="H1271" s="71" t="s">
        <v>3404</v>
      </c>
      <c r="I1271" s="79" t="s">
        <v>3089</v>
      </c>
    </row>
    <row r="1272" customFormat="false" ht="15" hidden="false" customHeight="true" outlineLevel="0" collapsed="false">
      <c r="A1272" s="70" t="n">
        <f aca="false">Data!A1272</f>
        <v>1271</v>
      </c>
      <c r="B1272" s="70" t="str">
        <f aca="false">IFERROR(INDEX(対訳マスタ!$C$2:$C$136,MATCH(Data!B1272,対訳マスタ!$B$2:$B$136,0)),Data!B1272)</f>
        <v>コミュニケーション言語能力</v>
      </c>
      <c r="C1272" s="70" t="str">
        <f aca="false">IF(Data!C1272="—","—",IFERROR(INDEX(対訳マスタ!$C$2:$C$136,MATCH(Data!C1272,対訳マスタ!$B$2:$B$136,0)),Data!C1272))</f>
        <v>—</v>
      </c>
      <c r="D1272" s="70" t="str">
        <f aca="false">IF(Data!D1272="—","—",IFERROR(INDEX(対訳マスタ!$C$2:$C$136,MATCH(Data!D1272,対訳マスタ!$B$2:$B$136,0)),Data!D1272))</f>
        <v>語用能力</v>
      </c>
      <c r="E1272" s="70" t="str">
        <f aca="false">IFERROR(INDEX(対訳マスタ!$C$2:$C$136,MATCH(Data!E1272,対訳マスタ!$B$2:$B$136,0)),Data!E1272)</f>
        <v>発言権のやりとり（ターンテイキング）</v>
      </c>
      <c r="F1272" s="70" t="str">
        <f aca="false">Data!F1272</f>
        <v>A2+</v>
      </c>
      <c r="G1272" s="31" t="str">
        <f aca="false">Data!G1272</f>
        <v>Can initiate, maintain and close simple, face-to-face conversation.</v>
      </c>
      <c r="H1272" s="71" t="s">
        <v>2774</v>
      </c>
      <c r="I1272" s="79" t="s">
        <v>3089</v>
      </c>
    </row>
    <row r="1273" customFormat="false" ht="15" hidden="false" customHeight="true" outlineLevel="0" collapsed="false">
      <c r="A1273" s="70" t="n">
        <f aca="false">Data!A1273</f>
        <v>1272</v>
      </c>
      <c r="B1273" s="70" t="str">
        <f aca="false">IFERROR(INDEX(対訳マスタ!$C$2:$C$136,MATCH(Data!B1273,対訳マスタ!$B$2:$B$136,0)),Data!B1273)</f>
        <v>コミュニケーション言語能力</v>
      </c>
      <c r="C1273" s="70" t="str">
        <f aca="false">IF(Data!C1273="—","—",IFERROR(INDEX(対訳マスタ!$C$2:$C$136,MATCH(Data!C1273,対訳マスタ!$B$2:$B$136,0)),Data!C1273))</f>
        <v>—</v>
      </c>
      <c r="D1273" s="70" t="str">
        <f aca="false">IF(Data!D1273="—","—",IFERROR(INDEX(対訳マスタ!$C$2:$C$136,MATCH(Data!D1273,対訳マスタ!$B$2:$B$136,0)),Data!D1273))</f>
        <v>語用能力</v>
      </c>
      <c r="E1273" s="70" t="str">
        <f aca="false">IFERROR(INDEX(対訳マスタ!$C$2:$C$136,MATCH(Data!E1273,対訳マスタ!$B$2:$B$136,0)),Data!E1273)</f>
        <v>発言権のやりとり（ターンテイキング）</v>
      </c>
      <c r="F1273" s="70" t="str">
        <f aca="false">Data!F1273</f>
        <v>A2</v>
      </c>
      <c r="G1273" s="31" t="str">
        <f aca="false">Data!G1273</f>
        <v>Can ask for attention.</v>
      </c>
      <c r="H1273" s="71" t="s">
        <v>2773</v>
      </c>
      <c r="I1273" s="79" t="s">
        <v>3089</v>
      </c>
    </row>
    <row r="1274" customFormat="false" ht="15" hidden="false" customHeight="true" outlineLevel="0" collapsed="false">
      <c r="A1274" s="80" t="n">
        <f aca="false">Data!A1274</f>
        <v>1273</v>
      </c>
      <c r="B1274" s="80" t="str">
        <f aca="false">IFERROR(INDEX(対訳マスタ!$C$2:$C$136,MATCH(Data!B1274,対訳マスタ!$B$2:$B$136,0)),Data!B1274)</f>
        <v>コミュニケーション言語能力</v>
      </c>
      <c r="C1274" s="80" t="str">
        <f aca="false">IF(Data!C1274="—","—",IFERROR(INDEX(対訳マスタ!$C$2:$C$136,MATCH(Data!C1274,対訳マスタ!$B$2:$B$136,0)),Data!C1274))</f>
        <v>—</v>
      </c>
      <c r="D1274" s="80" t="str">
        <f aca="false">IF(Data!D1274="—","—",IFERROR(INDEX(対訳マスタ!$C$2:$C$136,MATCH(Data!D1274,対訳マスタ!$B$2:$B$136,0)),Data!D1274))</f>
        <v>語用能力</v>
      </c>
      <c r="E1274" s="80" t="str">
        <f aca="false">IFERROR(INDEX(対訳マスタ!$C$2:$C$136,MATCH(Data!E1274,対訳マスタ!$B$2:$B$136,0)),Data!E1274)</f>
        <v>発言権のやりとり（ターンテイキング）</v>
      </c>
      <c r="F1274" s="80" t="str">
        <f aca="false">Data!F1274</f>
        <v>A1</v>
      </c>
      <c r="G1274" s="81" t="str">
        <f aca="false">Data!G1274</f>
        <v>No descriptors available</v>
      </c>
      <c r="H1274" s="81" t="s">
        <v>624</v>
      </c>
      <c r="I1274" s="80" t="s">
        <v>624</v>
      </c>
    </row>
    <row r="1275" customFormat="false" ht="15" hidden="false" customHeight="true" outlineLevel="0" collapsed="false">
      <c r="A1275" s="80" t="n">
        <f aca="false">Data!A1275</f>
        <v>1274</v>
      </c>
      <c r="B1275" s="80" t="str">
        <f aca="false">IFERROR(INDEX(対訳マスタ!$C$2:$C$136,MATCH(Data!B1275,対訳マスタ!$B$2:$B$136,0)),Data!B1275)</f>
        <v>コミュニケーション言語能力</v>
      </c>
      <c r="C1275" s="80" t="str">
        <f aca="false">IF(Data!C1275="—","—",IFERROR(INDEX(対訳マスタ!$C$2:$C$136,MATCH(Data!C1275,対訳マスタ!$B$2:$B$136,0)),Data!C1275))</f>
        <v>—</v>
      </c>
      <c r="D1275" s="80" t="str">
        <f aca="false">IF(Data!D1275="—","—",IFERROR(INDEX(対訳マスタ!$C$2:$C$136,MATCH(Data!D1275,対訳マスタ!$B$2:$B$136,0)),Data!D1275))</f>
        <v>語用能力</v>
      </c>
      <c r="E1275" s="80" t="str">
        <f aca="false">IFERROR(INDEX(対訳マスタ!$C$2:$C$136,MATCH(Data!E1275,対訳マスタ!$B$2:$B$136,0)),Data!E1275)</f>
        <v>発言権のやりとり（ターンテイキング）</v>
      </c>
      <c r="F1275" s="80" t="str">
        <f aca="false">Data!F1275</f>
        <v>Pre-A1</v>
      </c>
      <c r="G1275" s="81" t="str">
        <f aca="false">Data!G1275</f>
        <v>No descriptors available</v>
      </c>
      <c r="H1275" s="81" t="s">
        <v>624</v>
      </c>
      <c r="I1275" s="80" t="s">
        <v>624</v>
      </c>
    </row>
    <row r="1276" customFormat="false" ht="32.25" hidden="false" customHeight="true" outlineLevel="0" collapsed="false">
      <c r="A1276" s="70" t="n">
        <f aca="false">Data!A1276</f>
        <v>1275</v>
      </c>
      <c r="B1276" s="70" t="str">
        <f aca="false">IFERROR(INDEX(対訳マスタ!$C$2:$C$136,MATCH(Data!B1276,対訳マスタ!$B$2:$B$136,0)),Data!B1276)</f>
        <v>コミュニケーション言語能力</v>
      </c>
      <c r="C1276" s="70" t="str">
        <f aca="false">IF(Data!C1276="—","—",IFERROR(INDEX(対訳マスタ!$C$2:$C$136,MATCH(Data!C1276,対訳マスタ!$B$2:$B$136,0)),Data!C1276))</f>
        <v>—</v>
      </c>
      <c r="D1276" s="70" t="str">
        <f aca="false">IF(Data!D1276="—","—",IFERROR(INDEX(対訳マスタ!$C$2:$C$136,MATCH(Data!D1276,対訳マスタ!$B$2:$B$136,0)),Data!D1276))</f>
        <v>語用能力</v>
      </c>
      <c r="E1276" s="70" t="str">
        <f aca="false">IFERROR(INDEX(対訳マスタ!$C$2:$C$136,MATCH(Data!E1276,対訳マスタ!$B$2:$B$136,0)),Data!E1276)</f>
        <v>主題の展開</v>
      </c>
      <c r="F1276" s="70" t="str">
        <f aca="false">Data!F1276</f>
        <v>C2</v>
      </c>
      <c r="G1276" s="31" t="str">
        <f aca="false">Data!G1276</f>
        <v>Can use the conventions of the type of text concerned with sufficient flexibility to communicate complex ideas in an effective way, holding the target reader’s attention with ease and fulfilling all communicative purposes.</v>
      </c>
      <c r="H1276" s="71" t="s">
        <v>3058</v>
      </c>
      <c r="I1276" s="79" t="s">
        <v>3089</v>
      </c>
    </row>
    <row r="1277" customFormat="false" ht="21.75" hidden="false" customHeight="true" outlineLevel="0" collapsed="false">
      <c r="A1277" s="70" t="n">
        <f aca="false">Data!A1277</f>
        <v>1276</v>
      </c>
      <c r="B1277" s="70" t="str">
        <f aca="false">IFERROR(INDEX(対訳マスタ!$C$2:$C$136,MATCH(Data!B1277,対訳マスタ!$B$2:$B$136,0)),Data!B1277)</f>
        <v>コミュニケーション言語能力</v>
      </c>
      <c r="C1277" s="70" t="str">
        <f aca="false">IF(Data!C1277="—","—",IFERROR(INDEX(対訳マスタ!$C$2:$C$136,MATCH(Data!C1277,対訳マスタ!$B$2:$B$136,0)),Data!C1277))</f>
        <v>—</v>
      </c>
      <c r="D1277" s="70" t="str">
        <f aca="false">IF(Data!D1277="—","—",IFERROR(INDEX(対訳マスタ!$C$2:$C$136,MATCH(Data!D1277,対訳マスタ!$B$2:$B$136,0)),Data!D1277))</f>
        <v>語用能力</v>
      </c>
      <c r="E1277" s="70" t="str">
        <f aca="false">IFERROR(INDEX(対訳マスタ!$C$2:$C$136,MATCH(Data!E1277,対訳マスタ!$B$2:$B$136,0)),Data!E1277)</f>
        <v>主題の展開</v>
      </c>
      <c r="F1277" s="70" t="str">
        <f aca="false">Data!F1277</f>
        <v>C1</v>
      </c>
      <c r="G1277" s="31" t="str">
        <f aca="false">Data!G1277</f>
        <v>Can use the conventions of the type of text concerned to hold the target reader’s attention and communicate complex ideas.</v>
      </c>
      <c r="H1277" s="71" t="s">
        <v>3607</v>
      </c>
      <c r="I1277" s="79" t="s">
        <v>3089</v>
      </c>
    </row>
    <row r="1278" customFormat="false" ht="21.75" hidden="false" customHeight="true" outlineLevel="0" collapsed="false">
      <c r="A1278" s="70" t="n">
        <f aca="false">Data!A1278</f>
        <v>1277</v>
      </c>
      <c r="B1278" s="70" t="str">
        <f aca="false">IFERROR(INDEX(対訳マスタ!$C$2:$C$136,MATCH(Data!B1278,対訳マスタ!$B$2:$B$136,0)),Data!B1278)</f>
        <v>コミュニケーション言語能力</v>
      </c>
      <c r="C1278" s="70" t="str">
        <f aca="false">IF(Data!C1278="—","—",IFERROR(INDEX(対訳マスタ!$C$2:$C$136,MATCH(Data!C1278,対訳マスタ!$B$2:$B$136,0)),Data!C1278))</f>
        <v>—</v>
      </c>
      <c r="D1278" s="70" t="str">
        <f aca="false">IF(Data!D1278="—","—",IFERROR(INDEX(対訳マスタ!$C$2:$C$136,MATCH(Data!D1278,対訳マスタ!$B$2:$B$136,0)),Data!D1278))</f>
        <v>語用能力</v>
      </c>
      <c r="E1278" s="70" t="str">
        <f aca="false">IFERROR(INDEX(対訳マスタ!$C$2:$C$136,MATCH(Data!E1278,対訳マスタ!$B$2:$B$136,0)),Data!E1278)</f>
        <v>主題の展開</v>
      </c>
      <c r="F1278" s="70" t="str">
        <f aca="false">Data!F1278</f>
        <v>C1</v>
      </c>
      <c r="G1278" s="31" t="str">
        <f aca="false">Data!G1278</f>
        <v>Can give elaborate descriptions and narratives, integrating sub-themes, developing particular points and rounding off with an appropriate conclusion.</v>
      </c>
      <c r="H1278" s="71" t="s">
        <v>3193</v>
      </c>
      <c r="I1278" s="79" t="s">
        <v>3089</v>
      </c>
    </row>
    <row r="1279" customFormat="false" ht="15" hidden="false" customHeight="true" outlineLevel="0" collapsed="false">
      <c r="A1279" s="70" t="n">
        <f aca="false">Data!A1279</f>
        <v>1278</v>
      </c>
      <c r="B1279" s="70" t="str">
        <f aca="false">IFERROR(INDEX(対訳マスタ!$C$2:$C$136,MATCH(Data!B1279,対訳マスタ!$B$2:$B$136,0)),Data!B1279)</f>
        <v>コミュニケーション言語能力</v>
      </c>
      <c r="C1279" s="70" t="str">
        <f aca="false">IF(Data!C1279="—","—",IFERROR(INDEX(対訳マスタ!$C$2:$C$136,MATCH(Data!C1279,対訳マスタ!$B$2:$B$136,0)),Data!C1279))</f>
        <v>—</v>
      </c>
      <c r="D1279" s="70" t="str">
        <f aca="false">IF(Data!D1279="—","—",IFERROR(INDEX(対訳マスタ!$C$2:$C$136,MATCH(Data!D1279,対訳マスタ!$B$2:$B$136,0)),Data!D1279))</f>
        <v>語用能力</v>
      </c>
      <c r="E1279" s="70" t="str">
        <f aca="false">IFERROR(INDEX(対訳マスタ!$C$2:$C$136,MATCH(Data!E1279,対訳マスタ!$B$2:$B$136,0)),Data!E1279)</f>
        <v>主題の展開</v>
      </c>
      <c r="F1279" s="70" t="str">
        <f aca="false">Data!F1279</f>
        <v>C1</v>
      </c>
      <c r="G1279" s="31" t="str">
        <f aca="false">Data!G1279</f>
        <v>Can write a suitable introduction and conclusion to a long, complex text.</v>
      </c>
      <c r="H1279" s="71" t="s">
        <v>3057</v>
      </c>
      <c r="I1279" s="79" t="s">
        <v>3089</v>
      </c>
    </row>
    <row r="1280" customFormat="false" ht="21.75" hidden="false" customHeight="true" outlineLevel="0" collapsed="false">
      <c r="A1280" s="70" t="n">
        <f aca="false">Data!A1280</f>
        <v>1279</v>
      </c>
      <c r="B1280" s="70" t="str">
        <f aca="false">IFERROR(INDEX(対訳マスタ!$C$2:$C$136,MATCH(Data!B1280,対訳マスタ!$B$2:$B$136,0)),Data!B1280)</f>
        <v>コミュニケーション言語能力</v>
      </c>
      <c r="C1280" s="70" t="str">
        <f aca="false">IF(Data!C1280="—","—",IFERROR(INDEX(対訳マスタ!$C$2:$C$136,MATCH(Data!C1280,対訳マスタ!$B$2:$B$136,0)),Data!C1280))</f>
        <v>—</v>
      </c>
      <c r="D1280" s="70" t="str">
        <f aca="false">IF(Data!D1280="—","—",IFERROR(INDEX(対訳マスタ!$C$2:$C$136,MATCH(Data!D1280,対訳マスタ!$B$2:$B$136,0)),Data!D1280))</f>
        <v>語用能力</v>
      </c>
      <c r="E1280" s="70" t="str">
        <f aca="false">IFERROR(INDEX(対訳マスタ!$C$2:$C$136,MATCH(Data!E1280,対訳マスタ!$B$2:$B$136,0)),Data!E1280)</f>
        <v>主題の展開</v>
      </c>
      <c r="F1280" s="70" t="str">
        <f aca="false">Data!F1280</f>
        <v>C1</v>
      </c>
      <c r="G1280" s="31" t="str">
        <f aca="false">Data!G1280</f>
        <v>Can expand and support the main points at some length with subsidiary points, reasons and relevant examples.</v>
      </c>
      <c r="H1280" s="71" t="s">
        <v>3608</v>
      </c>
      <c r="I1280" s="79" t="s">
        <v>3089</v>
      </c>
    </row>
    <row r="1281" customFormat="false" ht="21.75" hidden="false" customHeight="true" outlineLevel="0" collapsed="false">
      <c r="A1281" s="70" t="n">
        <f aca="false">Data!A1281</f>
        <v>1280</v>
      </c>
      <c r="B1281" s="70" t="str">
        <f aca="false">IFERROR(INDEX(対訳マスタ!$C$2:$C$136,MATCH(Data!B1281,対訳マスタ!$B$2:$B$136,0)),Data!B1281)</f>
        <v>コミュニケーション言語能力</v>
      </c>
      <c r="C1281" s="70" t="str">
        <f aca="false">IF(Data!C1281="—","—",IFERROR(INDEX(対訳マスタ!$C$2:$C$136,MATCH(Data!C1281,対訳マスタ!$B$2:$B$136,0)),Data!C1281))</f>
        <v>—</v>
      </c>
      <c r="D1281" s="70" t="str">
        <f aca="false">IF(Data!D1281="—","—",IFERROR(INDEX(対訳マスタ!$C$2:$C$136,MATCH(Data!D1281,対訳マスタ!$B$2:$B$136,0)),Data!D1281))</f>
        <v>語用能力</v>
      </c>
      <c r="E1281" s="70" t="str">
        <f aca="false">IFERROR(INDEX(対訳マスタ!$C$2:$C$136,MATCH(Data!E1281,対訳マスタ!$B$2:$B$136,0)),Data!E1281)</f>
        <v>主題の展開</v>
      </c>
      <c r="F1281" s="70" t="str">
        <f aca="false">Data!F1281</f>
        <v>B2+</v>
      </c>
      <c r="G1281" s="31" t="str">
        <f aca="false">Data!G1281</f>
        <v>Can develop an argument systematically with appropriate highlighting of significant points, and relevant supporting detail.</v>
      </c>
      <c r="H1281" s="71" t="s">
        <v>3609</v>
      </c>
      <c r="I1281" s="79" t="s">
        <v>3089</v>
      </c>
    </row>
    <row r="1282" customFormat="false" ht="15" hidden="false" customHeight="true" outlineLevel="0" collapsed="false">
      <c r="A1282" s="70" t="n">
        <f aca="false">Data!A1282</f>
        <v>1281</v>
      </c>
      <c r="B1282" s="70" t="str">
        <f aca="false">IFERROR(INDEX(対訳マスタ!$C$2:$C$136,MATCH(Data!B1282,対訳マスタ!$B$2:$B$136,0)),Data!B1282)</f>
        <v>コミュニケーション言語能力</v>
      </c>
      <c r="C1282" s="70" t="str">
        <f aca="false">IF(Data!C1282="—","—",IFERROR(INDEX(対訳マスタ!$C$2:$C$136,MATCH(Data!C1282,対訳マスタ!$B$2:$B$136,0)),Data!C1282))</f>
        <v>—</v>
      </c>
      <c r="D1282" s="70" t="str">
        <f aca="false">IF(Data!D1282="—","—",IFERROR(INDEX(対訳マスタ!$C$2:$C$136,MATCH(Data!D1282,対訳マスタ!$B$2:$B$136,0)),Data!D1282))</f>
        <v>語用能力</v>
      </c>
      <c r="E1282" s="70" t="str">
        <f aca="false">IFERROR(INDEX(対訳マスタ!$C$2:$C$136,MATCH(Data!E1282,対訳マスタ!$B$2:$B$136,0)),Data!E1282)</f>
        <v>主題の展開</v>
      </c>
      <c r="F1282" s="70" t="str">
        <f aca="false">Data!F1282</f>
        <v>B2+</v>
      </c>
      <c r="G1282" s="31" t="str">
        <f aca="false">Data!G1282</f>
        <v>Can present and respond to complex lines of argument convincingly.</v>
      </c>
      <c r="H1282" s="71" t="s">
        <v>3056</v>
      </c>
      <c r="I1282" s="79" t="s">
        <v>3089</v>
      </c>
    </row>
    <row r="1283" customFormat="false" ht="21.75" hidden="false" customHeight="true" outlineLevel="0" collapsed="false">
      <c r="A1283" s="70" t="n">
        <f aca="false">Data!A1283</f>
        <v>1282</v>
      </c>
      <c r="B1283" s="70" t="str">
        <f aca="false">IFERROR(INDEX(対訳マスタ!$C$2:$C$136,MATCH(Data!B1283,対訳マスタ!$B$2:$B$136,0)),Data!B1283)</f>
        <v>コミュニケーション言語能力</v>
      </c>
      <c r="C1283" s="70" t="str">
        <f aca="false">IF(Data!C1283="—","—",IFERROR(INDEX(対訳マスタ!$C$2:$C$136,MATCH(Data!C1283,対訳マスタ!$B$2:$B$136,0)),Data!C1283))</f>
        <v>—</v>
      </c>
      <c r="D1283" s="70" t="str">
        <f aca="false">IF(Data!D1283="—","—",IFERROR(INDEX(対訳マスタ!$C$2:$C$136,MATCH(Data!D1283,対訳マスタ!$B$2:$B$136,0)),Data!D1283))</f>
        <v>語用能力</v>
      </c>
      <c r="E1283" s="70" t="str">
        <f aca="false">IFERROR(INDEX(対訳マスタ!$C$2:$C$136,MATCH(Data!E1283,対訳マスタ!$B$2:$B$136,0)),Data!E1283)</f>
        <v>主題の展開</v>
      </c>
      <c r="F1283" s="70" t="str">
        <f aca="false">Data!F1283</f>
        <v>B2</v>
      </c>
      <c r="G1283" s="31" t="str">
        <f aca="false">Data!G1283</f>
        <v>Can follow the conventional structure of the communicative task concerned when communicating their ideas.</v>
      </c>
      <c r="H1283" s="71" t="s">
        <v>3610</v>
      </c>
      <c r="I1283" s="79" t="s">
        <v>3089</v>
      </c>
    </row>
    <row r="1284" customFormat="false" ht="21.75" hidden="false" customHeight="true" outlineLevel="0" collapsed="false">
      <c r="A1284" s="70" t="n">
        <f aca="false">Data!A1284</f>
        <v>1283</v>
      </c>
      <c r="B1284" s="70" t="str">
        <f aca="false">IFERROR(INDEX(対訳マスタ!$C$2:$C$136,MATCH(Data!B1284,対訳マスタ!$B$2:$B$136,0)),Data!B1284)</f>
        <v>コミュニケーション言語能力</v>
      </c>
      <c r="C1284" s="70" t="str">
        <f aca="false">IF(Data!C1284="—","—",IFERROR(INDEX(対訳マスタ!$C$2:$C$136,MATCH(Data!C1284,対訳マスタ!$B$2:$B$136,0)),Data!C1284))</f>
        <v>—</v>
      </c>
      <c r="D1284" s="70" t="str">
        <f aca="false">IF(Data!D1284="—","—",IFERROR(INDEX(対訳マスタ!$C$2:$C$136,MATCH(Data!D1284,対訳マスタ!$B$2:$B$136,0)),Data!D1284))</f>
        <v>語用能力</v>
      </c>
      <c r="E1284" s="70" t="str">
        <f aca="false">IFERROR(INDEX(対訳マスタ!$C$2:$C$136,MATCH(Data!E1284,対訳マスタ!$B$2:$B$136,0)),Data!E1284)</f>
        <v>主題の展開</v>
      </c>
      <c r="F1284" s="70" t="str">
        <f aca="false">Data!F1284</f>
        <v>B2</v>
      </c>
      <c r="G1284" s="31" t="str">
        <f aca="false">Data!G1284</f>
        <v>Can develop a clear description or narrative, expanding and supporting their main points with relevant supporting detail and examples.</v>
      </c>
      <c r="H1284" s="71" t="s">
        <v>3611</v>
      </c>
      <c r="I1284" s="79" t="s">
        <v>3089</v>
      </c>
    </row>
    <row r="1285" customFormat="false" ht="21.75" hidden="false" customHeight="true" outlineLevel="0" collapsed="false">
      <c r="A1285" s="70" t="n">
        <f aca="false">Data!A1285</f>
        <v>1284</v>
      </c>
      <c r="B1285" s="70" t="str">
        <f aca="false">IFERROR(INDEX(対訳マスタ!$C$2:$C$136,MATCH(Data!B1285,対訳マスタ!$B$2:$B$136,0)),Data!B1285)</f>
        <v>コミュニケーション言語能力</v>
      </c>
      <c r="C1285" s="70" t="str">
        <f aca="false">IF(Data!C1285="—","—",IFERROR(INDEX(対訳マスタ!$C$2:$C$136,MATCH(Data!C1285,対訳マスタ!$B$2:$B$136,0)),Data!C1285))</f>
        <v>—</v>
      </c>
      <c r="D1285" s="70" t="str">
        <f aca="false">IF(Data!D1285="—","—",IFERROR(INDEX(対訳マスタ!$C$2:$C$136,MATCH(Data!D1285,対訳マスタ!$B$2:$B$136,0)),Data!D1285))</f>
        <v>語用能力</v>
      </c>
      <c r="E1285" s="70" t="str">
        <f aca="false">IFERROR(INDEX(対訳マスタ!$C$2:$C$136,MATCH(Data!E1285,対訳マスタ!$B$2:$B$136,0)),Data!E1285)</f>
        <v>主題の展開</v>
      </c>
      <c r="F1285" s="70" t="str">
        <f aca="false">Data!F1285</f>
        <v>B2</v>
      </c>
      <c r="G1285" s="31" t="str">
        <f aca="false">Data!G1285</f>
        <v>Can develop a clear argument, expanding and supporting their points of view at some length with subsidiary points and relevant examples.</v>
      </c>
      <c r="H1285" s="71" t="s">
        <v>3213</v>
      </c>
      <c r="I1285" s="79" t="s">
        <v>3089</v>
      </c>
    </row>
    <row r="1286" customFormat="false" ht="15" hidden="false" customHeight="true" outlineLevel="0" collapsed="false">
      <c r="A1286" s="70" t="n">
        <f aca="false">Data!A1286</f>
        <v>1285</v>
      </c>
      <c r="B1286" s="70" t="str">
        <f aca="false">IFERROR(INDEX(対訳マスタ!$C$2:$C$136,MATCH(Data!B1286,対訳マスタ!$B$2:$B$136,0)),Data!B1286)</f>
        <v>コミュニケーション言語能力</v>
      </c>
      <c r="C1286" s="70" t="str">
        <f aca="false">IF(Data!C1286="—","—",IFERROR(INDEX(対訳マスタ!$C$2:$C$136,MATCH(Data!C1286,対訳マスタ!$B$2:$B$136,0)),Data!C1286))</f>
        <v>—</v>
      </c>
      <c r="D1286" s="70" t="str">
        <f aca="false">IF(Data!D1286="—","—",IFERROR(INDEX(対訳マスタ!$C$2:$C$136,MATCH(Data!D1286,対訳マスタ!$B$2:$B$136,0)),Data!D1286))</f>
        <v>語用能力</v>
      </c>
      <c r="E1286" s="70" t="str">
        <f aca="false">IFERROR(INDEX(対訳マスタ!$C$2:$C$136,MATCH(Data!E1286,対訳マスタ!$B$2:$B$136,0)),Data!E1286)</f>
        <v>主題の展開</v>
      </c>
      <c r="F1286" s="70" t="str">
        <f aca="false">Data!F1286</f>
        <v>B2</v>
      </c>
      <c r="G1286" s="31" t="str">
        <f aca="false">Data!G1286</f>
        <v>Can evaluate the advantages and disadvantages of various options.</v>
      </c>
      <c r="H1286" s="71" t="s">
        <v>3612</v>
      </c>
      <c r="I1286" s="79" t="s">
        <v>3089</v>
      </c>
    </row>
    <row r="1287" customFormat="false" ht="15" hidden="false" customHeight="true" outlineLevel="0" collapsed="false">
      <c r="A1287" s="70" t="n">
        <f aca="false">Data!A1287</f>
        <v>1286</v>
      </c>
      <c r="B1287" s="70" t="str">
        <f aca="false">IFERROR(INDEX(対訳マスタ!$C$2:$C$136,MATCH(Data!B1287,対訳マスタ!$B$2:$B$136,0)),Data!B1287)</f>
        <v>コミュニケーション言語能力</v>
      </c>
      <c r="C1287" s="70" t="str">
        <f aca="false">IF(Data!C1287="—","—",IFERROR(INDEX(対訳マスタ!$C$2:$C$136,MATCH(Data!C1287,対訳マスタ!$B$2:$B$136,0)),Data!C1287))</f>
        <v>—</v>
      </c>
      <c r="D1287" s="70" t="str">
        <f aca="false">IF(Data!D1287="—","—",IFERROR(INDEX(対訳マスタ!$C$2:$C$136,MATCH(Data!D1287,対訳マスタ!$B$2:$B$136,0)),Data!D1287))</f>
        <v>語用能力</v>
      </c>
      <c r="E1287" s="70" t="str">
        <f aca="false">IFERROR(INDEX(対訳マスタ!$C$2:$C$136,MATCH(Data!E1287,対訳マスタ!$B$2:$B$136,0)),Data!E1287)</f>
        <v>主題の展開</v>
      </c>
      <c r="F1287" s="70" t="str">
        <f aca="false">Data!F1287</f>
        <v>B2</v>
      </c>
      <c r="G1287" s="31" t="str">
        <f aca="false">Data!G1287</f>
        <v>Can clearly signal the difference between fact and opinion.</v>
      </c>
      <c r="H1287" s="71" t="s">
        <v>3055</v>
      </c>
      <c r="I1287" s="79" t="s">
        <v>3089</v>
      </c>
    </row>
    <row r="1288" customFormat="false" ht="15" hidden="false" customHeight="true" outlineLevel="0" collapsed="false">
      <c r="A1288" s="70" t="n">
        <f aca="false">Data!A1288</f>
        <v>1287</v>
      </c>
      <c r="B1288" s="70" t="str">
        <f aca="false">IFERROR(INDEX(対訳マスタ!$C$2:$C$136,MATCH(Data!B1288,対訳マスタ!$B$2:$B$136,0)),Data!B1288)</f>
        <v>コミュニケーション言語能力</v>
      </c>
      <c r="C1288" s="70" t="str">
        <f aca="false">IF(Data!C1288="—","—",IFERROR(INDEX(対訳マスタ!$C$2:$C$136,MATCH(Data!C1288,対訳マスタ!$B$2:$B$136,0)),Data!C1288))</f>
        <v>—</v>
      </c>
      <c r="D1288" s="70" t="str">
        <f aca="false">IF(Data!D1288="—","—",IFERROR(INDEX(対訳マスタ!$C$2:$C$136,MATCH(Data!D1288,対訳マスタ!$B$2:$B$136,0)),Data!D1288))</f>
        <v>語用能力</v>
      </c>
      <c r="E1288" s="70" t="str">
        <f aca="false">IFERROR(INDEX(対訳マスタ!$C$2:$C$136,MATCH(Data!E1288,対訳マスタ!$B$2:$B$136,0)),Data!E1288)</f>
        <v>主題の展開</v>
      </c>
      <c r="F1288" s="70" t="str">
        <f aca="false">Data!F1288</f>
        <v>B1+</v>
      </c>
      <c r="G1288" s="31" t="str">
        <f aca="false">Data!G1288</f>
        <v>Can clearly signal chronological sequence in narrative text.</v>
      </c>
      <c r="H1288" s="71" t="s">
        <v>2618</v>
      </c>
      <c r="I1288" s="79" t="s">
        <v>3089</v>
      </c>
    </row>
    <row r="1289" customFormat="false" ht="15" hidden="false" customHeight="true" outlineLevel="0" collapsed="false">
      <c r="A1289" s="70" t="n">
        <f aca="false">Data!A1289</f>
        <v>1288</v>
      </c>
      <c r="B1289" s="70" t="str">
        <f aca="false">IFERROR(INDEX(対訳マスタ!$C$2:$C$136,MATCH(Data!B1289,対訳マスタ!$B$2:$B$136,0)),Data!B1289)</f>
        <v>コミュニケーション言語能力</v>
      </c>
      <c r="C1289" s="70" t="str">
        <f aca="false">IF(Data!C1289="—","—",IFERROR(INDEX(対訳マスタ!$C$2:$C$136,MATCH(Data!C1289,対訳マスタ!$B$2:$B$136,0)),Data!C1289))</f>
        <v>—</v>
      </c>
      <c r="D1289" s="70" t="str">
        <f aca="false">IF(Data!D1289="—","—",IFERROR(INDEX(対訳マスタ!$C$2:$C$136,MATCH(Data!D1289,対訳マスタ!$B$2:$B$136,0)),Data!D1289))</f>
        <v>語用能力</v>
      </c>
      <c r="E1289" s="70" t="str">
        <f aca="false">IFERROR(INDEX(対訳マスタ!$C$2:$C$136,MATCH(Data!E1289,対訳マスタ!$B$2:$B$136,0)),Data!E1289)</f>
        <v>主題の展開</v>
      </c>
      <c r="F1289" s="70" t="str">
        <f aca="false">Data!F1289</f>
        <v>B1+</v>
      </c>
      <c r="G1289" s="31" t="str">
        <f aca="false">Data!G1289</f>
        <v>Can develop an argument well enough to be followed without difficulty most of the time.</v>
      </c>
      <c r="H1289" s="71" t="s">
        <v>3215</v>
      </c>
      <c r="I1289" s="79" t="s">
        <v>3089</v>
      </c>
    </row>
    <row r="1290" customFormat="false" ht="21.75" hidden="false" customHeight="true" outlineLevel="0" collapsed="false">
      <c r="A1290" s="70" t="n">
        <f aca="false">Data!A1290</f>
        <v>1289</v>
      </c>
      <c r="B1290" s="70" t="str">
        <f aca="false">IFERROR(INDEX(対訳マスタ!$C$2:$C$136,MATCH(Data!B1290,対訳マスタ!$B$2:$B$136,0)),Data!B1290)</f>
        <v>コミュニケーション言語能力</v>
      </c>
      <c r="C1290" s="70" t="str">
        <f aca="false">IF(Data!C1290="—","—",IFERROR(INDEX(対訳マスタ!$C$2:$C$136,MATCH(Data!C1290,対訳マスタ!$B$2:$B$136,0)),Data!C1290))</f>
        <v>—</v>
      </c>
      <c r="D1290" s="70" t="str">
        <f aca="false">IF(Data!D1290="—","—",IFERROR(INDEX(対訳マスタ!$C$2:$C$136,MATCH(Data!D1290,対訳マスタ!$B$2:$B$136,0)),Data!D1290))</f>
        <v>語用能力</v>
      </c>
      <c r="E1290" s="70" t="str">
        <f aca="false">IFERROR(INDEX(対訳マスタ!$C$2:$C$136,MATCH(Data!E1290,対訳マスタ!$B$2:$B$136,0)),Data!E1290)</f>
        <v>主題の展開</v>
      </c>
      <c r="F1290" s="70" t="str">
        <f aca="false">Data!F1290</f>
        <v>B1</v>
      </c>
      <c r="G1290" s="31" t="str">
        <f aca="false">Data!G1290</f>
        <v>Shows awareness of the conventional structure of the text type concerned when communicating their ideas.</v>
      </c>
      <c r="H1290" s="71" t="s">
        <v>3613</v>
      </c>
      <c r="I1290" s="79" t="s">
        <v>3089</v>
      </c>
    </row>
    <row r="1291" customFormat="false" ht="21.75" hidden="false" customHeight="true" outlineLevel="0" collapsed="false">
      <c r="A1291" s="70" t="n">
        <f aca="false">Data!A1291</f>
        <v>1290</v>
      </c>
      <c r="B1291" s="70" t="str">
        <f aca="false">IFERROR(INDEX(対訳マスタ!$C$2:$C$136,MATCH(Data!B1291,対訳マスタ!$B$2:$B$136,0)),Data!B1291)</f>
        <v>コミュニケーション言語能力</v>
      </c>
      <c r="C1291" s="70" t="str">
        <f aca="false">IF(Data!C1291="—","—",IFERROR(INDEX(対訳マスタ!$C$2:$C$136,MATCH(Data!C1291,対訳マスタ!$B$2:$B$136,0)),Data!C1291))</f>
        <v>—</v>
      </c>
      <c r="D1291" s="70" t="str">
        <f aca="false">IF(Data!D1291="—","—",IFERROR(INDEX(対訳マスタ!$C$2:$C$136,MATCH(Data!D1291,対訳マスタ!$B$2:$B$136,0)),Data!D1291))</f>
        <v>語用能力</v>
      </c>
      <c r="E1291" s="70" t="str">
        <f aca="false">IFERROR(INDEX(対訳マスタ!$C$2:$C$136,MATCH(Data!E1291,対訳マスタ!$B$2:$B$136,0)),Data!E1291)</f>
        <v>主題の展開</v>
      </c>
      <c r="F1291" s="70" t="str">
        <f aca="false">Data!F1291</f>
        <v>B1</v>
      </c>
      <c r="G1291" s="31" t="str">
        <f aca="false">Data!G1291</f>
        <v>Can reasonably fluently relate a straightforward narrative or description as a sequence of points.</v>
      </c>
      <c r="H1291" s="71" t="s">
        <v>3054</v>
      </c>
      <c r="I1291" s="79" t="s">
        <v>3089</v>
      </c>
    </row>
    <row r="1292" customFormat="false" ht="15" hidden="false" customHeight="true" outlineLevel="0" collapsed="false">
      <c r="A1292" s="70" t="n">
        <f aca="false">Data!A1292</f>
        <v>1291</v>
      </c>
      <c r="B1292" s="70" t="str">
        <f aca="false">IFERROR(INDEX(対訳マスタ!$C$2:$C$136,MATCH(Data!B1292,対訳マスタ!$B$2:$B$136,0)),Data!B1292)</f>
        <v>コミュニケーション言語能力</v>
      </c>
      <c r="C1292" s="70" t="str">
        <f aca="false">IF(Data!C1292="—","—",IFERROR(INDEX(対訳マスタ!$C$2:$C$136,MATCH(Data!C1292,対訳マスタ!$B$2:$B$136,0)),Data!C1292))</f>
        <v>—</v>
      </c>
      <c r="D1292" s="70" t="str">
        <f aca="false">IF(Data!D1292="—","—",IFERROR(INDEX(対訳マスタ!$C$2:$C$136,MATCH(Data!D1292,対訳マスタ!$B$2:$B$136,0)),Data!D1292))</f>
        <v>語用能力</v>
      </c>
      <c r="E1292" s="70" t="str">
        <f aca="false">IFERROR(INDEX(対訳マスタ!$C$2:$C$136,MATCH(Data!E1292,対訳マスタ!$B$2:$B$136,0)),Data!E1292)</f>
        <v>主題の展開</v>
      </c>
      <c r="F1292" s="70" t="str">
        <f aca="false">Data!F1292</f>
        <v>A2+</v>
      </c>
      <c r="G1292" s="31" t="str">
        <f aca="false">Data!G1292</f>
        <v>Can tell a story or describe something in a simple list of points.</v>
      </c>
      <c r="H1292" s="71" t="s">
        <v>3053</v>
      </c>
      <c r="I1292" s="79" t="s">
        <v>3089</v>
      </c>
    </row>
    <row r="1293" customFormat="false" ht="15" hidden="false" customHeight="true" outlineLevel="0" collapsed="false">
      <c r="A1293" s="70" t="n">
        <f aca="false">Data!A1293</f>
        <v>1292</v>
      </c>
      <c r="B1293" s="70" t="str">
        <f aca="false">IFERROR(INDEX(対訳マスタ!$C$2:$C$136,MATCH(Data!B1293,対訳マスタ!$B$2:$B$136,0)),Data!B1293)</f>
        <v>コミュニケーション言語能力</v>
      </c>
      <c r="C1293" s="70" t="str">
        <f aca="false">IF(Data!C1293="—","—",IFERROR(INDEX(対訳マスタ!$C$2:$C$136,MATCH(Data!C1293,対訳マスタ!$B$2:$B$136,0)),Data!C1293))</f>
        <v>—</v>
      </c>
      <c r="D1293" s="70" t="str">
        <f aca="false">IF(Data!D1293="—","—",IFERROR(INDEX(対訳マスタ!$C$2:$C$136,MATCH(Data!D1293,対訳マスタ!$B$2:$B$136,0)),Data!D1293))</f>
        <v>語用能力</v>
      </c>
      <c r="E1293" s="70" t="str">
        <f aca="false">IFERROR(INDEX(対訳マスタ!$C$2:$C$136,MATCH(Data!E1293,対訳マスタ!$B$2:$B$136,0)),Data!E1293)</f>
        <v>主題の展開</v>
      </c>
      <c r="F1293" s="70" t="str">
        <f aca="false">Data!F1293</f>
        <v>A2+</v>
      </c>
      <c r="G1293" s="31" t="str">
        <f aca="false">Data!G1293</f>
        <v>Can give an example of something in a very simple text using “like” or “for example”.</v>
      </c>
      <c r="H1293" s="71" t="s">
        <v>3614</v>
      </c>
      <c r="I1293" s="79" t="s">
        <v>3089</v>
      </c>
    </row>
    <row r="1294" customFormat="false" ht="15" hidden="false" customHeight="true" outlineLevel="0" collapsed="false">
      <c r="A1294" s="80" t="n">
        <f aca="false">Data!A1294</f>
        <v>1293</v>
      </c>
      <c r="B1294" s="80" t="str">
        <f aca="false">IFERROR(INDEX(対訳マスタ!$C$2:$C$136,MATCH(Data!B1294,対訳マスタ!$B$2:$B$136,0)),Data!B1294)</f>
        <v>コミュニケーション言語能力</v>
      </c>
      <c r="C1294" s="80" t="str">
        <f aca="false">IF(Data!C1294="—","—",IFERROR(INDEX(対訳マスタ!$C$2:$C$136,MATCH(Data!C1294,対訳マスタ!$B$2:$B$136,0)),Data!C1294))</f>
        <v>—</v>
      </c>
      <c r="D1294" s="80" t="str">
        <f aca="false">IF(Data!D1294="—","—",IFERROR(INDEX(対訳マスタ!$C$2:$C$136,MATCH(Data!D1294,対訳マスタ!$B$2:$B$136,0)),Data!D1294))</f>
        <v>語用能力</v>
      </c>
      <c r="E1294" s="80" t="str">
        <f aca="false">IFERROR(INDEX(対訳マスタ!$C$2:$C$136,MATCH(Data!E1294,対訳マスタ!$B$2:$B$136,0)),Data!E1294)</f>
        <v>主題の展開</v>
      </c>
      <c r="F1294" s="80" t="str">
        <f aca="false">Data!F1294</f>
        <v>A2</v>
      </c>
      <c r="G1294" s="81" t="str">
        <f aca="false">Data!G1294</f>
        <v>No descriptors available</v>
      </c>
      <c r="H1294" s="81" t="s">
        <v>624</v>
      </c>
      <c r="I1294" s="80" t="s">
        <v>624</v>
      </c>
    </row>
    <row r="1295" customFormat="false" ht="15" hidden="false" customHeight="true" outlineLevel="0" collapsed="false">
      <c r="A1295" s="80" t="n">
        <f aca="false">Data!A1295</f>
        <v>1294</v>
      </c>
      <c r="B1295" s="80" t="str">
        <f aca="false">IFERROR(INDEX(対訳マスタ!$C$2:$C$136,MATCH(Data!B1295,対訳マスタ!$B$2:$B$136,0)),Data!B1295)</f>
        <v>コミュニケーション言語能力</v>
      </c>
      <c r="C1295" s="80" t="str">
        <f aca="false">IF(Data!C1295="—","—",IFERROR(INDEX(対訳マスタ!$C$2:$C$136,MATCH(Data!C1295,対訳マスタ!$B$2:$B$136,0)),Data!C1295))</f>
        <v>—</v>
      </c>
      <c r="D1295" s="80" t="str">
        <f aca="false">IF(Data!D1295="—","—",IFERROR(INDEX(対訳マスタ!$C$2:$C$136,MATCH(Data!D1295,対訳マスタ!$B$2:$B$136,0)),Data!D1295))</f>
        <v>語用能力</v>
      </c>
      <c r="E1295" s="80" t="str">
        <f aca="false">IFERROR(INDEX(対訳マスタ!$C$2:$C$136,MATCH(Data!E1295,対訳マスタ!$B$2:$B$136,0)),Data!E1295)</f>
        <v>主題の展開</v>
      </c>
      <c r="F1295" s="80" t="str">
        <f aca="false">Data!F1295</f>
        <v>A1</v>
      </c>
      <c r="G1295" s="81" t="str">
        <f aca="false">Data!G1295</f>
        <v>No descriptors available</v>
      </c>
      <c r="H1295" s="81" t="s">
        <v>624</v>
      </c>
      <c r="I1295" s="80" t="s">
        <v>624</v>
      </c>
    </row>
    <row r="1296" customFormat="false" ht="15" hidden="false" customHeight="true" outlineLevel="0" collapsed="false">
      <c r="A1296" s="80" t="n">
        <f aca="false">Data!A1296</f>
        <v>1295</v>
      </c>
      <c r="B1296" s="80" t="str">
        <f aca="false">IFERROR(INDEX(対訳マスタ!$C$2:$C$136,MATCH(Data!B1296,対訳マスタ!$B$2:$B$136,0)),Data!B1296)</f>
        <v>コミュニケーション言語能力</v>
      </c>
      <c r="C1296" s="80" t="str">
        <f aca="false">IF(Data!C1296="—","—",IFERROR(INDEX(対訳マスタ!$C$2:$C$136,MATCH(Data!C1296,対訳マスタ!$B$2:$B$136,0)),Data!C1296))</f>
        <v>—</v>
      </c>
      <c r="D1296" s="80" t="str">
        <f aca="false">IF(Data!D1296="—","—",IFERROR(INDEX(対訳マスタ!$C$2:$C$136,MATCH(Data!D1296,対訳マスタ!$B$2:$B$136,0)),Data!D1296))</f>
        <v>語用能力</v>
      </c>
      <c r="E1296" s="80" t="str">
        <f aca="false">IFERROR(INDEX(対訳マスタ!$C$2:$C$136,MATCH(Data!E1296,対訳マスタ!$B$2:$B$136,0)),Data!E1296)</f>
        <v>主題の展開</v>
      </c>
      <c r="F1296" s="80" t="str">
        <f aca="false">Data!F1296</f>
        <v>Pre-A1</v>
      </c>
      <c r="G1296" s="81" t="str">
        <f aca="false">Data!G1296</f>
        <v>No descriptors available</v>
      </c>
      <c r="H1296" s="81" t="s">
        <v>624</v>
      </c>
      <c r="I1296" s="80" t="s">
        <v>624</v>
      </c>
    </row>
    <row r="1297" customFormat="false" ht="26.25" hidden="false" customHeight="true" outlineLevel="0" collapsed="false">
      <c r="A1297" s="70" t="n">
        <f aca="false">Data!A1297</f>
        <v>1296</v>
      </c>
      <c r="B1297" s="70" t="str">
        <f aca="false">IFERROR(INDEX(対訳マスタ!$C$2:$C$136,MATCH(Data!B1297,対訳マスタ!$B$2:$B$136,0)),Data!B1297)</f>
        <v>コミュニケーション言語能力</v>
      </c>
      <c r="C1297" s="70" t="str">
        <f aca="false">IF(Data!C1297="—","—",IFERROR(INDEX(対訳マスタ!$C$2:$C$136,MATCH(Data!C1297,対訳マスタ!$B$2:$B$136,0)),Data!C1297))</f>
        <v>—</v>
      </c>
      <c r="D1297" s="70" t="str">
        <f aca="false">IF(Data!D1297="—","—",IFERROR(INDEX(対訳マスタ!$C$2:$C$136,MATCH(Data!D1297,対訳マスタ!$B$2:$B$136,0)),Data!D1297))</f>
        <v>語用能力</v>
      </c>
      <c r="E1297" s="70" t="str">
        <f aca="false">IFERROR(INDEX(対訳マスタ!$C$2:$C$136,MATCH(Data!E1297,対訳マスタ!$B$2:$B$136,0)),Data!E1297)</f>
        <v>一貫性と結束性</v>
      </c>
      <c r="F1297" s="70" t="str">
        <f aca="false">Data!F1297</f>
        <v>C2</v>
      </c>
      <c r="G1297" s="31" t="str">
        <f aca="false">Data!G1297</f>
        <v>Can create coherent and cohesive text making full and appropriate use of a variety of organisational patterns and a wide range of cohesive devices.</v>
      </c>
      <c r="H1297" s="71" t="s">
        <v>3067</v>
      </c>
      <c r="I1297" s="79" t="s">
        <v>3089</v>
      </c>
    </row>
    <row r="1298" customFormat="false" ht="21.75" hidden="false" customHeight="true" outlineLevel="0" collapsed="false">
      <c r="A1298" s="70" t="n">
        <f aca="false">Data!A1298</f>
        <v>1297</v>
      </c>
      <c r="B1298" s="70" t="str">
        <f aca="false">IFERROR(INDEX(対訳マスタ!$C$2:$C$136,MATCH(Data!B1298,対訳マスタ!$B$2:$B$136,0)),Data!B1298)</f>
        <v>コミュニケーション言語能力</v>
      </c>
      <c r="C1298" s="70" t="str">
        <f aca="false">IF(Data!C1298="—","—",IFERROR(INDEX(対訳マスタ!$C$2:$C$136,MATCH(Data!C1298,対訳マスタ!$B$2:$B$136,0)),Data!C1298))</f>
        <v>—</v>
      </c>
      <c r="D1298" s="70" t="str">
        <f aca="false">IF(Data!D1298="—","—",IFERROR(INDEX(対訳マスタ!$C$2:$C$136,MATCH(Data!D1298,対訳マスタ!$B$2:$B$136,0)),Data!D1298))</f>
        <v>語用能力</v>
      </c>
      <c r="E1298" s="70" t="str">
        <f aca="false">IFERROR(INDEX(対訳マスタ!$C$2:$C$136,MATCH(Data!E1298,対訳マスタ!$B$2:$B$136,0)),Data!E1298)</f>
        <v>一貫性と結束性</v>
      </c>
      <c r="F1298" s="70" t="str">
        <f aca="false">Data!F1298</f>
        <v>C1</v>
      </c>
      <c r="G1298" s="31" t="str">
        <f aca="false">Data!G1298</f>
        <v>Can produce clear, smoothly flowing, well-structured language, showing controlled use of organisational patterns, connectors and cohesive devices.</v>
      </c>
      <c r="H1298" s="71" t="s">
        <v>3615</v>
      </c>
      <c r="I1298" s="79" t="s">
        <v>3089</v>
      </c>
    </row>
    <row r="1299" customFormat="false" ht="26.25" hidden="false" customHeight="true" outlineLevel="0" collapsed="false">
      <c r="A1299" s="70" t="n">
        <f aca="false">Data!A1299</f>
        <v>1298</v>
      </c>
      <c r="B1299" s="70" t="str">
        <f aca="false">IFERROR(INDEX(対訳マスタ!$C$2:$C$136,MATCH(Data!B1299,対訳マスタ!$B$2:$B$136,0)),Data!B1299)</f>
        <v>コミュニケーション言語能力</v>
      </c>
      <c r="C1299" s="70" t="str">
        <f aca="false">IF(Data!C1299="—","—",IFERROR(INDEX(対訳マスタ!$C$2:$C$136,MATCH(Data!C1299,対訳マスタ!$B$2:$B$136,0)),Data!C1299))</f>
        <v>—</v>
      </c>
      <c r="D1299" s="70" t="str">
        <f aca="false">IF(Data!D1299="—","—",IFERROR(INDEX(対訳マスタ!$C$2:$C$136,MATCH(Data!D1299,対訳マスタ!$B$2:$B$136,0)),Data!D1299))</f>
        <v>語用能力</v>
      </c>
      <c r="E1299" s="70" t="str">
        <f aca="false">IFERROR(INDEX(対訳マスタ!$C$2:$C$136,MATCH(Data!E1299,対訳マスタ!$B$2:$B$136,0)),Data!E1299)</f>
        <v>一貫性と結束性</v>
      </c>
      <c r="F1299" s="70" t="str">
        <f aca="false">Data!F1299</f>
        <v>C1</v>
      </c>
      <c r="G1299" s="31" t="str">
        <f aca="false">Data!G1299</f>
        <v>Can produce well-organised, coherent text, using a variety of cohesive devices and organisational patterns.</v>
      </c>
      <c r="H1299" s="71" t="s">
        <v>3066</v>
      </c>
      <c r="I1299" s="79" t="s">
        <v>3089</v>
      </c>
    </row>
    <row r="1300" customFormat="false" ht="21.75" hidden="false" customHeight="true" outlineLevel="0" collapsed="false">
      <c r="A1300" s="70" t="n">
        <f aca="false">Data!A1300</f>
        <v>1299</v>
      </c>
      <c r="B1300" s="70" t="str">
        <f aca="false">IFERROR(INDEX(対訳マスタ!$C$2:$C$136,MATCH(Data!B1300,対訳マスタ!$B$2:$B$136,0)),Data!B1300)</f>
        <v>コミュニケーション言語能力</v>
      </c>
      <c r="C1300" s="70" t="str">
        <f aca="false">IF(Data!C1300="—","—",IFERROR(INDEX(対訳マスタ!$C$2:$C$136,MATCH(Data!C1300,対訳マスタ!$B$2:$B$136,0)),Data!C1300))</f>
        <v>—</v>
      </c>
      <c r="D1300" s="70" t="str">
        <f aca="false">IF(Data!D1300="—","—",IFERROR(INDEX(対訳マスタ!$C$2:$C$136,MATCH(Data!D1300,対訳マスタ!$B$2:$B$136,0)),Data!D1300))</f>
        <v>語用能力</v>
      </c>
      <c r="E1300" s="70" t="str">
        <f aca="false">IFERROR(INDEX(対訳マスタ!$C$2:$C$136,MATCH(Data!E1300,対訳マスタ!$B$2:$B$136,0)),Data!E1300)</f>
        <v>一貫性と結束性</v>
      </c>
      <c r="F1300" s="70" t="str">
        <f aca="false">Data!F1300</f>
        <v>B2+</v>
      </c>
      <c r="G1300" s="31" t="str">
        <f aca="false">Data!G1300</f>
        <v>Can use a variety of linking expressions efficiently to mark clearly the relationships between ideas.</v>
      </c>
      <c r="H1300" s="71" t="s">
        <v>3065</v>
      </c>
      <c r="I1300" s="79" t="s">
        <v>3089</v>
      </c>
    </row>
    <row r="1301" customFormat="false" ht="21.75" hidden="false" customHeight="true" outlineLevel="0" collapsed="false">
      <c r="A1301" s="70" t="n">
        <f aca="false">Data!A1301</f>
        <v>1300</v>
      </c>
      <c r="B1301" s="70" t="str">
        <f aca="false">IFERROR(INDEX(対訳マスタ!$C$2:$C$136,MATCH(Data!B1301,対訳マスタ!$B$2:$B$136,0)),Data!B1301)</f>
        <v>コミュニケーション言語能力</v>
      </c>
      <c r="C1301" s="70" t="str">
        <f aca="false">IF(Data!C1301="—","—",IFERROR(INDEX(対訳マスタ!$C$2:$C$136,MATCH(Data!C1301,対訳マスタ!$B$2:$B$136,0)),Data!C1301))</f>
        <v>—</v>
      </c>
      <c r="D1301" s="70" t="str">
        <f aca="false">IF(Data!D1301="—","—",IFERROR(INDEX(対訳マスタ!$C$2:$C$136,MATCH(Data!D1301,対訳マスタ!$B$2:$B$136,0)),Data!D1301))</f>
        <v>語用能力</v>
      </c>
      <c r="E1301" s="70" t="str">
        <f aca="false">IFERROR(INDEX(対訳マスタ!$C$2:$C$136,MATCH(Data!E1301,対訳マスタ!$B$2:$B$136,0)),Data!E1301)</f>
        <v>一貫性と結束性</v>
      </c>
      <c r="F1301" s="70" t="str">
        <f aca="false">Data!F1301</f>
        <v>B2</v>
      </c>
      <c r="G1301" s="31" t="str">
        <f aca="false">Data!G1301</f>
        <v>Can use a limited number of cohesive devices to link their utterances into clear, coherent discourse, though there may be some “jumpiness” in a long contribution.</v>
      </c>
      <c r="H1301" s="71" t="s">
        <v>3616</v>
      </c>
      <c r="I1301" s="79" t="s">
        <v>3089</v>
      </c>
    </row>
    <row r="1302" customFormat="false" ht="21.75" hidden="false" customHeight="true" outlineLevel="0" collapsed="false">
      <c r="A1302" s="70" t="n">
        <f aca="false">Data!A1302</f>
        <v>1301</v>
      </c>
      <c r="B1302" s="70" t="str">
        <f aca="false">IFERROR(INDEX(対訳マスタ!$C$2:$C$136,MATCH(Data!B1302,対訳マスタ!$B$2:$B$136,0)),Data!B1302)</f>
        <v>コミュニケーション言語能力</v>
      </c>
      <c r="C1302" s="70" t="str">
        <f aca="false">IF(Data!C1302="—","—",IFERROR(INDEX(対訳マスタ!$C$2:$C$136,MATCH(Data!C1302,対訳マスタ!$B$2:$B$136,0)),Data!C1302))</f>
        <v>—</v>
      </c>
      <c r="D1302" s="70" t="str">
        <f aca="false">IF(Data!D1302="—","—",IFERROR(INDEX(対訳マスタ!$C$2:$C$136,MATCH(Data!D1302,対訳マスタ!$B$2:$B$136,0)),Data!D1302))</f>
        <v>語用能力</v>
      </c>
      <c r="E1302" s="70" t="str">
        <f aca="false">IFERROR(INDEX(対訳マスタ!$C$2:$C$136,MATCH(Data!E1302,対訳マスタ!$B$2:$B$136,0)),Data!E1302)</f>
        <v>一貫性と結束性</v>
      </c>
      <c r="F1302" s="70" t="str">
        <f aca="false">Data!F1302</f>
        <v>B2</v>
      </c>
      <c r="G1302" s="31" t="str">
        <f aca="false">Data!G1302</f>
        <v>Can produce text that is generally well-organised and coherent, using a range of linking expressions and cohesive devices.</v>
      </c>
      <c r="H1302" s="71" t="s">
        <v>3617</v>
      </c>
      <c r="I1302" s="79" t="s">
        <v>3089</v>
      </c>
    </row>
    <row r="1303" customFormat="false" ht="15" hidden="false" customHeight="true" outlineLevel="0" collapsed="false">
      <c r="A1303" s="70" t="n">
        <f aca="false">Data!A1303</f>
        <v>1302</v>
      </c>
      <c r="B1303" s="70" t="str">
        <f aca="false">IFERROR(INDEX(対訳マスタ!$C$2:$C$136,MATCH(Data!B1303,対訳マスタ!$B$2:$B$136,0)),Data!B1303)</f>
        <v>コミュニケーション言語能力</v>
      </c>
      <c r="C1303" s="70" t="str">
        <f aca="false">IF(Data!C1303="—","—",IFERROR(INDEX(対訳マスタ!$C$2:$C$136,MATCH(Data!C1303,対訳マスタ!$B$2:$B$136,0)),Data!C1303))</f>
        <v>—</v>
      </c>
      <c r="D1303" s="70" t="str">
        <f aca="false">IF(Data!D1303="—","—",IFERROR(INDEX(対訳マスタ!$C$2:$C$136,MATCH(Data!D1303,対訳マスタ!$B$2:$B$136,0)),Data!D1303))</f>
        <v>語用能力</v>
      </c>
      <c r="E1303" s="70" t="str">
        <f aca="false">IFERROR(INDEX(対訳マスタ!$C$2:$C$136,MATCH(Data!E1303,対訳マスタ!$B$2:$B$136,0)),Data!E1303)</f>
        <v>一貫性と結束性</v>
      </c>
      <c r="F1303" s="70" t="str">
        <f aca="false">Data!F1303</f>
        <v>B2</v>
      </c>
      <c r="G1303" s="31" t="str">
        <f aca="false">Data!G1303</f>
        <v>Can structure longer texts in clear, logical paragraphs.</v>
      </c>
      <c r="H1303" s="71" t="s">
        <v>3064</v>
      </c>
      <c r="I1303" s="79" t="s">
        <v>3089</v>
      </c>
    </row>
    <row r="1304" customFormat="false" ht="15" hidden="false" customHeight="true" outlineLevel="0" collapsed="false">
      <c r="A1304" s="70" t="n">
        <f aca="false">Data!A1304</f>
        <v>1303</v>
      </c>
      <c r="B1304" s="70" t="str">
        <f aca="false">IFERROR(INDEX(対訳マスタ!$C$2:$C$136,MATCH(Data!B1304,対訳マスタ!$B$2:$B$136,0)),Data!B1304)</f>
        <v>コミュニケーション言語能力</v>
      </c>
      <c r="C1304" s="70" t="str">
        <f aca="false">IF(Data!C1304="—","—",IFERROR(INDEX(対訳マスタ!$C$2:$C$136,MATCH(Data!C1304,対訳マスタ!$B$2:$B$136,0)),Data!C1304))</f>
        <v>—</v>
      </c>
      <c r="D1304" s="70" t="str">
        <f aca="false">IF(Data!D1304="—","—",IFERROR(INDEX(対訳マスタ!$C$2:$C$136,MATCH(Data!D1304,対訳マスタ!$B$2:$B$136,0)),Data!D1304))</f>
        <v>語用能力</v>
      </c>
      <c r="E1304" s="70" t="str">
        <f aca="false">IFERROR(INDEX(対訳マスタ!$C$2:$C$136,MATCH(Data!E1304,対訳マスタ!$B$2:$B$136,0)),Data!E1304)</f>
        <v>一貫性と結束性</v>
      </c>
      <c r="F1304" s="70" t="str">
        <f aca="false">Data!F1304</f>
        <v>B1+</v>
      </c>
      <c r="G1304" s="31" t="str">
        <f aca="false">Data!G1304</f>
        <v>Can introduce a counter-argument in a simple discursive text (e.g. with “however”).</v>
      </c>
      <c r="H1304" s="71" t="s">
        <v>3063</v>
      </c>
      <c r="I1304" s="79" t="s">
        <v>3089</v>
      </c>
    </row>
    <row r="1305" customFormat="false" ht="21.75" hidden="false" customHeight="true" outlineLevel="0" collapsed="false">
      <c r="A1305" s="70" t="n">
        <f aca="false">Data!A1305</f>
        <v>1304</v>
      </c>
      <c r="B1305" s="70" t="str">
        <f aca="false">IFERROR(INDEX(対訳マスタ!$C$2:$C$136,MATCH(Data!B1305,対訳マスタ!$B$2:$B$136,0)),Data!B1305)</f>
        <v>コミュニケーション言語能力</v>
      </c>
      <c r="C1305" s="70" t="str">
        <f aca="false">IF(Data!C1305="—","—",IFERROR(INDEX(対訳マスタ!$C$2:$C$136,MATCH(Data!C1305,対訳マスタ!$B$2:$B$136,0)),Data!C1305))</f>
        <v>—</v>
      </c>
      <c r="D1305" s="70" t="str">
        <f aca="false">IF(Data!D1305="—","—",IFERROR(INDEX(対訳マスタ!$C$2:$C$136,MATCH(Data!D1305,対訳マスタ!$B$2:$B$136,0)),Data!D1305))</f>
        <v>語用能力</v>
      </c>
      <c r="E1305" s="70" t="str">
        <f aca="false">IFERROR(INDEX(対訳マスタ!$C$2:$C$136,MATCH(Data!E1305,対訳マスタ!$B$2:$B$136,0)),Data!E1305)</f>
        <v>一貫性と結束性</v>
      </c>
      <c r="F1305" s="70" t="str">
        <f aca="false">Data!F1305</f>
        <v>B1</v>
      </c>
      <c r="G1305" s="31" t="str">
        <f aca="false">Data!G1305</f>
        <v>Can link a series of shorter, discrete simple elements into a connected, linear sequence of points.</v>
      </c>
      <c r="H1305" s="71" t="s">
        <v>3618</v>
      </c>
      <c r="I1305" s="79" t="s">
        <v>3089</v>
      </c>
    </row>
    <row r="1306" customFormat="false" ht="21.75" hidden="false" customHeight="true" outlineLevel="0" collapsed="false">
      <c r="A1306" s="70" t="n">
        <f aca="false">Data!A1306</f>
        <v>1305</v>
      </c>
      <c r="B1306" s="70" t="str">
        <f aca="false">IFERROR(INDEX(対訳マスタ!$C$2:$C$136,MATCH(Data!B1306,対訳マスタ!$B$2:$B$136,0)),Data!B1306)</f>
        <v>コミュニケーション言語能力</v>
      </c>
      <c r="C1306" s="70" t="str">
        <f aca="false">IF(Data!C1306="—","—",IFERROR(INDEX(対訳マスタ!$C$2:$C$136,MATCH(Data!C1306,対訳マスタ!$B$2:$B$136,0)),Data!C1306))</f>
        <v>—</v>
      </c>
      <c r="D1306" s="70" t="str">
        <f aca="false">IF(Data!D1306="—","—",IFERROR(INDEX(対訳マスタ!$C$2:$C$136,MATCH(Data!D1306,対訳マスタ!$B$2:$B$136,0)),Data!D1306))</f>
        <v>語用能力</v>
      </c>
      <c r="E1306" s="70" t="str">
        <f aca="false">IFERROR(INDEX(対訳マスタ!$C$2:$C$136,MATCH(Data!E1306,対訳マスタ!$B$2:$B$136,0)),Data!E1306)</f>
        <v>一貫性と結束性</v>
      </c>
      <c r="F1306" s="70" t="str">
        <f aca="false">Data!F1306</f>
        <v>B1</v>
      </c>
      <c r="G1306" s="31" t="str">
        <f aca="false">Data!G1306</f>
        <v>Can form longer sentences and link them together using a limited number of cohesive devices, e.g. in a story.</v>
      </c>
      <c r="H1306" s="71" t="s">
        <v>3619</v>
      </c>
      <c r="I1306" s="79" t="s">
        <v>3089</v>
      </c>
    </row>
    <row r="1307" customFormat="false" ht="15" hidden="false" customHeight="true" outlineLevel="0" collapsed="false">
      <c r="A1307" s="70" t="n">
        <f aca="false">Data!A1307</f>
        <v>1306</v>
      </c>
      <c r="B1307" s="70" t="str">
        <f aca="false">IFERROR(INDEX(対訳マスタ!$C$2:$C$136,MATCH(Data!B1307,対訳マスタ!$B$2:$B$136,0)),Data!B1307)</f>
        <v>コミュニケーション言語能力</v>
      </c>
      <c r="C1307" s="70" t="str">
        <f aca="false">IF(Data!C1307="—","—",IFERROR(INDEX(対訳マスタ!$C$2:$C$136,MATCH(Data!C1307,対訳マスタ!$B$2:$B$136,0)),Data!C1307))</f>
        <v>—</v>
      </c>
      <c r="D1307" s="70" t="str">
        <f aca="false">IF(Data!D1307="—","—",IFERROR(INDEX(対訳マスタ!$C$2:$C$136,MATCH(Data!D1307,対訳マスタ!$B$2:$B$136,0)),Data!D1307))</f>
        <v>語用能力</v>
      </c>
      <c r="E1307" s="70" t="str">
        <f aca="false">IFERROR(INDEX(対訳マスタ!$C$2:$C$136,MATCH(Data!E1307,対訳マスタ!$B$2:$B$136,0)),Data!E1307)</f>
        <v>一貫性と結束性</v>
      </c>
      <c r="F1307" s="70" t="str">
        <f aca="false">Data!F1307</f>
        <v>B1</v>
      </c>
      <c r="G1307" s="31" t="str">
        <f aca="false">Data!G1307</f>
        <v>Can make simple, logical paragraph breaks in a longer text.</v>
      </c>
      <c r="H1307" s="71" t="s">
        <v>3062</v>
      </c>
      <c r="I1307" s="79" t="s">
        <v>3089</v>
      </c>
    </row>
    <row r="1308" customFormat="false" ht="26.25" hidden="false" customHeight="true" outlineLevel="0" collapsed="false">
      <c r="A1308" s="70" t="n">
        <f aca="false">Data!A1308</f>
        <v>1307</v>
      </c>
      <c r="B1308" s="70" t="str">
        <f aca="false">IFERROR(INDEX(対訳マスタ!$C$2:$C$136,MATCH(Data!B1308,対訳マスタ!$B$2:$B$136,0)),Data!B1308)</f>
        <v>コミュニケーション言語能力</v>
      </c>
      <c r="C1308" s="70" t="str">
        <f aca="false">IF(Data!C1308="—","—",IFERROR(INDEX(対訳マスタ!$C$2:$C$136,MATCH(Data!C1308,対訳マスタ!$B$2:$B$136,0)),Data!C1308))</f>
        <v>—</v>
      </c>
      <c r="D1308" s="70" t="str">
        <f aca="false">IF(Data!D1308="—","—",IFERROR(INDEX(対訳マスタ!$C$2:$C$136,MATCH(Data!D1308,対訳マスタ!$B$2:$B$136,0)),Data!D1308))</f>
        <v>語用能力</v>
      </c>
      <c r="E1308" s="70" t="str">
        <f aca="false">IFERROR(INDEX(対訳マスタ!$C$2:$C$136,MATCH(Data!E1308,対訳マスタ!$B$2:$B$136,0)),Data!E1308)</f>
        <v>一貫性と結束性</v>
      </c>
      <c r="F1308" s="70" t="str">
        <f aca="false">Data!F1308</f>
        <v>A2+</v>
      </c>
      <c r="G1308" s="31" t="str">
        <f aca="false">Data!G1308</f>
        <v>Can use the most frequently occurring connectors to link simple sentences in order to tell a story or describe something as a simple list of points.</v>
      </c>
      <c r="H1308" s="71" t="s">
        <v>3061</v>
      </c>
      <c r="I1308" s="79" t="s">
        <v>3089</v>
      </c>
    </row>
    <row r="1309" customFormat="false" ht="15" hidden="false" customHeight="true" outlineLevel="0" collapsed="false">
      <c r="A1309" s="70" t="n">
        <f aca="false">Data!A1309</f>
        <v>1308</v>
      </c>
      <c r="B1309" s="70" t="str">
        <f aca="false">IFERROR(INDEX(対訳マスタ!$C$2:$C$136,MATCH(Data!B1309,対訳マスタ!$B$2:$B$136,0)),Data!B1309)</f>
        <v>コミュニケーション言語能力</v>
      </c>
      <c r="C1309" s="70" t="str">
        <f aca="false">IF(Data!C1309="—","—",IFERROR(INDEX(対訳マスタ!$C$2:$C$136,MATCH(Data!C1309,対訳マスタ!$B$2:$B$136,0)),Data!C1309))</f>
        <v>—</v>
      </c>
      <c r="D1309" s="70" t="str">
        <f aca="false">IF(Data!D1309="—","—",IFERROR(INDEX(対訳マスタ!$C$2:$C$136,MATCH(Data!D1309,対訳マスタ!$B$2:$B$136,0)),Data!D1309))</f>
        <v>語用能力</v>
      </c>
      <c r="E1309" s="70" t="str">
        <f aca="false">IFERROR(INDEX(対訳マスタ!$C$2:$C$136,MATCH(Data!E1309,対訳マスタ!$B$2:$B$136,0)),Data!E1309)</f>
        <v>一貫性と結束性</v>
      </c>
      <c r="F1309" s="70" t="str">
        <f aca="false">Data!F1309</f>
        <v>A2</v>
      </c>
      <c r="G1309" s="31" t="str">
        <f aca="false">Data!G1309</f>
        <v>Can link groups of words/signs with simple connectors (e.g. “and”, “but” and “because”).</v>
      </c>
      <c r="H1309" s="71" t="s">
        <v>3060</v>
      </c>
      <c r="I1309" s="79" t="s">
        <v>3089</v>
      </c>
    </row>
    <row r="1310" customFormat="false" ht="21.75" hidden="false" customHeight="true" outlineLevel="0" collapsed="false">
      <c r="A1310" s="70" t="n">
        <f aca="false">Data!A1310</f>
        <v>1309</v>
      </c>
      <c r="B1310" s="70" t="str">
        <f aca="false">IFERROR(INDEX(対訳マスタ!$C$2:$C$136,MATCH(Data!B1310,対訳マスタ!$B$2:$B$136,0)),Data!B1310)</f>
        <v>コミュニケーション言語能力</v>
      </c>
      <c r="C1310" s="70" t="str">
        <f aca="false">IF(Data!C1310="—","—",IFERROR(INDEX(対訳マスタ!$C$2:$C$136,MATCH(Data!C1310,対訳マスタ!$B$2:$B$136,0)),Data!C1310))</f>
        <v>—</v>
      </c>
      <c r="D1310" s="70" t="str">
        <f aca="false">IF(Data!D1310="—","—",IFERROR(INDEX(対訳マスタ!$C$2:$C$136,MATCH(Data!D1310,対訳マスタ!$B$2:$B$136,0)),Data!D1310))</f>
        <v>語用能力</v>
      </c>
      <c r="E1310" s="70" t="str">
        <f aca="false">IFERROR(INDEX(対訳マスタ!$C$2:$C$136,MATCH(Data!E1310,対訳マスタ!$B$2:$B$136,0)),Data!E1310)</f>
        <v>一貫性と結束性</v>
      </c>
      <c r="F1310" s="70" t="str">
        <f aca="false">Data!F1310</f>
        <v>A1</v>
      </c>
      <c r="G1310" s="31" t="str">
        <f aca="false">Data!G1310</f>
        <v>Can link words/signs or groups of words/signs with very basic linear connectors (e.g. “and” or “then”).</v>
      </c>
      <c r="H1310" s="71" t="s">
        <v>3059</v>
      </c>
      <c r="I1310" s="79" t="s">
        <v>3089</v>
      </c>
    </row>
    <row r="1311" customFormat="false" ht="15" hidden="false" customHeight="true" outlineLevel="0" collapsed="false">
      <c r="A1311" s="80" t="n">
        <f aca="false">Data!A1311</f>
        <v>1310</v>
      </c>
      <c r="B1311" s="80" t="str">
        <f aca="false">IFERROR(INDEX(対訳マスタ!$C$2:$C$136,MATCH(Data!B1311,対訳マスタ!$B$2:$B$136,0)),Data!B1311)</f>
        <v>コミュニケーション言語能力</v>
      </c>
      <c r="C1311" s="80" t="str">
        <f aca="false">IF(Data!C1311="—","—",IFERROR(INDEX(対訳マスタ!$C$2:$C$136,MATCH(Data!C1311,対訳マスタ!$B$2:$B$136,0)),Data!C1311))</f>
        <v>—</v>
      </c>
      <c r="D1311" s="80" t="str">
        <f aca="false">IF(Data!D1311="—","—",IFERROR(INDEX(対訳マスタ!$C$2:$C$136,MATCH(Data!D1311,対訳マスタ!$B$2:$B$136,0)),Data!D1311))</f>
        <v>語用能力</v>
      </c>
      <c r="E1311" s="80" t="str">
        <f aca="false">IFERROR(INDEX(対訳マスタ!$C$2:$C$136,MATCH(Data!E1311,対訳マスタ!$B$2:$B$136,0)),Data!E1311)</f>
        <v>一貫性と結束性</v>
      </c>
      <c r="F1311" s="80" t="str">
        <f aca="false">Data!F1311</f>
        <v>Pre-A1</v>
      </c>
      <c r="G1311" s="81" t="str">
        <f aca="false">Data!G1311</f>
        <v>No descriptors available</v>
      </c>
      <c r="H1311" s="81" t="s">
        <v>624</v>
      </c>
      <c r="I1311" s="80" t="s">
        <v>624</v>
      </c>
    </row>
    <row r="1312" customFormat="false" ht="32.25" hidden="false" customHeight="true" outlineLevel="0" collapsed="false">
      <c r="A1312" s="70" t="n">
        <f aca="false">Data!A1312</f>
        <v>1311</v>
      </c>
      <c r="B1312" s="70" t="str">
        <f aca="false">IFERROR(INDEX(対訳マスタ!$C$2:$C$136,MATCH(Data!B1312,対訳マスタ!$B$2:$B$136,0)),Data!B1312)</f>
        <v>コミュニケーション言語能力</v>
      </c>
      <c r="C1312" s="70" t="str">
        <f aca="false">IF(Data!C1312="—","—",IFERROR(INDEX(対訳マスタ!$C$2:$C$136,MATCH(Data!C1312,対訳マスタ!$B$2:$B$136,0)),Data!C1312))</f>
        <v>—</v>
      </c>
      <c r="D1312" s="70" t="str">
        <f aca="false">IF(Data!D1312="—","—",IFERROR(INDEX(対訳マスタ!$C$2:$C$136,MATCH(Data!D1312,対訳マスタ!$B$2:$B$136,0)),Data!D1312))</f>
        <v>語用能力</v>
      </c>
      <c r="E1312" s="70" t="str">
        <f aca="false">IFERROR(INDEX(対訳マスタ!$C$2:$C$136,MATCH(Data!E1312,対訳マスタ!$B$2:$B$136,0)),Data!E1312)</f>
        <v>命題の精密さ（言いたいことの精度）</v>
      </c>
      <c r="F1312" s="70" t="str">
        <f aca="false">Data!F1312</f>
        <v>C2</v>
      </c>
      <c r="G1312" s="31" t="str">
        <f aca="false">Data!G1312</f>
        <v>Can convey finer shades of meaning precisely by using, with reasonable accuracy, a wide range of qualifying devices (e.g. adverbs expressing degree, clauses expressing limitations).</v>
      </c>
      <c r="H1312" s="71" t="s">
        <v>3620</v>
      </c>
      <c r="I1312" s="79" t="s">
        <v>3089</v>
      </c>
    </row>
    <row r="1313" customFormat="false" ht="15" hidden="false" customHeight="true" outlineLevel="0" collapsed="false">
      <c r="A1313" s="70" t="n">
        <f aca="false">Data!A1313</f>
        <v>1312</v>
      </c>
      <c r="B1313" s="70" t="str">
        <f aca="false">IFERROR(INDEX(対訳マスタ!$C$2:$C$136,MATCH(Data!B1313,対訳マスタ!$B$2:$B$136,0)),Data!B1313)</f>
        <v>コミュニケーション言語能力</v>
      </c>
      <c r="C1313" s="70" t="str">
        <f aca="false">IF(Data!C1313="—","—",IFERROR(INDEX(対訳マスタ!$C$2:$C$136,MATCH(Data!C1313,対訳マスタ!$B$2:$B$136,0)),Data!C1313))</f>
        <v>—</v>
      </c>
      <c r="D1313" s="70" t="str">
        <f aca="false">IF(Data!D1313="—","—",IFERROR(INDEX(対訳マスタ!$C$2:$C$136,MATCH(Data!D1313,対訳マスタ!$B$2:$B$136,0)),Data!D1313))</f>
        <v>語用能力</v>
      </c>
      <c r="E1313" s="70" t="str">
        <f aca="false">IFERROR(INDEX(対訳マスタ!$C$2:$C$136,MATCH(Data!E1313,対訳マスタ!$B$2:$B$136,0)),Data!E1313)</f>
        <v>命題の精密さ（言いたいことの精度）</v>
      </c>
      <c r="F1313" s="70" t="str">
        <f aca="false">Data!F1313</f>
        <v>C2</v>
      </c>
      <c r="G1313" s="31" t="str">
        <f aca="false">Data!G1313</f>
        <v>Can give emphasis, differentiate and eliminate ambiguity.</v>
      </c>
      <c r="H1313" s="71" t="s">
        <v>3074</v>
      </c>
      <c r="I1313" s="79" t="s">
        <v>3089</v>
      </c>
    </row>
    <row r="1314" customFormat="false" ht="21.75" hidden="false" customHeight="true" outlineLevel="0" collapsed="false">
      <c r="A1314" s="70" t="n">
        <f aca="false">Data!A1314</f>
        <v>1313</v>
      </c>
      <c r="B1314" s="70" t="str">
        <f aca="false">IFERROR(INDEX(対訳マスタ!$C$2:$C$136,MATCH(Data!B1314,対訳マスタ!$B$2:$B$136,0)),Data!B1314)</f>
        <v>コミュニケーション言語能力</v>
      </c>
      <c r="C1314" s="70" t="str">
        <f aca="false">IF(Data!C1314="—","—",IFERROR(INDEX(対訳マスタ!$C$2:$C$136,MATCH(Data!C1314,対訳マスタ!$B$2:$B$136,0)),Data!C1314))</f>
        <v>—</v>
      </c>
      <c r="D1314" s="70" t="str">
        <f aca="false">IF(Data!D1314="—","—",IFERROR(INDEX(対訳マスタ!$C$2:$C$136,MATCH(Data!D1314,対訳マスタ!$B$2:$B$136,0)),Data!D1314))</f>
        <v>語用能力</v>
      </c>
      <c r="E1314" s="70" t="str">
        <f aca="false">IFERROR(INDEX(対訳マスタ!$C$2:$C$136,MATCH(Data!E1314,対訳マスタ!$B$2:$B$136,0)),Data!E1314)</f>
        <v>命題の精密さ（言いたいことの精度）</v>
      </c>
      <c r="F1314" s="70" t="str">
        <f aca="false">Data!F1314</f>
        <v>C1</v>
      </c>
      <c r="G1314" s="31" t="str">
        <f aca="false">Data!G1314</f>
        <v>Can qualify opinions and statements precisely in relation to degrees of, for example, certainty/uncertainty, belief/doubt, likelihood, etc.</v>
      </c>
      <c r="H1314" s="71" t="s">
        <v>3621</v>
      </c>
      <c r="I1314" s="79" t="s">
        <v>3089</v>
      </c>
    </row>
    <row r="1315" customFormat="false" ht="21.75" hidden="false" customHeight="true" outlineLevel="0" collapsed="false">
      <c r="A1315" s="70" t="n">
        <f aca="false">Data!A1315</f>
        <v>1314</v>
      </c>
      <c r="B1315" s="70" t="str">
        <f aca="false">IFERROR(INDEX(対訳マスタ!$C$2:$C$136,MATCH(Data!B1315,対訳マスタ!$B$2:$B$136,0)),Data!B1315)</f>
        <v>コミュニケーション言語能力</v>
      </c>
      <c r="C1315" s="70" t="str">
        <f aca="false">IF(Data!C1315="—","—",IFERROR(INDEX(対訳マスタ!$C$2:$C$136,MATCH(Data!C1315,対訳マスタ!$B$2:$B$136,0)),Data!C1315))</f>
        <v>—</v>
      </c>
      <c r="D1315" s="70" t="str">
        <f aca="false">IF(Data!D1315="—","—",IFERROR(INDEX(対訳マスタ!$C$2:$C$136,MATCH(Data!D1315,対訳マスタ!$B$2:$B$136,0)),Data!D1315))</f>
        <v>語用能力</v>
      </c>
      <c r="E1315" s="70" t="str">
        <f aca="false">IFERROR(INDEX(対訳マスタ!$C$2:$C$136,MATCH(Data!E1315,対訳マスタ!$B$2:$B$136,0)),Data!E1315)</f>
        <v>命題の精密さ（言いたいことの精度）</v>
      </c>
      <c r="F1315" s="70" t="str">
        <f aca="false">Data!F1315</f>
        <v>C1</v>
      </c>
      <c r="G1315" s="31" t="str">
        <f aca="false">Data!G1315</f>
        <v>Can make effective use of linguistic modality to signal the strength of a claim, an argument or a position.</v>
      </c>
      <c r="H1315" s="71" t="s">
        <v>3073</v>
      </c>
      <c r="I1315" s="79" t="s">
        <v>3089</v>
      </c>
    </row>
    <row r="1316" customFormat="false" ht="15" hidden="false" customHeight="true" outlineLevel="0" collapsed="false">
      <c r="A1316" s="70" t="n">
        <f aca="false">Data!A1316</f>
        <v>1315</v>
      </c>
      <c r="B1316" s="70" t="str">
        <f aca="false">IFERROR(INDEX(対訳マスタ!$C$2:$C$136,MATCH(Data!B1316,対訳マスタ!$B$2:$B$136,0)),Data!B1316)</f>
        <v>コミュニケーション言語能力</v>
      </c>
      <c r="C1316" s="70" t="str">
        <f aca="false">IF(Data!C1316="—","—",IFERROR(INDEX(対訳マスタ!$C$2:$C$136,MATCH(Data!C1316,対訳マスタ!$B$2:$B$136,0)),Data!C1316))</f>
        <v>—</v>
      </c>
      <c r="D1316" s="70" t="str">
        <f aca="false">IF(Data!D1316="—","—",IFERROR(INDEX(対訳マスタ!$C$2:$C$136,MATCH(Data!D1316,対訳マスタ!$B$2:$B$136,0)),Data!D1316))</f>
        <v>語用能力</v>
      </c>
      <c r="E1316" s="70" t="str">
        <f aca="false">IFERROR(INDEX(対訳マスタ!$C$2:$C$136,MATCH(Data!E1316,対訳マスタ!$B$2:$B$136,0)),Data!E1316)</f>
        <v>命題の精密さ（言いたいことの精度）</v>
      </c>
      <c r="F1316" s="70" t="str">
        <f aca="false">Data!F1316</f>
        <v>B2</v>
      </c>
      <c r="G1316" s="31" t="str">
        <f aca="false">Data!G1316</f>
        <v>Can pass on detailed information reliably.</v>
      </c>
      <c r="H1316" s="71" t="s">
        <v>2713</v>
      </c>
      <c r="I1316" s="79" t="s">
        <v>3089</v>
      </c>
    </row>
    <row r="1317" customFormat="false" ht="21.75" hidden="false" customHeight="true" outlineLevel="0" collapsed="false">
      <c r="A1317" s="70" t="n">
        <f aca="false">Data!A1317</f>
        <v>1316</v>
      </c>
      <c r="B1317" s="70" t="str">
        <f aca="false">IFERROR(INDEX(対訳マスタ!$C$2:$C$136,MATCH(Data!B1317,対訳マスタ!$B$2:$B$136,0)),Data!B1317)</f>
        <v>コミュニケーション言語能力</v>
      </c>
      <c r="C1317" s="70" t="str">
        <f aca="false">IF(Data!C1317="—","—",IFERROR(INDEX(対訳マスタ!$C$2:$C$136,MATCH(Data!C1317,対訳マスタ!$B$2:$B$136,0)),Data!C1317))</f>
        <v>—</v>
      </c>
      <c r="D1317" s="70" t="str">
        <f aca="false">IF(Data!D1317="—","—",IFERROR(INDEX(対訳マスタ!$C$2:$C$136,MATCH(Data!D1317,対訳マスタ!$B$2:$B$136,0)),Data!D1317))</f>
        <v>語用能力</v>
      </c>
      <c r="E1317" s="70" t="str">
        <f aca="false">IFERROR(INDEX(対訳マスタ!$C$2:$C$136,MATCH(Data!E1317,対訳マスタ!$B$2:$B$136,0)),Data!E1317)</f>
        <v>命題の精密さ（言いたいことの精度）</v>
      </c>
      <c r="F1317" s="70" t="str">
        <f aca="false">Data!F1317</f>
        <v>B2</v>
      </c>
      <c r="G1317" s="31" t="str">
        <f aca="false">Data!G1317</f>
        <v>Can communicate the essential points even in more demanding situations, though their language lacks expressive power and idiomaticity.</v>
      </c>
      <c r="H1317" s="71" t="s">
        <v>3622</v>
      </c>
      <c r="I1317" s="79" t="s">
        <v>3089</v>
      </c>
    </row>
    <row r="1318" customFormat="false" ht="15" hidden="false" customHeight="true" outlineLevel="0" collapsed="false">
      <c r="A1318" s="70" t="n">
        <f aca="false">Data!A1318</f>
        <v>1317</v>
      </c>
      <c r="B1318" s="70" t="str">
        <f aca="false">IFERROR(INDEX(対訳マスタ!$C$2:$C$136,MATCH(Data!B1318,対訳マスタ!$B$2:$B$136,0)),Data!B1318)</f>
        <v>コミュニケーション言語能力</v>
      </c>
      <c r="C1318" s="70" t="str">
        <f aca="false">IF(Data!C1318="—","—",IFERROR(INDEX(対訳マスタ!$C$2:$C$136,MATCH(Data!C1318,対訳マスタ!$B$2:$B$136,0)),Data!C1318))</f>
        <v>—</v>
      </c>
      <c r="D1318" s="70" t="str">
        <f aca="false">IF(Data!D1318="—","—",IFERROR(INDEX(対訳マスタ!$C$2:$C$136,MATCH(Data!D1318,対訳マスタ!$B$2:$B$136,0)),Data!D1318))</f>
        <v>語用能力</v>
      </c>
      <c r="E1318" s="70" t="str">
        <f aca="false">IFERROR(INDEX(対訳マスタ!$C$2:$C$136,MATCH(Data!E1318,対訳マスタ!$B$2:$B$136,0)),Data!E1318)</f>
        <v>命題の精密さ（言いたいことの精度）</v>
      </c>
      <c r="F1318" s="70" t="str">
        <f aca="false">Data!F1318</f>
        <v>B1+</v>
      </c>
      <c r="G1318" s="31" t="str">
        <f aca="false">Data!G1318</f>
        <v>Can explain the main points in an idea or problem with reasonable precision.</v>
      </c>
      <c r="H1318" s="71" t="s">
        <v>3072</v>
      </c>
      <c r="I1318" s="79" t="s">
        <v>3089</v>
      </c>
    </row>
    <row r="1319" customFormat="false" ht="21.75" hidden="false" customHeight="true" outlineLevel="0" collapsed="false">
      <c r="A1319" s="70" t="n">
        <f aca="false">Data!A1319</f>
        <v>1318</v>
      </c>
      <c r="B1319" s="70" t="str">
        <f aca="false">IFERROR(INDEX(対訳マスタ!$C$2:$C$136,MATCH(Data!B1319,対訳マスタ!$B$2:$B$136,0)),Data!B1319)</f>
        <v>コミュニケーション言語能力</v>
      </c>
      <c r="C1319" s="70" t="str">
        <f aca="false">IF(Data!C1319="—","—",IFERROR(INDEX(対訳マスタ!$C$2:$C$136,MATCH(Data!C1319,対訳マスタ!$B$2:$B$136,0)),Data!C1319))</f>
        <v>—</v>
      </c>
      <c r="D1319" s="70" t="str">
        <f aca="false">IF(Data!D1319="—","—",IFERROR(INDEX(対訳マスタ!$C$2:$C$136,MATCH(Data!D1319,対訳マスタ!$B$2:$B$136,0)),Data!D1319))</f>
        <v>語用能力</v>
      </c>
      <c r="E1319" s="70" t="str">
        <f aca="false">IFERROR(INDEX(対訳マスタ!$C$2:$C$136,MATCH(Data!E1319,対訳マスタ!$B$2:$B$136,0)),Data!E1319)</f>
        <v>命題の精密さ（言いたいことの精度）</v>
      </c>
      <c r="F1319" s="70" t="str">
        <f aca="false">Data!F1319</f>
        <v>B1</v>
      </c>
      <c r="G1319" s="31" t="str">
        <f aca="false">Data!G1319</f>
        <v>Can convey simple, straightforward information of immediate relevance, getting across the point they feel is most important.</v>
      </c>
      <c r="H1319" s="71" t="s">
        <v>3623</v>
      </c>
      <c r="I1319" s="79" t="s">
        <v>3089</v>
      </c>
    </row>
    <row r="1320" customFormat="false" ht="15" hidden="false" customHeight="true" outlineLevel="0" collapsed="false">
      <c r="A1320" s="70" t="n">
        <f aca="false">Data!A1320</f>
        <v>1319</v>
      </c>
      <c r="B1320" s="70" t="str">
        <f aca="false">IFERROR(INDEX(対訳マスタ!$C$2:$C$136,MATCH(Data!B1320,対訳マスタ!$B$2:$B$136,0)),Data!B1320)</f>
        <v>コミュニケーション言語能力</v>
      </c>
      <c r="C1320" s="70" t="str">
        <f aca="false">IF(Data!C1320="—","—",IFERROR(INDEX(対訳マスタ!$C$2:$C$136,MATCH(Data!C1320,対訳マスタ!$B$2:$B$136,0)),Data!C1320))</f>
        <v>—</v>
      </c>
      <c r="D1320" s="70" t="str">
        <f aca="false">IF(Data!D1320="—","—",IFERROR(INDEX(対訳マスタ!$C$2:$C$136,MATCH(Data!D1320,対訳マスタ!$B$2:$B$136,0)),Data!D1320))</f>
        <v>語用能力</v>
      </c>
      <c r="E1320" s="70" t="str">
        <f aca="false">IFERROR(INDEX(対訳マスタ!$C$2:$C$136,MATCH(Data!E1320,対訳マスタ!$B$2:$B$136,0)),Data!E1320)</f>
        <v>命題の精密さ（言いたいことの精度）</v>
      </c>
      <c r="F1320" s="70" t="str">
        <f aca="false">Data!F1320</f>
        <v>B1</v>
      </c>
      <c r="G1320" s="31" t="str">
        <f aca="false">Data!G1320</f>
        <v>Can express the main point they want to make comprehensibly.</v>
      </c>
      <c r="H1320" s="71" t="s">
        <v>3071</v>
      </c>
      <c r="I1320" s="79" t="s">
        <v>3089</v>
      </c>
    </row>
    <row r="1321" customFormat="false" ht="32.25" hidden="false" customHeight="true" outlineLevel="0" collapsed="false">
      <c r="A1321" s="70" t="n">
        <f aca="false">Data!A1321</f>
        <v>1320</v>
      </c>
      <c r="B1321" s="70" t="str">
        <f aca="false">IFERROR(INDEX(対訳マスタ!$C$2:$C$136,MATCH(Data!B1321,対訳マスタ!$B$2:$B$136,0)),Data!B1321)</f>
        <v>コミュニケーション言語能力</v>
      </c>
      <c r="C1321" s="70" t="str">
        <f aca="false">IF(Data!C1321="—","—",IFERROR(INDEX(対訳マスタ!$C$2:$C$136,MATCH(Data!C1321,対訳マスタ!$B$2:$B$136,0)),Data!C1321))</f>
        <v>—</v>
      </c>
      <c r="D1321" s="70" t="str">
        <f aca="false">IF(Data!D1321="—","—",IFERROR(INDEX(対訳マスタ!$C$2:$C$136,MATCH(Data!D1321,対訳マスタ!$B$2:$B$136,0)),Data!D1321))</f>
        <v>語用能力</v>
      </c>
      <c r="E1321" s="70" t="str">
        <f aca="false">IFERROR(INDEX(対訳マスタ!$C$2:$C$136,MATCH(Data!E1321,対訳マスタ!$B$2:$B$136,0)),Data!E1321)</f>
        <v>命題の精密さ（言いたいことの精度）</v>
      </c>
      <c r="F1321" s="70" t="str">
        <f aca="false">Data!F1321</f>
        <v>A2</v>
      </c>
      <c r="G1321" s="31" t="str">
        <f aca="false">Data!G1321</f>
        <v>Can communicate what they want to say in a simple and direct exchange of limited information on familiar and routine matters, but in other situations they generally have to compromise the message.</v>
      </c>
      <c r="H1321" s="71" t="s">
        <v>3070</v>
      </c>
      <c r="I1321" s="79" t="s">
        <v>3089</v>
      </c>
    </row>
    <row r="1322" customFormat="false" ht="21.75" hidden="false" customHeight="true" outlineLevel="0" collapsed="false">
      <c r="A1322" s="70" t="n">
        <f aca="false">Data!A1322</f>
        <v>1321</v>
      </c>
      <c r="B1322" s="70" t="str">
        <f aca="false">IFERROR(INDEX(対訳マスタ!$C$2:$C$136,MATCH(Data!B1322,対訳マスタ!$B$2:$B$136,0)),Data!B1322)</f>
        <v>コミュニケーション言語能力</v>
      </c>
      <c r="C1322" s="70" t="str">
        <f aca="false">IF(Data!C1322="—","—",IFERROR(INDEX(対訳マスタ!$C$2:$C$136,MATCH(Data!C1322,対訳マスタ!$B$2:$B$136,0)),Data!C1322))</f>
        <v>—</v>
      </c>
      <c r="D1322" s="70" t="str">
        <f aca="false">IF(Data!D1322="—","—",IFERROR(INDEX(対訳マスタ!$C$2:$C$136,MATCH(Data!D1322,対訳マスタ!$B$2:$B$136,0)),Data!D1322))</f>
        <v>語用能力</v>
      </c>
      <c r="E1322" s="70" t="str">
        <f aca="false">IFERROR(INDEX(対訳マスタ!$C$2:$C$136,MATCH(Data!E1322,対訳マスタ!$B$2:$B$136,0)),Data!E1322)</f>
        <v>命題の精密さ（言いたいことの精度）</v>
      </c>
      <c r="F1322" s="70" t="str">
        <f aca="false">Data!F1322</f>
        <v>A1</v>
      </c>
      <c r="G1322" s="31" t="str">
        <f aca="false">Data!G1322</f>
        <v>Can communicate basic information about personal details and needs of a concrete type in a simple way.</v>
      </c>
      <c r="H1322" s="71" t="s">
        <v>3069</v>
      </c>
      <c r="I1322" s="79" t="s">
        <v>3089</v>
      </c>
    </row>
    <row r="1323" customFormat="false" ht="15" hidden="false" customHeight="true" outlineLevel="0" collapsed="false">
      <c r="A1323" s="70" t="n">
        <f aca="false">Data!A1323</f>
        <v>1322</v>
      </c>
      <c r="B1323" s="70" t="str">
        <f aca="false">IFERROR(INDEX(対訳マスタ!$C$2:$C$136,MATCH(Data!B1323,対訳マスタ!$B$2:$B$136,0)),Data!B1323)</f>
        <v>コミュニケーション言語能力</v>
      </c>
      <c r="C1323" s="70" t="str">
        <f aca="false">IF(Data!C1323="—","—",IFERROR(INDEX(対訳マスタ!$C$2:$C$136,MATCH(Data!C1323,対訳マスタ!$B$2:$B$136,0)),Data!C1323))</f>
        <v>—</v>
      </c>
      <c r="D1323" s="70" t="str">
        <f aca="false">IF(Data!D1323="—","—",IFERROR(INDEX(対訳マスタ!$C$2:$C$136,MATCH(Data!D1323,対訳マスタ!$B$2:$B$136,0)),Data!D1323))</f>
        <v>語用能力</v>
      </c>
      <c r="E1323" s="70" t="str">
        <f aca="false">IFERROR(INDEX(対訳マスタ!$C$2:$C$136,MATCH(Data!E1323,対訳マスタ!$B$2:$B$136,0)),Data!E1323)</f>
        <v>命題の精密さ（言いたいことの精度）</v>
      </c>
      <c r="F1323" s="70" t="str">
        <f aca="false">Data!F1323</f>
        <v>Pre-A1</v>
      </c>
      <c r="G1323" s="31" t="str">
        <f aca="false">Data!G1323</f>
        <v>Can communicate very basic information about personal details in a simple way.</v>
      </c>
      <c r="H1323" s="71" t="s">
        <v>3068</v>
      </c>
      <c r="I1323" s="79" t="s">
        <v>3089</v>
      </c>
    </row>
    <row r="1324" customFormat="false" ht="32.25" hidden="false" customHeight="true" outlineLevel="0" collapsed="false">
      <c r="A1324" s="70" t="n">
        <f aca="false">Data!A1324</f>
        <v>1323</v>
      </c>
      <c r="B1324" s="70" t="str">
        <f aca="false">IFERROR(INDEX(対訳マスタ!$C$2:$C$136,MATCH(Data!B1324,対訳マスタ!$B$2:$B$136,0)),Data!B1324)</f>
        <v>コミュニケーション言語能力</v>
      </c>
      <c r="C1324" s="70" t="str">
        <f aca="false">IF(Data!C1324="—","—",IFERROR(INDEX(対訳マスタ!$C$2:$C$136,MATCH(Data!C1324,対訳マスタ!$B$2:$B$136,0)),Data!C1324))</f>
        <v>—</v>
      </c>
      <c r="D1324" s="70" t="str">
        <f aca="false">IF(Data!D1324="—","—",IFERROR(INDEX(対訳マスタ!$C$2:$C$136,MATCH(Data!D1324,対訳マスタ!$B$2:$B$136,0)),Data!D1324))</f>
        <v>語用能力</v>
      </c>
      <c r="E1324" s="70" t="str">
        <f aca="false">IFERROR(INDEX(対訳マスタ!$C$2:$C$136,MATCH(Data!E1324,対訳マスタ!$B$2:$B$136,0)),Data!E1324)</f>
        <v>流暢さ</v>
      </c>
      <c r="F1324" s="70" t="str">
        <f aca="false">Data!F1324</f>
        <v>C2</v>
      </c>
      <c r="G1324" s="31" t="str">
        <f aca="false">Data!G1324</f>
        <v>Can express themselves at length with a natural, effortless, unhesitating flow. Pauses only to reflect on precisely the right means to express their thoughts or to find an appropriate example or explanation.</v>
      </c>
      <c r="H1324" s="71" t="s">
        <v>3084</v>
      </c>
      <c r="I1324" s="79" t="s">
        <v>3089</v>
      </c>
    </row>
    <row r="1325" customFormat="false" ht="26.25" hidden="false" customHeight="true" outlineLevel="0" collapsed="false">
      <c r="A1325" s="70" t="n">
        <f aca="false">Data!A1325</f>
        <v>1324</v>
      </c>
      <c r="B1325" s="70" t="str">
        <f aca="false">IFERROR(INDEX(対訳マスタ!$C$2:$C$136,MATCH(Data!B1325,対訳マスタ!$B$2:$B$136,0)),Data!B1325)</f>
        <v>コミュニケーション言語能力</v>
      </c>
      <c r="C1325" s="70" t="str">
        <f aca="false">IF(Data!C1325="—","—",IFERROR(INDEX(対訳マスタ!$C$2:$C$136,MATCH(Data!C1325,対訳マスタ!$B$2:$B$136,0)),Data!C1325))</f>
        <v>—</v>
      </c>
      <c r="D1325" s="70" t="str">
        <f aca="false">IF(Data!D1325="—","—",IFERROR(INDEX(対訳マスタ!$C$2:$C$136,MATCH(Data!D1325,対訳マスタ!$B$2:$B$136,0)),Data!D1325))</f>
        <v>語用能力</v>
      </c>
      <c r="E1325" s="70" t="str">
        <f aca="false">IFERROR(INDEX(対訳マスタ!$C$2:$C$136,MATCH(Data!E1325,対訳マスタ!$B$2:$B$136,0)),Data!E1325)</f>
        <v>流暢さ</v>
      </c>
      <c r="F1325" s="70" t="str">
        <f aca="false">Data!F1325</f>
        <v>C1</v>
      </c>
      <c r="G1325" s="31" t="str">
        <f aca="false">Data!G1325</f>
        <v>Can express themselves fluently and spontaneously, almost effortlessly. Only a conceptually difficult subject can hinder a natural, smooth flow of language.</v>
      </c>
      <c r="H1325" s="71" t="s">
        <v>3083</v>
      </c>
      <c r="I1325" s="79" t="s">
        <v>3089</v>
      </c>
    </row>
    <row r="1326" customFormat="false" ht="26.25" hidden="false" customHeight="true" outlineLevel="0" collapsed="false">
      <c r="A1326" s="70" t="n">
        <f aca="false">Data!A1326</f>
        <v>1325</v>
      </c>
      <c r="B1326" s="70" t="str">
        <f aca="false">IFERROR(INDEX(対訳マスタ!$C$2:$C$136,MATCH(Data!B1326,対訳マスタ!$B$2:$B$136,0)),Data!B1326)</f>
        <v>コミュニケーション言語能力</v>
      </c>
      <c r="C1326" s="70" t="str">
        <f aca="false">IF(Data!C1326="—","—",IFERROR(INDEX(対訳マスタ!$C$2:$C$136,MATCH(Data!C1326,対訳マスタ!$B$2:$B$136,0)),Data!C1326))</f>
        <v>—</v>
      </c>
      <c r="D1326" s="70" t="str">
        <f aca="false">IF(Data!D1326="—","—",IFERROR(INDEX(対訳マスタ!$C$2:$C$136,MATCH(Data!D1326,対訳マスタ!$B$2:$B$136,0)),Data!D1326))</f>
        <v>語用能力</v>
      </c>
      <c r="E1326" s="70" t="str">
        <f aca="false">IFERROR(INDEX(対訳マスタ!$C$2:$C$136,MATCH(Data!E1326,対訳マスタ!$B$2:$B$136,0)),Data!E1326)</f>
        <v>流暢さ</v>
      </c>
      <c r="F1326" s="70" t="str">
        <f aca="false">Data!F1326</f>
        <v>B2+</v>
      </c>
      <c r="G1326" s="31" t="str">
        <f aca="false">Data!G1326</f>
        <v>Can communicate spontaneously, often showing remarkable fluency and ease of expression in even longer complex stretches of language.</v>
      </c>
      <c r="H1326" s="71" t="s">
        <v>3082</v>
      </c>
      <c r="I1326" s="79" t="s">
        <v>3089</v>
      </c>
    </row>
    <row r="1327" customFormat="false" ht="32.25" hidden="false" customHeight="true" outlineLevel="0" collapsed="false">
      <c r="A1327" s="70" t="n">
        <f aca="false">Data!A1327</f>
        <v>1326</v>
      </c>
      <c r="B1327" s="70" t="str">
        <f aca="false">IFERROR(INDEX(対訳マスタ!$C$2:$C$136,MATCH(Data!B1327,対訳マスタ!$B$2:$B$136,0)),Data!B1327)</f>
        <v>コミュニケーション言語能力</v>
      </c>
      <c r="C1327" s="70" t="str">
        <f aca="false">IF(Data!C1327="—","—",IFERROR(INDEX(対訳マスタ!$C$2:$C$136,MATCH(Data!C1327,対訳マスタ!$B$2:$B$136,0)),Data!C1327))</f>
        <v>—</v>
      </c>
      <c r="D1327" s="70" t="str">
        <f aca="false">IF(Data!D1327="—","—",IFERROR(INDEX(対訳マスタ!$C$2:$C$136,MATCH(Data!D1327,対訳マスタ!$B$2:$B$136,0)),Data!D1327))</f>
        <v>語用能力</v>
      </c>
      <c r="E1327" s="70" t="str">
        <f aca="false">IFERROR(INDEX(対訳マスタ!$C$2:$C$136,MATCH(Data!E1327,対訳マスタ!$B$2:$B$136,0)),Data!E1327)</f>
        <v>流暢さ</v>
      </c>
      <c r="F1327" s="70" t="str">
        <f aca="false">Data!F1327</f>
        <v>B2</v>
      </c>
      <c r="G1327" s="31" t="str">
        <f aca="false">Data!G1327</f>
        <v>Can produce stretches of language with a fairly even tempo; although they can be hesitant as they search for patterns and expressions, there are few noticeably long pauses.</v>
      </c>
      <c r="H1327" s="71" t="s">
        <v>3081</v>
      </c>
      <c r="I1327" s="79" t="s">
        <v>3089</v>
      </c>
    </row>
    <row r="1328" customFormat="false" ht="21.75" hidden="false" customHeight="true" outlineLevel="0" collapsed="false">
      <c r="A1328" s="70" t="n">
        <f aca="false">Data!A1328</f>
        <v>1327</v>
      </c>
      <c r="B1328" s="70" t="str">
        <f aca="false">IFERROR(INDEX(対訳マスタ!$C$2:$C$136,MATCH(Data!B1328,対訳マスタ!$B$2:$B$136,0)),Data!B1328)</f>
        <v>コミュニケーション言語能力</v>
      </c>
      <c r="C1328" s="70" t="str">
        <f aca="false">IF(Data!C1328="—","—",IFERROR(INDEX(対訳マスタ!$C$2:$C$136,MATCH(Data!C1328,対訳マスタ!$B$2:$B$136,0)),Data!C1328))</f>
        <v>—</v>
      </c>
      <c r="D1328" s="70" t="str">
        <f aca="false">IF(Data!D1328="—","—",IFERROR(INDEX(対訳マスタ!$C$2:$C$136,MATCH(Data!D1328,対訳マスタ!$B$2:$B$136,0)),Data!D1328))</f>
        <v>語用能力</v>
      </c>
      <c r="E1328" s="70" t="str">
        <f aca="false">IFERROR(INDEX(対訳マスタ!$C$2:$C$136,MATCH(Data!E1328,対訳マスタ!$B$2:$B$136,0)),Data!E1328)</f>
        <v>流暢さ</v>
      </c>
      <c r="F1328" s="70" t="str">
        <f aca="false">Data!F1328</f>
        <v>B2</v>
      </c>
      <c r="G1328" s="31" t="str">
        <f aca="false">Data!G1328</f>
        <v>Can interact with a degree of fluency and spontaneity that makes regular interaction with users of the target language quite possible without imposing strain on either party.</v>
      </c>
      <c r="H1328" s="71" t="s">
        <v>3624</v>
      </c>
      <c r="I1328" s="79" t="s">
        <v>3089</v>
      </c>
    </row>
    <row r="1329" customFormat="false" ht="32.25" hidden="false" customHeight="true" outlineLevel="0" collapsed="false">
      <c r="A1329" s="70" t="n">
        <f aca="false">Data!A1329</f>
        <v>1328</v>
      </c>
      <c r="B1329" s="70" t="str">
        <f aca="false">IFERROR(INDEX(対訳マスタ!$C$2:$C$136,MATCH(Data!B1329,対訳マスタ!$B$2:$B$136,0)),Data!B1329)</f>
        <v>コミュニケーション言語能力</v>
      </c>
      <c r="C1329" s="70" t="str">
        <f aca="false">IF(Data!C1329="—","—",IFERROR(INDEX(対訳マスタ!$C$2:$C$136,MATCH(Data!C1329,対訳マスタ!$B$2:$B$136,0)),Data!C1329))</f>
        <v>—</v>
      </c>
      <c r="D1329" s="70" t="str">
        <f aca="false">IF(Data!D1329="—","—",IFERROR(INDEX(対訳マスタ!$C$2:$C$136,MATCH(Data!D1329,対訳マスタ!$B$2:$B$136,0)),Data!D1329))</f>
        <v>語用能力</v>
      </c>
      <c r="E1329" s="70" t="str">
        <f aca="false">IFERROR(INDEX(対訳マスタ!$C$2:$C$136,MATCH(Data!E1329,対訳マスタ!$B$2:$B$136,0)),Data!E1329)</f>
        <v>流暢さ</v>
      </c>
      <c r="F1329" s="70" t="str">
        <f aca="false">Data!F1329</f>
        <v>B1+</v>
      </c>
      <c r="G1329" s="31" t="str">
        <f aca="false">Data!G1329</f>
        <v>Can express themselves with relative ease. Despite some problems with formulation resulting in pauses and “cul-de-sacs”, they are able to keep going effectively without help.</v>
      </c>
      <c r="H1329" s="71" t="s">
        <v>3080</v>
      </c>
      <c r="I1329" s="79" t="s">
        <v>3089</v>
      </c>
    </row>
    <row r="1330" customFormat="false" ht="26.25" hidden="false" customHeight="true" outlineLevel="0" collapsed="false">
      <c r="A1330" s="70" t="n">
        <f aca="false">Data!A1330</f>
        <v>1329</v>
      </c>
      <c r="B1330" s="70" t="str">
        <f aca="false">IFERROR(INDEX(対訳マスタ!$C$2:$C$136,MATCH(Data!B1330,対訳マスタ!$B$2:$B$136,0)),Data!B1330)</f>
        <v>コミュニケーション言語能力</v>
      </c>
      <c r="C1330" s="70" t="str">
        <f aca="false">IF(Data!C1330="—","—",IFERROR(INDEX(対訳マスタ!$C$2:$C$136,MATCH(Data!C1330,対訳マスタ!$B$2:$B$136,0)),Data!C1330))</f>
        <v>—</v>
      </c>
      <c r="D1330" s="70" t="str">
        <f aca="false">IF(Data!D1330="—","—",IFERROR(INDEX(対訳マスタ!$C$2:$C$136,MATCH(Data!D1330,対訳マスタ!$B$2:$B$136,0)),Data!D1330))</f>
        <v>語用能力</v>
      </c>
      <c r="E1330" s="70" t="str">
        <f aca="false">IFERROR(INDEX(対訳マスタ!$C$2:$C$136,MATCH(Data!E1330,対訳マスタ!$B$2:$B$136,0)),Data!E1330)</f>
        <v>流暢さ</v>
      </c>
      <c r="F1330" s="70" t="str">
        <f aca="false">Data!F1330</f>
        <v>B1</v>
      </c>
      <c r="G1330" s="31" t="str">
        <f aca="false">Data!G1330</f>
        <v>Can keep going comprehensibly, even though pausing for grammatical and lexical planning and repair is very evident, especially in longer stretches of free production.</v>
      </c>
      <c r="H1330" s="71" t="s">
        <v>3079</v>
      </c>
      <c r="I1330" s="79" t="s">
        <v>3089</v>
      </c>
    </row>
    <row r="1331" customFormat="false" ht="21.75" hidden="false" customHeight="true" outlineLevel="0" collapsed="false">
      <c r="A1331" s="70" t="n">
        <f aca="false">Data!A1331</f>
        <v>1330</v>
      </c>
      <c r="B1331" s="70" t="str">
        <f aca="false">IFERROR(INDEX(対訳マスタ!$C$2:$C$136,MATCH(Data!B1331,対訳マスタ!$B$2:$B$136,0)),Data!B1331)</f>
        <v>コミュニケーション言語能力</v>
      </c>
      <c r="C1331" s="70" t="str">
        <f aca="false">IF(Data!C1331="—","—",IFERROR(INDEX(対訳マスタ!$C$2:$C$136,MATCH(Data!C1331,対訳マスタ!$B$2:$B$136,0)),Data!C1331))</f>
        <v>—</v>
      </c>
      <c r="D1331" s="70" t="str">
        <f aca="false">IF(Data!D1331="—","—",IFERROR(INDEX(対訳マスタ!$C$2:$C$136,MATCH(Data!D1331,対訳マスタ!$B$2:$B$136,0)),Data!D1331))</f>
        <v>語用能力</v>
      </c>
      <c r="E1331" s="70" t="str">
        <f aca="false">IFERROR(INDEX(対訳マスタ!$C$2:$C$136,MATCH(Data!E1331,対訳マスタ!$B$2:$B$136,0)),Data!E1331)</f>
        <v>流暢さ</v>
      </c>
      <c r="F1331" s="70" t="str">
        <f aca="false">Data!F1331</f>
        <v>A2+</v>
      </c>
      <c r="G1331" s="31" t="str">
        <f aca="false">Data!G1331</f>
        <v>Can make themselves understood in short contributions, even though pauses, false starts and reformulation are very evident.</v>
      </c>
      <c r="H1331" s="71" t="s">
        <v>3078</v>
      </c>
      <c r="I1331" s="79" t="s">
        <v>3089</v>
      </c>
    </row>
    <row r="1332" customFormat="false" ht="26.25" hidden="false" customHeight="true" outlineLevel="0" collapsed="false">
      <c r="A1332" s="70" t="n">
        <f aca="false">Data!A1332</f>
        <v>1331</v>
      </c>
      <c r="B1332" s="70" t="str">
        <f aca="false">IFERROR(INDEX(対訳マスタ!$C$2:$C$136,MATCH(Data!B1332,対訳マスタ!$B$2:$B$136,0)),Data!B1332)</f>
        <v>コミュニケーション言語能力</v>
      </c>
      <c r="C1332" s="70" t="str">
        <f aca="false">IF(Data!C1332="—","—",IFERROR(INDEX(対訳マスタ!$C$2:$C$136,MATCH(Data!C1332,対訳マスタ!$B$2:$B$136,0)),Data!C1332))</f>
        <v>—</v>
      </c>
      <c r="D1332" s="70" t="str">
        <f aca="false">IF(Data!D1332="—","—",IFERROR(INDEX(対訳マスタ!$C$2:$C$136,MATCH(Data!D1332,対訳マスタ!$B$2:$B$136,0)),Data!D1332))</f>
        <v>語用能力</v>
      </c>
      <c r="E1332" s="70" t="str">
        <f aca="false">IFERROR(INDEX(対訳マスタ!$C$2:$C$136,MATCH(Data!E1332,対訳マスタ!$B$2:$B$136,0)),Data!E1332)</f>
        <v>流暢さ</v>
      </c>
      <c r="F1332" s="70" t="str">
        <f aca="false">Data!F1332</f>
        <v>A2</v>
      </c>
      <c r="G1332" s="31" t="str">
        <f aca="false">Data!G1332</f>
        <v>Can construct phrases on familiar topics with sufficient ease to handle short exchanges, despite very noticeable hesitation and false starts.</v>
      </c>
      <c r="H1332" s="71" t="s">
        <v>3077</v>
      </c>
      <c r="I1332" s="79" t="s">
        <v>3089</v>
      </c>
    </row>
    <row r="1333" customFormat="false" ht="32.25" hidden="false" customHeight="true" outlineLevel="0" collapsed="false">
      <c r="A1333" s="70" t="n">
        <f aca="false">Data!A1333</f>
        <v>1332</v>
      </c>
      <c r="B1333" s="70" t="str">
        <f aca="false">IFERROR(INDEX(対訳マスタ!$C$2:$C$136,MATCH(Data!B1333,対訳マスタ!$B$2:$B$136,0)),Data!B1333)</f>
        <v>コミュニケーション言語能力</v>
      </c>
      <c r="C1333" s="70" t="str">
        <f aca="false">IF(Data!C1333="—","—",IFERROR(INDEX(対訳マスタ!$C$2:$C$136,MATCH(Data!C1333,対訳マスタ!$B$2:$B$136,0)),Data!C1333))</f>
        <v>—</v>
      </c>
      <c r="D1333" s="70" t="str">
        <f aca="false">IF(Data!D1333="—","—",IFERROR(INDEX(対訳マスタ!$C$2:$C$136,MATCH(Data!D1333,対訳マスタ!$B$2:$B$136,0)),Data!D1333))</f>
        <v>語用能力</v>
      </c>
      <c r="E1333" s="70" t="str">
        <f aca="false">IFERROR(INDEX(対訳マスタ!$C$2:$C$136,MATCH(Data!E1333,対訳マスタ!$B$2:$B$136,0)),Data!E1333)</f>
        <v>流暢さ</v>
      </c>
      <c r="F1333" s="70" t="str">
        <f aca="false">Data!F1333</f>
        <v>A1</v>
      </c>
      <c r="G1333" s="31" t="str">
        <f aca="false">Data!G1333</f>
        <v>Can manage very short, isolated, mainly pre-packaged utterances, with much pausing to search for expressions, to articulate less familiar words/signs, and to repair communication.</v>
      </c>
      <c r="H1333" s="71" t="s">
        <v>3076</v>
      </c>
      <c r="I1333" s="79" t="s">
        <v>3089</v>
      </c>
    </row>
    <row r="1334" customFormat="false" ht="26.25" hidden="false" customHeight="true" outlineLevel="0" collapsed="false">
      <c r="A1334" s="70" t="n">
        <f aca="false">Data!A1334</f>
        <v>1333</v>
      </c>
      <c r="B1334" s="70" t="str">
        <f aca="false">IFERROR(INDEX(対訳マスタ!$C$2:$C$136,MATCH(Data!B1334,対訳マスタ!$B$2:$B$136,0)),Data!B1334)</f>
        <v>コミュニケーション言語能力</v>
      </c>
      <c r="C1334" s="70" t="str">
        <f aca="false">IF(Data!C1334="—","—",IFERROR(INDEX(対訳マスタ!$C$2:$C$136,MATCH(Data!C1334,対訳マスタ!$B$2:$B$136,0)),Data!C1334))</f>
        <v>—</v>
      </c>
      <c r="D1334" s="70" t="str">
        <f aca="false">IF(Data!D1334="—","—",IFERROR(INDEX(対訳マスタ!$C$2:$C$136,MATCH(Data!D1334,対訳マスタ!$B$2:$B$136,0)),Data!D1334))</f>
        <v>語用能力</v>
      </c>
      <c r="E1334" s="70" t="str">
        <f aca="false">IFERROR(INDEX(対訳マスタ!$C$2:$C$136,MATCH(Data!E1334,対訳マスタ!$B$2:$B$136,0)),Data!E1334)</f>
        <v>流暢さ</v>
      </c>
      <c r="F1334" s="70" t="str">
        <f aca="false">Data!F1334</f>
        <v>Pre-A1</v>
      </c>
      <c r="G1334" s="31" t="str">
        <f aca="false">Data!G1334</f>
        <v>Can manage very short, isolated, rehearsed utterances using gesture and signalled requests for help when necessary.</v>
      </c>
      <c r="H1334" s="71" t="s">
        <v>3075</v>
      </c>
      <c r="I1334" s="79" t="s">
        <v>3089</v>
      </c>
    </row>
    <row r="1335" customFormat="false" ht="21.75" hidden="false" customHeight="true" outlineLevel="0" collapsed="false">
      <c r="A1335" s="80" t="n">
        <f aca="false">Data!A1335</f>
        <v>1334</v>
      </c>
      <c r="B1335" s="80" t="str">
        <f aca="false">IFERROR(INDEX(対訳マスタ!$C$2:$C$136,MATCH(Data!B1335,対訳マスタ!$B$2:$B$136,0)),Data!B1335)</f>
        <v>手話能力</v>
      </c>
      <c r="C1335" s="80" t="str">
        <f aca="false">IF(Data!C1335="—","—",IFERROR(INDEX(対訳マスタ!$C$2:$C$136,MATCH(Data!C1335,対訳マスタ!$B$2:$B$136,0)),Data!C1335))</f>
        <v>受容</v>
      </c>
      <c r="D1335" s="80" t="str">
        <f aca="false">IF(Data!D1335="—","—",IFERROR(INDEX(対訳マスタ!$C$2:$C$136,MATCH(Data!D1335,対訳マスタ!$B$2:$B$136,0)),Data!D1335))</f>
        <v>言語能力</v>
      </c>
      <c r="E1335" s="80" t="str">
        <f aca="false">IFERROR(INDEX(対訳マスタ!$C$2:$C$136,MATCH(Data!E1335,対訳マスタ!$B$2:$B$136,0)),Data!E1335)</f>
        <v>手話レパートリー</v>
      </c>
      <c r="F1335" s="80" t="str">
        <f aca="false">Data!F1335</f>
        <v>C2</v>
      </c>
      <c r="G1335" s="81" t="str">
        <f aca="false">Data!G1335</f>
        <v>Can understand abstract concepts, e.g., from the field of science, and assign them to the appropriate context.</v>
      </c>
      <c r="H1335" s="81"/>
      <c r="I1335" s="82" t="s">
        <v>3625</v>
      </c>
    </row>
    <row r="1336" customFormat="false" ht="15" hidden="false" customHeight="true" outlineLevel="0" collapsed="false">
      <c r="A1336" s="82" t="n">
        <f aca="false">Data!A1336</f>
        <v>1335</v>
      </c>
      <c r="B1336" s="82" t="str">
        <f aca="false">IFERROR(INDEX(対訳マスタ!$C$2:$C$136,MATCH(Data!B1336,対訳マスタ!$B$2:$B$136,0)),Data!B1336)</f>
        <v>手話能力</v>
      </c>
      <c r="C1336" s="82" t="str">
        <f aca="false">IF(Data!C1336="—","—",IFERROR(INDEX(対訳マスタ!$C$2:$C$136,MATCH(Data!C1336,対訳マスタ!$B$2:$B$136,0)),Data!C1336))</f>
        <v>受容</v>
      </c>
      <c r="D1336" s="82" t="str">
        <f aca="false">IF(Data!D1336="—","—",IFERROR(INDEX(対訳マスタ!$C$2:$C$136,MATCH(Data!D1336,対訳マスタ!$B$2:$B$136,0)),Data!D1336))</f>
        <v>言語能力</v>
      </c>
      <c r="E1336" s="82" t="str">
        <f aca="false">IFERROR(INDEX(対訳マスタ!$C$2:$C$136,MATCH(Data!E1336,対訳マスタ!$B$2:$B$136,0)),Data!E1336)</f>
        <v>手話レパートリー</v>
      </c>
      <c r="F1336" s="82" t="str">
        <f aca="false">Data!F1336</f>
        <v>C2</v>
      </c>
      <c r="G1336" s="81" t="str">
        <f aca="false">Data!G1336</f>
        <v>Can understand creative or newly coined descriptions of phenomena (e.g. a UFO).</v>
      </c>
      <c r="H1336" s="81"/>
      <c r="I1336" s="82" t="s">
        <v>3625</v>
      </c>
    </row>
    <row r="1337" customFormat="false" ht="15" hidden="false" customHeight="true" outlineLevel="0" collapsed="false">
      <c r="A1337" s="82" t="n">
        <f aca="false">Data!A1337</f>
        <v>1336</v>
      </c>
      <c r="B1337" s="82" t="str">
        <f aca="false">IFERROR(INDEX(対訳マスタ!$C$2:$C$136,MATCH(Data!B1337,対訳マスタ!$B$2:$B$136,0)),Data!B1337)</f>
        <v>手話能力</v>
      </c>
      <c r="C1337" s="82" t="str">
        <f aca="false">IF(Data!C1337="—","—",IFERROR(INDEX(対訳マスタ!$C$2:$C$136,MATCH(Data!C1337,対訳マスタ!$B$2:$B$136,0)),Data!C1337))</f>
        <v>受容</v>
      </c>
      <c r="D1337" s="82" t="str">
        <f aca="false">IF(Data!D1337="—","—",IFERROR(INDEX(対訳マスタ!$C$2:$C$136,MATCH(Data!D1337,対訳マスタ!$B$2:$B$136,0)),Data!D1337))</f>
        <v>言語能力</v>
      </c>
      <c r="E1337" s="82" t="str">
        <f aca="false">IFERROR(INDEX(対訳マスタ!$C$2:$C$136,MATCH(Data!E1337,対訳マスタ!$B$2:$B$136,0)),Data!E1337)</f>
        <v>手話レパートリー</v>
      </c>
      <c r="F1337" s="82" t="str">
        <f aca="false">Data!F1337</f>
        <v>C2</v>
      </c>
      <c r="G1337" s="81" t="str">
        <f aca="false">Data!G1337</f>
        <v>Can understand challenging texts on a range of topics and explain what they are about.</v>
      </c>
      <c r="H1337" s="81"/>
      <c r="I1337" s="82" t="s">
        <v>3625</v>
      </c>
    </row>
    <row r="1338" customFormat="false" ht="15" hidden="false" customHeight="true" outlineLevel="0" collapsed="false">
      <c r="A1338" s="82" t="n">
        <f aca="false">Data!A1338</f>
        <v>1337</v>
      </c>
      <c r="B1338" s="82" t="str">
        <f aca="false">IFERROR(INDEX(対訳マスタ!$C$2:$C$136,MATCH(Data!B1338,対訳マスタ!$B$2:$B$136,0)),Data!B1338)</f>
        <v>手話能力</v>
      </c>
      <c r="C1338" s="82" t="str">
        <f aca="false">IF(Data!C1338="—","—",IFERROR(INDEX(対訳マスタ!$C$2:$C$136,MATCH(Data!C1338,対訳マスタ!$B$2:$B$136,0)),Data!C1338))</f>
        <v>受容</v>
      </c>
      <c r="D1338" s="82" t="str">
        <f aca="false">IF(Data!D1338="—","—",IFERROR(INDEX(対訳マスタ!$C$2:$C$136,MATCH(Data!D1338,対訳マスタ!$B$2:$B$136,0)),Data!D1338))</f>
        <v>言語能力</v>
      </c>
      <c r="E1338" s="82" t="str">
        <f aca="false">IFERROR(INDEX(対訳マスタ!$C$2:$C$136,MATCH(Data!E1338,対訳マスタ!$B$2:$B$136,0)),Data!E1338)</f>
        <v>手話レパートリー</v>
      </c>
      <c r="F1338" s="82" t="str">
        <f aca="false">Data!F1338</f>
        <v>C1</v>
      </c>
      <c r="G1338" s="81" t="str">
        <f aca="false">Data!G1338</f>
        <v>Can understand the meaning of mouthings in context.</v>
      </c>
      <c r="H1338" s="81"/>
      <c r="I1338" s="82" t="s">
        <v>3625</v>
      </c>
    </row>
    <row r="1339" customFormat="false" ht="21.75" hidden="false" customHeight="true" outlineLevel="0" collapsed="false">
      <c r="A1339" s="82" t="n">
        <f aca="false">Data!A1339</f>
        <v>1338</v>
      </c>
      <c r="B1339" s="82" t="str">
        <f aca="false">IFERROR(INDEX(対訳マスタ!$C$2:$C$136,MATCH(Data!B1339,対訳マスタ!$B$2:$B$136,0)),Data!B1339)</f>
        <v>手話能力</v>
      </c>
      <c r="C1339" s="82" t="str">
        <f aca="false">IF(Data!C1339="—","—",IFERROR(INDEX(対訳マスタ!$C$2:$C$136,MATCH(Data!C1339,対訳マスタ!$B$2:$B$136,0)),Data!C1339))</f>
        <v>受容</v>
      </c>
      <c r="D1339" s="82" t="str">
        <f aca="false">IF(Data!D1339="—","—",IFERROR(INDEX(対訳マスタ!$C$2:$C$136,MATCH(Data!D1339,対訳マスタ!$B$2:$B$136,0)),Data!D1339))</f>
        <v>言語能力</v>
      </c>
      <c r="E1339" s="82" t="str">
        <f aca="false">IFERROR(INDEX(対訳マスタ!$C$2:$C$136,MATCH(Data!E1339,対訳マスタ!$B$2:$B$136,0)),Data!E1339)</f>
        <v>手話レパートリー</v>
      </c>
      <c r="F1339" s="82" t="str">
        <f aca="false">Data!F1339</f>
        <v>C1</v>
      </c>
      <c r="G1339" s="81" t="str">
        <f aca="false">Data!G1339</f>
        <v>Can understand technical texts in their own field and make use of the information, ideas or opinions in them.</v>
      </c>
      <c r="H1339" s="81"/>
      <c r="I1339" s="82" t="s">
        <v>3625</v>
      </c>
    </row>
    <row r="1340" customFormat="false" ht="15" hidden="false" customHeight="true" outlineLevel="0" collapsed="false">
      <c r="A1340" s="82" t="n">
        <f aca="false">Data!A1340</f>
        <v>1339</v>
      </c>
      <c r="B1340" s="82" t="str">
        <f aca="false">IFERROR(INDEX(対訳マスタ!$C$2:$C$136,MATCH(Data!B1340,対訳マスタ!$B$2:$B$136,0)),Data!B1340)</f>
        <v>手話能力</v>
      </c>
      <c r="C1340" s="82" t="str">
        <f aca="false">IF(Data!C1340="—","—",IFERROR(INDEX(対訳マスタ!$C$2:$C$136,MATCH(Data!C1340,対訳マスタ!$B$2:$B$136,0)),Data!C1340))</f>
        <v>受容</v>
      </c>
      <c r="D1340" s="82" t="str">
        <f aca="false">IF(Data!D1340="—","—",IFERROR(INDEX(対訳マスタ!$C$2:$C$136,MATCH(Data!D1340,対訳マスタ!$B$2:$B$136,0)),Data!D1340))</f>
        <v>言語能力</v>
      </c>
      <c r="E1340" s="82" t="str">
        <f aca="false">IFERROR(INDEX(対訳マスタ!$C$2:$C$136,MATCH(Data!E1340,対訳マスタ!$B$2:$B$136,0)),Data!E1340)</f>
        <v>手話レパートリー</v>
      </c>
      <c r="F1340" s="82" t="str">
        <f aca="false">Data!F1340</f>
        <v>C1</v>
      </c>
      <c r="G1340" s="81" t="str">
        <f aca="false">Data!G1340</f>
        <v>Can understand specific, precise instructions, wishes, recommendations, etc.</v>
      </c>
      <c r="H1340" s="81"/>
      <c r="I1340" s="82" t="s">
        <v>3625</v>
      </c>
    </row>
    <row r="1341" customFormat="false" ht="21.75" hidden="false" customHeight="true" outlineLevel="0" collapsed="false">
      <c r="A1341" s="82" t="n">
        <f aca="false">Data!A1341</f>
        <v>1340</v>
      </c>
      <c r="B1341" s="82" t="str">
        <f aca="false">IFERROR(INDEX(対訳マスタ!$C$2:$C$136,MATCH(Data!B1341,対訳マスタ!$B$2:$B$136,0)),Data!B1341)</f>
        <v>手話能力</v>
      </c>
      <c r="C1341" s="82" t="str">
        <f aca="false">IF(Data!C1341="—","—",IFERROR(INDEX(対訳マスタ!$C$2:$C$136,MATCH(Data!C1341,対訳マスタ!$B$2:$B$136,0)),Data!C1341))</f>
        <v>受容</v>
      </c>
      <c r="D1341" s="82" t="str">
        <f aca="false">IF(Data!D1341="—","—",IFERROR(INDEX(対訳マスタ!$C$2:$C$136,MATCH(Data!D1341,対訳マスタ!$B$2:$B$136,0)),Data!D1341))</f>
        <v>言語能力</v>
      </c>
      <c r="E1341" s="82" t="str">
        <f aca="false">IFERROR(INDEX(対訳マスタ!$C$2:$C$136,MATCH(Data!E1341,対訳マスタ!$B$2:$B$136,0)),Data!E1341)</f>
        <v>手話レパートリー</v>
      </c>
      <c r="F1341" s="82" t="str">
        <f aca="false">Data!F1341</f>
        <v>B2+</v>
      </c>
      <c r="G1341" s="81" t="str">
        <f aca="false">Data!G1341</f>
        <v>Can understand and correctly attribute signed names for commonly known persons and institutions.</v>
      </c>
      <c r="H1341" s="81"/>
      <c r="I1341" s="82" t="s">
        <v>3625</v>
      </c>
    </row>
    <row r="1342" customFormat="false" ht="15" hidden="false" customHeight="true" outlineLevel="0" collapsed="false">
      <c r="A1342" s="82" t="n">
        <f aca="false">Data!A1342</f>
        <v>1341</v>
      </c>
      <c r="B1342" s="82" t="str">
        <f aca="false">IFERROR(INDEX(対訳マスタ!$C$2:$C$136,MATCH(Data!B1342,対訳マスタ!$B$2:$B$136,0)),Data!B1342)</f>
        <v>手話能力</v>
      </c>
      <c r="C1342" s="82" t="str">
        <f aca="false">IF(Data!C1342="—","—",IFERROR(INDEX(対訳マスタ!$C$2:$C$136,MATCH(Data!C1342,対訳マスタ!$B$2:$B$136,0)),Data!C1342))</f>
        <v>受容</v>
      </c>
      <c r="D1342" s="82" t="str">
        <f aca="false">IF(Data!D1342="—","—",IFERROR(INDEX(対訳マスタ!$C$2:$C$136,MATCH(Data!D1342,対訳マスタ!$B$2:$B$136,0)),Data!D1342))</f>
        <v>言語能力</v>
      </c>
      <c r="E1342" s="82" t="str">
        <f aca="false">IFERROR(INDEX(対訳マスタ!$C$2:$C$136,MATCH(Data!E1342,対訳マスタ!$B$2:$B$136,0)),Data!E1342)</f>
        <v>手話レパートリー</v>
      </c>
      <c r="F1342" s="82" t="str">
        <f aca="false">Data!F1342</f>
        <v>B2+</v>
      </c>
      <c r="G1342" s="81" t="str">
        <f aca="false">Data!G1342</f>
        <v>Can differentiate nuances of meaning that are expressed with specific handshapes.</v>
      </c>
      <c r="H1342" s="81"/>
      <c r="I1342" s="82" t="s">
        <v>3625</v>
      </c>
    </row>
    <row r="1343" customFormat="false" ht="15" hidden="false" customHeight="true" outlineLevel="0" collapsed="false">
      <c r="A1343" s="82" t="n">
        <f aca="false">Data!A1343</f>
        <v>1342</v>
      </c>
      <c r="B1343" s="82" t="str">
        <f aca="false">IFERROR(INDEX(対訳マスタ!$C$2:$C$136,MATCH(Data!B1343,対訳マスタ!$B$2:$B$136,0)),Data!B1343)</f>
        <v>手話能力</v>
      </c>
      <c r="C1343" s="82" t="str">
        <f aca="false">IF(Data!C1343="—","—",IFERROR(INDEX(対訳マスタ!$C$2:$C$136,MATCH(Data!C1343,対訳マスタ!$B$2:$B$136,0)),Data!C1343))</f>
        <v>受容</v>
      </c>
      <c r="D1343" s="82" t="str">
        <f aca="false">IF(Data!D1343="—","—",IFERROR(INDEX(対訳マスタ!$C$2:$C$136,MATCH(Data!D1343,対訳マスタ!$B$2:$B$136,0)),Data!D1343))</f>
        <v>言語能力</v>
      </c>
      <c r="E1343" s="82" t="str">
        <f aca="false">IFERROR(INDEX(対訳マスタ!$C$2:$C$136,MATCH(Data!E1343,対訳マスタ!$B$2:$B$136,0)),Data!E1343)</f>
        <v>手話レパートリー</v>
      </c>
      <c r="F1343" s="82" t="str">
        <f aca="false">Data!F1343</f>
        <v>B2+</v>
      </c>
      <c r="G1343" s="81" t="str">
        <f aca="false">Data!G1343</f>
        <v>Can understand idioms (and signs particular to the local community).</v>
      </c>
      <c r="H1343" s="81"/>
      <c r="I1343" s="82" t="s">
        <v>3625</v>
      </c>
    </row>
    <row r="1344" customFormat="false" ht="21.75" hidden="false" customHeight="true" outlineLevel="0" collapsed="false">
      <c r="A1344" s="82" t="n">
        <f aca="false">Data!A1344</f>
        <v>1343</v>
      </c>
      <c r="B1344" s="82" t="str">
        <f aca="false">IFERROR(INDEX(対訳マスタ!$C$2:$C$136,MATCH(Data!B1344,対訳マスタ!$B$2:$B$136,0)),Data!B1344)</f>
        <v>手話能力</v>
      </c>
      <c r="C1344" s="82" t="str">
        <f aca="false">IF(Data!C1344="—","—",IFERROR(INDEX(対訳マスタ!$C$2:$C$136,MATCH(Data!C1344,対訳マスタ!$B$2:$B$136,0)),Data!C1344))</f>
        <v>受容</v>
      </c>
      <c r="D1344" s="82" t="str">
        <f aca="false">IF(Data!D1344="—","—",IFERROR(INDEX(対訳マスタ!$C$2:$C$136,MATCH(Data!D1344,対訳マスタ!$B$2:$B$136,0)),Data!D1344))</f>
        <v>言語能力</v>
      </c>
      <c r="E1344" s="82" t="str">
        <f aca="false">IFERROR(INDEX(対訳マスタ!$C$2:$C$136,MATCH(Data!E1344,対訳マスタ!$B$2:$B$136,0)),Data!E1344)</f>
        <v>手話レパートリー</v>
      </c>
      <c r="F1344" s="82" t="str">
        <f aca="false">Data!F1344</f>
        <v>B2+</v>
      </c>
      <c r="G1344" s="81" t="str">
        <f aca="false">Data!G1344</f>
        <v>Can understand what is meant when the signer paraphrases without producing the sign for the concept concerned.</v>
      </c>
      <c r="H1344" s="81"/>
      <c r="I1344" s="82" t="s">
        <v>3625</v>
      </c>
    </row>
    <row r="1345" customFormat="false" ht="15" hidden="false" customHeight="true" outlineLevel="0" collapsed="false">
      <c r="A1345" s="82" t="n">
        <f aca="false">Data!A1345</f>
        <v>1344</v>
      </c>
      <c r="B1345" s="82" t="str">
        <f aca="false">IFERROR(INDEX(対訳マスタ!$C$2:$C$136,MATCH(Data!B1345,対訳マスタ!$B$2:$B$136,0)),Data!B1345)</f>
        <v>手話能力</v>
      </c>
      <c r="C1345" s="82" t="str">
        <f aca="false">IF(Data!C1345="—","—",IFERROR(INDEX(対訳マスタ!$C$2:$C$136,MATCH(Data!C1345,対訳マスタ!$B$2:$B$136,0)),Data!C1345))</f>
        <v>受容</v>
      </c>
      <c r="D1345" s="82" t="str">
        <f aca="false">IF(Data!D1345="—","—",IFERROR(INDEX(対訳マスタ!$C$2:$C$136,MATCH(Data!D1345,対訳マスタ!$B$2:$B$136,0)),Data!D1345))</f>
        <v>言語能力</v>
      </c>
      <c r="E1345" s="82" t="str">
        <f aca="false">IFERROR(INDEX(対訳マスタ!$C$2:$C$136,MATCH(Data!E1345,対訳マスタ!$B$2:$B$136,0)),Data!E1345)</f>
        <v>手話レパートリー</v>
      </c>
      <c r="F1345" s="82" t="str">
        <f aca="false">Data!F1345</f>
        <v>B2</v>
      </c>
      <c r="G1345" s="81" t="str">
        <f aca="false">Data!G1345</f>
        <v>Can understand a large number of signs employed in everyday situations.</v>
      </c>
      <c r="H1345" s="81"/>
      <c r="I1345" s="82" t="s">
        <v>3625</v>
      </c>
    </row>
    <row r="1346" customFormat="false" ht="15" hidden="false" customHeight="true" outlineLevel="0" collapsed="false">
      <c r="A1346" s="82" t="n">
        <f aca="false">Data!A1346</f>
        <v>1345</v>
      </c>
      <c r="B1346" s="82" t="str">
        <f aca="false">IFERROR(INDEX(対訳マスタ!$C$2:$C$136,MATCH(Data!B1346,対訳マスタ!$B$2:$B$136,0)),Data!B1346)</f>
        <v>手話能力</v>
      </c>
      <c r="C1346" s="82" t="str">
        <f aca="false">IF(Data!C1346="—","—",IFERROR(INDEX(対訳マスタ!$C$2:$C$136,MATCH(Data!C1346,対訳マスタ!$B$2:$B$136,0)),Data!C1346))</f>
        <v>受容</v>
      </c>
      <c r="D1346" s="82" t="str">
        <f aca="false">IF(Data!D1346="—","—",IFERROR(INDEX(対訳マスタ!$C$2:$C$136,MATCH(Data!D1346,対訳マスタ!$B$2:$B$136,0)),Data!D1346))</f>
        <v>言語能力</v>
      </c>
      <c r="E1346" s="82" t="str">
        <f aca="false">IFERROR(INDEX(対訳マスタ!$C$2:$C$136,MATCH(Data!E1346,対訳マスタ!$B$2:$B$136,0)),Data!E1346)</f>
        <v>手話レパートリー</v>
      </c>
      <c r="F1346" s="82" t="str">
        <f aca="false">Data!F1346</f>
        <v>B2</v>
      </c>
      <c r="G1346" s="81" t="str">
        <f aca="false">Data!G1346</f>
        <v>Can deduce the meaning of individual unknown signs through the context of a sentence.</v>
      </c>
      <c r="H1346" s="81"/>
      <c r="I1346" s="82" t="s">
        <v>3625</v>
      </c>
    </row>
    <row r="1347" customFormat="false" ht="21.75" hidden="false" customHeight="true" outlineLevel="0" collapsed="false">
      <c r="A1347" s="82" t="n">
        <f aca="false">Data!A1347</f>
        <v>1346</v>
      </c>
      <c r="B1347" s="82" t="str">
        <f aca="false">IFERROR(INDEX(対訳マスタ!$C$2:$C$136,MATCH(Data!B1347,対訳マスタ!$B$2:$B$136,0)),Data!B1347)</f>
        <v>手話能力</v>
      </c>
      <c r="C1347" s="82" t="str">
        <f aca="false">IF(Data!C1347="—","—",IFERROR(INDEX(対訳マスタ!$C$2:$C$136,MATCH(Data!C1347,対訳マスタ!$B$2:$B$136,0)),Data!C1347))</f>
        <v>受容</v>
      </c>
      <c r="D1347" s="82" t="str">
        <f aca="false">IF(Data!D1347="—","—",IFERROR(INDEX(対訳マスタ!$C$2:$C$136,MATCH(Data!D1347,対訳マスタ!$B$2:$B$136,0)),Data!D1347))</f>
        <v>言語能力</v>
      </c>
      <c r="E1347" s="82" t="str">
        <f aca="false">IFERROR(INDEX(対訳マスタ!$C$2:$C$136,MATCH(Data!E1347,対訳マスタ!$B$2:$B$136,0)),Data!E1347)</f>
        <v>手話レパートリー</v>
      </c>
      <c r="F1347" s="82" t="str">
        <f aca="false">Data!F1347</f>
        <v>B1+</v>
      </c>
      <c r="G1347" s="81" t="str">
        <f aca="false">Data!G1347</f>
        <v>Can extract the relevant information from a short text provided it is presented in a simple and structured way.</v>
      </c>
      <c r="H1347" s="81"/>
      <c r="I1347" s="82" t="s">
        <v>3625</v>
      </c>
    </row>
    <row r="1348" customFormat="false" ht="15" hidden="false" customHeight="true" outlineLevel="0" collapsed="false">
      <c r="A1348" s="82" t="n">
        <f aca="false">Data!A1348</f>
        <v>1347</v>
      </c>
      <c r="B1348" s="82" t="str">
        <f aca="false">IFERROR(INDEX(対訳マスタ!$C$2:$C$136,MATCH(Data!B1348,対訳マスタ!$B$2:$B$136,0)),Data!B1348)</f>
        <v>手話能力</v>
      </c>
      <c r="C1348" s="82" t="str">
        <f aca="false">IF(Data!C1348="—","—",IFERROR(INDEX(対訳マスタ!$C$2:$C$136,MATCH(Data!C1348,対訳マスタ!$B$2:$B$136,0)),Data!C1348))</f>
        <v>受容</v>
      </c>
      <c r="D1348" s="82" t="str">
        <f aca="false">IF(Data!D1348="—","—",IFERROR(INDEX(対訳マスタ!$C$2:$C$136,MATCH(Data!D1348,対訳マスタ!$B$2:$B$136,0)),Data!D1348))</f>
        <v>言語能力</v>
      </c>
      <c r="E1348" s="82" t="str">
        <f aca="false">IFERROR(INDEX(対訳マスタ!$C$2:$C$136,MATCH(Data!E1348,対訳マスタ!$B$2:$B$136,0)),Data!E1348)</f>
        <v>手話レパートリー</v>
      </c>
      <c r="F1348" s="82" t="str">
        <f aca="false">Data!F1348</f>
        <v>B1+</v>
      </c>
      <c r="G1348" s="81" t="str">
        <f aca="false">Data!G1348</f>
        <v>Can distinguish between signs that appear similar.</v>
      </c>
      <c r="H1348" s="81"/>
      <c r="I1348" s="82" t="s">
        <v>3625</v>
      </c>
    </row>
    <row r="1349" customFormat="false" ht="15" hidden="false" customHeight="true" outlineLevel="0" collapsed="false">
      <c r="A1349" s="82" t="n">
        <f aca="false">Data!A1349</f>
        <v>1348</v>
      </c>
      <c r="B1349" s="82" t="str">
        <f aca="false">IFERROR(INDEX(対訳マスタ!$C$2:$C$136,MATCH(Data!B1349,対訳マスタ!$B$2:$B$136,0)),Data!B1349)</f>
        <v>手話能力</v>
      </c>
      <c r="C1349" s="82" t="str">
        <f aca="false">IF(Data!C1349="—","—",IFERROR(INDEX(対訳マスタ!$C$2:$C$136,MATCH(Data!C1349,対訳マスタ!$B$2:$B$136,0)),Data!C1349))</f>
        <v>受容</v>
      </c>
      <c r="D1349" s="82" t="str">
        <f aca="false">IF(Data!D1349="—","—",IFERROR(INDEX(対訳マスタ!$C$2:$C$136,MATCH(Data!D1349,対訳マスタ!$B$2:$B$136,0)),Data!D1349))</f>
        <v>言語能力</v>
      </c>
      <c r="E1349" s="82" t="str">
        <f aca="false">IFERROR(INDEX(対訳マスタ!$C$2:$C$136,MATCH(Data!E1349,対訳マスタ!$B$2:$B$136,0)),Data!E1349)</f>
        <v>手話レパートリー</v>
      </c>
      <c r="F1349" s="82" t="str">
        <f aca="false">Data!F1349</f>
        <v>B1+</v>
      </c>
      <c r="G1349" s="81" t="str">
        <f aca="false">Data!G1349</f>
        <v>Can deduce the nature of an object from non-manual cues and depictive signs.</v>
      </c>
      <c r="H1349" s="81"/>
      <c r="I1349" s="82" t="s">
        <v>3625</v>
      </c>
    </row>
    <row r="1350" customFormat="false" ht="21.75" hidden="false" customHeight="true" outlineLevel="0" collapsed="false">
      <c r="A1350" s="82" t="n">
        <f aca="false">Data!A1350</f>
        <v>1349</v>
      </c>
      <c r="B1350" s="82" t="str">
        <f aca="false">IFERROR(INDEX(対訳マスタ!$C$2:$C$136,MATCH(Data!B1350,対訳マスタ!$B$2:$B$136,0)),Data!B1350)</f>
        <v>手話能力</v>
      </c>
      <c r="C1350" s="82" t="str">
        <f aca="false">IF(Data!C1350="—","—",IFERROR(INDEX(対訳マスタ!$C$2:$C$136,MATCH(Data!C1350,対訳マスタ!$B$2:$B$136,0)),Data!C1350))</f>
        <v>受容</v>
      </c>
      <c r="D1350" s="82" t="str">
        <f aca="false">IF(Data!D1350="—","—",IFERROR(INDEX(対訳マスタ!$C$2:$C$136,MATCH(Data!D1350,対訳マスタ!$B$2:$B$136,0)),Data!D1350))</f>
        <v>言語能力</v>
      </c>
      <c r="E1350" s="82" t="str">
        <f aca="false">IFERROR(INDEX(対訳マスタ!$C$2:$C$136,MATCH(Data!E1350,対訳マスタ!$B$2:$B$136,0)),Data!E1350)</f>
        <v>手話レパートリー</v>
      </c>
      <c r="F1350" s="82" t="str">
        <f aca="false">Data!F1350</f>
        <v>B1+</v>
      </c>
      <c r="G1350" s="81" t="str">
        <f aca="false">Data!G1350</f>
        <v>Can make indirect inferences about the features of the characters in a story from a signer’s facial expressions.</v>
      </c>
      <c r="H1350" s="81"/>
      <c r="I1350" s="82" t="s">
        <v>3625</v>
      </c>
    </row>
    <row r="1351" customFormat="false" ht="21.75" hidden="false" customHeight="true" outlineLevel="0" collapsed="false">
      <c r="A1351" s="82" t="n">
        <f aca="false">Data!A1351</f>
        <v>1350</v>
      </c>
      <c r="B1351" s="82" t="str">
        <f aca="false">IFERROR(INDEX(対訳マスタ!$C$2:$C$136,MATCH(Data!B1351,対訳マスタ!$B$2:$B$136,0)),Data!B1351)</f>
        <v>手話能力</v>
      </c>
      <c r="C1351" s="82" t="str">
        <f aca="false">IF(Data!C1351="—","—",IFERROR(INDEX(対訳マスタ!$C$2:$C$136,MATCH(Data!C1351,対訳マスタ!$B$2:$B$136,0)),Data!C1351))</f>
        <v>受容</v>
      </c>
      <c r="D1351" s="82" t="str">
        <f aca="false">IF(Data!D1351="—","—",IFERROR(INDEX(対訳マスタ!$C$2:$C$136,MATCH(Data!D1351,対訳マスタ!$B$2:$B$136,0)),Data!D1351))</f>
        <v>言語能力</v>
      </c>
      <c r="E1351" s="82" t="str">
        <f aca="false">IFERROR(INDEX(対訳マスタ!$C$2:$C$136,MATCH(Data!E1351,対訳マスタ!$B$2:$B$136,0)),Data!E1351)</f>
        <v>手話レパートリー</v>
      </c>
      <c r="F1351" s="82" t="str">
        <f aca="false">Data!F1351</f>
        <v>B1</v>
      </c>
      <c r="G1351" s="81" t="str">
        <f aca="false">Data!G1351</f>
        <v>Can selectively extract information from a signed text, e.g., details of the time, individuals involved, places or appointments and indications as to how or why.</v>
      </c>
      <c r="H1351" s="81"/>
      <c r="I1351" s="82" t="s">
        <v>3625</v>
      </c>
    </row>
    <row r="1352" customFormat="false" ht="15" hidden="false" customHeight="true" outlineLevel="0" collapsed="false">
      <c r="A1352" s="82" t="n">
        <f aca="false">Data!A1352</f>
        <v>1351</v>
      </c>
      <c r="B1352" s="82" t="str">
        <f aca="false">IFERROR(INDEX(対訳マスタ!$C$2:$C$136,MATCH(Data!B1352,対訳マスタ!$B$2:$B$136,0)),Data!B1352)</f>
        <v>手話能力</v>
      </c>
      <c r="C1352" s="82" t="str">
        <f aca="false">IF(Data!C1352="—","—",IFERROR(INDEX(対訳マスタ!$C$2:$C$136,MATCH(Data!C1352,対訳マスタ!$B$2:$B$136,0)),Data!C1352))</f>
        <v>受容</v>
      </c>
      <c r="D1352" s="82" t="str">
        <f aca="false">IF(Data!D1352="—","—",IFERROR(INDEX(対訳マスタ!$C$2:$C$136,MATCH(Data!D1352,対訳マスタ!$B$2:$B$136,0)),Data!D1352))</f>
        <v>言語能力</v>
      </c>
      <c r="E1352" s="82" t="str">
        <f aca="false">IFERROR(INDEX(対訳マスタ!$C$2:$C$136,MATCH(Data!E1352,対訳マスタ!$B$2:$B$136,0)),Data!E1352)</f>
        <v>手話レパートリー</v>
      </c>
      <c r="F1352" s="82" t="str">
        <f aca="false">Data!F1352</f>
        <v>B1</v>
      </c>
      <c r="G1352" s="81" t="str">
        <f aca="false">Data!G1352</f>
        <v>Can understand productively expressed actions and processes.</v>
      </c>
      <c r="H1352" s="81"/>
      <c r="I1352" s="82" t="s">
        <v>3625</v>
      </c>
    </row>
    <row r="1353" customFormat="false" ht="21.75" hidden="false" customHeight="true" outlineLevel="0" collapsed="false">
      <c r="A1353" s="82" t="n">
        <f aca="false">Data!A1353</f>
        <v>1352</v>
      </c>
      <c r="B1353" s="82" t="str">
        <f aca="false">IFERROR(INDEX(対訳マスタ!$C$2:$C$136,MATCH(Data!B1353,対訳マスタ!$B$2:$B$136,0)),Data!B1353)</f>
        <v>手話能力</v>
      </c>
      <c r="C1353" s="82" t="str">
        <f aca="false">IF(Data!C1353="—","—",IFERROR(INDEX(対訳マスタ!$C$2:$C$136,MATCH(Data!C1353,対訳マスタ!$B$2:$B$136,0)),Data!C1353))</f>
        <v>受容</v>
      </c>
      <c r="D1353" s="82" t="str">
        <f aca="false">IF(Data!D1353="—","—",IFERROR(INDEX(対訳マスタ!$C$2:$C$136,MATCH(Data!D1353,対訳マスタ!$B$2:$B$136,0)),Data!D1353))</f>
        <v>言語能力</v>
      </c>
      <c r="E1353" s="82" t="str">
        <f aca="false">IFERROR(INDEX(対訳マスタ!$C$2:$C$136,MATCH(Data!E1353,対訳マスタ!$B$2:$B$136,0)),Data!E1353)</f>
        <v>手話レパートリー</v>
      </c>
      <c r="F1353" s="82" t="str">
        <f aca="false">Data!F1353</f>
        <v>B1</v>
      </c>
      <c r="G1353" s="81" t="str">
        <f aca="false">Data!G1353</f>
        <v>Can infer the chronological sequence of events from non-manual cues (close vs. remote events in terms of time).</v>
      </c>
      <c r="H1353" s="81"/>
      <c r="I1353" s="82" t="s">
        <v>3625</v>
      </c>
    </row>
    <row r="1354" customFormat="false" ht="21.75" hidden="false" customHeight="true" outlineLevel="0" collapsed="false">
      <c r="A1354" s="82" t="n">
        <f aca="false">Data!A1354</f>
        <v>1353</v>
      </c>
      <c r="B1354" s="82" t="str">
        <f aca="false">IFERROR(INDEX(対訳マスタ!$C$2:$C$136,MATCH(Data!B1354,対訳マスタ!$B$2:$B$136,0)),Data!B1354)</f>
        <v>手話能力</v>
      </c>
      <c r="C1354" s="82" t="str">
        <f aca="false">IF(Data!C1354="—","—",IFERROR(INDEX(対訳マスタ!$C$2:$C$136,MATCH(Data!C1354,対訳マスタ!$B$2:$B$136,0)),Data!C1354))</f>
        <v>受容</v>
      </c>
      <c r="D1354" s="82" t="str">
        <f aca="false">IF(Data!D1354="—","—",IFERROR(INDEX(対訳マスタ!$C$2:$C$136,MATCH(Data!D1354,対訳マスタ!$B$2:$B$136,0)),Data!D1354))</f>
        <v>言語能力</v>
      </c>
      <c r="E1354" s="82" t="str">
        <f aca="false">IFERROR(INDEX(対訳マスタ!$C$2:$C$136,MATCH(Data!E1354,対訳マスタ!$B$2:$B$136,0)),Data!E1354)</f>
        <v>手話レパートリー</v>
      </c>
      <c r="F1354" s="82" t="str">
        <f aca="false">Data!F1354</f>
        <v>B1</v>
      </c>
      <c r="G1354" s="81" t="str">
        <f aca="false">Data!G1354</f>
        <v>Can understand what kind of creature is meant when the signer imitates people or animals.</v>
      </c>
      <c r="H1354" s="81"/>
      <c r="I1354" s="82" t="s">
        <v>3625</v>
      </c>
    </row>
    <row r="1355" customFormat="false" ht="15" hidden="false" customHeight="true" outlineLevel="0" collapsed="false">
      <c r="A1355" s="82" t="n">
        <f aca="false">Data!A1355</f>
        <v>1354</v>
      </c>
      <c r="B1355" s="82" t="str">
        <f aca="false">IFERROR(INDEX(対訳マスタ!$C$2:$C$136,MATCH(Data!B1355,対訳マスタ!$B$2:$B$136,0)),Data!B1355)</f>
        <v>手話能力</v>
      </c>
      <c r="C1355" s="82" t="str">
        <f aca="false">IF(Data!C1355="—","—",IFERROR(INDEX(対訳マスタ!$C$2:$C$136,MATCH(Data!C1355,対訳マスタ!$B$2:$B$136,0)),Data!C1355))</f>
        <v>受容</v>
      </c>
      <c r="D1355" s="82" t="str">
        <f aca="false">IF(Data!D1355="—","—",IFERROR(INDEX(対訳マスタ!$C$2:$C$136,MATCH(Data!D1355,対訳マスタ!$B$2:$B$136,0)),Data!D1355))</f>
        <v>言語能力</v>
      </c>
      <c r="E1355" s="82" t="str">
        <f aca="false">IFERROR(INDEX(対訳マスタ!$C$2:$C$136,MATCH(Data!E1355,対訳マスタ!$B$2:$B$136,0)),Data!E1355)</f>
        <v>手話レパートリー</v>
      </c>
      <c r="F1355" s="82" t="str">
        <f aca="false">Data!F1355</f>
        <v>A2+</v>
      </c>
      <c r="G1355" s="81" t="str">
        <f aca="false">Data!G1355</f>
        <v>Can understand content that a person expresses only by means of productive signs.</v>
      </c>
      <c r="H1355" s="81"/>
      <c r="I1355" s="82" t="s">
        <v>3625</v>
      </c>
    </row>
    <row r="1356" customFormat="false" ht="15" hidden="false" customHeight="true" outlineLevel="0" collapsed="false">
      <c r="A1356" s="82" t="n">
        <f aca="false">Data!A1356</f>
        <v>1355</v>
      </c>
      <c r="B1356" s="82" t="str">
        <f aca="false">IFERROR(INDEX(対訳マスタ!$C$2:$C$136,MATCH(Data!B1356,対訳マスタ!$B$2:$B$136,0)),Data!B1356)</f>
        <v>手話能力</v>
      </c>
      <c r="C1356" s="82" t="str">
        <f aca="false">IF(Data!C1356="—","—",IFERROR(INDEX(対訳マスタ!$C$2:$C$136,MATCH(Data!C1356,対訳マスタ!$B$2:$B$136,0)),Data!C1356))</f>
        <v>受容</v>
      </c>
      <c r="D1356" s="82" t="str">
        <f aca="false">IF(Data!D1356="—","—",IFERROR(INDEX(対訳マスタ!$C$2:$C$136,MATCH(Data!D1356,対訳マスタ!$B$2:$B$136,0)),Data!D1356))</f>
        <v>言語能力</v>
      </c>
      <c r="E1356" s="82" t="str">
        <f aca="false">IFERROR(INDEX(対訳マスタ!$C$2:$C$136,MATCH(Data!E1356,対訳マスタ!$B$2:$B$136,0)),Data!E1356)</f>
        <v>手話レパートリー</v>
      </c>
      <c r="F1356" s="82" t="str">
        <f aca="false">Data!F1356</f>
        <v>A2+</v>
      </c>
      <c r="G1356" s="81" t="str">
        <f aca="false">Data!G1356</f>
        <v>Can understand the terms for common technical devices designed for deaf people’s use.</v>
      </c>
      <c r="H1356" s="81"/>
      <c r="I1356" s="82" t="s">
        <v>3625</v>
      </c>
    </row>
    <row r="1357" customFormat="false" ht="21.75" hidden="false" customHeight="true" outlineLevel="0" collapsed="false">
      <c r="A1357" s="82" t="n">
        <f aca="false">Data!A1357</f>
        <v>1356</v>
      </c>
      <c r="B1357" s="82" t="str">
        <f aca="false">IFERROR(INDEX(対訳マスタ!$C$2:$C$136,MATCH(Data!B1357,対訳マスタ!$B$2:$B$136,0)),Data!B1357)</f>
        <v>手話能力</v>
      </c>
      <c r="C1357" s="82" t="str">
        <f aca="false">IF(Data!C1357="—","—",IFERROR(INDEX(対訳マスタ!$C$2:$C$136,MATCH(Data!C1357,対訳マスタ!$B$2:$B$136,0)),Data!C1357))</f>
        <v>受容</v>
      </c>
      <c r="D1357" s="82" t="str">
        <f aca="false">IF(Data!D1357="—","—",IFERROR(INDEX(対訳マスタ!$C$2:$C$136,MATCH(Data!D1357,対訳マスタ!$B$2:$B$136,0)),Data!D1357))</f>
        <v>言語能力</v>
      </c>
      <c r="E1357" s="82" t="str">
        <f aca="false">IFERROR(INDEX(対訳マスタ!$C$2:$C$136,MATCH(Data!E1357,対訳マスタ!$B$2:$B$136,0)),Data!E1357)</f>
        <v>手話レパートリー</v>
      </c>
      <c r="F1357" s="82" t="str">
        <f aca="false">Data!F1357</f>
        <v>A2+</v>
      </c>
      <c r="G1357" s="81" t="str">
        <f aca="false">Data!G1357</f>
        <v>Can understand the meaning of modal verbs (e.g., can = &lt;ability&gt;, must = &lt;command&gt;, want = &lt;wish&gt;).</v>
      </c>
      <c r="H1357" s="81"/>
      <c r="I1357" s="82" t="s">
        <v>3625</v>
      </c>
    </row>
    <row r="1358" customFormat="false" ht="21.75" hidden="false" customHeight="true" outlineLevel="0" collapsed="false">
      <c r="A1358" s="82" t="n">
        <f aca="false">Data!A1358</f>
        <v>1357</v>
      </c>
      <c r="B1358" s="82" t="str">
        <f aca="false">IFERROR(INDEX(対訳マスタ!$C$2:$C$136,MATCH(Data!B1358,対訳マスタ!$B$2:$B$136,0)),Data!B1358)</f>
        <v>手話能力</v>
      </c>
      <c r="C1358" s="82" t="str">
        <f aca="false">IF(Data!C1358="—","—",IFERROR(INDEX(対訳マスタ!$C$2:$C$136,MATCH(Data!C1358,対訳マスタ!$B$2:$B$136,0)),Data!C1358))</f>
        <v>受容</v>
      </c>
      <c r="D1358" s="82" t="str">
        <f aca="false">IF(Data!D1358="—","—",IFERROR(INDEX(対訳マスタ!$C$2:$C$136,MATCH(Data!D1358,対訳マスタ!$B$2:$B$136,0)),Data!D1358))</f>
        <v>言語能力</v>
      </c>
      <c r="E1358" s="82" t="str">
        <f aca="false">IFERROR(INDEX(対訳マスタ!$C$2:$C$136,MATCH(Data!E1358,対訳マスタ!$B$2:$B$136,0)),Data!E1358)</f>
        <v>手話レパートリー</v>
      </c>
      <c r="F1358" s="82" t="str">
        <f aca="false">Data!F1358</f>
        <v>A2+</v>
      </c>
      <c r="G1358" s="81" t="str">
        <f aca="false">Data!G1358</f>
        <v>Can extract specific information from everyday texts (e.g., numbers, names, places, persons).</v>
      </c>
      <c r="H1358" s="81"/>
      <c r="I1358" s="82" t="s">
        <v>3625</v>
      </c>
    </row>
    <row r="1359" customFormat="false" ht="15" hidden="false" customHeight="true" outlineLevel="0" collapsed="false">
      <c r="A1359" s="82" t="n">
        <f aca="false">Data!A1359</f>
        <v>1358</v>
      </c>
      <c r="B1359" s="82" t="str">
        <f aca="false">IFERROR(INDEX(対訳マスタ!$C$2:$C$136,MATCH(Data!B1359,対訳マスタ!$B$2:$B$136,0)),Data!B1359)</f>
        <v>手話能力</v>
      </c>
      <c r="C1359" s="82" t="str">
        <f aca="false">IF(Data!C1359="—","—",IFERROR(INDEX(対訳マスタ!$C$2:$C$136,MATCH(Data!C1359,対訳マスタ!$B$2:$B$136,0)),Data!C1359))</f>
        <v>受容</v>
      </c>
      <c r="D1359" s="82" t="str">
        <f aca="false">IF(Data!D1359="—","—",IFERROR(INDEX(対訳マスタ!$C$2:$C$136,MATCH(Data!D1359,対訳マスタ!$B$2:$B$136,0)),Data!D1359))</f>
        <v>言語能力</v>
      </c>
      <c r="E1359" s="82" t="str">
        <f aca="false">IFERROR(INDEX(対訳マスタ!$C$2:$C$136,MATCH(Data!E1359,対訳マスタ!$B$2:$B$136,0)),Data!E1359)</f>
        <v>手話レパートリー</v>
      </c>
      <c r="F1359" s="82" t="str">
        <f aca="false">Data!F1359</f>
        <v>A2+</v>
      </c>
      <c r="G1359" s="81" t="str">
        <f aca="false">Data!G1359</f>
        <v>Can understand signing when the signer provides images to visualise the content.</v>
      </c>
      <c r="H1359" s="81"/>
      <c r="I1359" s="82" t="s">
        <v>3625</v>
      </c>
    </row>
    <row r="1360" customFormat="false" ht="21.75" hidden="false" customHeight="true" outlineLevel="0" collapsed="false">
      <c r="A1360" s="82" t="n">
        <f aca="false">Data!A1360</f>
        <v>1359</v>
      </c>
      <c r="B1360" s="82" t="str">
        <f aca="false">IFERROR(INDEX(対訳マスタ!$C$2:$C$136,MATCH(Data!B1360,対訳マスタ!$B$2:$B$136,0)),Data!B1360)</f>
        <v>手話能力</v>
      </c>
      <c r="C1360" s="82" t="str">
        <f aca="false">IF(Data!C1360="—","—",IFERROR(INDEX(対訳マスタ!$C$2:$C$136,MATCH(Data!C1360,対訳マスタ!$B$2:$B$136,0)),Data!C1360))</f>
        <v>受容</v>
      </c>
      <c r="D1360" s="82" t="str">
        <f aca="false">IF(Data!D1360="—","—",IFERROR(INDEX(対訳マスタ!$C$2:$C$136,MATCH(Data!D1360,対訳マスタ!$B$2:$B$136,0)),Data!D1360))</f>
        <v>言語能力</v>
      </c>
      <c r="E1360" s="82" t="str">
        <f aca="false">IFERROR(INDEX(対訳マスタ!$C$2:$C$136,MATCH(Data!E1360,対訳マスタ!$B$2:$B$136,0)),Data!E1360)</f>
        <v>手話レパートリー</v>
      </c>
      <c r="F1360" s="82" t="str">
        <f aca="false">Data!F1360</f>
        <v>A2</v>
      </c>
      <c r="G1360" s="81" t="str">
        <f aca="false">Data!G1360</f>
        <v>Can identify details in an extensive description of a person/object, such as body shape, hairstyle, or occupation.</v>
      </c>
      <c r="H1360" s="81"/>
      <c r="I1360" s="82" t="s">
        <v>3625</v>
      </c>
    </row>
    <row r="1361" customFormat="false" ht="21.75" hidden="false" customHeight="true" outlineLevel="0" collapsed="false">
      <c r="A1361" s="82" t="n">
        <f aca="false">Data!A1361</f>
        <v>1360</v>
      </c>
      <c r="B1361" s="82" t="str">
        <f aca="false">IFERROR(INDEX(対訳マスタ!$C$2:$C$136,MATCH(Data!B1361,対訳マスタ!$B$2:$B$136,0)),Data!B1361)</f>
        <v>手話能力</v>
      </c>
      <c r="C1361" s="82" t="str">
        <f aca="false">IF(Data!C1361="—","—",IFERROR(INDEX(対訳マスタ!$C$2:$C$136,MATCH(Data!C1361,対訳マスタ!$B$2:$B$136,0)),Data!C1361))</f>
        <v>受容</v>
      </c>
      <c r="D1361" s="82" t="str">
        <f aca="false">IF(Data!D1361="—","—",IFERROR(INDEX(対訳マスタ!$C$2:$C$136,MATCH(Data!D1361,対訳マスタ!$B$2:$B$136,0)),Data!D1361))</f>
        <v>言語能力</v>
      </c>
      <c r="E1361" s="82" t="str">
        <f aca="false">IFERROR(INDEX(対訳マスタ!$C$2:$C$136,MATCH(Data!E1361,対訳マスタ!$B$2:$B$136,0)),Data!E1361)</f>
        <v>手話レパートリー</v>
      </c>
      <c r="F1361" s="82" t="str">
        <f aca="false">Data!F1361</f>
        <v>A2</v>
      </c>
      <c r="G1361" s="81" t="str">
        <f aca="false">Data!G1361</f>
        <v>Can understand non-manual information on the proximity or distance of a place or object.</v>
      </c>
      <c r="H1361" s="81"/>
      <c r="I1361" s="82" t="s">
        <v>3625</v>
      </c>
    </row>
    <row r="1362" customFormat="false" ht="15" hidden="false" customHeight="true" outlineLevel="0" collapsed="false">
      <c r="A1362" s="82" t="n">
        <f aca="false">Data!A1362</f>
        <v>1361</v>
      </c>
      <c r="B1362" s="82" t="str">
        <f aca="false">IFERROR(INDEX(対訳マスタ!$C$2:$C$136,MATCH(Data!B1362,対訳マスタ!$B$2:$B$136,0)),Data!B1362)</f>
        <v>手話能力</v>
      </c>
      <c r="C1362" s="82" t="str">
        <f aca="false">IF(Data!C1362="—","—",IFERROR(INDEX(対訳マスタ!$C$2:$C$136,MATCH(Data!C1362,対訳マスタ!$B$2:$B$136,0)),Data!C1362))</f>
        <v>受容</v>
      </c>
      <c r="D1362" s="82" t="str">
        <f aca="false">IF(Data!D1362="—","—",IFERROR(INDEX(対訳マスタ!$C$2:$C$136,MATCH(Data!D1362,対訳マスタ!$B$2:$B$136,0)),Data!D1362))</f>
        <v>言語能力</v>
      </c>
      <c r="E1362" s="82" t="str">
        <f aca="false">IFERROR(INDEX(対訳マスタ!$C$2:$C$136,MATCH(Data!E1362,対訳マスタ!$B$2:$B$136,0)),Data!E1362)</f>
        <v>手話レパートリー</v>
      </c>
      <c r="F1362" s="82" t="str">
        <f aca="false">Data!F1362</f>
        <v>A2</v>
      </c>
      <c r="G1362" s="81" t="str">
        <f aca="false">Data!G1362</f>
        <v>Can recognise and correctly interpret meaning expressed non-manually.</v>
      </c>
      <c r="H1362" s="81"/>
      <c r="I1362" s="82" t="s">
        <v>3625</v>
      </c>
    </row>
    <row r="1363" customFormat="false" ht="15" hidden="false" customHeight="true" outlineLevel="0" collapsed="false">
      <c r="A1363" s="82" t="n">
        <f aca="false">Data!A1363</f>
        <v>1362</v>
      </c>
      <c r="B1363" s="82" t="str">
        <f aca="false">IFERROR(INDEX(対訳マスタ!$C$2:$C$136,MATCH(Data!B1363,対訳マスタ!$B$2:$B$136,0)),Data!B1363)</f>
        <v>手話能力</v>
      </c>
      <c r="C1363" s="82" t="str">
        <f aca="false">IF(Data!C1363="—","—",IFERROR(INDEX(対訳マスタ!$C$2:$C$136,MATCH(Data!C1363,対訳マスタ!$B$2:$B$136,0)),Data!C1363))</f>
        <v>受容</v>
      </c>
      <c r="D1363" s="82" t="str">
        <f aca="false">IF(Data!D1363="—","—",IFERROR(INDEX(対訳マスタ!$C$2:$C$136,MATCH(Data!D1363,対訳マスタ!$B$2:$B$136,0)),Data!D1363))</f>
        <v>言語能力</v>
      </c>
      <c r="E1363" s="82" t="str">
        <f aca="false">IFERROR(INDEX(対訳マスタ!$C$2:$C$136,MATCH(Data!E1363,対訳マスタ!$B$2:$B$136,0)),Data!E1363)</f>
        <v>手話レパートリー</v>
      </c>
      <c r="F1363" s="82" t="str">
        <f aca="false">Data!F1363</f>
        <v>A2</v>
      </c>
      <c r="G1363" s="81" t="str">
        <f aca="false">Data!G1363</f>
        <v>Can recognise and understand the codified backchannelling signs of an interlocutor.</v>
      </c>
      <c r="H1363" s="81"/>
      <c r="I1363" s="82" t="s">
        <v>3625</v>
      </c>
    </row>
    <row r="1364" customFormat="false" ht="15" hidden="false" customHeight="true" outlineLevel="0" collapsed="false">
      <c r="A1364" s="82" t="n">
        <f aca="false">Data!A1364</f>
        <v>1363</v>
      </c>
      <c r="B1364" s="82" t="str">
        <f aca="false">IFERROR(INDEX(対訳マスタ!$C$2:$C$136,MATCH(Data!B1364,対訳マスタ!$B$2:$B$136,0)),Data!B1364)</f>
        <v>手話能力</v>
      </c>
      <c r="C1364" s="82" t="str">
        <f aca="false">IF(Data!C1364="—","—",IFERROR(INDEX(対訳マスタ!$C$2:$C$136,MATCH(Data!C1364,対訳マスタ!$B$2:$B$136,0)),Data!C1364))</f>
        <v>受容</v>
      </c>
      <c r="D1364" s="82" t="str">
        <f aca="false">IF(Data!D1364="—","—",IFERROR(INDEX(対訳マスタ!$C$2:$C$136,MATCH(Data!D1364,対訳マスタ!$B$2:$B$136,0)),Data!D1364))</f>
        <v>言語能力</v>
      </c>
      <c r="E1364" s="82" t="str">
        <f aca="false">IFERROR(INDEX(対訳マスタ!$C$2:$C$136,MATCH(Data!E1364,対訳マスタ!$B$2:$B$136,0)),Data!E1364)</f>
        <v>手話レパートリー</v>
      </c>
      <c r="F1364" s="82" t="str">
        <f aca="false">Data!F1364</f>
        <v>A2</v>
      </c>
      <c r="G1364" s="81" t="str">
        <f aca="false">Data!G1364</f>
        <v>Can understand simple reports of what the signer did.</v>
      </c>
      <c r="H1364" s="81"/>
      <c r="I1364" s="82" t="s">
        <v>3625</v>
      </c>
    </row>
    <row r="1365" customFormat="false" ht="15" hidden="false" customHeight="true" outlineLevel="0" collapsed="false">
      <c r="A1365" s="82" t="n">
        <f aca="false">Data!A1365</f>
        <v>1364</v>
      </c>
      <c r="B1365" s="82" t="str">
        <f aca="false">IFERROR(INDEX(対訳マスタ!$C$2:$C$136,MATCH(Data!B1365,対訳マスタ!$B$2:$B$136,0)),Data!B1365)</f>
        <v>手話能力</v>
      </c>
      <c r="C1365" s="82" t="str">
        <f aca="false">IF(Data!C1365="—","—",IFERROR(INDEX(対訳マスタ!$C$2:$C$136,MATCH(Data!C1365,対訳マスタ!$B$2:$B$136,0)),Data!C1365))</f>
        <v>受容</v>
      </c>
      <c r="D1365" s="82" t="str">
        <f aca="false">IF(Data!D1365="—","—",IFERROR(INDEX(対訳マスタ!$C$2:$C$136,MATCH(Data!D1365,対訳マスタ!$B$2:$B$136,0)),Data!D1365))</f>
        <v>言語能力</v>
      </c>
      <c r="E1365" s="82" t="str">
        <f aca="false">IFERROR(INDEX(対訳マスタ!$C$2:$C$136,MATCH(Data!E1365,対訳マスタ!$B$2:$B$136,0)),Data!E1365)</f>
        <v>手話レパートリー</v>
      </c>
      <c r="F1365" s="82" t="str">
        <f aca="false">Data!F1365</f>
        <v>A2</v>
      </c>
      <c r="G1365" s="81" t="str">
        <f aca="false">Data!G1365</f>
        <v>Can understand simple instructions, wishes, recommendations, etc.</v>
      </c>
      <c r="H1365" s="81"/>
      <c r="I1365" s="82" t="s">
        <v>3625</v>
      </c>
    </row>
    <row r="1366" customFormat="false" ht="15" hidden="false" customHeight="true" outlineLevel="0" collapsed="false">
      <c r="A1366" s="82" t="n">
        <f aca="false">Data!A1366</f>
        <v>1365</v>
      </c>
      <c r="B1366" s="82" t="str">
        <f aca="false">IFERROR(INDEX(対訳マスタ!$C$2:$C$136,MATCH(Data!B1366,対訳マスタ!$B$2:$B$136,0)),Data!B1366)</f>
        <v>手話能力</v>
      </c>
      <c r="C1366" s="82" t="str">
        <f aca="false">IF(Data!C1366="—","—",IFERROR(INDEX(対訳マスタ!$C$2:$C$136,MATCH(Data!C1366,対訳マスタ!$B$2:$B$136,0)),Data!C1366))</f>
        <v>受容</v>
      </c>
      <c r="D1366" s="82" t="str">
        <f aca="false">IF(Data!D1366="—","—",IFERROR(INDEX(対訳マスタ!$C$2:$C$136,MATCH(Data!D1366,対訳マスタ!$B$2:$B$136,0)),Data!D1366))</f>
        <v>言語能力</v>
      </c>
      <c r="E1366" s="82" t="str">
        <f aca="false">IFERROR(INDEX(対訳マスタ!$C$2:$C$136,MATCH(Data!E1366,対訳マスタ!$B$2:$B$136,0)),Data!E1366)</f>
        <v>手話レパートリー</v>
      </c>
      <c r="F1366" s="82" t="str">
        <f aca="false">Data!F1366</f>
        <v>A1</v>
      </c>
      <c r="G1366" s="81" t="str">
        <f aca="false">Data!G1366</f>
        <v>Can understand direct commands (e.g., “open the door”).</v>
      </c>
      <c r="H1366" s="81"/>
      <c r="I1366" s="82" t="s">
        <v>3625</v>
      </c>
    </row>
    <row r="1367" customFormat="false" ht="15" hidden="false" customHeight="true" outlineLevel="0" collapsed="false">
      <c r="A1367" s="82" t="n">
        <f aca="false">Data!A1367</f>
        <v>1366</v>
      </c>
      <c r="B1367" s="82" t="str">
        <f aca="false">IFERROR(INDEX(対訳マスタ!$C$2:$C$136,MATCH(Data!B1367,対訳マスタ!$B$2:$B$136,0)),Data!B1367)</f>
        <v>手話能力</v>
      </c>
      <c r="C1367" s="82" t="str">
        <f aca="false">IF(Data!C1367="—","—",IFERROR(INDEX(対訳マスタ!$C$2:$C$136,MATCH(Data!C1367,対訳マスタ!$B$2:$B$136,0)),Data!C1367))</f>
        <v>受容</v>
      </c>
      <c r="D1367" s="82" t="str">
        <f aca="false">IF(Data!D1367="—","—",IFERROR(INDEX(対訳マスタ!$C$2:$C$136,MATCH(Data!D1367,対訳マスタ!$B$2:$B$136,0)),Data!D1367))</f>
        <v>言語能力</v>
      </c>
      <c r="E1367" s="82" t="str">
        <f aca="false">IFERROR(INDEX(対訳マスタ!$C$2:$C$136,MATCH(Data!E1367,対訳マスタ!$B$2:$B$136,0)),Data!E1367)</f>
        <v>手話レパートリー</v>
      </c>
      <c r="F1367" s="82" t="str">
        <f aca="false">Data!F1367</f>
        <v>A1</v>
      </c>
      <c r="G1367" s="81" t="str">
        <f aca="false">Data!G1367</f>
        <v>Can understand quantities expressed non-manually.</v>
      </c>
      <c r="H1367" s="81"/>
      <c r="I1367" s="82" t="s">
        <v>3625</v>
      </c>
    </row>
    <row r="1368" customFormat="false" ht="15" hidden="false" customHeight="true" outlineLevel="0" collapsed="false">
      <c r="A1368" s="82" t="n">
        <f aca="false">Data!A1368</f>
        <v>1367</v>
      </c>
      <c r="B1368" s="82" t="str">
        <f aca="false">IFERROR(INDEX(対訳マスタ!$C$2:$C$136,MATCH(Data!B1368,対訳マスタ!$B$2:$B$136,0)),Data!B1368)</f>
        <v>手話能力</v>
      </c>
      <c r="C1368" s="82" t="str">
        <f aca="false">IF(Data!C1368="—","—",IFERROR(INDEX(対訳マスタ!$C$2:$C$136,MATCH(Data!C1368,対訳マスタ!$B$2:$B$136,0)),Data!C1368))</f>
        <v>受容</v>
      </c>
      <c r="D1368" s="82" t="str">
        <f aca="false">IF(Data!D1368="—","—",IFERROR(INDEX(対訳マスタ!$C$2:$C$136,MATCH(Data!D1368,対訳マスタ!$B$2:$B$136,0)),Data!D1368))</f>
        <v>言語能力</v>
      </c>
      <c r="E1368" s="82" t="str">
        <f aca="false">IFERROR(INDEX(対訳マスタ!$C$2:$C$136,MATCH(Data!E1368,対訳マスタ!$B$2:$B$136,0)),Data!E1368)</f>
        <v>手話レパートリー</v>
      </c>
      <c r="F1368" s="82" t="str">
        <f aca="false">Data!F1368</f>
        <v>A1</v>
      </c>
      <c r="G1368" s="81" t="str">
        <f aca="false">Data!G1368</f>
        <v>Can understand descriptions of clothes (pattern, colour).</v>
      </c>
      <c r="H1368" s="81"/>
      <c r="I1368" s="82" t="s">
        <v>3625</v>
      </c>
    </row>
    <row r="1369" customFormat="false" ht="15" hidden="false" customHeight="true" outlineLevel="0" collapsed="false">
      <c r="A1369" s="82" t="n">
        <f aca="false">Data!A1369</f>
        <v>1368</v>
      </c>
      <c r="B1369" s="82" t="str">
        <f aca="false">IFERROR(INDEX(対訳マスタ!$C$2:$C$136,MATCH(Data!B1369,対訳マスタ!$B$2:$B$136,0)),Data!B1369)</f>
        <v>手話能力</v>
      </c>
      <c r="C1369" s="82" t="str">
        <f aca="false">IF(Data!C1369="—","—",IFERROR(INDEX(対訳マスタ!$C$2:$C$136,MATCH(Data!C1369,対訳マスタ!$B$2:$B$136,0)),Data!C1369))</f>
        <v>受容</v>
      </c>
      <c r="D1369" s="82" t="str">
        <f aca="false">IF(Data!D1369="—","—",IFERROR(INDEX(対訳マスタ!$C$2:$C$136,MATCH(Data!D1369,対訳マスタ!$B$2:$B$136,0)),Data!D1369))</f>
        <v>言語能力</v>
      </c>
      <c r="E1369" s="82" t="str">
        <f aca="false">IFERROR(INDEX(対訳マスタ!$C$2:$C$136,MATCH(Data!E1369,対訳マスタ!$B$2:$B$136,0)),Data!E1369)</f>
        <v>手話レパートリー</v>
      </c>
      <c r="F1369" s="82" t="str">
        <f aca="false">Data!F1369</f>
        <v>A1</v>
      </c>
      <c r="G1369" s="81" t="str">
        <f aca="false">Data!G1369</f>
        <v>Can understand information on proportions, quantities, and size ratios.</v>
      </c>
      <c r="H1369" s="81"/>
      <c r="I1369" s="82" t="s">
        <v>3625</v>
      </c>
    </row>
    <row r="1370" customFormat="false" ht="15" hidden="false" customHeight="true" outlineLevel="0" collapsed="false">
      <c r="A1370" s="82" t="n">
        <f aca="false">Data!A1370</f>
        <v>1369</v>
      </c>
      <c r="B1370" s="82" t="str">
        <f aca="false">IFERROR(INDEX(対訳マスタ!$C$2:$C$136,MATCH(Data!B1370,対訳マスタ!$B$2:$B$136,0)),Data!B1370)</f>
        <v>手話能力</v>
      </c>
      <c r="C1370" s="82" t="str">
        <f aca="false">IF(Data!C1370="—","—",IFERROR(INDEX(対訳マスタ!$C$2:$C$136,MATCH(Data!C1370,対訳マスタ!$B$2:$B$136,0)),Data!C1370))</f>
        <v>受容</v>
      </c>
      <c r="D1370" s="82" t="str">
        <f aca="false">IF(Data!D1370="—","—",IFERROR(INDEX(対訳マスタ!$C$2:$C$136,MATCH(Data!D1370,対訳マスタ!$B$2:$B$136,0)),Data!D1370))</f>
        <v>言語能力</v>
      </c>
      <c r="E1370" s="82" t="str">
        <f aca="false">IFERROR(INDEX(対訳マスタ!$C$2:$C$136,MATCH(Data!E1370,対訳マスタ!$B$2:$B$136,0)),Data!E1370)</f>
        <v>手話レパートリー</v>
      </c>
      <c r="F1370" s="82" t="str">
        <f aca="false">Data!F1370</f>
        <v>A1</v>
      </c>
      <c r="G1370" s="81" t="str">
        <f aca="false">Data!G1370</f>
        <v>Can distinguish between signs that only differ according to the shape of the mouth.</v>
      </c>
      <c r="H1370" s="81"/>
      <c r="I1370" s="82" t="s">
        <v>3625</v>
      </c>
    </row>
    <row r="1371" customFormat="false" ht="15" hidden="false" customHeight="true" outlineLevel="0" collapsed="false">
      <c r="A1371" s="82" t="n">
        <f aca="false">Data!A1371</f>
        <v>1370</v>
      </c>
      <c r="B1371" s="82" t="str">
        <f aca="false">IFERROR(INDEX(対訳マスタ!$C$2:$C$136,MATCH(Data!B1371,対訳マスタ!$B$2:$B$136,0)),Data!B1371)</f>
        <v>手話能力</v>
      </c>
      <c r="C1371" s="82" t="str">
        <f aca="false">IF(Data!C1371="—","—",IFERROR(INDEX(対訳マスタ!$C$2:$C$136,MATCH(Data!C1371,対訳マスタ!$B$2:$B$136,0)),Data!C1371))</f>
        <v>受容</v>
      </c>
      <c r="D1371" s="82" t="str">
        <f aca="false">IF(Data!D1371="—","—",IFERROR(INDEX(対訳マスタ!$C$2:$C$136,MATCH(Data!D1371,対訳マスタ!$B$2:$B$136,0)),Data!D1371))</f>
        <v>言語能力</v>
      </c>
      <c r="E1371" s="82" t="str">
        <f aca="false">IFERROR(INDEX(対訳マスタ!$C$2:$C$136,MATCH(Data!E1371,対訳マスタ!$B$2:$B$136,0)),Data!E1371)</f>
        <v>手話レパートリー</v>
      </c>
      <c r="F1371" s="82" t="str">
        <f aca="false">Data!F1371</f>
        <v>A1</v>
      </c>
      <c r="G1371" s="81" t="str">
        <f aca="false">Data!G1371</f>
        <v>Can understand signs even if they are modified manually.</v>
      </c>
      <c r="H1371" s="81"/>
      <c r="I1371" s="82" t="s">
        <v>3625</v>
      </c>
    </row>
    <row r="1372" customFormat="false" ht="21.75" hidden="false" customHeight="true" outlineLevel="0" collapsed="false">
      <c r="A1372" s="82" t="n">
        <f aca="false">Data!A1372</f>
        <v>1371</v>
      </c>
      <c r="B1372" s="82" t="str">
        <f aca="false">IFERROR(INDEX(対訳マスタ!$C$2:$C$136,MATCH(Data!B1372,対訳マスタ!$B$2:$B$136,0)),Data!B1372)</f>
        <v>手話能力</v>
      </c>
      <c r="C1372" s="82" t="str">
        <f aca="false">IF(Data!C1372="—","—",IFERROR(INDEX(対訳マスタ!$C$2:$C$136,MATCH(Data!C1372,対訳マスタ!$B$2:$B$136,0)),Data!C1372))</f>
        <v>受容</v>
      </c>
      <c r="D1372" s="82" t="str">
        <f aca="false">IF(Data!D1372="—","—",IFERROR(INDEX(対訳マスタ!$C$2:$C$136,MATCH(Data!D1372,対訳マスタ!$B$2:$B$136,0)),Data!D1372))</f>
        <v>言語能力</v>
      </c>
      <c r="E1372" s="82" t="str">
        <f aca="false">IFERROR(INDEX(対訳マスタ!$C$2:$C$136,MATCH(Data!E1372,対訳マスタ!$B$2:$B$136,0)),Data!E1372)</f>
        <v>手話レパートリー</v>
      </c>
      <c r="F1372" s="82" t="str">
        <f aca="false">Data!F1372</f>
        <v>A1</v>
      </c>
      <c r="G1372" s="81" t="str">
        <f aca="false">Data!G1372</f>
        <v>Can understand the contribution to meaning from the shape of the mouth, e.g., puffed up or contracted cheeks.</v>
      </c>
      <c r="H1372" s="81"/>
      <c r="I1372" s="82" t="s">
        <v>3625</v>
      </c>
    </row>
    <row r="1373" customFormat="false" ht="15" hidden="false" customHeight="true" outlineLevel="0" collapsed="false">
      <c r="A1373" s="82" t="n">
        <f aca="false">Data!A1373</f>
        <v>1372</v>
      </c>
      <c r="B1373" s="82" t="str">
        <f aca="false">IFERROR(INDEX(対訳マスタ!$C$2:$C$136,MATCH(Data!B1373,対訳マスタ!$B$2:$B$136,0)),Data!B1373)</f>
        <v>手話能力</v>
      </c>
      <c r="C1373" s="82" t="str">
        <f aca="false">IF(Data!C1373="—","—",IFERROR(INDEX(対訳マスタ!$C$2:$C$136,MATCH(Data!C1373,対訳マスタ!$B$2:$B$136,0)),Data!C1373))</f>
        <v>受容</v>
      </c>
      <c r="D1373" s="82" t="str">
        <f aca="false">IF(Data!D1373="—","—",IFERROR(INDEX(対訳マスタ!$C$2:$C$136,MATCH(Data!D1373,対訳マスタ!$B$2:$B$136,0)),Data!D1373))</f>
        <v>言語能力</v>
      </c>
      <c r="E1373" s="82" t="str">
        <f aca="false">IFERROR(INDEX(対訳マスタ!$C$2:$C$136,MATCH(Data!E1373,対訳マスタ!$B$2:$B$136,0)),Data!E1373)</f>
        <v>手話レパートリー</v>
      </c>
      <c r="F1373" s="82" t="str">
        <f aca="false">Data!F1373</f>
        <v>A1</v>
      </c>
      <c r="G1373" s="81" t="str">
        <f aca="false">Data!G1373</f>
        <v>Can infer the shape of objects that are described from non-manual signals.</v>
      </c>
      <c r="H1373" s="81"/>
      <c r="I1373" s="82" t="s">
        <v>3625</v>
      </c>
    </row>
    <row r="1374" customFormat="false" ht="15" hidden="false" customHeight="true" outlineLevel="0" collapsed="false">
      <c r="A1374" s="82" t="n">
        <f aca="false">Data!A1374</f>
        <v>1373</v>
      </c>
      <c r="B1374" s="82" t="str">
        <f aca="false">IFERROR(INDEX(対訳マスタ!$C$2:$C$136,MATCH(Data!B1374,対訳マスタ!$B$2:$B$136,0)),Data!B1374)</f>
        <v>手話能力</v>
      </c>
      <c r="C1374" s="82" t="str">
        <f aca="false">IF(Data!C1374="—","—",IFERROR(INDEX(対訳マスタ!$C$2:$C$136,MATCH(Data!C1374,対訳マスタ!$B$2:$B$136,0)),Data!C1374))</f>
        <v>受容</v>
      </c>
      <c r="D1374" s="82" t="str">
        <f aca="false">IF(Data!D1374="—","—",IFERROR(INDEX(対訳マスタ!$C$2:$C$136,MATCH(Data!D1374,対訳マスタ!$B$2:$B$136,0)),Data!D1374))</f>
        <v>言語能力</v>
      </c>
      <c r="E1374" s="82" t="str">
        <f aca="false">IFERROR(INDEX(対訳マスタ!$C$2:$C$136,MATCH(Data!E1374,対訳マスタ!$B$2:$B$136,0)),Data!E1374)</f>
        <v>手話レパートリー</v>
      </c>
      <c r="F1374" s="82" t="str">
        <f aca="false">Data!F1374</f>
        <v>A1</v>
      </c>
      <c r="G1374" s="81" t="str">
        <f aca="false">Data!G1374</f>
        <v>Can understand simple negation with &lt;no&gt;, &lt;not&gt;, or a shake of the head.</v>
      </c>
      <c r="H1374" s="81"/>
      <c r="I1374" s="82" t="s">
        <v>3625</v>
      </c>
    </row>
    <row r="1375" customFormat="false" ht="21.75" hidden="false" customHeight="true" outlineLevel="0" collapsed="false">
      <c r="A1375" s="82" t="n">
        <f aca="false">Data!A1375</f>
        <v>1374</v>
      </c>
      <c r="B1375" s="82" t="str">
        <f aca="false">IFERROR(INDEX(対訳マスタ!$C$2:$C$136,MATCH(Data!B1375,対訳マスタ!$B$2:$B$136,0)),Data!B1375)</f>
        <v>手話能力</v>
      </c>
      <c r="C1375" s="82" t="str">
        <f aca="false">IF(Data!C1375="—","—",IFERROR(INDEX(対訳マスタ!$C$2:$C$136,MATCH(Data!C1375,対訳マスタ!$B$2:$B$136,0)),Data!C1375))</f>
        <v>受容</v>
      </c>
      <c r="D1375" s="82" t="str">
        <f aca="false">IF(Data!D1375="—","—",IFERROR(INDEX(対訳マスタ!$C$2:$C$136,MATCH(Data!D1375,対訳マスタ!$B$2:$B$136,0)),Data!D1375))</f>
        <v>言語能力</v>
      </c>
      <c r="E1375" s="82" t="str">
        <f aca="false">IFERROR(INDEX(対訳マスタ!$C$2:$C$136,MATCH(Data!E1375,対訳マスタ!$B$2:$B$136,0)),Data!E1375)</f>
        <v>手話レパートリー</v>
      </c>
      <c r="F1375" s="82" t="str">
        <f aca="false">Data!F1375</f>
        <v>A1</v>
      </c>
      <c r="G1375" s="81" t="str">
        <f aca="false">Data!G1375</f>
        <v>Can understand expressions via fingerspelling if they do not understand the lexical signs.</v>
      </c>
      <c r="H1375" s="81"/>
      <c r="I1375" s="82" t="s">
        <v>3625</v>
      </c>
    </row>
    <row r="1376" customFormat="false" ht="21.75" hidden="false" customHeight="true" outlineLevel="0" collapsed="false">
      <c r="A1376" s="82" t="n">
        <f aca="false">Data!A1376</f>
        <v>1375</v>
      </c>
      <c r="B1376" s="82" t="str">
        <f aca="false">IFERROR(INDEX(対訳マスタ!$C$2:$C$136,MATCH(Data!B1376,対訳マスタ!$B$2:$B$136,0)),Data!B1376)</f>
        <v>手話能力</v>
      </c>
      <c r="C1376" s="82" t="str">
        <f aca="false">IF(Data!C1376="—","—",IFERROR(INDEX(対訳マスタ!$C$2:$C$136,MATCH(Data!C1376,対訳マスタ!$B$2:$B$136,0)),Data!C1376))</f>
        <v>受容</v>
      </c>
      <c r="D1376" s="82" t="str">
        <f aca="false">IF(Data!D1376="—","—",IFERROR(INDEX(対訳マスタ!$C$2:$C$136,MATCH(Data!D1376,対訳マスタ!$B$2:$B$136,0)),Data!D1376))</f>
        <v>言語能力</v>
      </c>
      <c r="E1376" s="82" t="str">
        <f aca="false">IFERROR(INDEX(対訳マスタ!$C$2:$C$136,MATCH(Data!E1376,対訳マスタ!$B$2:$B$136,0)),Data!E1376)</f>
        <v>手話レパートリー</v>
      </c>
      <c r="F1376" s="82" t="str">
        <f aca="false">Data!F1376</f>
        <v>A1</v>
      </c>
      <c r="G1376" s="81" t="str">
        <f aca="false">Data!G1376</f>
        <v>Can recognise and understand facial feedback from the interlocutor (agreement/rejection).</v>
      </c>
      <c r="H1376" s="81"/>
      <c r="I1376" s="82" t="s">
        <v>3625</v>
      </c>
    </row>
    <row r="1377" customFormat="false" ht="15" hidden="false" customHeight="true" outlineLevel="0" collapsed="false">
      <c r="A1377" s="82" t="n">
        <f aca="false">Data!A1377</f>
        <v>1376</v>
      </c>
      <c r="B1377" s="82" t="str">
        <f aca="false">IFERROR(INDEX(対訳マスタ!$C$2:$C$136,MATCH(Data!B1377,対訳マスタ!$B$2:$B$136,0)),Data!B1377)</f>
        <v>手話能力</v>
      </c>
      <c r="C1377" s="82" t="str">
        <f aca="false">IF(Data!C1377="—","—",IFERROR(INDEX(対訳マスタ!$C$2:$C$136,MATCH(Data!C1377,対訳マスタ!$B$2:$B$136,0)),Data!C1377))</f>
        <v>産出</v>
      </c>
      <c r="D1377" s="82" t="str">
        <f aca="false">IF(Data!D1377="—","—",IFERROR(INDEX(対訳マスタ!$C$2:$C$136,MATCH(Data!D1377,対訳マスタ!$B$2:$B$136,0)),Data!D1377))</f>
        <v>言語能力</v>
      </c>
      <c r="E1377" s="82" t="str">
        <f aca="false">IFERROR(INDEX(対訳マスタ!$C$2:$C$136,MATCH(Data!E1377,対訳マスタ!$B$2:$B$136,0)),Data!E1377)</f>
        <v>手話レパートリー</v>
      </c>
      <c r="F1377" s="82" t="str">
        <f aca="false">Data!F1377</f>
        <v>C2</v>
      </c>
      <c r="G1377" s="81" t="str">
        <f aca="false">Data!G1377</f>
        <v>Can express themselves in abstract, poetic signing.</v>
      </c>
      <c r="H1377" s="81"/>
      <c r="I1377" s="82" t="s">
        <v>3625</v>
      </c>
    </row>
    <row r="1378" customFormat="false" ht="21.75" hidden="false" customHeight="true" outlineLevel="0" collapsed="false">
      <c r="A1378" s="82" t="n">
        <f aca="false">Data!A1378</f>
        <v>1377</v>
      </c>
      <c r="B1378" s="82" t="str">
        <f aca="false">IFERROR(INDEX(対訳マスタ!$C$2:$C$136,MATCH(Data!B1378,対訳マスタ!$B$2:$B$136,0)),Data!B1378)</f>
        <v>手話能力</v>
      </c>
      <c r="C1378" s="82" t="str">
        <f aca="false">IF(Data!C1378="—","—",IFERROR(INDEX(対訳マスタ!$C$2:$C$136,MATCH(Data!C1378,対訳マスタ!$B$2:$B$136,0)),Data!C1378))</f>
        <v>産出</v>
      </c>
      <c r="D1378" s="82" t="str">
        <f aca="false">IF(Data!D1378="—","—",IFERROR(INDEX(対訳マスタ!$C$2:$C$136,MATCH(Data!D1378,対訳マスタ!$B$2:$B$136,0)),Data!D1378))</f>
        <v>言語能力</v>
      </c>
      <c r="E1378" s="82" t="str">
        <f aca="false">IFERROR(INDEX(対訳マスタ!$C$2:$C$136,MATCH(Data!E1378,対訳マスタ!$B$2:$B$136,0)),Data!E1378)</f>
        <v>手話レパートリー</v>
      </c>
      <c r="F1378" s="82" t="str">
        <f aca="false">Data!F1378</f>
        <v>C2</v>
      </c>
      <c r="G1378" s="81" t="str">
        <f aca="false">Data!G1378</f>
        <v>Can formulate abstract expressions and concepts, e.g. in the academic and scientific domain.</v>
      </c>
      <c r="H1378" s="81"/>
      <c r="I1378" s="82" t="s">
        <v>3625</v>
      </c>
    </row>
    <row r="1379" customFormat="false" ht="32.25" hidden="false" customHeight="true" outlineLevel="0" collapsed="false">
      <c r="A1379" s="82" t="n">
        <f aca="false">Data!A1379</f>
        <v>1378</v>
      </c>
      <c r="B1379" s="82" t="str">
        <f aca="false">IFERROR(INDEX(対訳マスタ!$C$2:$C$136,MATCH(Data!B1379,対訳マスタ!$B$2:$B$136,0)),Data!B1379)</f>
        <v>手話能力</v>
      </c>
      <c r="C1379" s="82" t="str">
        <f aca="false">IF(Data!C1379="—","—",IFERROR(INDEX(対訳マスタ!$C$2:$C$136,MATCH(Data!C1379,対訳マスタ!$B$2:$B$136,0)),Data!C1379))</f>
        <v>産出</v>
      </c>
      <c r="D1379" s="82" t="str">
        <f aca="false">IF(Data!D1379="—","—",IFERROR(INDEX(対訳マスタ!$C$2:$C$136,MATCH(Data!D1379,対訳マスタ!$B$2:$B$136,0)),Data!D1379))</f>
        <v>言語能力</v>
      </c>
      <c r="E1379" s="82" t="str">
        <f aca="false">IFERROR(INDEX(対訳マスタ!$C$2:$C$136,MATCH(Data!E1379,対訳マスタ!$B$2:$B$136,0)),Data!E1379)</f>
        <v>手話レパートリー</v>
      </c>
      <c r="F1379" s="82" t="str">
        <f aca="false">Data!F1379</f>
        <v>C2</v>
      </c>
      <c r="G1379" s="81" t="str">
        <f aca="false">Data!G1379</f>
        <v>Can produce with one hand a productive or lexical sign (e.g. a depicting or lexical verb like “search for”), while simultaneously using the other hand as part of a constructed action (e.g. scratching their head in different places as if searching for something).</v>
      </c>
      <c r="H1379" s="81"/>
      <c r="I1379" s="82" t="s">
        <v>3625</v>
      </c>
    </row>
    <row r="1380" customFormat="false" ht="21.75" hidden="false" customHeight="true" outlineLevel="0" collapsed="false">
      <c r="A1380" s="82" t="n">
        <f aca="false">Data!A1380</f>
        <v>1379</v>
      </c>
      <c r="B1380" s="82" t="str">
        <f aca="false">IFERROR(INDEX(対訳マスタ!$C$2:$C$136,MATCH(Data!B1380,対訳マスタ!$B$2:$B$136,0)),Data!B1380)</f>
        <v>手話能力</v>
      </c>
      <c r="C1380" s="82" t="str">
        <f aca="false">IF(Data!C1380="—","—",IFERROR(INDEX(対訳マスタ!$C$2:$C$136,MATCH(Data!C1380,対訳マスタ!$B$2:$B$136,0)),Data!C1380))</f>
        <v>産出</v>
      </c>
      <c r="D1380" s="82" t="str">
        <f aca="false">IF(Data!D1380="—","—",IFERROR(INDEX(対訳マスタ!$C$2:$C$136,MATCH(Data!D1380,対訳マスタ!$B$2:$B$136,0)),Data!D1380))</f>
        <v>言語能力</v>
      </c>
      <c r="E1380" s="82" t="str">
        <f aca="false">IFERROR(INDEX(対訳マスタ!$C$2:$C$136,MATCH(Data!E1380,対訳マスタ!$B$2:$B$136,0)),Data!E1380)</f>
        <v>手話レパートリー</v>
      </c>
      <c r="F1380" s="82" t="str">
        <f aca="false">Data!F1380</f>
        <v>C2</v>
      </c>
      <c r="G1380" s="81" t="str">
        <f aca="false">Data!G1380</f>
        <v>Can present a complex action or event in a linguistically aesthetic way, e.g. by employing handshapes as a means of playful expression.</v>
      </c>
      <c r="H1380" s="81"/>
      <c r="I1380" s="82" t="s">
        <v>3625</v>
      </c>
    </row>
    <row r="1381" customFormat="false" ht="21.75" hidden="false" customHeight="true" outlineLevel="0" collapsed="false">
      <c r="A1381" s="82" t="n">
        <f aca="false">Data!A1381</f>
        <v>1380</v>
      </c>
      <c r="B1381" s="82" t="str">
        <f aca="false">IFERROR(INDEX(対訳マスタ!$C$2:$C$136,MATCH(Data!B1381,対訳マスタ!$B$2:$B$136,0)),Data!B1381)</f>
        <v>手話能力</v>
      </c>
      <c r="C1381" s="82" t="str">
        <f aca="false">IF(Data!C1381="—","—",IFERROR(INDEX(対訳マスタ!$C$2:$C$136,MATCH(Data!C1381,対訳マスタ!$B$2:$B$136,0)),Data!C1381))</f>
        <v>産出</v>
      </c>
      <c r="D1381" s="82" t="str">
        <f aca="false">IF(Data!D1381="—","—",IFERROR(INDEX(対訳マスタ!$C$2:$C$136,MATCH(Data!D1381,対訳マスタ!$B$2:$B$136,0)),Data!D1381))</f>
        <v>言語能力</v>
      </c>
      <c r="E1381" s="82" t="str">
        <f aca="false">IFERROR(INDEX(対訳マスタ!$C$2:$C$136,MATCH(Data!E1381,対訳マスタ!$B$2:$B$136,0)),Data!E1381)</f>
        <v>手話レパートリー</v>
      </c>
      <c r="F1381" s="82" t="str">
        <f aca="false">Data!F1381</f>
        <v>C1</v>
      </c>
      <c r="G1381" s="81" t="str">
        <f aca="false">Data!G1381</f>
        <v>Can express actions, objects and relations between these by using suitable classifier constructions (one- and two-handed) in varying ways with ease.</v>
      </c>
      <c r="H1381" s="81"/>
      <c r="I1381" s="82" t="s">
        <v>3625</v>
      </c>
    </row>
    <row r="1382" customFormat="false" ht="21.75" hidden="false" customHeight="true" outlineLevel="0" collapsed="false">
      <c r="A1382" s="82" t="n">
        <f aca="false">Data!A1382</f>
        <v>1381</v>
      </c>
      <c r="B1382" s="82" t="str">
        <f aca="false">IFERROR(INDEX(対訳マスタ!$C$2:$C$136,MATCH(Data!B1382,対訳マスタ!$B$2:$B$136,0)),Data!B1382)</f>
        <v>手話能力</v>
      </c>
      <c r="C1382" s="82" t="str">
        <f aca="false">IF(Data!C1382="—","—",IFERROR(INDEX(対訳マスタ!$C$2:$C$136,MATCH(Data!C1382,対訳マスタ!$B$2:$B$136,0)),Data!C1382))</f>
        <v>産出</v>
      </c>
      <c r="D1382" s="82" t="str">
        <f aca="false">IF(Data!D1382="—","—",IFERROR(INDEX(対訳マスタ!$C$2:$C$136,MATCH(Data!D1382,対訳マスタ!$B$2:$B$136,0)),Data!D1382))</f>
        <v>言語能力</v>
      </c>
      <c r="E1382" s="82" t="str">
        <f aca="false">IFERROR(INDEX(対訳マスタ!$C$2:$C$136,MATCH(Data!E1382,対訳マスタ!$B$2:$B$136,0)),Data!E1382)</f>
        <v>手話レパートリー</v>
      </c>
      <c r="F1382" s="82" t="str">
        <f aca="false">Data!F1382</f>
        <v>C1</v>
      </c>
      <c r="G1382" s="81" t="str">
        <f aca="false">Data!G1382</f>
        <v>Can employ the appropriate productive sign (e.g. a classifier) in order to highlight a particular meaning.</v>
      </c>
      <c r="H1382" s="81"/>
      <c r="I1382" s="82" t="s">
        <v>3625</v>
      </c>
    </row>
    <row r="1383" customFormat="false" ht="15" hidden="false" customHeight="true" outlineLevel="0" collapsed="false">
      <c r="A1383" s="82" t="n">
        <f aca="false">Data!A1383</f>
        <v>1382</v>
      </c>
      <c r="B1383" s="82" t="str">
        <f aca="false">IFERROR(INDEX(対訳マスタ!$C$2:$C$136,MATCH(Data!B1383,対訳マスタ!$B$2:$B$136,0)),Data!B1383)</f>
        <v>手話能力</v>
      </c>
      <c r="C1383" s="82" t="str">
        <f aca="false">IF(Data!C1383="—","—",IFERROR(INDEX(対訳マスタ!$C$2:$C$136,MATCH(Data!C1383,対訳マスタ!$B$2:$B$136,0)),Data!C1383))</f>
        <v>産出</v>
      </c>
      <c r="D1383" s="82" t="str">
        <f aca="false">IF(Data!D1383="—","—",IFERROR(INDEX(対訳マスタ!$C$2:$C$136,MATCH(Data!D1383,対訳マスタ!$B$2:$B$136,0)),Data!D1383))</f>
        <v>言語能力</v>
      </c>
      <c r="E1383" s="82" t="str">
        <f aca="false">IFERROR(INDEX(対訳マスタ!$C$2:$C$136,MATCH(Data!E1383,対訳マスタ!$B$2:$B$136,0)),Data!E1383)</f>
        <v>手話レパートリー</v>
      </c>
      <c r="F1383" s="82" t="str">
        <f aca="false">Data!F1383</f>
        <v>C1</v>
      </c>
      <c r="G1383" s="81" t="str">
        <f aca="false">Data!G1383</f>
        <v>Can sign comprehensibly using just one hand (the dominant hand).</v>
      </c>
      <c r="H1383" s="81"/>
      <c r="I1383" s="82" t="s">
        <v>3625</v>
      </c>
    </row>
    <row r="1384" customFormat="false" ht="21.75" hidden="false" customHeight="true" outlineLevel="0" collapsed="false">
      <c r="A1384" s="82" t="n">
        <f aca="false">Data!A1384</f>
        <v>1383</v>
      </c>
      <c r="B1384" s="82" t="str">
        <f aca="false">IFERROR(INDEX(対訳マスタ!$C$2:$C$136,MATCH(Data!B1384,対訳マスタ!$B$2:$B$136,0)),Data!B1384)</f>
        <v>手話能力</v>
      </c>
      <c r="C1384" s="82" t="str">
        <f aca="false">IF(Data!C1384="—","—",IFERROR(INDEX(対訳マスタ!$C$2:$C$136,MATCH(Data!C1384,対訳マスタ!$B$2:$B$136,0)),Data!C1384))</f>
        <v>産出</v>
      </c>
      <c r="D1384" s="82" t="str">
        <f aca="false">IF(Data!D1384="—","—",IFERROR(INDEX(対訳マスタ!$C$2:$C$136,MATCH(Data!D1384,対訳マスタ!$B$2:$B$136,0)),Data!D1384))</f>
        <v>言語能力</v>
      </c>
      <c r="E1384" s="82" t="str">
        <f aca="false">IFERROR(INDEX(対訳マスタ!$C$2:$C$136,MATCH(Data!E1384,対訳マスタ!$B$2:$B$136,0)),Data!E1384)</f>
        <v>手話レパートリー</v>
      </c>
      <c r="F1384" s="82" t="str">
        <f aca="false">Data!F1384</f>
        <v>C1</v>
      </c>
      <c r="G1384" s="81" t="str">
        <f aca="false">Data!G1384</f>
        <v>Can use a sentence to specify the precisely intended meaning of a vague term (e.g. specify “murder” through use of depiction).</v>
      </c>
      <c r="H1384" s="81"/>
      <c r="I1384" s="82" t="s">
        <v>3625</v>
      </c>
    </row>
    <row r="1385" customFormat="false" ht="21.75" hidden="false" customHeight="true" outlineLevel="0" collapsed="false">
      <c r="A1385" s="82" t="n">
        <f aca="false">Data!A1385</f>
        <v>1384</v>
      </c>
      <c r="B1385" s="82" t="str">
        <f aca="false">IFERROR(INDEX(対訳マスタ!$C$2:$C$136,MATCH(Data!B1385,対訳マスタ!$B$2:$B$136,0)),Data!B1385)</f>
        <v>手話能力</v>
      </c>
      <c r="C1385" s="82" t="str">
        <f aca="false">IF(Data!C1385="—","—",IFERROR(INDEX(対訳マスタ!$C$2:$C$136,MATCH(Data!C1385,対訳マスタ!$B$2:$B$136,0)),Data!C1385))</f>
        <v>産出</v>
      </c>
      <c r="D1385" s="82" t="str">
        <f aca="false">IF(Data!D1385="—","—",IFERROR(INDEX(対訳マスタ!$C$2:$C$136,MATCH(Data!D1385,対訳マスタ!$B$2:$B$136,0)),Data!D1385))</f>
        <v>言語能力</v>
      </c>
      <c r="E1385" s="82" t="str">
        <f aca="false">IFERROR(INDEX(対訳マスタ!$C$2:$C$136,MATCH(Data!E1385,対訳マスタ!$B$2:$B$136,0)),Data!E1385)</f>
        <v>手話レパートリー</v>
      </c>
      <c r="F1385" s="82" t="str">
        <f aca="false">Data!F1385</f>
        <v>C1</v>
      </c>
      <c r="G1385" s="81" t="str">
        <f aca="false">Data!G1385</f>
        <v>Can provide very broad coverage of a topic, taking account of the different aspects involved.</v>
      </c>
      <c r="H1385" s="81"/>
      <c r="I1385" s="82" t="s">
        <v>3625</v>
      </c>
    </row>
    <row r="1386" customFormat="false" ht="15" hidden="false" customHeight="true" outlineLevel="0" collapsed="false">
      <c r="A1386" s="82" t="n">
        <f aca="false">Data!A1386</f>
        <v>1385</v>
      </c>
      <c r="B1386" s="82" t="str">
        <f aca="false">IFERROR(INDEX(対訳マスタ!$C$2:$C$136,MATCH(Data!B1386,対訳マスタ!$B$2:$B$136,0)),Data!B1386)</f>
        <v>手話能力</v>
      </c>
      <c r="C1386" s="82" t="str">
        <f aca="false">IF(Data!C1386="—","—",IFERROR(INDEX(対訳マスタ!$C$2:$C$136,MATCH(Data!C1386,対訳マスタ!$B$2:$B$136,0)),Data!C1386))</f>
        <v>産出</v>
      </c>
      <c r="D1386" s="82" t="str">
        <f aca="false">IF(Data!D1386="—","—",IFERROR(INDEX(対訳マスタ!$C$2:$C$136,MATCH(Data!D1386,対訳マスタ!$B$2:$B$136,0)),Data!D1386))</f>
        <v>言語能力</v>
      </c>
      <c r="E1386" s="82" t="str">
        <f aca="false">IFERROR(INDEX(対訳マスタ!$C$2:$C$136,MATCH(Data!E1386,対訳マスタ!$B$2:$B$136,0)),Data!E1386)</f>
        <v>手話レパートリー</v>
      </c>
      <c r="F1386" s="82" t="str">
        <f aca="false">Data!F1386</f>
        <v>C1</v>
      </c>
      <c r="G1386" s="81" t="str">
        <f aca="false">Data!G1386</f>
        <v>Can switch between direct and indirect speech.</v>
      </c>
      <c r="H1386" s="81"/>
      <c r="I1386" s="82" t="s">
        <v>3625</v>
      </c>
    </row>
    <row r="1387" customFormat="false" ht="15" hidden="false" customHeight="true" outlineLevel="0" collapsed="false">
      <c r="A1387" s="82" t="n">
        <f aca="false">Data!A1387</f>
        <v>1386</v>
      </c>
      <c r="B1387" s="82" t="str">
        <f aca="false">IFERROR(INDEX(対訳マスタ!$C$2:$C$136,MATCH(Data!B1387,対訳マスタ!$B$2:$B$136,0)),Data!B1387)</f>
        <v>手話能力</v>
      </c>
      <c r="C1387" s="82" t="str">
        <f aca="false">IF(Data!C1387="—","—",IFERROR(INDEX(対訳マスタ!$C$2:$C$136,MATCH(Data!C1387,対訳マスタ!$B$2:$B$136,0)),Data!C1387))</f>
        <v>産出</v>
      </c>
      <c r="D1387" s="82" t="str">
        <f aca="false">IF(Data!D1387="—","—",IFERROR(INDEX(対訳マスタ!$C$2:$C$136,MATCH(Data!D1387,対訳マスタ!$B$2:$B$136,0)),Data!D1387))</f>
        <v>言語能力</v>
      </c>
      <c r="E1387" s="82" t="str">
        <f aca="false">IFERROR(INDEX(対訳マスタ!$C$2:$C$136,MATCH(Data!E1387,対訳マスタ!$B$2:$B$136,0)),Data!E1387)</f>
        <v>手話レパートリー</v>
      </c>
      <c r="F1387" s="82" t="str">
        <f aca="false">Data!F1387</f>
        <v>B2+</v>
      </c>
      <c r="G1387" s="81" t="str">
        <f aca="false">Data!G1387</f>
        <v>Can sign comprehensibly and precisely on a complex subject.</v>
      </c>
      <c r="H1387" s="81"/>
      <c r="I1387" s="82" t="s">
        <v>3625</v>
      </c>
    </row>
    <row r="1388" customFormat="false" ht="15" hidden="false" customHeight="true" outlineLevel="0" collapsed="false">
      <c r="A1388" s="82" t="n">
        <f aca="false">Data!A1388</f>
        <v>1387</v>
      </c>
      <c r="B1388" s="82" t="str">
        <f aca="false">IFERROR(INDEX(対訳マスタ!$C$2:$C$136,MATCH(Data!B1388,対訳マスタ!$B$2:$B$136,0)),Data!B1388)</f>
        <v>手話能力</v>
      </c>
      <c r="C1388" s="82" t="str">
        <f aca="false">IF(Data!C1388="—","—",IFERROR(INDEX(対訳マスタ!$C$2:$C$136,MATCH(Data!C1388,対訳マスタ!$B$2:$B$136,0)),Data!C1388))</f>
        <v>産出</v>
      </c>
      <c r="D1388" s="82" t="str">
        <f aca="false">IF(Data!D1388="—","—",IFERROR(INDEX(対訳マスタ!$C$2:$C$136,MATCH(Data!D1388,対訳マスタ!$B$2:$B$136,0)),Data!D1388))</f>
        <v>言語能力</v>
      </c>
      <c r="E1388" s="82" t="str">
        <f aca="false">IFERROR(INDEX(対訳マスタ!$C$2:$C$136,MATCH(Data!E1388,対訳マスタ!$B$2:$B$136,0)),Data!E1388)</f>
        <v>手話レパートリー</v>
      </c>
      <c r="F1388" s="82" t="str">
        <f aca="false">Data!F1388</f>
        <v>B2+</v>
      </c>
      <c r="G1388" s="81" t="str">
        <f aca="false">Data!G1388</f>
        <v>Can adapt the signing style to the content and/or object being described.</v>
      </c>
      <c r="H1388" s="81"/>
      <c r="I1388" s="82" t="s">
        <v>3625</v>
      </c>
    </row>
    <row r="1389" customFormat="false" ht="15" hidden="false" customHeight="true" outlineLevel="0" collapsed="false">
      <c r="A1389" s="82" t="n">
        <f aca="false">Data!A1389</f>
        <v>1388</v>
      </c>
      <c r="B1389" s="82" t="str">
        <f aca="false">IFERROR(INDEX(対訳マスタ!$C$2:$C$136,MATCH(Data!B1389,対訳マスタ!$B$2:$B$136,0)),Data!B1389)</f>
        <v>手話能力</v>
      </c>
      <c r="C1389" s="82" t="str">
        <f aca="false">IF(Data!C1389="—","—",IFERROR(INDEX(対訳マスタ!$C$2:$C$136,MATCH(Data!C1389,対訳マスタ!$B$2:$B$136,0)),Data!C1389))</f>
        <v>産出</v>
      </c>
      <c r="D1389" s="82" t="str">
        <f aca="false">IF(Data!D1389="—","—",IFERROR(INDEX(対訳マスタ!$C$2:$C$136,MATCH(Data!D1389,対訳マスタ!$B$2:$B$136,0)),Data!D1389))</f>
        <v>言語能力</v>
      </c>
      <c r="E1389" s="82" t="str">
        <f aca="false">IFERROR(INDEX(対訳マスタ!$C$2:$C$136,MATCH(Data!E1389,対訳マスタ!$B$2:$B$136,0)),Data!E1389)</f>
        <v>手話レパートリー</v>
      </c>
      <c r="F1389" s="82" t="str">
        <f aca="false">Data!F1389</f>
        <v>B2+</v>
      </c>
      <c r="G1389" s="81" t="str">
        <f aca="false">Data!G1389</f>
        <v>Can present a simple productive action through depiction and constructed action.</v>
      </c>
      <c r="H1389" s="81"/>
      <c r="I1389" s="82" t="s">
        <v>3625</v>
      </c>
    </row>
    <row r="1390" customFormat="false" ht="15" hidden="false" customHeight="true" outlineLevel="0" collapsed="false">
      <c r="A1390" s="82" t="n">
        <f aca="false">Data!A1390</f>
        <v>1389</v>
      </c>
      <c r="B1390" s="82" t="str">
        <f aca="false">IFERROR(INDEX(対訳マスタ!$C$2:$C$136,MATCH(Data!B1390,対訳マスタ!$B$2:$B$136,0)),Data!B1390)</f>
        <v>手話能力</v>
      </c>
      <c r="C1390" s="82" t="str">
        <f aca="false">IF(Data!C1390="—","—",IFERROR(INDEX(対訳マスタ!$C$2:$C$136,MATCH(Data!C1390,対訳マスタ!$B$2:$B$136,0)),Data!C1390))</f>
        <v>産出</v>
      </c>
      <c r="D1390" s="82" t="str">
        <f aca="false">IF(Data!D1390="—","—",IFERROR(INDEX(対訳マスタ!$C$2:$C$136,MATCH(Data!D1390,対訳マスタ!$B$2:$B$136,0)),Data!D1390))</f>
        <v>言語能力</v>
      </c>
      <c r="E1390" s="82" t="str">
        <f aca="false">IFERROR(INDEX(対訳マスタ!$C$2:$C$136,MATCH(Data!E1390,対訳マスタ!$B$2:$B$136,0)),Data!E1390)</f>
        <v>手話レパートリー</v>
      </c>
      <c r="F1390" s="82" t="str">
        <f aca="false">Data!F1390</f>
        <v>B2+</v>
      </c>
      <c r="G1390" s="81" t="str">
        <f aca="false">Data!G1390</f>
        <v>Can use a differentiated choice of signs that corresponds to the type of text concerned.</v>
      </c>
      <c r="H1390" s="81"/>
      <c r="I1390" s="82" t="s">
        <v>3625</v>
      </c>
    </row>
    <row r="1391" customFormat="false" ht="15" hidden="false" customHeight="true" outlineLevel="0" collapsed="false">
      <c r="A1391" s="82" t="n">
        <f aca="false">Data!A1391</f>
        <v>1390</v>
      </c>
      <c r="B1391" s="82" t="str">
        <f aca="false">IFERROR(INDEX(対訳マスタ!$C$2:$C$136,MATCH(Data!B1391,対訳マスタ!$B$2:$B$136,0)),Data!B1391)</f>
        <v>手話能力</v>
      </c>
      <c r="C1391" s="82" t="str">
        <f aca="false">IF(Data!C1391="—","—",IFERROR(INDEX(対訳マスタ!$C$2:$C$136,MATCH(Data!C1391,対訳マスタ!$B$2:$B$136,0)),Data!C1391))</f>
        <v>産出</v>
      </c>
      <c r="D1391" s="82" t="str">
        <f aca="false">IF(Data!D1391="—","—",IFERROR(INDEX(対訳マスタ!$C$2:$C$136,MATCH(Data!D1391,対訳マスタ!$B$2:$B$136,0)),Data!D1391))</f>
        <v>言語能力</v>
      </c>
      <c r="E1391" s="82" t="str">
        <f aca="false">IFERROR(INDEX(対訳マスタ!$C$2:$C$136,MATCH(Data!E1391,対訳マスタ!$B$2:$B$136,0)),Data!E1391)</f>
        <v>手話レパートリー</v>
      </c>
      <c r="F1391" s="82" t="str">
        <f aca="false">Data!F1391</f>
        <v>B2+</v>
      </c>
      <c r="G1391" s="81" t="str">
        <f aca="false">Data!G1391</f>
        <v>Can employ constructed action (actions are imitated one-to-one).</v>
      </c>
      <c r="H1391" s="81"/>
      <c r="I1391" s="82" t="s">
        <v>3625</v>
      </c>
    </row>
    <row r="1392" customFormat="false" ht="21.75" hidden="false" customHeight="true" outlineLevel="0" collapsed="false">
      <c r="A1392" s="82" t="n">
        <f aca="false">Data!A1392</f>
        <v>1391</v>
      </c>
      <c r="B1392" s="82" t="str">
        <f aca="false">IFERROR(INDEX(対訳マスタ!$C$2:$C$136,MATCH(Data!B1392,対訳マスタ!$B$2:$B$136,0)),Data!B1392)</f>
        <v>手話能力</v>
      </c>
      <c r="C1392" s="82" t="str">
        <f aca="false">IF(Data!C1392="—","—",IFERROR(INDEX(対訳マスタ!$C$2:$C$136,MATCH(Data!C1392,対訳マスタ!$B$2:$B$136,0)),Data!C1392))</f>
        <v>産出</v>
      </c>
      <c r="D1392" s="82" t="str">
        <f aca="false">IF(Data!D1392="—","—",IFERROR(INDEX(対訳マスタ!$C$2:$C$136,MATCH(Data!D1392,対訳マスタ!$B$2:$B$136,0)),Data!D1392))</f>
        <v>言語能力</v>
      </c>
      <c r="E1392" s="82" t="str">
        <f aca="false">IFERROR(INDEX(対訳マスタ!$C$2:$C$136,MATCH(Data!E1392,対訳マスタ!$B$2:$B$136,0)),Data!E1392)</f>
        <v>手話レパートリー</v>
      </c>
      <c r="F1392" s="82" t="str">
        <f aca="false">Data!F1392</f>
        <v>B2</v>
      </c>
      <c r="G1392" s="81" t="str">
        <f aca="false">Data!G1392</f>
        <v>Can always express their own opinion, even when the positions taken and opinions expressed by others are being presented.</v>
      </c>
      <c r="H1392" s="81"/>
      <c r="I1392" s="82" t="s">
        <v>3625</v>
      </c>
    </row>
    <row r="1393" customFormat="false" ht="15" hidden="false" customHeight="true" outlineLevel="0" collapsed="false">
      <c r="A1393" s="82" t="n">
        <f aca="false">Data!A1393</f>
        <v>1392</v>
      </c>
      <c r="B1393" s="82" t="str">
        <f aca="false">IFERROR(INDEX(対訳マスタ!$C$2:$C$136,MATCH(Data!B1393,対訳マスタ!$B$2:$B$136,0)),Data!B1393)</f>
        <v>手話能力</v>
      </c>
      <c r="C1393" s="82" t="str">
        <f aca="false">IF(Data!C1393="—","—",IFERROR(INDEX(対訳マスタ!$C$2:$C$136,MATCH(Data!C1393,対訳マスタ!$B$2:$B$136,0)),Data!C1393))</f>
        <v>産出</v>
      </c>
      <c r="D1393" s="82" t="str">
        <f aca="false">IF(Data!D1393="—","—",IFERROR(INDEX(対訳マスタ!$C$2:$C$136,MATCH(Data!D1393,対訳マスタ!$B$2:$B$136,0)),Data!D1393))</f>
        <v>言語能力</v>
      </c>
      <c r="E1393" s="82" t="str">
        <f aca="false">IFERROR(INDEX(対訳マスタ!$C$2:$C$136,MATCH(Data!E1393,対訳マスタ!$B$2:$B$136,0)),Data!E1393)</f>
        <v>手話レパートリー</v>
      </c>
      <c r="F1393" s="82" t="str">
        <f aca="false">Data!F1393</f>
        <v>B2</v>
      </c>
      <c r="G1393" s="81" t="str">
        <f aca="false">Data!G1393</f>
        <v>Can express the same content in different language.</v>
      </c>
      <c r="H1393" s="81"/>
      <c r="I1393" s="82" t="s">
        <v>3625</v>
      </c>
    </row>
    <row r="1394" customFormat="false" ht="15" hidden="false" customHeight="true" outlineLevel="0" collapsed="false">
      <c r="A1394" s="82" t="n">
        <f aca="false">Data!A1394</f>
        <v>1393</v>
      </c>
      <c r="B1394" s="82" t="str">
        <f aca="false">IFERROR(INDEX(対訳マスタ!$C$2:$C$136,MATCH(Data!B1394,対訳マスタ!$B$2:$B$136,0)),Data!B1394)</f>
        <v>手話能力</v>
      </c>
      <c r="C1394" s="82" t="str">
        <f aca="false">IF(Data!C1394="—","—",IFERROR(INDEX(対訳マスタ!$C$2:$C$136,MATCH(Data!C1394,対訳マスタ!$B$2:$B$136,0)),Data!C1394))</f>
        <v>産出</v>
      </c>
      <c r="D1394" s="82" t="str">
        <f aca="false">IF(Data!D1394="—","—",IFERROR(INDEX(対訳マスタ!$C$2:$C$136,MATCH(Data!D1394,対訳マスタ!$B$2:$B$136,0)),Data!D1394))</f>
        <v>言語能力</v>
      </c>
      <c r="E1394" s="82" t="str">
        <f aca="false">IFERROR(INDEX(対訳マスタ!$C$2:$C$136,MATCH(Data!E1394,対訳マスタ!$B$2:$B$136,0)),Data!E1394)</f>
        <v>手話レパートリー</v>
      </c>
      <c r="F1394" s="82" t="str">
        <f aca="false">Data!F1394</f>
        <v>B2</v>
      </c>
      <c r="G1394" s="81" t="str">
        <f aca="false">Data!G1394</f>
        <v>Can alternate between productive and lexical signing.</v>
      </c>
      <c r="H1394" s="81"/>
      <c r="I1394" s="82" t="s">
        <v>3625</v>
      </c>
    </row>
    <row r="1395" customFormat="false" ht="15" hidden="false" customHeight="true" outlineLevel="0" collapsed="false">
      <c r="A1395" s="82" t="n">
        <f aca="false">Data!A1395</f>
        <v>1394</v>
      </c>
      <c r="B1395" s="82" t="str">
        <f aca="false">IFERROR(INDEX(対訳マスタ!$C$2:$C$136,MATCH(Data!B1395,対訳マスタ!$B$2:$B$136,0)),Data!B1395)</f>
        <v>手話能力</v>
      </c>
      <c r="C1395" s="82" t="str">
        <f aca="false">IF(Data!C1395="—","—",IFERROR(INDEX(対訳マスタ!$C$2:$C$136,MATCH(Data!C1395,対訳マスタ!$B$2:$B$136,0)),Data!C1395))</f>
        <v>産出</v>
      </c>
      <c r="D1395" s="82" t="str">
        <f aca="false">IF(Data!D1395="—","—",IFERROR(INDEX(対訳マスタ!$C$2:$C$136,MATCH(Data!D1395,対訳マスタ!$B$2:$B$136,0)),Data!D1395))</f>
        <v>言語能力</v>
      </c>
      <c r="E1395" s="82" t="str">
        <f aca="false">IFERROR(INDEX(対訳マスタ!$C$2:$C$136,MATCH(Data!E1395,対訳マスタ!$B$2:$B$136,0)),Data!E1395)</f>
        <v>手話レパートリー</v>
      </c>
      <c r="F1395" s="82" t="str">
        <f aca="false">Data!F1395</f>
        <v>B2</v>
      </c>
      <c r="G1395" s="81" t="str">
        <f aca="false">Data!G1395</f>
        <v>Can communicate information using the productive lexicon only.</v>
      </c>
      <c r="H1395" s="81"/>
      <c r="I1395" s="82" t="s">
        <v>3625</v>
      </c>
    </row>
    <row r="1396" customFormat="false" ht="21.75" hidden="false" customHeight="true" outlineLevel="0" collapsed="false">
      <c r="A1396" s="82" t="n">
        <f aca="false">Data!A1396</f>
        <v>1395</v>
      </c>
      <c r="B1396" s="82" t="str">
        <f aca="false">IFERROR(INDEX(対訳マスタ!$C$2:$C$136,MATCH(Data!B1396,対訳マスタ!$B$2:$B$136,0)),Data!B1396)</f>
        <v>手話能力</v>
      </c>
      <c r="C1396" s="82" t="str">
        <f aca="false">IF(Data!C1396="—","—",IFERROR(INDEX(対訳マスタ!$C$2:$C$136,MATCH(Data!C1396,対訳マスタ!$B$2:$B$136,0)),Data!C1396))</f>
        <v>産出</v>
      </c>
      <c r="D1396" s="82" t="str">
        <f aca="false">IF(Data!D1396="—","—",IFERROR(INDEX(対訳マスタ!$C$2:$C$136,MATCH(Data!D1396,対訳マスタ!$B$2:$B$136,0)),Data!D1396))</f>
        <v>言語能力</v>
      </c>
      <c r="E1396" s="82" t="str">
        <f aca="false">IFERROR(INDEX(対訳マスタ!$C$2:$C$136,MATCH(Data!E1396,対訳マスタ!$B$2:$B$136,0)),Data!E1396)</f>
        <v>手話レパートリー</v>
      </c>
      <c r="F1396" s="82" t="str">
        <f aca="false">Data!F1396</f>
        <v>B2</v>
      </c>
      <c r="G1396" s="81" t="str">
        <f aca="false">Data!G1396</f>
        <v>Can paraphrase lexical elements by using productive elements, e.g. by using depicting signs and other classifier constructions.</v>
      </c>
      <c r="H1396" s="81"/>
      <c r="I1396" s="82" t="s">
        <v>3625</v>
      </c>
    </row>
    <row r="1397" customFormat="false" ht="15" hidden="false" customHeight="true" outlineLevel="0" collapsed="false">
      <c r="A1397" s="82" t="n">
        <f aca="false">Data!A1397</f>
        <v>1396</v>
      </c>
      <c r="B1397" s="82" t="str">
        <f aca="false">IFERROR(INDEX(対訳マスタ!$C$2:$C$136,MATCH(Data!B1397,対訳マスタ!$B$2:$B$136,0)),Data!B1397)</f>
        <v>手話能力</v>
      </c>
      <c r="C1397" s="82" t="str">
        <f aca="false">IF(Data!C1397="—","—",IFERROR(INDEX(対訳マスタ!$C$2:$C$136,MATCH(Data!C1397,対訳マスタ!$B$2:$B$136,0)),Data!C1397))</f>
        <v>産出</v>
      </c>
      <c r="D1397" s="82" t="str">
        <f aca="false">IF(Data!D1397="—","—",IFERROR(INDEX(対訳マスタ!$C$2:$C$136,MATCH(Data!D1397,対訳マスタ!$B$2:$B$136,0)),Data!D1397))</f>
        <v>言語能力</v>
      </c>
      <c r="E1397" s="82" t="str">
        <f aca="false">IFERROR(INDEX(対訳マスタ!$C$2:$C$136,MATCH(Data!E1397,対訳マスタ!$B$2:$B$136,0)),Data!E1397)</f>
        <v>手話レパートリー</v>
      </c>
      <c r="F1397" s="82" t="str">
        <f aca="false">Data!F1397</f>
        <v>B1+</v>
      </c>
      <c r="G1397" s="81" t="str">
        <f aca="false">Data!G1397</f>
        <v>Can fingerspell quickly and accurately.</v>
      </c>
      <c r="H1397" s="81"/>
      <c r="I1397" s="82" t="s">
        <v>3625</v>
      </c>
    </row>
    <row r="1398" customFormat="false" ht="32.25" hidden="false" customHeight="true" outlineLevel="0" collapsed="false">
      <c r="A1398" s="82" t="n">
        <f aca="false">Data!A1398</f>
        <v>1397</v>
      </c>
      <c r="B1398" s="82" t="str">
        <f aca="false">IFERROR(INDEX(対訳マスタ!$C$2:$C$136,MATCH(Data!B1398,対訳マスタ!$B$2:$B$136,0)),Data!B1398)</f>
        <v>手話能力</v>
      </c>
      <c r="C1398" s="82" t="str">
        <f aca="false">IF(Data!C1398="—","—",IFERROR(INDEX(対訳マスタ!$C$2:$C$136,MATCH(Data!C1398,対訳マスタ!$B$2:$B$136,0)),Data!C1398))</f>
        <v>産出</v>
      </c>
      <c r="D1398" s="82" t="str">
        <f aca="false">IF(Data!D1398="—","—",IFERROR(INDEX(対訳マスタ!$C$2:$C$136,MATCH(Data!D1398,対訳マスタ!$B$2:$B$136,0)),Data!D1398))</f>
        <v>言語能力</v>
      </c>
      <c r="E1398" s="82" t="str">
        <f aca="false">IFERROR(INDEX(対訳マスタ!$C$2:$C$136,MATCH(Data!E1398,対訳マスタ!$B$2:$B$136,0)),Data!E1398)</f>
        <v>手話レパートリー</v>
      </c>
      <c r="F1398" s="82" t="str">
        <f aca="false">Data!F1398</f>
        <v>B1+</v>
      </c>
      <c r="G1398" s="81" t="str">
        <f aca="false">Data!G1398</f>
        <v>Can, in order to facilitate understanding, make a relevant comparison with other things or images or circumstances that the recipient already knows (e.g. “A porcupine looks like a big hedgehog”).</v>
      </c>
      <c r="H1398" s="81"/>
      <c r="I1398" s="82" t="s">
        <v>3625</v>
      </c>
    </row>
    <row r="1399" customFormat="false" ht="21.75" hidden="false" customHeight="true" outlineLevel="0" collapsed="false">
      <c r="A1399" s="82" t="n">
        <f aca="false">Data!A1399</f>
        <v>1398</v>
      </c>
      <c r="B1399" s="82" t="str">
        <f aca="false">IFERROR(INDEX(対訳マスタ!$C$2:$C$136,MATCH(Data!B1399,対訳マスタ!$B$2:$B$136,0)),Data!B1399)</f>
        <v>手話能力</v>
      </c>
      <c r="C1399" s="82" t="str">
        <f aca="false">IF(Data!C1399="—","—",IFERROR(INDEX(対訳マスタ!$C$2:$C$136,MATCH(Data!C1399,対訳マスタ!$B$2:$B$136,0)),Data!C1399))</f>
        <v>産出</v>
      </c>
      <c r="D1399" s="82" t="str">
        <f aca="false">IF(Data!D1399="—","—",IFERROR(INDEX(対訳マスタ!$C$2:$C$136,MATCH(Data!D1399,対訳マスタ!$B$2:$B$136,0)),Data!D1399))</f>
        <v>言語能力</v>
      </c>
      <c r="E1399" s="82" t="str">
        <f aca="false">IFERROR(INDEX(対訳マスタ!$C$2:$C$136,MATCH(Data!E1399,対訳マスタ!$B$2:$B$136,0)),Data!E1399)</f>
        <v>手話レパートリー</v>
      </c>
      <c r="F1399" s="82" t="str">
        <f aca="false">Data!F1399</f>
        <v>B1+</v>
      </c>
      <c r="G1399" s="81" t="str">
        <f aca="false">Data!G1399</f>
        <v>Can employ different productive signs (e.g. handshapes indicating handling) when describing an action or event.</v>
      </c>
      <c r="H1399" s="81"/>
      <c r="I1399" s="82" t="s">
        <v>3625</v>
      </c>
    </row>
    <row r="1400" customFormat="false" ht="15" hidden="false" customHeight="true" outlineLevel="0" collapsed="false">
      <c r="A1400" s="82" t="n">
        <f aca="false">Data!A1400</f>
        <v>1399</v>
      </c>
      <c r="B1400" s="82" t="str">
        <f aca="false">IFERROR(INDEX(対訳マスタ!$C$2:$C$136,MATCH(Data!B1400,対訳マスタ!$B$2:$B$136,0)),Data!B1400)</f>
        <v>手話能力</v>
      </c>
      <c r="C1400" s="82" t="str">
        <f aca="false">IF(Data!C1400="—","—",IFERROR(INDEX(対訳マスタ!$C$2:$C$136,MATCH(Data!C1400,対訳マスタ!$B$2:$B$136,0)),Data!C1400))</f>
        <v>産出</v>
      </c>
      <c r="D1400" s="82" t="str">
        <f aca="false">IF(Data!D1400="—","—",IFERROR(INDEX(対訳マスタ!$C$2:$C$136,MATCH(Data!D1400,対訳マスタ!$B$2:$B$136,0)),Data!D1400))</f>
        <v>言語能力</v>
      </c>
      <c r="E1400" s="82" t="str">
        <f aca="false">IFERROR(INDEX(対訳マスタ!$C$2:$C$136,MATCH(Data!E1400,対訳マスタ!$B$2:$B$136,0)),Data!E1400)</f>
        <v>手話レパートリー</v>
      </c>
      <c r="F1400" s="82" t="str">
        <f aca="false">Data!F1400</f>
        <v>B1+</v>
      </c>
      <c r="G1400" s="81" t="str">
        <f aca="false">Data!G1400</f>
        <v>Can employ mouthings in a differentiated manner that is appropriate to context.</v>
      </c>
      <c r="H1400" s="81"/>
      <c r="I1400" s="82" t="s">
        <v>3625</v>
      </c>
    </row>
    <row r="1401" customFormat="false" ht="21.75" hidden="false" customHeight="true" outlineLevel="0" collapsed="false">
      <c r="A1401" s="82" t="n">
        <f aca="false">Data!A1401</f>
        <v>1400</v>
      </c>
      <c r="B1401" s="82" t="str">
        <f aca="false">IFERROR(INDEX(対訳マスタ!$C$2:$C$136,MATCH(Data!B1401,対訳マスタ!$B$2:$B$136,0)),Data!B1401)</f>
        <v>手話能力</v>
      </c>
      <c r="C1401" s="82" t="str">
        <f aca="false">IF(Data!C1401="—","—",IFERROR(INDEX(対訳マスタ!$C$2:$C$136,MATCH(Data!C1401,対訳マスタ!$B$2:$B$136,0)),Data!C1401))</f>
        <v>産出</v>
      </c>
      <c r="D1401" s="82" t="str">
        <f aca="false">IF(Data!D1401="—","—",IFERROR(INDEX(対訳マスタ!$C$2:$C$136,MATCH(Data!D1401,対訳マスタ!$B$2:$B$136,0)),Data!D1401))</f>
        <v>言語能力</v>
      </c>
      <c r="E1401" s="82" t="str">
        <f aca="false">IFERROR(INDEX(対訳マスタ!$C$2:$C$136,MATCH(Data!E1401,対訳マスタ!$B$2:$B$136,0)),Data!E1401)</f>
        <v>手話レパートリー</v>
      </c>
      <c r="F1401" s="82" t="str">
        <f aca="false">Data!F1401</f>
        <v>B1+</v>
      </c>
      <c r="G1401" s="81" t="str">
        <f aca="false">Data!G1401</f>
        <v>Can employ different means (e.g. non-manuals including facial expression, handshape, hand orientation, movement) in order to describe the size and shape of an object.</v>
      </c>
      <c r="H1401" s="81"/>
      <c r="I1401" s="82" t="s">
        <v>3625</v>
      </c>
    </row>
    <row r="1402" customFormat="false" ht="15" hidden="false" customHeight="true" outlineLevel="0" collapsed="false">
      <c r="A1402" s="82" t="n">
        <f aca="false">Data!A1402</f>
        <v>1401</v>
      </c>
      <c r="B1402" s="82" t="str">
        <f aca="false">IFERROR(INDEX(対訳マスタ!$C$2:$C$136,MATCH(Data!B1402,対訳マスタ!$B$2:$B$136,0)),Data!B1402)</f>
        <v>手話能力</v>
      </c>
      <c r="C1402" s="82" t="str">
        <f aca="false">IF(Data!C1402="—","—",IFERROR(INDEX(対訳マスタ!$C$2:$C$136,MATCH(Data!C1402,対訳マスタ!$B$2:$B$136,0)),Data!C1402))</f>
        <v>産出</v>
      </c>
      <c r="D1402" s="82" t="str">
        <f aca="false">IF(Data!D1402="—","—",IFERROR(INDEX(対訳マスタ!$C$2:$C$136,MATCH(Data!D1402,対訳マスタ!$B$2:$B$136,0)),Data!D1402))</f>
        <v>言語能力</v>
      </c>
      <c r="E1402" s="82" t="str">
        <f aca="false">IFERROR(INDEX(対訳マスタ!$C$2:$C$136,MATCH(Data!E1402,対訳マスタ!$B$2:$B$136,0)),Data!E1402)</f>
        <v>手話レパートリー</v>
      </c>
      <c r="F1402" s="82" t="str">
        <f aca="false">Data!F1402</f>
        <v>B1+</v>
      </c>
      <c r="G1402" s="81" t="str">
        <f aca="false">Data!G1402</f>
        <v>Can present personal characteristics just with mouthings and constructed action.</v>
      </c>
      <c r="H1402" s="81"/>
      <c r="I1402" s="82" t="s">
        <v>3625</v>
      </c>
    </row>
    <row r="1403" customFormat="false" ht="21.75" hidden="false" customHeight="true" outlineLevel="0" collapsed="false">
      <c r="A1403" s="82" t="n">
        <f aca="false">Data!A1403</f>
        <v>1402</v>
      </c>
      <c r="B1403" s="82" t="str">
        <f aca="false">IFERROR(INDEX(対訳マスタ!$C$2:$C$136,MATCH(Data!B1403,対訳マスタ!$B$2:$B$136,0)),Data!B1403)</f>
        <v>手話能力</v>
      </c>
      <c r="C1403" s="82" t="str">
        <f aca="false">IF(Data!C1403="—","—",IFERROR(INDEX(対訳マスタ!$C$2:$C$136,MATCH(Data!C1403,対訳マスタ!$B$2:$B$136,0)),Data!C1403))</f>
        <v>産出</v>
      </c>
      <c r="D1403" s="82" t="str">
        <f aca="false">IF(Data!D1403="—","—",IFERROR(INDEX(対訳マスタ!$C$2:$C$136,MATCH(Data!D1403,対訳マスタ!$B$2:$B$136,0)),Data!D1403))</f>
        <v>言語能力</v>
      </c>
      <c r="E1403" s="82" t="str">
        <f aca="false">IFERROR(INDEX(対訳マスタ!$C$2:$C$136,MATCH(Data!E1403,対訳マスタ!$B$2:$B$136,0)),Data!E1403)</f>
        <v>手話レパートリー</v>
      </c>
      <c r="F1403" s="82" t="str">
        <f aca="false">Data!F1403</f>
        <v>B1</v>
      </c>
      <c r="G1403" s="81" t="str">
        <f aca="false">Data!G1403</f>
        <v>Can describe important characteristics of a person or object with the appropriate handshapes.</v>
      </c>
      <c r="H1403" s="81"/>
      <c r="I1403" s="82" t="s">
        <v>3625</v>
      </c>
    </row>
    <row r="1404" customFormat="false" ht="15" hidden="false" customHeight="true" outlineLevel="0" collapsed="false">
      <c r="A1404" s="82" t="n">
        <f aca="false">Data!A1404</f>
        <v>1403</v>
      </c>
      <c r="B1404" s="82" t="str">
        <f aca="false">IFERROR(INDEX(対訳マスタ!$C$2:$C$136,MATCH(Data!B1404,対訳マスタ!$B$2:$B$136,0)),Data!B1404)</f>
        <v>手話能力</v>
      </c>
      <c r="C1404" s="82" t="str">
        <f aca="false">IF(Data!C1404="—","—",IFERROR(INDEX(対訳マスタ!$C$2:$C$136,MATCH(Data!C1404,対訳マスタ!$B$2:$B$136,0)),Data!C1404))</f>
        <v>産出</v>
      </c>
      <c r="D1404" s="82" t="str">
        <f aca="false">IF(Data!D1404="—","—",IFERROR(INDEX(対訳マスタ!$C$2:$C$136,MATCH(Data!D1404,対訳マスタ!$B$2:$B$136,0)),Data!D1404))</f>
        <v>言語能力</v>
      </c>
      <c r="E1404" s="82" t="str">
        <f aca="false">IFERROR(INDEX(対訳マスタ!$C$2:$C$136,MATCH(Data!E1404,対訳マスタ!$B$2:$B$136,0)),Data!E1404)</f>
        <v>手話レパートリー</v>
      </c>
      <c r="F1404" s="82" t="str">
        <f aca="false">Data!F1404</f>
        <v>B1</v>
      </c>
      <c r="G1404" s="81" t="str">
        <f aca="false">Data!G1404</f>
        <v>Can modify productive signing appropriately to the context.</v>
      </c>
      <c r="H1404" s="81"/>
      <c r="I1404" s="82" t="s">
        <v>3625</v>
      </c>
    </row>
    <row r="1405" customFormat="false" ht="21.75" hidden="false" customHeight="true" outlineLevel="0" collapsed="false">
      <c r="A1405" s="82" t="n">
        <f aca="false">Data!A1405</f>
        <v>1404</v>
      </c>
      <c r="B1405" s="82" t="str">
        <f aca="false">IFERROR(INDEX(対訳マスタ!$C$2:$C$136,MATCH(Data!B1405,対訳マスタ!$B$2:$B$136,0)),Data!B1405)</f>
        <v>手話能力</v>
      </c>
      <c r="C1405" s="82" t="str">
        <f aca="false">IF(Data!C1405="—","—",IFERROR(INDEX(対訳マスタ!$C$2:$C$136,MATCH(Data!C1405,対訳マスタ!$B$2:$B$136,0)),Data!C1405))</f>
        <v>産出</v>
      </c>
      <c r="D1405" s="82" t="str">
        <f aca="false">IF(Data!D1405="—","—",IFERROR(INDEX(対訳マスタ!$C$2:$C$136,MATCH(Data!D1405,対訳マスタ!$B$2:$B$136,0)),Data!D1405))</f>
        <v>言語能力</v>
      </c>
      <c r="E1405" s="82" t="str">
        <f aca="false">IFERROR(INDEX(対訳マスタ!$C$2:$C$136,MATCH(Data!E1405,対訳マスタ!$B$2:$B$136,0)),Data!E1405)</f>
        <v>手話レパートリー</v>
      </c>
      <c r="F1405" s="82" t="str">
        <f aca="false">Data!F1405</f>
        <v>B1</v>
      </c>
      <c r="G1405" s="81" t="str">
        <f aca="false">Data!G1405</f>
        <v>Can make part of their contribution by using constructed action to present individual, simple actions.</v>
      </c>
      <c r="H1405" s="81"/>
      <c r="I1405" s="82" t="s">
        <v>3625</v>
      </c>
    </row>
    <row r="1406" customFormat="false" ht="21.75" hidden="false" customHeight="true" outlineLevel="0" collapsed="false">
      <c r="A1406" s="82" t="n">
        <f aca="false">Data!A1406</f>
        <v>1405</v>
      </c>
      <c r="B1406" s="82" t="str">
        <f aca="false">IFERROR(INDEX(対訳マスタ!$C$2:$C$136,MATCH(Data!B1406,対訳マスタ!$B$2:$B$136,0)),Data!B1406)</f>
        <v>手話能力</v>
      </c>
      <c r="C1406" s="82" t="str">
        <f aca="false">IF(Data!C1406="—","—",IFERROR(INDEX(対訳マスタ!$C$2:$C$136,MATCH(Data!C1406,対訳マスタ!$B$2:$B$136,0)),Data!C1406))</f>
        <v>産出</v>
      </c>
      <c r="D1406" s="82" t="str">
        <f aca="false">IF(Data!D1406="—","—",IFERROR(INDEX(対訳マスタ!$C$2:$C$136,MATCH(Data!D1406,対訳マスタ!$B$2:$B$136,0)),Data!D1406))</f>
        <v>言語能力</v>
      </c>
      <c r="E1406" s="82" t="str">
        <f aca="false">IFERROR(INDEX(対訳マスタ!$C$2:$C$136,MATCH(Data!E1406,対訳マスタ!$B$2:$B$136,0)),Data!E1406)</f>
        <v>手話レパートリー</v>
      </c>
      <c r="F1406" s="82" t="str">
        <f aca="false">Data!F1406</f>
        <v>B1</v>
      </c>
      <c r="G1406" s="81" t="str">
        <f aca="false">Data!G1406</f>
        <v>Can express the character and qualities of a person or protagonist by using constructed action.</v>
      </c>
      <c r="H1406" s="81"/>
      <c r="I1406" s="82" t="s">
        <v>3625</v>
      </c>
    </row>
    <row r="1407" customFormat="false" ht="15" hidden="false" customHeight="true" outlineLevel="0" collapsed="false">
      <c r="A1407" s="82" t="n">
        <f aca="false">Data!A1407</f>
        <v>1406</v>
      </c>
      <c r="B1407" s="82" t="str">
        <f aca="false">IFERROR(INDEX(対訳マスタ!$C$2:$C$136,MATCH(Data!B1407,対訳マスタ!$B$2:$B$136,0)),Data!B1407)</f>
        <v>手話能力</v>
      </c>
      <c r="C1407" s="82" t="str">
        <f aca="false">IF(Data!C1407="—","—",IFERROR(INDEX(対訳マスタ!$C$2:$C$136,MATCH(Data!C1407,対訳マスタ!$B$2:$B$136,0)),Data!C1407))</f>
        <v>産出</v>
      </c>
      <c r="D1407" s="82" t="str">
        <f aca="false">IF(Data!D1407="—","—",IFERROR(INDEX(対訳マスタ!$C$2:$C$136,MATCH(Data!D1407,対訳マスタ!$B$2:$B$136,0)),Data!D1407))</f>
        <v>言語能力</v>
      </c>
      <c r="E1407" s="82" t="str">
        <f aca="false">IFERROR(INDEX(対訳マスタ!$C$2:$C$136,MATCH(Data!E1407,対訳マスタ!$B$2:$B$136,0)),Data!E1407)</f>
        <v>手話レパートリー</v>
      </c>
      <c r="F1407" s="82" t="str">
        <f aca="false">Data!F1407</f>
        <v>B1</v>
      </c>
      <c r="G1407" s="81" t="str">
        <f aca="false">Data!G1407</f>
        <v>Can present actions or events through productive signing.</v>
      </c>
      <c r="H1407" s="81"/>
      <c r="I1407" s="82" t="s">
        <v>3625</v>
      </c>
    </row>
    <row r="1408" customFormat="false" ht="15" hidden="false" customHeight="true" outlineLevel="0" collapsed="false">
      <c r="A1408" s="82" t="n">
        <f aca="false">Data!A1408</f>
        <v>1407</v>
      </c>
      <c r="B1408" s="82" t="str">
        <f aca="false">IFERROR(INDEX(対訳マスタ!$C$2:$C$136,MATCH(Data!B1408,対訳マスタ!$B$2:$B$136,0)),Data!B1408)</f>
        <v>手話能力</v>
      </c>
      <c r="C1408" s="82" t="str">
        <f aca="false">IF(Data!C1408="—","—",IFERROR(INDEX(対訳マスタ!$C$2:$C$136,MATCH(Data!C1408,対訳マスタ!$B$2:$B$136,0)),Data!C1408))</f>
        <v>産出</v>
      </c>
      <c r="D1408" s="82" t="str">
        <f aca="false">IF(Data!D1408="—","—",IFERROR(INDEX(対訳マスタ!$C$2:$C$136,MATCH(Data!D1408,対訳マスタ!$B$2:$B$136,0)),Data!D1408))</f>
        <v>言語能力</v>
      </c>
      <c r="E1408" s="82" t="str">
        <f aca="false">IFERROR(INDEX(対訳マスタ!$C$2:$C$136,MATCH(Data!E1408,対訳マスタ!$B$2:$B$136,0)),Data!E1408)</f>
        <v>手話レパートリー</v>
      </c>
      <c r="F1408" s="82" t="str">
        <f aca="false">Data!F1408</f>
        <v>B1</v>
      </c>
      <c r="G1408" s="81" t="str">
        <f aca="false">Data!G1408</f>
        <v>Can vary the scale of their signing (larger, smaller) dependent on the situation.</v>
      </c>
      <c r="H1408" s="81"/>
      <c r="I1408" s="82" t="s">
        <v>3625</v>
      </c>
    </row>
    <row r="1409" customFormat="false" ht="21.75" hidden="false" customHeight="true" outlineLevel="0" collapsed="false">
      <c r="A1409" s="82" t="n">
        <f aca="false">Data!A1409</f>
        <v>1408</v>
      </c>
      <c r="B1409" s="82" t="str">
        <f aca="false">IFERROR(INDEX(対訳マスタ!$C$2:$C$136,MATCH(Data!B1409,対訳マスタ!$B$2:$B$136,0)),Data!B1409)</f>
        <v>手話能力</v>
      </c>
      <c r="C1409" s="82" t="str">
        <f aca="false">IF(Data!C1409="—","—",IFERROR(INDEX(対訳マスタ!$C$2:$C$136,MATCH(Data!C1409,対訳マスタ!$B$2:$B$136,0)),Data!C1409))</f>
        <v>産出</v>
      </c>
      <c r="D1409" s="82" t="str">
        <f aca="false">IF(Data!D1409="—","—",IFERROR(INDEX(対訳マスタ!$C$2:$C$136,MATCH(Data!D1409,対訳マスタ!$B$2:$B$136,0)),Data!D1409))</f>
        <v>言語能力</v>
      </c>
      <c r="E1409" s="82" t="str">
        <f aca="false">IFERROR(INDEX(対訳マスタ!$C$2:$C$136,MATCH(Data!E1409,対訳マスタ!$B$2:$B$136,0)),Data!E1409)</f>
        <v>手話レパートリー</v>
      </c>
      <c r="F1409" s="82" t="str">
        <f aca="false">Data!F1409</f>
        <v>B1</v>
      </c>
      <c r="G1409" s="81" t="str">
        <f aca="false">Data!G1409</f>
        <v>Can give a comprehensive description of a person, including facial expression, skin colour, make up, hairstyle and profession.</v>
      </c>
      <c r="H1409" s="81"/>
      <c r="I1409" s="82" t="s">
        <v>3625</v>
      </c>
    </row>
    <row r="1410" customFormat="false" ht="21.75" hidden="false" customHeight="true" outlineLevel="0" collapsed="false">
      <c r="A1410" s="82" t="n">
        <f aca="false">Data!A1410</f>
        <v>1409</v>
      </c>
      <c r="B1410" s="82" t="str">
        <f aca="false">IFERROR(INDEX(対訳マスタ!$C$2:$C$136,MATCH(Data!B1410,対訳マスタ!$B$2:$B$136,0)),Data!B1410)</f>
        <v>手話能力</v>
      </c>
      <c r="C1410" s="82" t="str">
        <f aca="false">IF(Data!C1410="—","—",IFERROR(INDEX(対訳マスタ!$C$2:$C$136,MATCH(Data!C1410,対訳マスタ!$B$2:$B$136,0)),Data!C1410))</f>
        <v>産出</v>
      </c>
      <c r="D1410" s="82" t="str">
        <f aca="false">IF(Data!D1410="—","—",IFERROR(INDEX(対訳マスタ!$C$2:$C$136,MATCH(Data!D1410,対訳マスタ!$B$2:$B$136,0)),Data!D1410))</f>
        <v>言語能力</v>
      </c>
      <c r="E1410" s="82" t="str">
        <f aca="false">IFERROR(INDEX(対訳マスタ!$C$2:$C$136,MATCH(Data!E1410,対訳マスタ!$B$2:$B$136,0)),Data!E1410)</f>
        <v>手話レパートリー</v>
      </c>
      <c r="F1410" s="82" t="str">
        <f aca="false">Data!F1410</f>
        <v>B1</v>
      </c>
      <c r="G1410" s="81" t="str">
        <f aca="false">Data!G1410</f>
        <v>Can employ appropriate productive lexicon elements for reference, e.g. to animals, instead of lexical signs.</v>
      </c>
      <c r="H1410" s="81"/>
      <c r="I1410" s="82" t="s">
        <v>3625</v>
      </c>
    </row>
    <row r="1411" customFormat="false" ht="15" hidden="false" customHeight="true" outlineLevel="0" collapsed="false">
      <c r="A1411" s="82" t="n">
        <f aca="false">Data!A1411</f>
        <v>1410</v>
      </c>
      <c r="B1411" s="82" t="str">
        <f aca="false">IFERROR(INDEX(対訳マスタ!$C$2:$C$136,MATCH(Data!B1411,対訳マスタ!$B$2:$B$136,0)),Data!B1411)</f>
        <v>手話能力</v>
      </c>
      <c r="C1411" s="82" t="str">
        <f aca="false">IF(Data!C1411="—","—",IFERROR(INDEX(対訳マスタ!$C$2:$C$136,MATCH(Data!C1411,対訳マスタ!$B$2:$B$136,0)),Data!C1411))</f>
        <v>産出</v>
      </c>
      <c r="D1411" s="82" t="str">
        <f aca="false">IF(Data!D1411="—","—",IFERROR(INDEX(対訳マスタ!$C$2:$C$136,MATCH(Data!D1411,対訳マスタ!$B$2:$B$136,0)),Data!D1411))</f>
        <v>言語能力</v>
      </c>
      <c r="E1411" s="82" t="str">
        <f aca="false">IFERROR(INDEX(対訳マスタ!$C$2:$C$136,MATCH(Data!E1411,対訳マスタ!$B$2:$B$136,0)),Data!E1411)</f>
        <v>手話レパートリー</v>
      </c>
      <c r="F1411" s="82" t="str">
        <f aca="false">Data!F1411</f>
        <v>B1</v>
      </c>
      <c r="G1411" s="81" t="str">
        <f aca="false">Data!G1411</f>
        <v>Can use mouthings precisely to express specific contents.</v>
      </c>
      <c r="H1411" s="81"/>
      <c r="I1411" s="82" t="s">
        <v>3625</v>
      </c>
    </row>
    <row r="1412" customFormat="false" ht="15" hidden="false" customHeight="true" outlineLevel="0" collapsed="false">
      <c r="A1412" s="82" t="n">
        <f aca="false">Data!A1412</f>
        <v>1411</v>
      </c>
      <c r="B1412" s="82" t="str">
        <f aca="false">IFERROR(INDEX(対訳マスタ!$C$2:$C$136,MATCH(Data!B1412,対訳マスタ!$B$2:$B$136,0)),Data!B1412)</f>
        <v>手話能力</v>
      </c>
      <c r="C1412" s="82" t="str">
        <f aca="false">IF(Data!C1412="—","—",IFERROR(INDEX(対訳マスタ!$C$2:$C$136,MATCH(Data!C1412,対訳マスタ!$B$2:$B$136,0)),Data!C1412))</f>
        <v>産出</v>
      </c>
      <c r="D1412" s="82" t="str">
        <f aca="false">IF(Data!D1412="—","—",IFERROR(INDEX(対訳マスタ!$C$2:$C$136,MATCH(Data!D1412,対訳マスタ!$B$2:$B$136,0)),Data!D1412))</f>
        <v>言語能力</v>
      </c>
      <c r="E1412" s="82" t="str">
        <f aca="false">IFERROR(INDEX(対訳マスタ!$C$2:$C$136,MATCH(Data!E1412,対訳マスタ!$B$2:$B$136,0)),Data!E1412)</f>
        <v>手話レパートリー</v>
      </c>
      <c r="F1412" s="82" t="str">
        <f aca="false">Data!F1412</f>
        <v>A2+</v>
      </c>
      <c r="G1412" s="81" t="str">
        <f aca="false">Data!G1412</f>
        <v>Can use a range of signs.</v>
      </c>
      <c r="H1412" s="81"/>
      <c r="I1412" s="82" t="s">
        <v>3625</v>
      </c>
    </row>
    <row r="1413" customFormat="false" ht="21.75" hidden="false" customHeight="true" outlineLevel="0" collapsed="false">
      <c r="A1413" s="82" t="n">
        <f aca="false">Data!A1413</f>
        <v>1412</v>
      </c>
      <c r="B1413" s="82" t="str">
        <f aca="false">IFERROR(INDEX(対訳マスタ!$C$2:$C$136,MATCH(Data!B1413,対訳マスタ!$B$2:$B$136,0)),Data!B1413)</f>
        <v>手話能力</v>
      </c>
      <c r="C1413" s="82" t="str">
        <f aca="false">IF(Data!C1413="—","—",IFERROR(INDEX(対訳マスタ!$C$2:$C$136,MATCH(Data!C1413,対訳マスタ!$B$2:$B$136,0)),Data!C1413))</f>
        <v>産出</v>
      </c>
      <c r="D1413" s="82" t="str">
        <f aca="false">IF(Data!D1413="—","—",IFERROR(INDEX(対訳マスタ!$C$2:$C$136,MATCH(Data!D1413,対訳マスタ!$B$2:$B$136,0)),Data!D1413))</f>
        <v>言語能力</v>
      </c>
      <c r="E1413" s="82" t="str">
        <f aca="false">IFERROR(INDEX(対訳マスタ!$C$2:$C$136,MATCH(Data!E1413,対訳マスタ!$B$2:$B$136,0)),Data!E1413)</f>
        <v>手話レパートリー</v>
      </c>
      <c r="F1413" s="82" t="str">
        <f aca="false">Data!F1413</f>
        <v>A2+</v>
      </c>
      <c r="G1413" s="81" t="str">
        <f aca="false">Data!G1413</f>
        <v>Can present different aspects of a plot or storyline (e.g. duration, as in “work through the night”).</v>
      </c>
      <c r="H1413" s="81"/>
      <c r="I1413" s="82" t="s">
        <v>3625</v>
      </c>
    </row>
    <row r="1414" customFormat="false" ht="15" hidden="false" customHeight="true" outlineLevel="0" collapsed="false">
      <c r="A1414" s="82" t="n">
        <f aca="false">Data!A1414</f>
        <v>1413</v>
      </c>
      <c r="B1414" s="82" t="str">
        <f aca="false">IFERROR(INDEX(対訳マスタ!$C$2:$C$136,MATCH(Data!B1414,対訳マスタ!$B$2:$B$136,0)),Data!B1414)</f>
        <v>手話能力</v>
      </c>
      <c r="C1414" s="82" t="str">
        <f aca="false">IF(Data!C1414="—","—",IFERROR(INDEX(対訳マスタ!$C$2:$C$136,MATCH(Data!C1414,対訳マスタ!$B$2:$B$136,0)),Data!C1414))</f>
        <v>産出</v>
      </c>
      <c r="D1414" s="82" t="str">
        <f aca="false">IF(Data!D1414="—","—",IFERROR(INDEX(対訳マスタ!$C$2:$C$136,MATCH(Data!D1414,対訳マスタ!$B$2:$B$136,0)),Data!D1414))</f>
        <v>言語能力</v>
      </c>
      <c r="E1414" s="82" t="str">
        <f aca="false">IFERROR(INDEX(対訳マスタ!$C$2:$C$136,MATCH(Data!E1414,対訳マスタ!$B$2:$B$136,0)),Data!E1414)</f>
        <v>手話レパートリー</v>
      </c>
      <c r="F1414" s="82" t="str">
        <f aca="false">Data!F1414</f>
        <v>A2+</v>
      </c>
      <c r="G1414" s="81" t="str">
        <f aca="false">Data!G1414</f>
        <v>Can employ examples in order to illustrate something.</v>
      </c>
      <c r="H1414" s="81"/>
      <c r="I1414" s="82" t="s">
        <v>3625</v>
      </c>
    </row>
    <row r="1415" customFormat="false" ht="15" hidden="false" customHeight="true" outlineLevel="0" collapsed="false">
      <c r="A1415" s="82" t="n">
        <f aca="false">Data!A1415</f>
        <v>1414</v>
      </c>
      <c r="B1415" s="82" t="str">
        <f aca="false">IFERROR(INDEX(対訳マスタ!$C$2:$C$136,MATCH(Data!B1415,対訳マスタ!$B$2:$B$136,0)),Data!B1415)</f>
        <v>手話能力</v>
      </c>
      <c r="C1415" s="82" t="str">
        <f aca="false">IF(Data!C1415="—","—",IFERROR(INDEX(対訳マスタ!$C$2:$C$136,MATCH(Data!C1415,対訳マスタ!$B$2:$B$136,0)),Data!C1415))</f>
        <v>産出</v>
      </c>
      <c r="D1415" s="82" t="str">
        <f aca="false">IF(Data!D1415="—","—",IFERROR(INDEX(対訳マスタ!$C$2:$C$136,MATCH(Data!D1415,対訳マスタ!$B$2:$B$136,0)),Data!D1415))</f>
        <v>言語能力</v>
      </c>
      <c r="E1415" s="82" t="str">
        <f aca="false">IFERROR(INDEX(対訳マスタ!$C$2:$C$136,MATCH(Data!E1415,対訳マスタ!$B$2:$B$136,0)),Data!E1415)</f>
        <v>手話レパートリー</v>
      </c>
      <c r="F1415" s="82" t="str">
        <f aca="false">Data!F1415</f>
        <v>A2+</v>
      </c>
      <c r="G1415" s="81" t="str">
        <f aca="false">Data!G1415</f>
        <v>Can indicate clearly the difference between two things.</v>
      </c>
      <c r="H1415" s="81"/>
      <c r="I1415" s="82" t="s">
        <v>3625</v>
      </c>
    </row>
    <row r="1416" customFormat="false" ht="15" hidden="false" customHeight="true" outlineLevel="0" collapsed="false">
      <c r="A1416" s="82" t="n">
        <f aca="false">Data!A1416</f>
        <v>1415</v>
      </c>
      <c r="B1416" s="82" t="str">
        <f aca="false">IFERROR(INDEX(対訳マスタ!$C$2:$C$136,MATCH(Data!B1416,対訳マスタ!$B$2:$B$136,0)),Data!B1416)</f>
        <v>手話能力</v>
      </c>
      <c r="C1416" s="82" t="str">
        <f aca="false">IF(Data!C1416="—","—",IFERROR(INDEX(対訳マスタ!$C$2:$C$136,MATCH(Data!C1416,対訳マスタ!$B$2:$B$136,0)),Data!C1416))</f>
        <v>産出</v>
      </c>
      <c r="D1416" s="82" t="str">
        <f aca="false">IF(Data!D1416="—","—",IFERROR(INDEX(対訳マスタ!$C$2:$C$136,MATCH(Data!D1416,対訳マスタ!$B$2:$B$136,0)),Data!D1416))</f>
        <v>言語能力</v>
      </c>
      <c r="E1416" s="82" t="str">
        <f aca="false">IFERROR(INDEX(対訳マスタ!$C$2:$C$136,MATCH(Data!E1416,対訳マスタ!$B$2:$B$136,0)),Data!E1416)</f>
        <v>手話レパートリー</v>
      </c>
      <c r="F1416" s="82" t="str">
        <f aca="false">Data!F1416</f>
        <v>A2+</v>
      </c>
      <c r="G1416" s="81" t="str">
        <f aca="false">Data!G1416</f>
        <v>Can relay information in a short and minimal, yet intelligible way.</v>
      </c>
      <c r="H1416" s="81"/>
      <c r="I1416" s="82" t="s">
        <v>3625</v>
      </c>
    </row>
    <row r="1417" customFormat="false" ht="21.75" hidden="false" customHeight="true" outlineLevel="0" collapsed="false">
      <c r="A1417" s="82" t="n">
        <f aca="false">Data!A1417</f>
        <v>1416</v>
      </c>
      <c r="B1417" s="82" t="str">
        <f aca="false">IFERROR(INDEX(対訳マスタ!$C$2:$C$136,MATCH(Data!B1417,対訳マスタ!$B$2:$B$136,0)),Data!B1417)</f>
        <v>手話能力</v>
      </c>
      <c r="C1417" s="82" t="str">
        <f aca="false">IF(Data!C1417="—","—",IFERROR(INDEX(対訳マスタ!$C$2:$C$136,MATCH(Data!C1417,対訳マスタ!$B$2:$B$136,0)),Data!C1417))</f>
        <v>産出</v>
      </c>
      <c r="D1417" s="82" t="str">
        <f aca="false">IF(Data!D1417="—","—",IFERROR(INDEX(対訳マスタ!$C$2:$C$136,MATCH(Data!D1417,対訳マスタ!$B$2:$B$136,0)),Data!D1417))</f>
        <v>言語能力</v>
      </c>
      <c r="E1417" s="82" t="str">
        <f aca="false">IFERROR(INDEX(対訳マスタ!$C$2:$C$136,MATCH(Data!E1417,対訳マスタ!$B$2:$B$136,0)),Data!E1417)</f>
        <v>手話レパートリー</v>
      </c>
      <c r="F1417" s="82" t="str">
        <f aca="false">Data!F1417</f>
        <v>A2+</v>
      </c>
      <c r="G1417" s="81" t="str">
        <f aca="false">Data!G1417</f>
        <v>Can, with preparation, use the right names and terminology related to the topic concerned.</v>
      </c>
      <c r="H1417" s="81"/>
      <c r="I1417" s="82" t="s">
        <v>3625</v>
      </c>
    </row>
    <row r="1418" customFormat="false" ht="15" hidden="false" customHeight="true" outlineLevel="0" collapsed="false">
      <c r="A1418" s="82" t="n">
        <f aca="false">Data!A1418</f>
        <v>1417</v>
      </c>
      <c r="B1418" s="82" t="str">
        <f aca="false">IFERROR(INDEX(対訳マスタ!$C$2:$C$136,MATCH(Data!B1418,対訳マスタ!$B$2:$B$136,0)),Data!B1418)</f>
        <v>手話能力</v>
      </c>
      <c r="C1418" s="82" t="str">
        <f aca="false">IF(Data!C1418="—","—",IFERROR(INDEX(対訳マスタ!$C$2:$C$136,MATCH(Data!C1418,対訳マスタ!$B$2:$B$136,0)),Data!C1418))</f>
        <v>産出</v>
      </c>
      <c r="D1418" s="82" t="str">
        <f aca="false">IF(Data!D1418="—","—",IFERROR(INDEX(対訳マスタ!$C$2:$C$136,MATCH(Data!D1418,対訳マスタ!$B$2:$B$136,0)),Data!D1418))</f>
        <v>言語能力</v>
      </c>
      <c r="E1418" s="82" t="str">
        <f aca="false">IFERROR(INDEX(対訳マスタ!$C$2:$C$136,MATCH(Data!E1418,対訳マスタ!$B$2:$B$136,0)),Data!E1418)</f>
        <v>手話レパートリー</v>
      </c>
      <c r="F1418" s="82" t="str">
        <f aca="false">Data!F1418</f>
        <v>A2+</v>
      </c>
      <c r="G1418" s="81" t="str">
        <f aca="false">Data!G1418</f>
        <v>Can describe a person in terms of their characteristic features.</v>
      </c>
      <c r="H1418" s="81"/>
      <c r="I1418" s="82" t="s">
        <v>3625</v>
      </c>
    </row>
    <row r="1419" customFormat="false" ht="15" hidden="false" customHeight="true" outlineLevel="0" collapsed="false">
      <c r="A1419" s="82" t="n">
        <f aca="false">Data!A1419</f>
        <v>1418</v>
      </c>
      <c r="B1419" s="82" t="str">
        <f aca="false">IFERROR(INDEX(対訳マスタ!$C$2:$C$136,MATCH(Data!B1419,対訳マスタ!$B$2:$B$136,0)),Data!B1419)</f>
        <v>手話能力</v>
      </c>
      <c r="C1419" s="82" t="str">
        <f aca="false">IF(Data!C1419="—","—",IFERROR(INDEX(対訳マスタ!$C$2:$C$136,MATCH(Data!C1419,対訳マスタ!$B$2:$B$136,0)),Data!C1419))</f>
        <v>産出</v>
      </c>
      <c r="D1419" s="82" t="str">
        <f aca="false">IF(Data!D1419="—","—",IFERROR(INDEX(対訳マスタ!$C$2:$C$136,MATCH(Data!D1419,対訳マスタ!$B$2:$B$136,0)),Data!D1419))</f>
        <v>言語能力</v>
      </c>
      <c r="E1419" s="82" t="str">
        <f aca="false">IFERROR(INDEX(対訳マスタ!$C$2:$C$136,MATCH(Data!E1419,対訳マスタ!$B$2:$B$136,0)),Data!E1419)</f>
        <v>手話レパートリー</v>
      </c>
      <c r="F1419" s="82" t="str">
        <f aca="false">Data!F1419</f>
        <v>A2</v>
      </c>
      <c r="G1419" s="81" t="str">
        <f aca="false">Data!G1419</f>
        <v>Can express their own opinion.</v>
      </c>
      <c r="H1419" s="81"/>
      <c r="I1419" s="82" t="s">
        <v>3625</v>
      </c>
    </row>
    <row r="1420" customFormat="false" ht="15" hidden="false" customHeight="true" outlineLevel="0" collapsed="false">
      <c r="A1420" s="82" t="n">
        <f aca="false">Data!A1420</f>
        <v>1419</v>
      </c>
      <c r="B1420" s="82" t="str">
        <f aca="false">IFERROR(INDEX(対訳マスタ!$C$2:$C$136,MATCH(Data!B1420,対訳マスタ!$B$2:$B$136,0)),Data!B1420)</f>
        <v>手話能力</v>
      </c>
      <c r="C1420" s="82" t="str">
        <f aca="false">IF(Data!C1420="—","—",IFERROR(INDEX(対訳マスタ!$C$2:$C$136,MATCH(Data!C1420,対訳マスタ!$B$2:$B$136,0)),Data!C1420))</f>
        <v>産出</v>
      </c>
      <c r="D1420" s="82" t="str">
        <f aca="false">IF(Data!D1420="—","—",IFERROR(INDEX(対訳マスタ!$C$2:$C$136,MATCH(Data!D1420,対訳マスタ!$B$2:$B$136,0)),Data!D1420))</f>
        <v>言語能力</v>
      </c>
      <c r="E1420" s="82" t="str">
        <f aca="false">IFERROR(INDEX(対訳マスタ!$C$2:$C$136,MATCH(Data!E1420,対訳マスタ!$B$2:$B$136,0)),Data!E1420)</f>
        <v>手話レパートリー</v>
      </c>
      <c r="F1420" s="82" t="str">
        <f aca="false">Data!F1420</f>
        <v>A2</v>
      </c>
      <c r="G1420" s="81" t="str">
        <f aca="false">Data!G1420</f>
        <v>Can present visually simple information like actions and relationships (e.g. in the family).</v>
      </c>
      <c r="H1420" s="81"/>
      <c r="I1420" s="82" t="s">
        <v>3625</v>
      </c>
    </row>
    <row r="1421" customFormat="false" ht="15" hidden="false" customHeight="true" outlineLevel="0" collapsed="false">
      <c r="A1421" s="82" t="n">
        <f aca="false">Data!A1421</f>
        <v>1420</v>
      </c>
      <c r="B1421" s="82" t="str">
        <f aca="false">IFERROR(INDEX(対訳マスタ!$C$2:$C$136,MATCH(Data!B1421,対訳マスタ!$B$2:$B$136,0)),Data!B1421)</f>
        <v>手話能力</v>
      </c>
      <c r="C1421" s="82" t="str">
        <f aca="false">IF(Data!C1421="—","—",IFERROR(INDEX(対訳マスタ!$C$2:$C$136,MATCH(Data!C1421,対訳マスタ!$B$2:$B$136,0)),Data!C1421))</f>
        <v>産出</v>
      </c>
      <c r="D1421" s="82" t="str">
        <f aca="false">IF(Data!D1421="—","—",IFERROR(INDEX(対訳マスタ!$C$2:$C$136,MATCH(Data!D1421,対訳マスタ!$B$2:$B$136,0)),Data!D1421))</f>
        <v>言語能力</v>
      </c>
      <c r="E1421" s="82" t="str">
        <f aca="false">IFERROR(INDEX(対訳マスタ!$C$2:$C$136,MATCH(Data!E1421,対訳マスタ!$B$2:$B$136,0)),Data!E1421)</f>
        <v>手話レパートリー</v>
      </c>
      <c r="F1421" s="82" t="str">
        <f aca="false">Data!F1421</f>
        <v>A2</v>
      </c>
      <c r="G1421" s="81" t="str">
        <f aca="false">Data!G1421</f>
        <v>Can sign a direct demand.</v>
      </c>
      <c r="H1421" s="81"/>
      <c r="I1421" s="82" t="s">
        <v>3625</v>
      </c>
    </row>
    <row r="1422" customFormat="false" ht="15" hidden="false" customHeight="true" outlineLevel="0" collapsed="false">
      <c r="A1422" s="82" t="n">
        <f aca="false">Data!A1422</f>
        <v>1421</v>
      </c>
      <c r="B1422" s="82" t="str">
        <f aca="false">IFERROR(INDEX(対訳マスタ!$C$2:$C$136,MATCH(Data!B1422,対訳マスタ!$B$2:$B$136,0)),Data!B1422)</f>
        <v>手話能力</v>
      </c>
      <c r="C1422" s="82" t="str">
        <f aca="false">IF(Data!C1422="—","—",IFERROR(INDEX(対訳マスタ!$C$2:$C$136,MATCH(Data!C1422,対訳マスタ!$B$2:$B$136,0)),Data!C1422))</f>
        <v>産出</v>
      </c>
      <c r="D1422" s="82" t="str">
        <f aca="false">IF(Data!D1422="—","—",IFERROR(INDEX(対訳マスタ!$C$2:$C$136,MATCH(Data!D1422,対訳マスタ!$B$2:$B$136,0)),Data!D1422))</f>
        <v>言語能力</v>
      </c>
      <c r="E1422" s="82" t="str">
        <f aca="false">IFERROR(INDEX(対訳マスタ!$C$2:$C$136,MATCH(Data!E1422,対訳マスタ!$B$2:$B$136,0)),Data!E1422)</f>
        <v>手話レパートリー</v>
      </c>
      <c r="F1422" s="82" t="str">
        <f aca="false">Data!F1422</f>
        <v>A2</v>
      </c>
      <c r="G1422" s="81" t="str">
        <f aca="false">Data!G1422</f>
        <v>Can express an amount/quantity through non-manual cues.</v>
      </c>
      <c r="H1422" s="81"/>
      <c r="I1422" s="82" t="s">
        <v>3625</v>
      </c>
    </row>
    <row r="1423" customFormat="false" ht="15" hidden="false" customHeight="true" outlineLevel="0" collapsed="false">
      <c r="A1423" s="82" t="n">
        <f aca="false">Data!A1423</f>
        <v>1422</v>
      </c>
      <c r="B1423" s="82" t="str">
        <f aca="false">IFERROR(INDEX(対訳マスタ!$C$2:$C$136,MATCH(Data!B1423,対訳マスタ!$B$2:$B$136,0)),Data!B1423)</f>
        <v>手話能力</v>
      </c>
      <c r="C1423" s="82" t="str">
        <f aca="false">IF(Data!C1423="—","—",IFERROR(INDEX(対訳マスタ!$C$2:$C$136,MATCH(Data!C1423,対訳マスタ!$B$2:$B$136,0)),Data!C1423))</f>
        <v>産出</v>
      </c>
      <c r="D1423" s="82" t="str">
        <f aca="false">IF(Data!D1423="—","—",IFERROR(INDEX(対訳マスタ!$C$2:$C$136,MATCH(Data!D1423,対訳マスタ!$B$2:$B$136,0)),Data!D1423))</f>
        <v>言語能力</v>
      </c>
      <c r="E1423" s="82" t="str">
        <f aca="false">IFERROR(INDEX(対訳マスタ!$C$2:$C$136,MATCH(Data!E1423,対訳マスタ!$B$2:$B$136,0)),Data!E1423)</f>
        <v>手話レパートリー</v>
      </c>
      <c r="F1423" s="82" t="str">
        <f aca="false">Data!F1423</f>
        <v>A2</v>
      </c>
      <c r="G1423" s="81" t="str">
        <f aca="false">Data!G1423</f>
        <v>Can express proximity and distance by using appropriate non-manual cues.</v>
      </c>
      <c r="H1423" s="81"/>
      <c r="I1423" s="82" t="s">
        <v>3625</v>
      </c>
    </row>
    <row r="1424" customFormat="false" ht="15" hidden="false" customHeight="true" outlineLevel="0" collapsed="false">
      <c r="A1424" s="82" t="n">
        <f aca="false">Data!A1424</f>
        <v>1423</v>
      </c>
      <c r="B1424" s="82" t="str">
        <f aca="false">IFERROR(INDEX(対訳マスタ!$C$2:$C$136,MATCH(Data!B1424,対訳マスタ!$B$2:$B$136,0)),Data!B1424)</f>
        <v>手話能力</v>
      </c>
      <c r="C1424" s="82" t="str">
        <f aca="false">IF(Data!C1424="—","—",IFERROR(INDEX(対訳マスタ!$C$2:$C$136,MATCH(Data!C1424,対訳マスタ!$B$2:$B$136,0)),Data!C1424))</f>
        <v>産出</v>
      </c>
      <c r="D1424" s="82" t="str">
        <f aca="false">IF(Data!D1424="—","—",IFERROR(INDEX(対訳マスタ!$C$2:$C$136,MATCH(Data!D1424,対訳マスタ!$B$2:$B$136,0)),Data!D1424))</f>
        <v>言語能力</v>
      </c>
      <c r="E1424" s="82" t="str">
        <f aca="false">IFERROR(INDEX(対訳マスタ!$C$2:$C$136,MATCH(Data!E1424,対訳マスタ!$B$2:$B$136,0)),Data!E1424)</f>
        <v>手話レパートリー</v>
      </c>
      <c r="F1424" s="82" t="str">
        <f aca="false">Data!F1424</f>
        <v>A2</v>
      </c>
      <c r="G1424" s="81" t="str">
        <f aca="false">Data!G1424</f>
        <v>Can describe the design, colour and texture of clothes.</v>
      </c>
      <c r="H1424" s="81"/>
      <c r="I1424" s="82" t="s">
        <v>3625</v>
      </c>
    </row>
    <row r="1425" customFormat="false" ht="21.75" hidden="false" customHeight="true" outlineLevel="0" collapsed="false">
      <c r="A1425" s="82" t="n">
        <f aca="false">Data!A1425</f>
        <v>1424</v>
      </c>
      <c r="B1425" s="82" t="str">
        <f aca="false">IFERROR(INDEX(対訳マスタ!$C$2:$C$136,MATCH(Data!B1425,対訳マスタ!$B$2:$B$136,0)),Data!B1425)</f>
        <v>手話能力</v>
      </c>
      <c r="C1425" s="82" t="str">
        <f aca="false">IF(Data!C1425="—","—",IFERROR(INDEX(対訳マスタ!$C$2:$C$136,MATCH(Data!C1425,対訳マスタ!$B$2:$B$136,0)),Data!C1425))</f>
        <v>産出</v>
      </c>
      <c r="D1425" s="82" t="str">
        <f aca="false">IF(Data!D1425="—","—",IFERROR(INDEX(対訳マスタ!$C$2:$C$136,MATCH(Data!D1425,対訳マスタ!$B$2:$B$136,0)),Data!D1425))</f>
        <v>言語能力</v>
      </c>
      <c r="E1425" s="82" t="str">
        <f aca="false">IFERROR(INDEX(対訳マスタ!$C$2:$C$136,MATCH(Data!E1425,対訳マスタ!$B$2:$B$136,0)),Data!E1425)</f>
        <v>手話レパートリー</v>
      </c>
      <c r="F1425" s="82" t="str">
        <f aca="false">Data!F1425</f>
        <v>A1</v>
      </c>
      <c r="G1425" s="81" t="str">
        <f aca="false">Data!G1425</f>
        <v>Can produce correct mouthings and employ them to differentiate between otherwise identical signs.</v>
      </c>
      <c r="H1425" s="81"/>
      <c r="I1425" s="82" t="s">
        <v>3625</v>
      </c>
    </row>
    <row r="1426" customFormat="false" ht="15" hidden="false" customHeight="true" outlineLevel="0" collapsed="false">
      <c r="A1426" s="82" t="n">
        <f aca="false">Data!A1426</f>
        <v>1425</v>
      </c>
      <c r="B1426" s="82" t="str">
        <f aca="false">IFERROR(INDEX(対訳マスタ!$C$2:$C$136,MATCH(Data!B1426,対訳マスタ!$B$2:$B$136,0)),Data!B1426)</f>
        <v>手話能力</v>
      </c>
      <c r="C1426" s="82" t="str">
        <f aca="false">IF(Data!C1426="—","—",IFERROR(INDEX(対訳マスタ!$C$2:$C$136,MATCH(Data!C1426,対訳マスタ!$B$2:$B$136,0)),Data!C1426))</f>
        <v>産出</v>
      </c>
      <c r="D1426" s="82" t="str">
        <f aca="false">IF(Data!D1426="—","—",IFERROR(INDEX(対訳マスタ!$C$2:$C$136,MATCH(Data!D1426,対訳マスタ!$B$2:$B$136,0)),Data!D1426))</f>
        <v>言語能力</v>
      </c>
      <c r="E1426" s="82" t="str">
        <f aca="false">IFERROR(INDEX(対訳マスタ!$C$2:$C$136,MATCH(Data!E1426,対訳マスタ!$B$2:$B$136,0)),Data!E1426)</f>
        <v>手話レパートリー</v>
      </c>
      <c r="F1426" s="82" t="str">
        <f aca="false">Data!F1426</f>
        <v>A1</v>
      </c>
      <c r="G1426" s="81" t="str">
        <f aca="false">Data!G1426</f>
        <v>Can spell names and technical expressions, among other things, using fingerspelling.</v>
      </c>
      <c r="H1426" s="81"/>
      <c r="I1426" s="82" t="s">
        <v>3625</v>
      </c>
    </row>
    <row r="1427" customFormat="false" ht="15" hidden="false" customHeight="true" outlineLevel="0" collapsed="false">
      <c r="A1427" s="82" t="n">
        <f aca="false">Data!A1427</f>
        <v>1426</v>
      </c>
      <c r="B1427" s="82" t="str">
        <f aca="false">IFERROR(INDEX(対訳マスタ!$C$2:$C$136,MATCH(Data!B1427,対訳マスタ!$B$2:$B$136,0)),Data!B1427)</f>
        <v>手話能力</v>
      </c>
      <c r="C1427" s="82" t="str">
        <f aca="false">IF(Data!C1427="—","—",IFERROR(INDEX(対訳マスタ!$C$2:$C$136,MATCH(Data!C1427,対訳マスタ!$B$2:$B$136,0)),Data!C1427))</f>
        <v>産出</v>
      </c>
      <c r="D1427" s="82" t="str">
        <f aca="false">IF(Data!D1427="—","—",IFERROR(INDEX(対訳マスタ!$C$2:$C$136,MATCH(Data!D1427,対訳マスタ!$B$2:$B$136,0)),Data!D1427))</f>
        <v>言語能力</v>
      </c>
      <c r="E1427" s="82" t="str">
        <f aca="false">IFERROR(INDEX(対訳マスタ!$C$2:$C$136,MATCH(Data!E1427,対訳マスタ!$B$2:$B$136,0)),Data!E1427)</f>
        <v>手話レパートリー</v>
      </c>
      <c r="F1427" s="82" t="str">
        <f aca="false">Data!F1427</f>
        <v>A1</v>
      </c>
      <c r="G1427" s="81" t="str">
        <f aca="false">Data!G1427</f>
        <v>Can describe physical shape (height, width, length).</v>
      </c>
      <c r="H1427" s="81"/>
      <c r="I1427" s="82" t="s">
        <v>3625</v>
      </c>
    </row>
    <row r="1428" customFormat="false" ht="15" hidden="false" customHeight="true" outlineLevel="0" collapsed="false">
      <c r="A1428" s="82" t="n">
        <f aca="false">Data!A1428</f>
        <v>1427</v>
      </c>
      <c r="B1428" s="82" t="str">
        <f aca="false">IFERROR(INDEX(対訳マスタ!$C$2:$C$136,MATCH(Data!B1428,対訳マスタ!$B$2:$B$136,0)),Data!B1428)</f>
        <v>手話能力</v>
      </c>
      <c r="C1428" s="82" t="str">
        <f aca="false">IF(Data!C1428="—","—",IFERROR(INDEX(対訳マスタ!$C$2:$C$136,MATCH(Data!C1428,対訳マスタ!$B$2:$B$136,0)),Data!C1428))</f>
        <v>産出</v>
      </c>
      <c r="D1428" s="82" t="str">
        <f aca="false">IF(Data!D1428="—","—",IFERROR(INDEX(対訳マスタ!$C$2:$C$136,MATCH(Data!D1428,対訳マスタ!$B$2:$B$136,0)),Data!D1428))</f>
        <v>言語能力</v>
      </c>
      <c r="E1428" s="82" t="str">
        <f aca="false">IFERROR(INDEX(対訳マスタ!$C$2:$C$136,MATCH(Data!E1428,対訳マスタ!$B$2:$B$136,0)),Data!E1428)</f>
        <v>手話レパートリー</v>
      </c>
      <c r="F1428" s="82" t="str">
        <f aca="false">Data!F1428</f>
        <v>A1</v>
      </c>
      <c r="G1428" s="81" t="str">
        <f aca="false">Data!G1428</f>
        <v>Can sign direct requests.</v>
      </c>
      <c r="H1428" s="81"/>
      <c r="I1428" s="82" t="s">
        <v>3625</v>
      </c>
    </row>
    <row r="1429" customFormat="false" ht="15" hidden="false" customHeight="true" outlineLevel="0" collapsed="false">
      <c r="A1429" s="82" t="n">
        <f aca="false">Data!A1429</f>
        <v>1428</v>
      </c>
      <c r="B1429" s="82" t="str">
        <f aca="false">IFERROR(INDEX(対訳マスタ!$C$2:$C$136,MATCH(Data!B1429,対訳マスタ!$B$2:$B$136,0)),Data!B1429)</f>
        <v>手話能力</v>
      </c>
      <c r="C1429" s="82" t="str">
        <f aca="false">IF(Data!C1429="—","—",IFERROR(INDEX(対訳マスタ!$C$2:$C$136,MATCH(Data!C1429,対訳マスタ!$B$2:$B$136,0)),Data!C1429))</f>
        <v>産出</v>
      </c>
      <c r="D1429" s="82" t="str">
        <f aca="false">IF(Data!D1429="—","—",IFERROR(INDEX(対訳マスタ!$C$2:$C$136,MATCH(Data!D1429,対訳マスタ!$B$2:$B$136,0)),Data!D1429))</f>
        <v>言語能力</v>
      </c>
      <c r="E1429" s="82" t="str">
        <f aca="false">IFERROR(INDEX(対訳マスタ!$C$2:$C$136,MATCH(Data!E1429,対訳マスタ!$B$2:$B$136,0)),Data!E1429)</f>
        <v>手話レパートリー</v>
      </c>
      <c r="F1429" s="82" t="str">
        <f aca="false">Data!F1429</f>
        <v>A1</v>
      </c>
      <c r="G1429" s="81" t="str">
        <f aca="false">Data!G1429</f>
        <v>Can sign conventional greetings and leave-taking expressions.</v>
      </c>
      <c r="H1429" s="81"/>
      <c r="I1429" s="82" t="s">
        <v>3625</v>
      </c>
    </row>
    <row r="1430" customFormat="false" ht="21.75" hidden="false" customHeight="true" outlineLevel="0" collapsed="false">
      <c r="A1430" s="82" t="n">
        <f aca="false">Data!A1430</f>
        <v>1429</v>
      </c>
      <c r="B1430" s="82" t="str">
        <f aca="false">IFERROR(INDEX(対訳マスタ!$C$2:$C$136,MATCH(Data!B1430,対訳マスタ!$B$2:$B$136,0)),Data!B1430)</f>
        <v>手話能力</v>
      </c>
      <c r="C1430" s="82" t="str">
        <f aca="false">IF(Data!C1430="—","—",IFERROR(INDEX(対訳マスタ!$C$2:$C$136,MATCH(Data!C1430,対訳マスタ!$B$2:$B$136,0)),Data!C1430))</f>
        <v>産出</v>
      </c>
      <c r="D1430" s="82" t="str">
        <f aca="false">IF(Data!D1430="—","—",IFERROR(INDEX(対訳マスタ!$C$2:$C$136,MATCH(Data!D1430,対訳マスタ!$B$2:$B$136,0)),Data!D1430))</f>
        <v>言語能力</v>
      </c>
      <c r="E1430" s="82" t="str">
        <f aca="false">IFERROR(INDEX(対訳マスタ!$C$2:$C$136,MATCH(Data!E1430,対訳マスタ!$B$2:$B$136,0)),Data!E1430)</f>
        <v>手話レパートリー</v>
      </c>
      <c r="F1430" s="82" t="str">
        <f aca="false">Data!F1430</f>
        <v>A1</v>
      </c>
      <c r="G1430" s="81" t="str">
        <f aca="false">Data!G1430</f>
        <v>Can describe a person through facial expressions, hair and physical characteristics or through things the person often wears.</v>
      </c>
      <c r="H1430" s="81"/>
      <c r="I1430" s="82" t="s">
        <v>3625</v>
      </c>
    </row>
    <row r="1431" customFormat="false" ht="15" hidden="false" customHeight="true" outlineLevel="0" collapsed="false">
      <c r="A1431" s="82" t="n">
        <f aca="false">Data!A1431</f>
        <v>1430</v>
      </c>
      <c r="B1431" s="82" t="str">
        <f aca="false">IFERROR(INDEX(対訳マスタ!$C$2:$C$136,MATCH(Data!B1431,対訳マスタ!$B$2:$B$136,0)),Data!B1431)</f>
        <v>手話能力</v>
      </c>
      <c r="C1431" s="82" t="str">
        <f aca="false">IF(Data!C1431="—","—",IFERROR(INDEX(対訳マスタ!$C$2:$C$136,MATCH(Data!C1431,対訳マスタ!$B$2:$B$136,0)),Data!C1431))</f>
        <v>産出</v>
      </c>
      <c r="D1431" s="82" t="str">
        <f aca="false">IF(Data!D1431="—","—",IFERROR(INDEX(対訳マスタ!$C$2:$C$136,MATCH(Data!D1431,対訳マスタ!$B$2:$B$136,0)),Data!D1431))</f>
        <v>言語能力</v>
      </c>
      <c r="E1431" s="82" t="str">
        <f aca="false">IFERROR(INDEX(対訳マスタ!$C$2:$C$136,MATCH(Data!E1431,対訳マスタ!$B$2:$B$136,0)),Data!E1431)</f>
        <v>手話レパートリー</v>
      </c>
      <c r="F1431" s="82" t="str">
        <f aca="false">Data!F1431</f>
        <v>A1</v>
      </c>
      <c r="G1431" s="81" t="str">
        <f aca="false">Data!G1431</f>
        <v>Can produce clear and unambiguous handshapes.</v>
      </c>
      <c r="H1431" s="81"/>
      <c r="I1431" s="82" t="s">
        <v>3625</v>
      </c>
    </row>
    <row r="1432" customFormat="false" ht="15" hidden="false" customHeight="true" outlineLevel="0" collapsed="false">
      <c r="A1432" s="82" t="n">
        <f aca="false">Data!A1432</f>
        <v>1431</v>
      </c>
      <c r="B1432" s="82" t="str">
        <f aca="false">IFERROR(INDEX(対訳マスタ!$C$2:$C$136,MATCH(Data!B1432,対訳マスタ!$B$2:$B$136,0)),Data!B1432)</f>
        <v>手話能力</v>
      </c>
      <c r="C1432" s="82" t="str">
        <f aca="false">IF(Data!C1432="—","—",IFERROR(INDEX(対訳マスタ!$C$2:$C$136,MATCH(Data!C1432,対訳マスタ!$B$2:$B$136,0)),Data!C1432))</f>
        <v>産出</v>
      </c>
      <c r="D1432" s="82" t="str">
        <f aca="false">IF(Data!D1432="—","—",IFERROR(INDEX(対訳マスタ!$C$2:$C$136,MATCH(Data!D1432,対訳マスタ!$B$2:$B$136,0)),Data!D1432))</f>
        <v>言語能力</v>
      </c>
      <c r="E1432" s="82" t="str">
        <f aca="false">IFERROR(INDEX(対訳マスタ!$C$2:$C$136,MATCH(Data!E1432,対訳マスタ!$B$2:$B$136,0)),Data!E1432)</f>
        <v>手話レパートリー</v>
      </c>
      <c r="F1432" s="82" t="str">
        <f aca="false">Data!F1432</f>
        <v>A1</v>
      </c>
      <c r="G1432" s="81" t="str">
        <f aca="false">Data!G1432</f>
        <v>Can produce the lexical signs for months, days of the week and times of the day.</v>
      </c>
      <c r="H1432" s="81"/>
      <c r="I1432" s="82" t="s">
        <v>3625</v>
      </c>
    </row>
    <row r="1433" customFormat="false" ht="15" hidden="false" customHeight="true" outlineLevel="0" collapsed="false">
      <c r="A1433" s="82" t="n">
        <f aca="false">Data!A1433</f>
        <v>1432</v>
      </c>
      <c r="B1433" s="82" t="str">
        <f aca="false">IFERROR(INDEX(対訳マスタ!$C$2:$C$136,MATCH(Data!B1433,対訳マスタ!$B$2:$B$136,0)),Data!B1433)</f>
        <v>手話能力</v>
      </c>
      <c r="C1433" s="82" t="str">
        <f aca="false">IF(Data!C1433="—","—",IFERROR(INDEX(対訳マスタ!$C$2:$C$136,MATCH(Data!C1433,対訳マスタ!$B$2:$B$136,0)),Data!C1433))</f>
        <v>産出</v>
      </c>
      <c r="D1433" s="82" t="str">
        <f aca="false">IF(Data!D1433="—","—",IFERROR(INDEX(対訳マスタ!$C$2:$C$136,MATCH(Data!D1433,対訳マスタ!$B$2:$B$136,0)),Data!D1433))</f>
        <v>言語能力</v>
      </c>
      <c r="E1433" s="82" t="str">
        <f aca="false">IFERROR(INDEX(対訳マスタ!$C$2:$C$136,MATCH(Data!E1433,対訳マスタ!$B$2:$B$136,0)),Data!E1433)</f>
        <v>手話レパートリー</v>
      </c>
      <c r="F1433" s="82" t="str">
        <f aca="false">Data!F1433</f>
        <v>A1</v>
      </c>
      <c r="G1433" s="81" t="str">
        <f aca="false">Data!G1433</f>
        <v>Can state their opinion (agree, disagree).</v>
      </c>
      <c r="H1433" s="81"/>
      <c r="I1433" s="82" t="s">
        <v>3625</v>
      </c>
    </row>
    <row r="1434" customFormat="false" ht="15" hidden="false" customHeight="true" outlineLevel="0" collapsed="false">
      <c r="A1434" s="82" t="n">
        <f aca="false">Data!A1434</f>
        <v>1433</v>
      </c>
      <c r="B1434" s="82" t="str">
        <f aca="false">IFERROR(INDEX(対訳マスタ!$C$2:$C$136,MATCH(Data!B1434,対訳マスタ!$B$2:$B$136,0)),Data!B1434)</f>
        <v>手話能力</v>
      </c>
      <c r="C1434" s="82" t="str">
        <f aca="false">IF(Data!C1434="—","—",IFERROR(INDEX(対訳マスタ!$C$2:$C$136,MATCH(Data!C1434,対訳マスタ!$B$2:$B$136,0)),Data!C1434))</f>
        <v>受容</v>
      </c>
      <c r="D1434" s="82" t="str">
        <f aca="false">IF(Data!D1434="—","—",IFERROR(INDEX(対訳マスタ!$C$2:$C$136,MATCH(Data!D1434,対訳マスタ!$B$2:$B$136,0)),Data!D1434))</f>
        <v>言語能力</v>
      </c>
      <c r="E1434" s="82" t="str">
        <f aca="false">IFERROR(INDEX(対訳マスタ!$C$2:$C$136,MATCH(Data!E1434,対訳マスタ!$B$2:$B$136,0)),Data!E1434)</f>
        <v>空間文法の正確さ</v>
      </c>
      <c r="F1434" s="82" t="str">
        <f aca="false">Data!F1434</f>
        <v>C2</v>
      </c>
      <c r="G1434" s="81" t="str">
        <f aca="false">Data!G1434</f>
        <v>No descriptors available; see B2+</v>
      </c>
      <c r="H1434" s="81" t="s">
        <v>624</v>
      </c>
      <c r="I1434" s="80" t="s">
        <v>624</v>
      </c>
    </row>
    <row r="1435" customFormat="false" ht="15" hidden="false" customHeight="true" outlineLevel="0" collapsed="false">
      <c r="A1435" s="82" t="n">
        <f aca="false">Data!A1435</f>
        <v>1434</v>
      </c>
      <c r="B1435" s="82" t="str">
        <f aca="false">IFERROR(INDEX(対訳マスタ!$C$2:$C$136,MATCH(Data!B1435,対訳マスタ!$B$2:$B$136,0)),Data!B1435)</f>
        <v>手話能力</v>
      </c>
      <c r="C1435" s="82" t="str">
        <f aca="false">IF(Data!C1435="—","—",IFERROR(INDEX(対訳マスタ!$C$2:$C$136,MATCH(Data!C1435,対訳マスタ!$B$2:$B$136,0)),Data!C1435))</f>
        <v>受容</v>
      </c>
      <c r="D1435" s="82" t="str">
        <f aca="false">IF(Data!D1435="—","—",IFERROR(INDEX(対訳マスタ!$C$2:$C$136,MATCH(Data!D1435,対訳マスタ!$B$2:$B$136,0)),Data!D1435))</f>
        <v>言語能力</v>
      </c>
      <c r="E1435" s="82" t="str">
        <f aca="false">IFERROR(INDEX(対訳マスタ!$C$2:$C$136,MATCH(Data!E1435,対訳マスタ!$B$2:$B$136,0)),Data!E1435)</f>
        <v>空間文法の正確さ</v>
      </c>
      <c r="F1435" s="82" t="str">
        <f aca="false">Data!F1435</f>
        <v>C1</v>
      </c>
      <c r="G1435" s="81" t="str">
        <f aca="false">Data!G1435</f>
        <v>No descriptors available; see B2+</v>
      </c>
      <c r="H1435" s="81" t="s">
        <v>624</v>
      </c>
      <c r="I1435" s="80" t="s">
        <v>624</v>
      </c>
    </row>
    <row r="1436" customFormat="false" ht="21.75" hidden="false" customHeight="true" outlineLevel="0" collapsed="false">
      <c r="A1436" s="82" t="n">
        <f aca="false">Data!A1436</f>
        <v>1435</v>
      </c>
      <c r="B1436" s="82" t="str">
        <f aca="false">IFERROR(INDEX(対訳マスタ!$C$2:$C$136,MATCH(Data!B1436,対訳マスタ!$B$2:$B$136,0)),Data!B1436)</f>
        <v>手話能力</v>
      </c>
      <c r="C1436" s="82" t="str">
        <f aca="false">IF(Data!C1436="—","—",IFERROR(INDEX(対訳マスタ!$C$2:$C$136,MATCH(Data!C1436,対訳マスタ!$B$2:$B$136,0)),Data!C1436))</f>
        <v>受容</v>
      </c>
      <c r="D1436" s="82" t="str">
        <f aca="false">IF(Data!D1436="—","—",IFERROR(INDEX(対訳マスタ!$C$2:$C$136,MATCH(Data!D1436,対訳マスタ!$B$2:$B$136,0)),Data!D1436))</f>
        <v>言語能力</v>
      </c>
      <c r="E1436" s="82" t="str">
        <f aca="false">IFERROR(INDEX(対訳マスタ!$C$2:$C$136,MATCH(Data!E1436,対訳マスタ!$B$2:$B$136,0)),Data!E1436)</f>
        <v>空間文法の正確さ</v>
      </c>
      <c r="F1436" s="82" t="str">
        <f aca="false">Data!F1436</f>
        <v>B2+</v>
      </c>
      <c r="G1436" s="81" t="str">
        <f aca="false">Data!G1436</f>
        <v>Can distinguish the various temporal relationships between the actions and events (simultaneous events, previous event, subsequent event).</v>
      </c>
      <c r="H1436" s="81"/>
      <c r="I1436" s="82" t="s">
        <v>3625</v>
      </c>
    </row>
    <row r="1437" customFormat="false" ht="21.75" hidden="false" customHeight="true" outlineLevel="0" collapsed="false">
      <c r="A1437" s="82" t="n">
        <f aca="false">Data!A1437</f>
        <v>1436</v>
      </c>
      <c r="B1437" s="82" t="str">
        <f aca="false">IFERROR(INDEX(対訳マスタ!$C$2:$C$136,MATCH(Data!B1437,対訳マスタ!$B$2:$B$136,0)),Data!B1437)</f>
        <v>手話能力</v>
      </c>
      <c r="C1437" s="82" t="str">
        <f aca="false">IF(Data!C1437="—","—",IFERROR(INDEX(対訳マスタ!$C$2:$C$136,MATCH(Data!C1437,対訳マスタ!$B$2:$B$136,0)),Data!C1437))</f>
        <v>受容</v>
      </c>
      <c r="D1437" s="82" t="str">
        <f aca="false">IF(Data!D1437="—","—",IFERROR(INDEX(対訳マスタ!$C$2:$C$136,MATCH(Data!D1437,対訳マスタ!$B$2:$B$136,0)),Data!D1437))</f>
        <v>言語能力</v>
      </c>
      <c r="E1437" s="82" t="str">
        <f aca="false">IFERROR(INDEX(対訳マスタ!$C$2:$C$136,MATCH(Data!E1437,対訳マスタ!$B$2:$B$136,0)),Data!E1437)</f>
        <v>空間文法の正確さ</v>
      </c>
      <c r="F1437" s="82" t="str">
        <f aca="false">Data!F1437</f>
        <v>B2+</v>
      </c>
      <c r="G1437" s="81" t="str">
        <f aca="false">Data!G1437</f>
        <v>Can distinguish between whether an action involves several people (objects) or many actions involve one person (subject).</v>
      </c>
      <c r="H1437" s="81"/>
      <c r="I1437" s="82" t="s">
        <v>3625</v>
      </c>
    </row>
    <row r="1438" customFormat="false" ht="15" hidden="false" customHeight="true" outlineLevel="0" collapsed="false">
      <c r="A1438" s="82" t="n">
        <f aca="false">Data!A1438</f>
        <v>1437</v>
      </c>
      <c r="B1438" s="82" t="str">
        <f aca="false">IFERROR(INDEX(対訳マスタ!$C$2:$C$136,MATCH(Data!B1438,対訳マスタ!$B$2:$B$136,0)),Data!B1438)</f>
        <v>手話能力</v>
      </c>
      <c r="C1438" s="82" t="str">
        <f aca="false">IF(Data!C1438="—","—",IFERROR(INDEX(対訳マスタ!$C$2:$C$136,MATCH(Data!C1438,対訳マスタ!$B$2:$B$136,0)),Data!C1438))</f>
        <v>受容</v>
      </c>
      <c r="D1438" s="82" t="str">
        <f aca="false">IF(Data!D1438="—","—",IFERROR(INDEX(対訳マスタ!$C$2:$C$136,MATCH(Data!D1438,対訳マスタ!$B$2:$B$136,0)),Data!D1438))</f>
        <v>言語能力</v>
      </c>
      <c r="E1438" s="82" t="str">
        <f aca="false">IFERROR(INDEX(対訳マスタ!$C$2:$C$136,MATCH(Data!E1438,対訳マスタ!$B$2:$B$136,0)),Data!E1438)</f>
        <v>空間文法の正確さ</v>
      </c>
      <c r="F1438" s="82" t="str">
        <f aca="false">Data!F1438</f>
        <v>B2+</v>
      </c>
      <c r="G1438" s="81" t="str">
        <f aca="false">Data!G1438</f>
        <v>Can distinguish between direct and indirect speech in signed texts.</v>
      </c>
      <c r="H1438" s="81"/>
      <c r="I1438" s="82" t="s">
        <v>3625</v>
      </c>
    </row>
    <row r="1439" customFormat="false" ht="21.75" hidden="false" customHeight="true" outlineLevel="0" collapsed="false">
      <c r="A1439" s="82" t="n">
        <f aca="false">Data!A1439</f>
        <v>1438</v>
      </c>
      <c r="B1439" s="82" t="str">
        <f aca="false">IFERROR(INDEX(対訳マスタ!$C$2:$C$136,MATCH(Data!B1439,対訳マスタ!$B$2:$B$136,0)),Data!B1439)</f>
        <v>手話能力</v>
      </c>
      <c r="C1439" s="82" t="str">
        <f aca="false">IF(Data!C1439="—","—",IFERROR(INDEX(対訳マスタ!$C$2:$C$136,MATCH(Data!C1439,対訳マスタ!$B$2:$B$136,0)),Data!C1439))</f>
        <v>受容</v>
      </c>
      <c r="D1439" s="82" t="str">
        <f aca="false">IF(Data!D1439="—","—",IFERROR(INDEX(対訳マスタ!$C$2:$C$136,MATCH(Data!D1439,対訳マスタ!$B$2:$B$136,0)),Data!D1439))</f>
        <v>言語能力</v>
      </c>
      <c r="E1439" s="82" t="str">
        <f aca="false">IFERROR(INDEX(対訳マスタ!$C$2:$C$136,MATCH(Data!E1439,対訳マスタ!$B$2:$B$136,0)),Data!E1439)</f>
        <v>空間文法の正確さ</v>
      </c>
      <c r="F1439" s="82" t="str">
        <f aca="false">Data!F1439</f>
        <v>B2+</v>
      </c>
      <c r="G1439" s="81" t="str">
        <f aca="false">Data!G1439</f>
        <v>Can understand statements that contain predicates that take no agent, e.g., “the water is flowing now”.</v>
      </c>
      <c r="H1439" s="81"/>
      <c r="I1439" s="82" t="s">
        <v>3625</v>
      </c>
    </row>
    <row r="1440" customFormat="false" ht="21.75" hidden="false" customHeight="true" outlineLevel="0" collapsed="false">
      <c r="A1440" s="82" t="n">
        <f aca="false">Data!A1440</f>
        <v>1439</v>
      </c>
      <c r="B1440" s="82" t="str">
        <f aca="false">IFERROR(INDEX(対訳マスタ!$C$2:$C$136,MATCH(Data!B1440,対訳マスタ!$B$2:$B$136,0)),Data!B1440)</f>
        <v>手話能力</v>
      </c>
      <c r="C1440" s="82" t="str">
        <f aca="false">IF(Data!C1440="—","—",IFERROR(INDEX(対訳マスタ!$C$2:$C$136,MATCH(Data!C1440,対訳マスタ!$B$2:$B$136,0)),Data!C1440))</f>
        <v>受容</v>
      </c>
      <c r="D1440" s="82" t="str">
        <f aca="false">IF(Data!D1440="—","—",IFERROR(INDEX(対訳マスタ!$C$2:$C$136,MATCH(Data!D1440,対訳マスタ!$B$2:$B$136,0)),Data!D1440))</f>
        <v>言語能力</v>
      </c>
      <c r="E1440" s="82" t="str">
        <f aca="false">IFERROR(INDEX(対訳マスタ!$C$2:$C$136,MATCH(Data!E1440,対訳マスタ!$B$2:$B$136,0)),Data!E1440)</f>
        <v>空間文法の正確さ</v>
      </c>
      <c r="F1440" s="82" t="str">
        <f aca="false">Data!F1440</f>
        <v>B2+</v>
      </c>
      <c r="G1440" s="81" t="str">
        <f aca="false">Data!G1440</f>
        <v>Can recognise rhetorical questions even if linguistically expressed in a very economical way, e.g., by raising the eyebrows.</v>
      </c>
      <c r="H1440" s="81"/>
      <c r="I1440" s="82" t="s">
        <v>3625</v>
      </c>
    </row>
    <row r="1441" customFormat="false" ht="15" hidden="false" customHeight="true" outlineLevel="0" collapsed="false">
      <c r="A1441" s="82" t="n">
        <f aca="false">Data!A1441</f>
        <v>1440</v>
      </c>
      <c r="B1441" s="82" t="str">
        <f aca="false">IFERROR(INDEX(対訳マスタ!$C$2:$C$136,MATCH(Data!B1441,対訳マスタ!$B$2:$B$136,0)),Data!B1441)</f>
        <v>手話能力</v>
      </c>
      <c r="C1441" s="82" t="str">
        <f aca="false">IF(Data!C1441="—","—",IFERROR(INDEX(対訳マスタ!$C$2:$C$136,MATCH(Data!C1441,対訳マスタ!$B$2:$B$136,0)),Data!C1441))</f>
        <v>受容</v>
      </c>
      <c r="D1441" s="82" t="str">
        <f aca="false">IF(Data!D1441="—","—",IFERROR(INDEX(対訳マスタ!$C$2:$C$136,MATCH(Data!D1441,対訳マスタ!$B$2:$B$136,0)),Data!D1441))</f>
        <v>言語能力</v>
      </c>
      <c r="E1441" s="82" t="str">
        <f aca="false">IFERROR(INDEX(対訳マスタ!$C$2:$C$136,MATCH(Data!E1441,対訳マスタ!$B$2:$B$136,0)),Data!E1441)</f>
        <v>空間文法の正確さ</v>
      </c>
      <c r="F1441" s="82" t="str">
        <f aca="false">Data!F1441</f>
        <v>B2+</v>
      </c>
      <c r="G1441" s="81" t="str">
        <f aca="false">Data!G1441</f>
        <v>Can assign classifiers to the correct reference object (e.g., animals) through the context.</v>
      </c>
      <c r="H1441" s="81"/>
      <c r="I1441" s="82" t="s">
        <v>3625</v>
      </c>
    </row>
    <row r="1442" customFormat="false" ht="21.75" hidden="false" customHeight="true" outlineLevel="0" collapsed="false">
      <c r="A1442" s="82" t="n">
        <f aca="false">Data!A1442</f>
        <v>1441</v>
      </c>
      <c r="B1442" s="82" t="str">
        <f aca="false">IFERROR(INDEX(対訳マスタ!$C$2:$C$136,MATCH(Data!B1442,対訳マスタ!$B$2:$B$136,0)),Data!B1442)</f>
        <v>手話能力</v>
      </c>
      <c r="C1442" s="82" t="str">
        <f aca="false">IF(Data!C1442="—","—",IFERROR(INDEX(対訳マスタ!$C$2:$C$136,MATCH(Data!C1442,対訳マスタ!$B$2:$B$136,0)),Data!C1442))</f>
        <v>受容</v>
      </c>
      <c r="D1442" s="82" t="str">
        <f aca="false">IF(Data!D1442="—","—",IFERROR(INDEX(対訳マスタ!$C$2:$C$136,MATCH(Data!D1442,対訳マスタ!$B$2:$B$136,0)),Data!D1442))</f>
        <v>言語能力</v>
      </c>
      <c r="E1442" s="82" t="str">
        <f aca="false">IFERROR(INDEX(対訳マスタ!$C$2:$C$136,MATCH(Data!E1442,対訳マスタ!$B$2:$B$136,0)),Data!E1442)</f>
        <v>空間文法の正確さ</v>
      </c>
      <c r="F1442" s="82" t="str">
        <f aca="false">Data!F1442</f>
        <v>B2+</v>
      </c>
      <c r="G1442" s="81" t="str">
        <f aca="false">Data!G1442</f>
        <v>Can understand aspectual modulations (e.g., staggering, fast, creeping or rolling movements).</v>
      </c>
      <c r="H1442" s="81"/>
      <c r="I1442" s="82" t="s">
        <v>3625</v>
      </c>
    </row>
    <row r="1443" customFormat="false" ht="21.75" hidden="false" customHeight="true" outlineLevel="0" collapsed="false">
      <c r="A1443" s="82" t="n">
        <f aca="false">Data!A1443</f>
        <v>1442</v>
      </c>
      <c r="B1443" s="82" t="str">
        <f aca="false">IFERROR(INDEX(対訳マスタ!$C$2:$C$136,MATCH(Data!B1443,対訳マスタ!$B$2:$B$136,0)),Data!B1443)</f>
        <v>手話能力</v>
      </c>
      <c r="C1443" s="82" t="str">
        <f aca="false">IF(Data!C1443="—","—",IFERROR(INDEX(対訳マスタ!$C$2:$C$136,MATCH(Data!C1443,対訳マスタ!$B$2:$B$136,0)),Data!C1443))</f>
        <v>受容</v>
      </c>
      <c r="D1443" s="82" t="str">
        <f aca="false">IF(Data!D1443="—","—",IFERROR(INDEX(対訳マスタ!$C$2:$C$136,MATCH(Data!D1443,対訳マスタ!$B$2:$B$136,0)),Data!D1443))</f>
        <v>言語能力</v>
      </c>
      <c r="E1443" s="82" t="str">
        <f aca="false">IFERROR(INDEX(対訳マスタ!$C$2:$C$136,MATCH(Data!E1443,対訳マスタ!$B$2:$B$136,0)),Data!E1443)</f>
        <v>空間文法の正確さ</v>
      </c>
      <c r="F1443" s="82" t="str">
        <f aca="false">Data!F1443</f>
        <v>B2</v>
      </c>
      <c r="G1443" s="81" t="str">
        <f aca="false">Data!G1443</f>
        <v>Can distinguish on the basis of grammatical signals between statements about real and imaginary events.</v>
      </c>
      <c r="H1443" s="81"/>
      <c r="I1443" s="82" t="s">
        <v>3625</v>
      </c>
    </row>
    <row r="1444" customFormat="false" ht="15" hidden="false" customHeight="true" outlineLevel="0" collapsed="false">
      <c r="A1444" s="82" t="n">
        <f aca="false">Data!A1444</f>
        <v>1443</v>
      </c>
      <c r="B1444" s="82" t="str">
        <f aca="false">IFERROR(INDEX(対訳マスタ!$C$2:$C$136,MATCH(Data!B1444,対訳マスタ!$B$2:$B$136,0)),Data!B1444)</f>
        <v>手話能力</v>
      </c>
      <c r="C1444" s="82" t="str">
        <f aca="false">IF(Data!C1444="—","—",IFERROR(INDEX(対訳マスタ!$C$2:$C$136,MATCH(Data!C1444,対訳マスタ!$B$2:$B$136,0)),Data!C1444))</f>
        <v>受容</v>
      </c>
      <c r="D1444" s="82" t="str">
        <f aca="false">IF(Data!D1444="—","—",IFERROR(INDEX(対訳マスタ!$C$2:$C$136,MATCH(Data!D1444,対訳マスタ!$B$2:$B$136,0)),Data!D1444))</f>
        <v>言語能力</v>
      </c>
      <c r="E1444" s="82" t="str">
        <f aca="false">IFERROR(INDEX(対訳マスタ!$C$2:$C$136,MATCH(Data!E1444,対訳マスタ!$B$2:$B$136,0)),Data!E1444)</f>
        <v>空間文法の正確さ</v>
      </c>
      <c r="F1444" s="82" t="str">
        <f aca="false">Data!F1444</f>
        <v>B2</v>
      </c>
      <c r="G1444" s="81" t="str">
        <f aca="false">Data!G1444</f>
        <v>Can keep apart the characters and their actions even in longer texts.</v>
      </c>
      <c r="H1444" s="81"/>
      <c r="I1444" s="82" t="s">
        <v>3625</v>
      </c>
    </row>
    <row r="1445" customFormat="false" ht="21.75" hidden="false" customHeight="true" outlineLevel="0" collapsed="false">
      <c r="A1445" s="82" t="n">
        <f aca="false">Data!A1445</f>
        <v>1444</v>
      </c>
      <c r="B1445" s="82" t="str">
        <f aca="false">IFERROR(INDEX(対訳マスタ!$C$2:$C$136,MATCH(Data!B1445,対訳マスタ!$B$2:$B$136,0)),Data!B1445)</f>
        <v>手話能力</v>
      </c>
      <c r="C1445" s="82" t="str">
        <f aca="false">IF(Data!C1445="—","—",IFERROR(INDEX(対訳マスタ!$C$2:$C$136,MATCH(Data!C1445,対訳マスタ!$B$2:$B$136,0)),Data!C1445))</f>
        <v>受容</v>
      </c>
      <c r="D1445" s="82" t="str">
        <f aca="false">IF(Data!D1445="—","—",IFERROR(INDEX(対訳マスタ!$C$2:$C$136,MATCH(Data!D1445,対訳マスタ!$B$2:$B$136,0)),Data!D1445))</f>
        <v>言語能力</v>
      </c>
      <c r="E1445" s="82" t="str">
        <f aca="false">IFERROR(INDEX(対訳マスタ!$C$2:$C$136,MATCH(Data!E1445,対訳マスタ!$B$2:$B$136,0)),Data!E1445)</f>
        <v>空間文法の正確さ</v>
      </c>
      <c r="F1445" s="82" t="str">
        <f aca="false">Data!F1445</f>
        <v>B2</v>
      </c>
      <c r="G1445" s="81" t="str">
        <f aca="false">Data!G1445</f>
        <v>Can recognise sentences as units and indicate how many sentences a short text contains.</v>
      </c>
      <c r="H1445" s="81"/>
      <c r="I1445" s="82" t="s">
        <v>3625</v>
      </c>
    </row>
    <row r="1446" customFormat="false" ht="21.75" hidden="false" customHeight="true" outlineLevel="0" collapsed="false">
      <c r="A1446" s="82" t="n">
        <f aca="false">Data!A1446</f>
        <v>1445</v>
      </c>
      <c r="B1446" s="82" t="str">
        <f aca="false">IFERROR(INDEX(対訳マスタ!$C$2:$C$136,MATCH(Data!B1446,対訳マスタ!$B$2:$B$136,0)),Data!B1446)</f>
        <v>手話能力</v>
      </c>
      <c r="C1446" s="82" t="str">
        <f aca="false">IF(Data!C1446="—","—",IFERROR(INDEX(対訳マスタ!$C$2:$C$136,MATCH(Data!C1446,対訳マスタ!$B$2:$B$136,0)),Data!C1446))</f>
        <v>受容</v>
      </c>
      <c r="D1446" s="82" t="str">
        <f aca="false">IF(Data!D1446="—","—",IFERROR(INDEX(対訳マスタ!$C$2:$C$136,MATCH(Data!D1446,対訳マスタ!$B$2:$B$136,0)),Data!D1446))</f>
        <v>言語能力</v>
      </c>
      <c r="E1446" s="82" t="str">
        <f aca="false">IFERROR(INDEX(対訳マスタ!$C$2:$C$136,MATCH(Data!E1446,対訳マスタ!$B$2:$B$136,0)),Data!E1446)</f>
        <v>空間文法の正確さ</v>
      </c>
      <c r="F1446" s="82" t="str">
        <f aca="false">Data!F1446</f>
        <v>B2</v>
      </c>
      <c r="G1446" s="81" t="str">
        <f aca="false">Data!G1446</f>
        <v>Can understand verbal aspect (e.g., completion, repetition, continuation, result of actions).</v>
      </c>
      <c r="H1446" s="81"/>
      <c r="I1446" s="82" t="s">
        <v>3625</v>
      </c>
    </row>
    <row r="1447" customFormat="false" ht="15" hidden="false" customHeight="true" outlineLevel="0" collapsed="false">
      <c r="A1447" s="82" t="n">
        <f aca="false">Data!A1447</f>
        <v>1446</v>
      </c>
      <c r="B1447" s="82" t="str">
        <f aca="false">IFERROR(INDEX(対訳マスタ!$C$2:$C$136,MATCH(Data!B1447,対訳マスタ!$B$2:$B$136,0)),Data!B1447)</f>
        <v>手話能力</v>
      </c>
      <c r="C1447" s="82" t="str">
        <f aca="false">IF(Data!C1447="—","—",IFERROR(INDEX(対訳マスタ!$C$2:$C$136,MATCH(Data!C1447,対訳マスタ!$B$2:$B$136,0)),Data!C1447))</f>
        <v>受容</v>
      </c>
      <c r="D1447" s="82" t="str">
        <f aca="false">IF(Data!D1447="—","—",IFERROR(INDEX(対訳マスタ!$C$2:$C$136,MATCH(Data!D1447,対訳マスタ!$B$2:$B$136,0)),Data!D1447))</f>
        <v>言語能力</v>
      </c>
      <c r="E1447" s="82" t="str">
        <f aca="false">IFERROR(INDEX(対訳マスタ!$C$2:$C$136,MATCH(Data!E1447,対訳マスタ!$B$2:$B$136,0)),Data!E1447)</f>
        <v>空間文法の正確さ</v>
      </c>
      <c r="F1447" s="82" t="str">
        <f aca="false">Data!F1447</f>
        <v>B1+</v>
      </c>
      <c r="G1447" s="81" t="str">
        <f aca="false">Data!G1447</f>
        <v>Can infer the time, duration or sequence of an event from the timelines employed.</v>
      </c>
      <c r="H1447" s="81"/>
      <c r="I1447" s="82" t="s">
        <v>3625</v>
      </c>
    </row>
    <row r="1448" customFormat="false" ht="15" hidden="false" customHeight="true" outlineLevel="0" collapsed="false">
      <c r="A1448" s="82" t="n">
        <f aca="false">Data!A1448</f>
        <v>1447</v>
      </c>
      <c r="B1448" s="82" t="str">
        <f aca="false">IFERROR(INDEX(対訳マスタ!$C$2:$C$136,MATCH(Data!B1448,対訳マスタ!$B$2:$B$136,0)),Data!B1448)</f>
        <v>手話能力</v>
      </c>
      <c r="C1448" s="82" t="str">
        <f aca="false">IF(Data!C1448="—","—",IFERROR(INDEX(対訳マスタ!$C$2:$C$136,MATCH(Data!C1448,対訳マスタ!$B$2:$B$136,0)),Data!C1448))</f>
        <v>受容</v>
      </c>
      <c r="D1448" s="82" t="str">
        <f aca="false">IF(Data!D1448="—","—",IFERROR(INDEX(対訳マスタ!$C$2:$C$136,MATCH(Data!D1448,対訳マスタ!$B$2:$B$136,0)),Data!D1448))</f>
        <v>言語能力</v>
      </c>
      <c r="E1448" s="82" t="str">
        <f aca="false">IFERROR(INDEX(対訳マスタ!$C$2:$C$136,MATCH(Data!E1448,対訳マスタ!$B$2:$B$136,0)),Data!E1448)</f>
        <v>空間文法の正確さ</v>
      </c>
      <c r="F1448" s="82" t="str">
        <f aca="false">Data!F1448</f>
        <v>B1+</v>
      </c>
      <c r="G1448" s="81" t="str">
        <f aca="false">Data!G1448</f>
        <v>Can understand modified lexical signs.</v>
      </c>
      <c r="H1448" s="81"/>
      <c r="I1448" s="82" t="s">
        <v>3625</v>
      </c>
    </row>
    <row r="1449" customFormat="false" ht="15" hidden="false" customHeight="true" outlineLevel="0" collapsed="false">
      <c r="A1449" s="82" t="n">
        <f aca="false">Data!A1449</f>
        <v>1448</v>
      </c>
      <c r="B1449" s="82" t="str">
        <f aca="false">IFERROR(INDEX(対訳マスタ!$C$2:$C$136,MATCH(Data!B1449,対訳マスタ!$B$2:$B$136,0)),Data!B1449)</f>
        <v>手話能力</v>
      </c>
      <c r="C1449" s="82" t="str">
        <f aca="false">IF(Data!C1449="—","—",IFERROR(INDEX(対訳マスタ!$C$2:$C$136,MATCH(Data!C1449,対訳マスタ!$B$2:$B$136,0)),Data!C1449))</f>
        <v>受容</v>
      </c>
      <c r="D1449" s="82" t="str">
        <f aca="false">IF(Data!D1449="—","—",IFERROR(INDEX(対訳マスタ!$C$2:$C$136,MATCH(Data!D1449,対訳マスタ!$B$2:$B$136,0)),Data!D1449))</f>
        <v>言語能力</v>
      </c>
      <c r="E1449" s="82" t="str">
        <f aca="false">IFERROR(INDEX(対訳マスタ!$C$2:$C$136,MATCH(Data!E1449,対訳マスタ!$B$2:$B$136,0)),Data!E1449)</f>
        <v>空間文法の正確さ</v>
      </c>
      <c r="F1449" s="82" t="str">
        <f aca="false">Data!F1449</f>
        <v>B1</v>
      </c>
      <c r="G1449" s="81" t="str">
        <f aca="false">Data!G1449</f>
        <v>Can correctly interpret events in a timeline (past, present or future).</v>
      </c>
      <c r="H1449" s="81"/>
      <c r="I1449" s="82" t="s">
        <v>3625</v>
      </c>
    </row>
    <row r="1450" customFormat="false" ht="15" hidden="false" customHeight="true" outlineLevel="0" collapsed="false">
      <c r="A1450" s="82" t="n">
        <f aca="false">Data!A1450</f>
        <v>1449</v>
      </c>
      <c r="B1450" s="82" t="str">
        <f aca="false">IFERROR(INDEX(対訳マスタ!$C$2:$C$136,MATCH(Data!B1450,対訳マスタ!$B$2:$B$136,0)),Data!B1450)</f>
        <v>手話能力</v>
      </c>
      <c r="C1450" s="82" t="str">
        <f aca="false">IF(Data!C1450="—","—",IFERROR(INDEX(対訳マスタ!$C$2:$C$136,MATCH(Data!C1450,対訳マスタ!$B$2:$B$136,0)),Data!C1450))</f>
        <v>受容</v>
      </c>
      <c r="D1450" s="82" t="str">
        <f aca="false">IF(Data!D1450="—","—",IFERROR(INDEX(対訳マスタ!$C$2:$C$136,MATCH(Data!D1450,対訳マスタ!$B$2:$B$136,0)),Data!D1450))</f>
        <v>言語能力</v>
      </c>
      <c r="E1450" s="82" t="str">
        <f aca="false">IFERROR(INDEX(対訳マスタ!$C$2:$C$136,MATCH(Data!E1450,対訳マスタ!$B$2:$B$136,0)),Data!E1450)</f>
        <v>空間文法の正確さ</v>
      </c>
      <c r="F1450" s="82" t="str">
        <f aca="false">Data!F1450</f>
        <v>B1</v>
      </c>
      <c r="G1450" s="81" t="str">
        <f aca="false">Data!G1450</f>
        <v>Can understand statements indicating intentions (aims, &lt;in order to …&gt;).</v>
      </c>
      <c r="H1450" s="81"/>
      <c r="I1450" s="82" t="s">
        <v>3625</v>
      </c>
    </row>
    <row r="1451" customFormat="false" ht="21.75" hidden="false" customHeight="true" outlineLevel="0" collapsed="false">
      <c r="A1451" s="82" t="n">
        <f aca="false">Data!A1451</f>
        <v>1450</v>
      </c>
      <c r="B1451" s="82" t="str">
        <f aca="false">IFERROR(INDEX(対訳マスタ!$C$2:$C$136,MATCH(Data!B1451,対訳マスタ!$B$2:$B$136,0)),Data!B1451)</f>
        <v>手話能力</v>
      </c>
      <c r="C1451" s="82" t="str">
        <f aca="false">IF(Data!C1451="—","—",IFERROR(INDEX(対訳マスタ!$C$2:$C$136,MATCH(Data!C1451,対訳マスタ!$B$2:$B$136,0)),Data!C1451))</f>
        <v>受容</v>
      </c>
      <c r="D1451" s="82" t="str">
        <f aca="false">IF(Data!D1451="—","—",IFERROR(INDEX(対訳マスタ!$C$2:$C$136,MATCH(Data!D1451,対訳マスタ!$B$2:$B$136,0)),Data!D1451))</f>
        <v>言語能力</v>
      </c>
      <c r="E1451" s="82" t="str">
        <f aca="false">IFERROR(INDEX(対訳マスタ!$C$2:$C$136,MATCH(Data!E1451,対訳マスタ!$B$2:$B$136,0)),Data!E1451)</f>
        <v>空間文法の正確さ</v>
      </c>
      <c r="F1451" s="82" t="str">
        <f aca="false">Data!F1451</f>
        <v>B1</v>
      </c>
      <c r="G1451" s="81" t="str">
        <f aca="false">Data!G1451</f>
        <v>Can use non-manual signals to distinguish for example, wh-questions from yes/no questions, or assertions from yes/no questions.</v>
      </c>
      <c r="H1451" s="81"/>
      <c r="I1451" s="82" t="s">
        <v>3625</v>
      </c>
    </row>
    <row r="1452" customFormat="false" ht="21.75" hidden="false" customHeight="true" outlineLevel="0" collapsed="false">
      <c r="A1452" s="82" t="n">
        <f aca="false">Data!A1452</f>
        <v>1451</v>
      </c>
      <c r="B1452" s="82" t="str">
        <f aca="false">IFERROR(INDEX(対訳マスタ!$C$2:$C$136,MATCH(Data!B1452,対訳マスタ!$B$2:$B$136,0)),Data!B1452)</f>
        <v>手話能力</v>
      </c>
      <c r="C1452" s="82" t="str">
        <f aca="false">IF(Data!C1452="—","—",IFERROR(INDEX(対訳マスタ!$C$2:$C$136,MATCH(Data!C1452,対訳マスタ!$B$2:$B$136,0)),Data!C1452))</f>
        <v>受容</v>
      </c>
      <c r="D1452" s="82" t="str">
        <f aca="false">IF(Data!D1452="—","—",IFERROR(INDEX(対訳マスタ!$C$2:$C$136,MATCH(Data!D1452,対訳マスタ!$B$2:$B$136,0)),Data!D1452))</f>
        <v>言語能力</v>
      </c>
      <c r="E1452" s="82" t="str">
        <f aca="false">IFERROR(INDEX(対訳マスタ!$C$2:$C$136,MATCH(Data!E1452,対訳マスタ!$B$2:$B$136,0)),Data!E1452)</f>
        <v>空間文法の正確さ</v>
      </c>
      <c r="F1452" s="82" t="str">
        <f aca="false">Data!F1452</f>
        <v>B1</v>
      </c>
      <c r="G1452" s="81" t="str">
        <f aca="false">Data!G1452</f>
        <v>Can correctly interpret indexical reference to persons, provided they have been properly introduced and situated.</v>
      </c>
      <c r="H1452" s="81"/>
      <c r="I1452" s="82" t="s">
        <v>3625</v>
      </c>
    </row>
    <row r="1453" customFormat="false" ht="32.25" hidden="false" customHeight="true" outlineLevel="0" collapsed="false">
      <c r="A1453" s="82" t="n">
        <f aca="false">Data!A1453</f>
        <v>1452</v>
      </c>
      <c r="B1453" s="82" t="str">
        <f aca="false">IFERROR(INDEX(対訳マスタ!$C$2:$C$136,MATCH(Data!B1453,対訳マスタ!$B$2:$B$136,0)),Data!B1453)</f>
        <v>手話能力</v>
      </c>
      <c r="C1453" s="82" t="str">
        <f aca="false">IF(Data!C1453="—","—",IFERROR(INDEX(対訳マスタ!$C$2:$C$136,MATCH(Data!C1453,対訳マスタ!$B$2:$B$136,0)),Data!C1453))</f>
        <v>受容</v>
      </c>
      <c r="D1453" s="82" t="str">
        <f aca="false">IF(Data!D1453="—","—",IFERROR(INDEX(対訳マスタ!$C$2:$C$136,MATCH(Data!D1453,対訳マスタ!$B$2:$B$136,0)),Data!D1453))</f>
        <v>言語能力</v>
      </c>
      <c r="E1453" s="82" t="str">
        <f aca="false">IFERROR(INDEX(対訳マスタ!$C$2:$C$136,MATCH(Data!E1453,対訳マスタ!$B$2:$B$136,0)),Data!E1453)</f>
        <v>空間文法の正確さ</v>
      </c>
      <c r="F1453" s="82" t="str">
        <f aca="false">Data!F1453</f>
        <v>B1</v>
      </c>
      <c r="G1453" s="81" t="str">
        <f aca="false">Data!G1453</f>
        <v>Can identify various strategies for expressing the comparative and superlative of adjectives and understand their meaning (e.g., through changes in the size or speed of the sign or through the correct use of classifiers).</v>
      </c>
      <c r="H1453" s="81"/>
      <c r="I1453" s="82" t="s">
        <v>3625</v>
      </c>
    </row>
    <row r="1454" customFormat="false" ht="15" hidden="false" customHeight="true" outlineLevel="0" collapsed="false">
      <c r="A1454" s="82" t="n">
        <f aca="false">Data!A1454</f>
        <v>1453</v>
      </c>
      <c r="B1454" s="82" t="str">
        <f aca="false">IFERROR(INDEX(対訳マスタ!$C$2:$C$136,MATCH(Data!B1454,対訳マスタ!$B$2:$B$136,0)),Data!B1454)</f>
        <v>手話能力</v>
      </c>
      <c r="C1454" s="82" t="str">
        <f aca="false">IF(Data!C1454="—","—",IFERROR(INDEX(対訳マスタ!$C$2:$C$136,MATCH(Data!C1454,対訳マスタ!$B$2:$B$136,0)),Data!C1454))</f>
        <v>受容</v>
      </c>
      <c r="D1454" s="82" t="str">
        <f aca="false">IF(Data!D1454="—","—",IFERROR(INDEX(対訳マスタ!$C$2:$C$136,MATCH(Data!D1454,対訳マスタ!$B$2:$B$136,0)),Data!D1454))</f>
        <v>言語能力</v>
      </c>
      <c r="E1454" s="82" t="str">
        <f aca="false">IFERROR(INDEX(対訳マスタ!$C$2:$C$136,MATCH(Data!E1454,対訳マスタ!$B$2:$B$136,0)),Data!E1454)</f>
        <v>空間文法の正確さ</v>
      </c>
      <c r="F1454" s="82" t="str">
        <f aca="false">Data!F1454</f>
        <v>A2+</v>
      </c>
      <c r="G1454" s="81" t="str">
        <f aca="false">Data!G1454</f>
        <v>Can recognise and understand condition and consequence in if-then sentences.</v>
      </c>
      <c r="H1454" s="81"/>
      <c r="I1454" s="82" t="s">
        <v>3625</v>
      </c>
    </row>
    <row r="1455" customFormat="false" ht="15" hidden="false" customHeight="true" outlineLevel="0" collapsed="false">
      <c r="A1455" s="82" t="n">
        <f aca="false">Data!A1455</f>
        <v>1454</v>
      </c>
      <c r="B1455" s="82" t="str">
        <f aca="false">IFERROR(INDEX(対訳マスタ!$C$2:$C$136,MATCH(Data!B1455,対訳マスタ!$B$2:$B$136,0)),Data!B1455)</f>
        <v>手話能力</v>
      </c>
      <c r="C1455" s="82" t="str">
        <f aca="false">IF(Data!C1455="—","—",IFERROR(INDEX(対訳マスタ!$C$2:$C$136,MATCH(Data!C1455,対訳マスタ!$B$2:$B$136,0)),Data!C1455))</f>
        <v>受容</v>
      </c>
      <c r="D1455" s="82" t="str">
        <f aca="false">IF(Data!D1455="—","—",IFERROR(INDEX(対訳マスタ!$C$2:$C$136,MATCH(Data!D1455,対訳マスタ!$B$2:$B$136,0)),Data!D1455))</f>
        <v>言語能力</v>
      </c>
      <c r="E1455" s="82" t="str">
        <f aca="false">IFERROR(INDEX(対訳マスタ!$C$2:$C$136,MATCH(Data!E1455,対訳マスタ!$B$2:$B$136,0)),Data!E1455)</f>
        <v>空間文法の正確さ</v>
      </c>
      <c r="F1455" s="82" t="str">
        <f aca="false">Data!F1455</f>
        <v>A2+</v>
      </c>
      <c r="G1455" s="81" t="str">
        <f aca="false">Data!G1455</f>
        <v>Can understand clause linkages that express &lt;even if&gt;/&lt;nevertheless&gt; relations.</v>
      </c>
      <c r="H1455" s="81"/>
      <c r="I1455" s="82" t="s">
        <v>3625</v>
      </c>
    </row>
    <row r="1456" customFormat="false" ht="21.75" hidden="false" customHeight="true" outlineLevel="0" collapsed="false">
      <c r="A1456" s="82" t="n">
        <f aca="false">Data!A1456</f>
        <v>1455</v>
      </c>
      <c r="B1456" s="82" t="str">
        <f aca="false">IFERROR(INDEX(対訳マスタ!$C$2:$C$136,MATCH(Data!B1456,対訳マスタ!$B$2:$B$136,0)),Data!B1456)</f>
        <v>手話能力</v>
      </c>
      <c r="C1456" s="82" t="str">
        <f aca="false">IF(Data!C1456="—","—",IFERROR(INDEX(対訳マスタ!$C$2:$C$136,MATCH(Data!C1456,対訳マスタ!$B$2:$B$136,0)),Data!C1456))</f>
        <v>受容</v>
      </c>
      <c r="D1456" s="82" t="str">
        <f aca="false">IF(Data!D1456="—","—",IFERROR(INDEX(対訳マスタ!$C$2:$C$136,MATCH(Data!D1456,対訳マスタ!$B$2:$B$136,0)),Data!D1456))</f>
        <v>言語能力</v>
      </c>
      <c r="E1456" s="82" t="str">
        <f aca="false">IFERROR(INDEX(対訳マスタ!$C$2:$C$136,MATCH(Data!E1456,対訳マスタ!$B$2:$B$136,0)),Data!E1456)</f>
        <v>空間文法の正確さ</v>
      </c>
      <c r="F1456" s="82" t="str">
        <f aca="false">Data!F1456</f>
        <v>A2+</v>
      </c>
      <c r="G1456" s="81" t="str">
        <f aca="false">Data!G1456</f>
        <v>Can understand conditional sentences, i.e. under what conditions (&lt;if&gt;) a consequence (&lt;then&gt;) occurs.</v>
      </c>
      <c r="H1456" s="81"/>
      <c r="I1456" s="82" t="s">
        <v>3625</v>
      </c>
    </row>
    <row r="1457" customFormat="false" ht="21.75" hidden="false" customHeight="true" outlineLevel="0" collapsed="false">
      <c r="A1457" s="82" t="n">
        <f aca="false">Data!A1457</f>
        <v>1456</v>
      </c>
      <c r="B1457" s="82" t="str">
        <f aca="false">IFERROR(INDEX(対訳マスタ!$C$2:$C$136,MATCH(Data!B1457,対訳マスタ!$B$2:$B$136,0)),Data!B1457)</f>
        <v>手話能力</v>
      </c>
      <c r="C1457" s="82" t="str">
        <f aca="false">IF(Data!C1457="—","—",IFERROR(INDEX(対訳マスタ!$C$2:$C$136,MATCH(Data!C1457,対訳マスタ!$B$2:$B$136,0)),Data!C1457))</f>
        <v>受容</v>
      </c>
      <c r="D1457" s="82" t="str">
        <f aca="false">IF(Data!D1457="—","—",IFERROR(INDEX(対訳マスタ!$C$2:$C$136,MATCH(Data!D1457,対訳マスタ!$B$2:$B$136,0)),Data!D1457))</f>
        <v>言語能力</v>
      </c>
      <c r="E1457" s="82" t="str">
        <f aca="false">IFERROR(INDEX(対訳マスタ!$C$2:$C$136,MATCH(Data!E1457,対訳マスタ!$B$2:$B$136,0)),Data!E1457)</f>
        <v>空間文法の正確さ</v>
      </c>
      <c r="F1457" s="82" t="str">
        <f aca="false">Data!F1457</f>
        <v>A2+</v>
      </c>
      <c r="G1457" s="81" t="str">
        <f aca="false">Data!G1457</f>
        <v>Can understand how sameness &lt;same-as&gt; and difference &lt;different-from&gt; are expressed.</v>
      </c>
      <c r="H1457" s="81"/>
      <c r="I1457" s="82" t="s">
        <v>3625</v>
      </c>
    </row>
    <row r="1458" customFormat="false" ht="21.75" hidden="false" customHeight="true" outlineLevel="0" collapsed="false">
      <c r="A1458" s="82" t="n">
        <f aca="false">Data!A1458</f>
        <v>1457</v>
      </c>
      <c r="B1458" s="82" t="str">
        <f aca="false">IFERROR(INDEX(対訳マスタ!$C$2:$C$136,MATCH(Data!B1458,対訳マスタ!$B$2:$B$136,0)),Data!B1458)</f>
        <v>手話能力</v>
      </c>
      <c r="C1458" s="82" t="str">
        <f aca="false">IF(Data!C1458="—","—",IFERROR(INDEX(対訳マスタ!$C$2:$C$136,MATCH(Data!C1458,対訳マスタ!$B$2:$B$136,0)),Data!C1458))</f>
        <v>受容</v>
      </c>
      <c r="D1458" s="82" t="str">
        <f aca="false">IF(Data!D1458="—","—",IFERROR(INDEX(対訳マスタ!$C$2:$C$136,MATCH(Data!D1458,対訳マスタ!$B$2:$B$136,0)),Data!D1458))</f>
        <v>言語能力</v>
      </c>
      <c r="E1458" s="82" t="str">
        <f aca="false">IFERROR(INDEX(対訳マスタ!$C$2:$C$136,MATCH(Data!E1458,対訳マスタ!$B$2:$B$136,0)),Data!E1458)</f>
        <v>空間文法の正確さ</v>
      </c>
      <c r="F1458" s="82" t="str">
        <f aca="false">Data!F1458</f>
        <v>A2+</v>
      </c>
      <c r="G1458" s="81" t="str">
        <f aca="false">Data!G1458</f>
        <v>Can understand differences in meaning that indicate whether actions are carried out by one person or several people, e.g., a person goes v. many people go.</v>
      </c>
      <c r="H1458" s="81"/>
      <c r="I1458" s="82" t="s">
        <v>3625</v>
      </c>
    </row>
    <row r="1459" customFormat="false" ht="21.75" hidden="false" customHeight="true" outlineLevel="0" collapsed="false">
      <c r="A1459" s="82" t="n">
        <f aca="false">Data!A1459</f>
        <v>1458</v>
      </c>
      <c r="B1459" s="82" t="str">
        <f aca="false">IFERROR(INDEX(対訳マスタ!$C$2:$C$136,MATCH(Data!B1459,対訳マスタ!$B$2:$B$136,0)),Data!B1459)</f>
        <v>手話能力</v>
      </c>
      <c r="C1459" s="82" t="str">
        <f aca="false">IF(Data!C1459="—","—",IFERROR(INDEX(対訳マスタ!$C$2:$C$136,MATCH(Data!C1459,対訳マスタ!$B$2:$B$136,0)),Data!C1459))</f>
        <v>受容</v>
      </c>
      <c r="D1459" s="82" t="str">
        <f aca="false">IF(Data!D1459="—","—",IFERROR(INDEX(対訳マスタ!$C$2:$C$136,MATCH(Data!D1459,対訳マスタ!$B$2:$B$136,0)),Data!D1459))</f>
        <v>言語能力</v>
      </c>
      <c r="E1459" s="82" t="str">
        <f aca="false">IFERROR(INDEX(対訳マスタ!$C$2:$C$136,MATCH(Data!E1459,対訳マスタ!$B$2:$B$136,0)),Data!E1459)</f>
        <v>空間文法の正確さ</v>
      </c>
      <c r="F1459" s="82" t="str">
        <f aca="false">Data!F1459</f>
        <v>A2</v>
      </c>
      <c r="G1459" s="81" t="str">
        <f aca="false">Data!G1459</f>
        <v>Can identify different types of sentence and their meaning through the word order (statements, questions, orders).</v>
      </c>
      <c r="H1459" s="81"/>
      <c r="I1459" s="82" t="s">
        <v>3625</v>
      </c>
    </row>
    <row r="1460" customFormat="false" ht="21.75" hidden="false" customHeight="true" outlineLevel="0" collapsed="false">
      <c r="A1460" s="82" t="n">
        <f aca="false">Data!A1460</f>
        <v>1459</v>
      </c>
      <c r="B1460" s="82" t="str">
        <f aca="false">IFERROR(INDEX(対訳マスタ!$C$2:$C$136,MATCH(Data!B1460,対訳マスタ!$B$2:$B$136,0)),Data!B1460)</f>
        <v>手話能力</v>
      </c>
      <c r="C1460" s="82" t="str">
        <f aca="false">IF(Data!C1460="—","—",IFERROR(INDEX(対訳マスタ!$C$2:$C$136,MATCH(Data!C1460,対訳マスタ!$B$2:$B$136,0)),Data!C1460))</f>
        <v>受容</v>
      </c>
      <c r="D1460" s="82" t="str">
        <f aca="false">IF(Data!D1460="—","—",IFERROR(INDEX(対訳マスタ!$C$2:$C$136,MATCH(Data!D1460,対訳マスタ!$B$2:$B$136,0)),Data!D1460))</f>
        <v>言語能力</v>
      </c>
      <c r="E1460" s="82" t="str">
        <f aca="false">IFERROR(INDEX(対訳マスタ!$C$2:$C$136,MATCH(Data!E1460,対訳マスタ!$B$2:$B$136,0)),Data!E1460)</f>
        <v>空間文法の正確さ</v>
      </c>
      <c r="F1460" s="82" t="str">
        <f aca="false">Data!F1460</f>
        <v>A2</v>
      </c>
      <c r="G1460" s="81" t="str">
        <f aca="false">Data!G1460</f>
        <v>Can correctly interpret classifier constructions in simple sentences, provided they are clearly signed.</v>
      </c>
      <c r="H1460" s="81"/>
      <c r="I1460" s="82" t="s">
        <v>3625</v>
      </c>
    </row>
    <row r="1461" customFormat="false" ht="15" hidden="false" customHeight="true" outlineLevel="0" collapsed="false">
      <c r="A1461" s="82" t="n">
        <f aca="false">Data!A1461</f>
        <v>1460</v>
      </c>
      <c r="B1461" s="82" t="str">
        <f aca="false">IFERROR(INDEX(対訳マスタ!$C$2:$C$136,MATCH(Data!B1461,対訳マスタ!$B$2:$B$136,0)),Data!B1461)</f>
        <v>手話能力</v>
      </c>
      <c r="C1461" s="82" t="str">
        <f aca="false">IF(Data!C1461="—","—",IFERROR(INDEX(対訳マスタ!$C$2:$C$136,MATCH(Data!C1461,対訳マスタ!$B$2:$B$136,0)),Data!C1461))</f>
        <v>受容</v>
      </c>
      <c r="D1461" s="82" t="str">
        <f aca="false">IF(Data!D1461="—","—",IFERROR(INDEX(対訳マスタ!$C$2:$C$136,MATCH(Data!D1461,対訳マスタ!$B$2:$B$136,0)),Data!D1461))</f>
        <v>言語能力</v>
      </c>
      <c r="E1461" s="82" t="str">
        <f aca="false">IFERROR(INDEX(対訳マスタ!$C$2:$C$136,MATCH(Data!E1461,対訳マスタ!$B$2:$B$136,0)),Data!E1461)</f>
        <v>空間文法の正確さ</v>
      </c>
      <c r="F1461" s="82" t="str">
        <f aca="false">Data!F1461</f>
        <v>A2</v>
      </c>
      <c r="G1461" s="81" t="str">
        <f aca="false">Data!G1461</f>
        <v>Can correctly interpret verb agreement.</v>
      </c>
      <c r="H1461" s="81"/>
      <c r="I1461" s="82" t="s">
        <v>3625</v>
      </c>
    </row>
    <row r="1462" customFormat="false" ht="21.75" hidden="false" customHeight="true" outlineLevel="0" collapsed="false">
      <c r="A1462" s="82" t="n">
        <f aca="false">Data!A1462</f>
        <v>1461</v>
      </c>
      <c r="B1462" s="82" t="str">
        <f aca="false">IFERROR(INDEX(対訳マスタ!$C$2:$C$136,MATCH(Data!B1462,対訳マスタ!$B$2:$B$136,0)),Data!B1462)</f>
        <v>手話能力</v>
      </c>
      <c r="C1462" s="82" t="str">
        <f aca="false">IF(Data!C1462="—","—",IFERROR(INDEX(対訳マスタ!$C$2:$C$136,MATCH(Data!C1462,対訳マスタ!$B$2:$B$136,0)),Data!C1462))</f>
        <v>受容</v>
      </c>
      <c r="D1462" s="82" t="str">
        <f aca="false">IF(Data!D1462="—","—",IFERROR(INDEX(対訳マスタ!$C$2:$C$136,MATCH(Data!D1462,対訳マスタ!$B$2:$B$136,0)),Data!D1462))</f>
        <v>言語能力</v>
      </c>
      <c r="E1462" s="82" t="str">
        <f aca="false">IFERROR(INDEX(対訳マスタ!$C$2:$C$136,MATCH(Data!E1462,対訳マスタ!$B$2:$B$136,0)),Data!E1462)</f>
        <v>空間文法の正確さ</v>
      </c>
      <c r="F1462" s="82" t="str">
        <f aca="false">Data!F1462</f>
        <v>A2</v>
      </c>
      <c r="G1462" s="81" t="str">
        <f aca="false">Data!G1462</f>
        <v>Can understand the meaning of basic causal relations (e.g., “I’m late because I got stuck in the traffic”).</v>
      </c>
      <c r="H1462" s="81"/>
      <c r="I1462" s="82" t="s">
        <v>3625</v>
      </c>
    </row>
    <row r="1463" customFormat="false" ht="15" hidden="false" customHeight="true" outlineLevel="0" collapsed="false">
      <c r="A1463" s="82" t="n">
        <f aca="false">Data!A1463</f>
        <v>1462</v>
      </c>
      <c r="B1463" s="82" t="str">
        <f aca="false">IFERROR(INDEX(対訳マスタ!$C$2:$C$136,MATCH(Data!B1463,対訳マスタ!$B$2:$B$136,0)),Data!B1463)</f>
        <v>手話能力</v>
      </c>
      <c r="C1463" s="82" t="str">
        <f aca="false">IF(Data!C1463="—","—",IFERROR(INDEX(対訳マスタ!$C$2:$C$136,MATCH(Data!C1463,対訳マスタ!$B$2:$B$136,0)),Data!C1463))</f>
        <v>受容</v>
      </c>
      <c r="D1463" s="82" t="str">
        <f aca="false">IF(Data!D1463="—","—",IFERROR(INDEX(対訳マスタ!$C$2:$C$136,MATCH(Data!D1463,対訳マスタ!$B$2:$B$136,0)),Data!D1463))</f>
        <v>言語能力</v>
      </c>
      <c r="E1463" s="82" t="str">
        <f aca="false">IFERROR(INDEX(対訳マスタ!$C$2:$C$136,MATCH(Data!E1463,対訳マスタ!$B$2:$B$136,0)),Data!E1463)</f>
        <v>空間文法の正確さ</v>
      </c>
      <c r="F1463" s="82" t="str">
        <f aca="false">Data!F1463</f>
        <v>A2</v>
      </c>
      <c r="G1463" s="81" t="str">
        <f aca="false">Data!G1463</f>
        <v>Can recognise and understand modified handshapes.</v>
      </c>
      <c r="H1463" s="81"/>
      <c r="I1463" s="82" t="s">
        <v>3625</v>
      </c>
    </row>
    <row r="1464" customFormat="false" ht="15" hidden="false" customHeight="true" outlineLevel="0" collapsed="false">
      <c r="A1464" s="82" t="n">
        <f aca="false">Data!A1464</f>
        <v>1463</v>
      </c>
      <c r="B1464" s="82" t="str">
        <f aca="false">IFERROR(INDEX(対訳マスタ!$C$2:$C$136,MATCH(Data!B1464,対訳マスタ!$B$2:$B$136,0)),Data!B1464)</f>
        <v>手話能力</v>
      </c>
      <c r="C1464" s="82" t="str">
        <f aca="false">IF(Data!C1464="—","—",IFERROR(INDEX(対訳マスタ!$C$2:$C$136,MATCH(Data!C1464,対訳マスタ!$B$2:$B$136,0)),Data!C1464))</f>
        <v>受容</v>
      </c>
      <c r="D1464" s="82" t="str">
        <f aca="false">IF(Data!D1464="—","—",IFERROR(INDEX(対訳マスタ!$C$2:$C$136,MATCH(Data!D1464,対訳マスタ!$B$2:$B$136,0)),Data!D1464))</f>
        <v>言語能力</v>
      </c>
      <c r="E1464" s="82" t="str">
        <f aca="false">IFERROR(INDEX(対訳マスタ!$C$2:$C$136,MATCH(Data!E1464,対訳マスタ!$B$2:$B$136,0)),Data!E1464)</f>
        <v>空間文法の正確さ</v>
      </c>
      <c r="F1464" s="82" t="str">
        <f aca="false">Data!F1464</f>
        <v>A2</v>
      </c>
      <c r="G1464" s="81" t="str">
        <f aca="false">Data!G1464</f>
        <v>Can understand indirect messages (questions, requests, wishes, rejection, etc.).</v>
      </c>
      <c r="H1464" s="81"/>
      <c r="I1464" s="82" t="s">
        <v>3625</v>
      </c>
    </row>
    <row r="1465" customFormat="false" ht="15" hidden="false" customHeight="true" outlineLevel="0" collapsed="false">
      <c r="A1465" s="82" t="n">
        <f aca="false">Data!A1465</f>
        <v>1464</v>
      </c>
      <c r="B1465" s="82" t="str">
        <f aca="false">IFERROR(INDEX(対訳マスタ!$C$2:$C$136,MATCH(Data!B1465,対訳マスタ!$B$2:$B$136,0)),Data!B1465)</f>
        <v>手話能力</v>
      </c>
      <c r="C1465" s="82" t="str">
        <f aca="false">IF(Data!C1465="—","—",IFERROR(INDEX(対訳マスタ!$C$2:$C$136,MATCH(Data!C1465,対訳マスタ!$B$2:$B$136,0)),Data!C1465))</f>
        <v>受容</v>
      </c>
      <c r="D1465" s="82" t="str">
        <f aca="false">IF(Data!D1465="—","—",IFERROR(INDEX(対訳マスタ!$C$2:$C$136,MATCH(Data!D1465,対訳マスタ!$B$2:$B$136,0)),Data!D1465))</f>
        <v>言語能力</v>
      </c>
      <c r="E1465" s="82" t="str">
        <f aca="false">IFERROR(INDEX(対訳マスタ!$C$2:$C$136,MATCH(Data!E1465,対訳マスタ!$B$2:$B$136,0)),Data!E1465)</f>
        <v>空間文法の正確さ</v>
      </c>
      <c r="F1465" s="82" t="str">
        <f aca="false">Data!F1465</f>
        <v>A2</v>
      </c>
      <c r="G1465" s="81" t="str">
        <f aca="false">Data!G1465</f>
        <v>Can distinguish between and understand different ways of expressing negation.</v>
      </c>
      <c r="H1465" s="81"/>
      <c r="I1465" s="82" t="s">
        <v>3625</v>
      </c>
    </row>
    <row r="1466" customFormat="false" ht="21.75" hidden="false" customHeight="true" outlineLevel="0" collapsed="false">
      <c r="A1466" s="82" t="n">
        <f aca="false">Data!A1466</f>
        <v>1465</v>
      </c>
      <c r="B1466" s="82" t="str">
        <f aca="false">IFERROR(INDEX(対訳マスタ!$C$2:$C$136,MATCH(Data!B1466,対訳マスタ!$B$2:$B$136,0)),Data!B1466)</f>
        <v>手話能力</v>
      </c>
      <c r="C1466" s="82" t="str">
        <f aca="false">IF(Data!C1466="—","—",IFERROR(INDEX(対訳マスタ!$C$2:$C$136,MATCH(Data!C1466,対訳マスタ!$B$2:$B$136,0)),Data!C1466))</f>
        <v>受容</v>
      </c>
      <c r="D1466" s="82" t="str">
        <f aca="false">IF(Data!D1466="—","—",IFERROR(INDEX(対訳マスタ!$C$2:$C$136,MATCH(Data!D1466,対訳マスタ!$B$2:$B$136,0)),Data!D1466))</f>
        <v>言語能力</v>
      </c>
      <c r="E1466" s="82" t="str">
        <f aca="false">IFERROR(INDEX(対訳マスタ!$C$2:$C$136,MATCH(Data!E1466,対訳マスタ!$B$2:$B$136,0)),Data!E1466)</f>
        <v>空間文法の正確さ</v>
      </c>
      <c r="F1466" s="82" t="str">
        <f aca="false">Data!F1466</f>
        <v>A1</v>
      </c>
      <c r="G1466" s="81" t="str">
        <f aca="false">Data!G1466</f>
        <v>Can understand an utterance as a direct request, question or order and respond accordingly.</v>
      </c>
      <c r="H1466" s="81"/>
      <c r="I1466" s="82" t="s">
        <v>3625</v>
      </c>
    </row>
    <row r="1467" customFormat="false" ht="21.75" hidden="false" customHeight="true" outlineLevel="0" collapsed="false">
      <c r="A1467" s="82" t="n">
        <f aca="false">Data!A1467</f>
        <v>1466</v>
      </c>
      <c r="B1467" s="82" t="str">
        <f aca="false">IFERROR(INDEX(対訳マスタ!$C$2:$C$136,MATCH(Data!B1467,対訳マスタ!$B$2:$B$136,0)),Data!B1467)</f>
        <v>手話能力</v>
      </c>
      <c r="C1467" s="82" t="str">
        <f aca="false">IF(Data!C1467="—","—",IFERROR(INDEX(対訳マスタ!$C$2:$C$136,MATCH(Data!C1467,対訳マスタ!$B$2:$B$136,0)),Data!C1467))</f>
        <v>受容</v>
      </c>
      <c r="D1467" s="82" t="str">
        <f aca="false">IF(Data!D1467="—","—",IFERROR(INDEX(対訳マスタ!$C$2:$C$136,MATCH(Data!D1467,対訳マスタ!$B$2:$B$136,0)),Data!D1467))</f>
        <v>言語能力</v>
      </c>
      <c r="E1467" s="82" t="str">
        <f aca="false">IFERROR(INDEX(対訳マスタ!$C$2:$C$136,MATCH(Data!E1467,対訳マスタ!$B$2:$B$136,0)),Data!E1467)</f>
        <v>空間文法の正確さ</v>
      </c>
      <c r="F1467" s="82" t="str">
        <f aca="false">Data!F1467</f>
        <v>A1</v>
      </c>
      <c r="G1467" s="81" t="str">
        <f aca="false">Data!G1467</f>
        <v>Can understand the forms and sizes of objects (e.g., the form of a pyramid) and identify the objects.</v>
      </c>
      <c r="H1467" s="81"/>
      <c r="I1467" s="82" t="s">
        <v>3625</v>
      </c>
    </row>
    <row r="1468" customFormat="false" ht="21.75" hidden="false" customHeight="true" outlineLevel="0" collapsed="false">
      <c r="A1468" s="82" t="n">
        <f aca="false">Data!A1468</f>
        <v>1467</v>
      </c>
      <c r="B1468" s="82" t="str">
        <f aca="false">IFERROR(INDEX(対訳マスタ!$C$2:$C$136,MATCH(Data!B1468,対訳マスタ!$B$2:$B$136,0)),Data!B1468)</f>
        <v>手話能力</v>
      </c>
      <c r="C1468" s="82" t="str">
        <f aca="false">IF(Data!C1468="—","—",IFERROR(INDEX(対訳マスタ!$C$2:$C$136,MATCH(Data!C1468,対訳マスタ!$B$2:$B$136,0)),Data!C1468))</f>
        <v>受容</v>
      </c>
      <c r="D1468" s="82" t="str">
        <f aca="false">IF(Data!D1468="—","—",IFERROR(INDEX(対訳マスタ!$C$2:$C$136,MATCH(Data!D1468,対訳マスタ!$B$2:$B$136,0)),Data!D1468))</f>
        <v>言語能力</v>
      </c>
      <c r="E1468" s="82" t="str">
        <f aca="false">IFERROR(INDEX(対訳マスタ!$C$2:$C$136,MATCH(Data!E1468,対訳マスタ!$B$2:$B$136,0)),Data!E1468)</f>
        <v>空間文法の正確さ</v>
      </c>
      <c r="F1468" s="82" t="str">
        <f aca="false">Data!F1468</f>
        <v>A1</v>
      </c>
      <c r="G1468" s="81" t="str">
        <f aca="false">Data!G1468</f>
        <v>Can understand different plural forms with simple signs (e.g., plural by means of numbers or by repetition).</v>
      </c>
      <c r="H1468" s="81"/>
      <c r="I1468" s="82" t="s">
        <v>3625</v>
      </c>
    </row>
    <row r="1469" customFormat="false" ht="15" hidden="false" customHeight="true" outlineLevel="0" collapsed="false">
      <c r="A1469" s="82" t="n">
        <f aca="false">Data!A1469</f>
        <v>1468</v>
      </c>
      <c r="B1469" s="82" t="str">
        <f aca="false">IFERROR(INDEX(対訳マスタ!$C$2:$C$136,MATCH(Data!B1469,対訳マスタ!$B$2:$B$136,0)),Data!B1469)</f>
        <v>手話能力</v>
      </c>
      <c r="C1469" s="82" t="str">
        <f aca="false">IF(Data!C1469="—","—",IFERROR(INDEX(対訳マスタ!$C$2:$C$136,MATCH(Data!C1469,対訳マスタ!$B$2:$B$136,0)),Data!C1469))</f>
        <v>受容</v>
      </c>
      <c r="D1469" s="82" t="str">
        <f aca="false">IF(Data!D1469="—","—",IFERROR(INDEX(対訳マスタ!$C$2:$C$136,MATCH(Data!D1469,対訳マスタ!$B$2:$B$136,0)),Data!D1469))</f>
        <v>言語能力</v>
      </c>
      <c r="E1469" s="82" t="str">
        <f aca="false">IFERROR(INDEX(対訳マスタ!$C$2:$C$136,MATCH(Data!E1469,対訳マスタ!$B$2:$B$136,0)),Data!E1469)</f>
        <v>空間文法の正確さ</v>
      </c>
      <c r="F1469" s="82" t="str">
        <f aca="false">Data!F1469</f>
        <v>A1</v>
      </c>
      <c r="G1469" s="81" t="str">
        <f aca="false">Data!G1469</f>
        <v>Can understand lists and sequences (&lt;and&gt;/&lt;both-and&gt;/&lt;and then&gt; meanings).</v>
      </c>
      <c r="H1469" s="81"/>
      <c r="I1469" s="82" t="s">
        <v>3625</v>
      </c>
    </row>
    <row r="1470" customFormat="false" ht="21.75" hidden="false" customHeight="true" outlineLevel="0" collapsed="false">
      <c r="A1470" s="82" t="n">
        <f aca="false">Data!A1470</f>
        <v>1469</v>
      </c>
      <c r="B1470" s="82" t="str">
        <f aca="false">IFERROR(INDEX(対訳マスタ!$C$2:$C$136,MATCH(Data!B1470,対訳マスタ!$B$2:$B$136,0)),Data!B1470)</f>
        <v>手話能力</v>
      </c>
      <c r="C1470" s="82" t="str">
        <f aca="false">IF(Data!C1470="—","—",IFERROR(INDEX(対訳マスタ!$C$2:$C$136,MATCH(Data!C1470,対訳マスタ!$B$2:$B$136,0)),Data!C1470))</f>
        <v>受容</v>
      </c>
      <c r="D1470" s="82" t="str">
        <f aca="false">IF(Data!D1470="—","—",IFERROR(INDEX(対訳マスタ!$C$2:$C$136,MATCH(Data!D1470,対訳マスタ!$B$2:$B$136,0)),Data!D1470))</f>
        <v>言語能力</v>
      </c>
      <c r="E1470" s="82" t="str">
        <f aca="false">IFERROR(INDEX(対訳マスタ!$C$2:$C$136,MATCH(Data!E1470,対訳マスタ!$B$2:$B$136,0)),Data!E1470)</f>
        <v>空間文法の正確さ</v>
      </c>
      <c r="F1470" s="82" t="str">
        <f aca="false">Data!F1470</f>
        <v>A1</v>
      </c>
      <c r="G1470" s="81" t="str">
        <f aca="false">Data!G1470</f>
        <v>Can understand productively expressed time indicators (&lt;day-before-yesterday&gt;, &lt;3-years-ago&gt;, etc.), when the time references are clearly indicated.</v>
      </c>
      <c r="H1470" s="81"/>
      <c r="I1470" s="82" t="s">
        <v>3625</v>
      </c>
    </row>
    <row r="1471" customFormat="false" ht="21.75" hidden="false" customHeight="true" outlineLevel="0" collapsed="false">
      <c r="A1471" s="82" t="n">
        <f aca="false">Data!A1471</f>
        <v>1470</v>
      </c>
      <c r="B1471" s="82" t="str">
        <f aca="false">IFERROR(INDEX(対訳マスタ!$C$2:$C$136,MATCH(Data!B1471,対訳マスタ!$B$2:$B$136,0)),Data!B1471)</f>
        <v>手話能力</v>
      </c>
      <c r="C1471" s="82" t="str">
        <f aca="false">IF(Data!C1471="—","—",IFERROR(INDEX(対訳マスタ!$C$2:$C$136,MATCH(Data!C1471,対訳マスタ!$B$2:$B$136,0)),Data!C1471))</f>
        <v>受容</v>
      </c>
      <c r="D1471" s="82" t="str">
        <f aca="false">IF(Data!D1471="—","—",IFERROR(INDEX(対訳マスタ!$C$2:$C$136,MATCH(Data!D1471,対訳マスタ!$B$2:$B$136,0)),Data!D1471))</f>
        <v>言語能力</v>
      </c>
      <c r="E1471" s="82" t="str">
        <f aca="false">IFERROR(INDEX(対訳マスタ!$C$2:$C$136,MATCH(Data!E1471,対訳マスタ!$B$2:$B$136,0)),Data!E1471)</f>
        <v>空間文法の正確さ</v>
      </c>
      <c r="F1471" s="82" t="str">
        <f aca="false">Data!F1471</f>
        <v>A1</v>
      </c>
      <c r="G1471" s="81" t="str">
        <f aca="false">Data!G1471</f>
        <v>Can understand from descriptions of manipulated objects how a signer sets/lays them down or places them.</v>
      </c>
      <c r="H1471" s="81"/>
      <c r="I1471" s="82" t="s">
        <v>3625</v>
      </c>
    </row>
    <row r="1472" customFormat="false" ht="15" hidden="false" customHeight="true" outlineLevel="0" collapsed="false">
      <c r="A1472" s="82" t="n">
        <f aca="false">Data!A1472</f>
        <v>1471</v>
      </c>
      <c r="B1472" s="82" t="str">
        <f aca="false">IFERROR(INDEX(対訳マスタ!$C$2:$C$136,MATCH(Data!B1472,対訳マスタ!$B$2:$B$136,0)),Data!B1472)</f>
        <v>手話能力</v>
      </c>
      <c r="C1472" s="82" t="str">
        <f aca="false">IF(Data!C1472="—","—",IFERROR(INDEX(対訳マスタ!$C$2:$C$136,MATCH(Data!C1472,対訳マスタ!$B$2:$B$136,0)),Data!C1472))</f>
        <v>産出</v>
      </c>
      <c r="D1472" s="82" t="str">
        <f aca="false">IF(Data!D1472="—","—",IFERROR(INDEX(対訳マスタ!$C$2:$C$136,MATCH(Data!D1472,対訳マスタ!$B$2:$B$136,0)),Data!D1472))</f>
        <v>言語能力</v>
      </c>
      <c r="E1472" s="82" t="str">
        <f aca="false">IFERROR(INDEX(対訳マスタ!$C$2:$C$136,MATCH(Data!E1472,対訳マスタ!$B$2:$B$136,0)),Data!E1472)</f>
        <v>空間文法の正確さ</v>
      </c>
      <c r="F1472" s="82" t="str">
        <f aca="false">Data!F1472</f>
        <v>C2</v>
      </c>
      <c r="G1472" s="81" t="str">
        <f aca="false">Data!G1472</f>
        <v>No descriptors available; see B2+</v>
      </c>
      <c r="H1472" s="81" t="s">
        <v>624</v>
      </c>
      <c r="I1472" s="80" t="s">
        <v>624</v>
      </c>
    </row>
    <row r="1473" customFormat="false" ht="15" hidden="false" customHeight="true" outlineLevel="0" collapsed="false">
      <c r="A1473" s="82" t="n">
        <f aca="false">Data!A1473</f>
        <v>1472</v>
      </c>
      <c r="B1473" s="82" t="str">
        <f aca="false">IFERROR(INDEX(対訳マスタ!$C$2:$C$136,MATCH(Data!B1473,対訳マスタ!$B$2:$B$136,0)),Data!B1473)</f>
        <v>手話能力</v>
      </c>
      <c r="C1473" s="82" t="str">
        <f aca="false">IF(Data!C1473="—","—",IFERROR(INDEX(対訳マスタ!$C$2:$C$136,MATCH(Data!C1473,対訳マスタ!$B$2:$B$136,0)),Data!C1473))</f>
        <v>産出</v>
      </c>
      <c r="D1473" s="82" t="str">
        <f aca="false">IF(Data!D1473="—","—",IFERROR(INDEX(対訳マスタ!$C$2:$C$136,MATCH(Data!D1473,対訳マスタ!$B$2:$B$136,0)),Data!D1473))</f>
        <v>言語能力</v>
      </c>
      <c r="E1473" s="82" t="str">
        <f aca="false">IFERROR(INDEX(対訳マスタ!$C$2:$C$136,MATCH(Data!E1473,対訳マスタ!$B$2:$B$136,0)),Data!E1473)</f>
        <v>空間文法の正確さ</v>
      </c>
      <c r="F1473" s="82" t="str">
        <f aca="false">Data!F1473</f>
        <v>C1</v>
      </c>
      <c r="G1473" s="81" t="str">
        <f aca="false">Data!G1473</f>
        <v>No descriptors available; see B2+</v>
      </c>
      <c r="H1473" s="81" t="s">
        <v>624</v>
      </c>
      <c r="I1473" s="80" t="s">
        <v>624</v>
      </c>
    </row>
    <row r="1474" customFormat="false" ht="21.75" hidden="false" customHeight="true" outlineLevel="0" collapsed="false">
      <c r="A1474" s="82" t="n">
        <f aca="false">Data!A1474</f>
        <v>1473</v>
      </c>
      <c r="B1474" s="82" t="str">
        <f aca="false">IFERROR(INDEX(対訳マスタ!$C$2:$C$136,MATCH(Data!B1474,対訳マスタ!$B$2:$B$136,0)),Data!B1474)</f>
        <v>手話能力</v>
      </c>
      <c r="C1474" s="82" t="str">
        <f aca="false">IF(Data!C1474="—","—",IFERROR(INDEX(対訳マスタ!$C$2:$C$136,MATCH(Data!C1474,対訳マスタ!$B$2:$B$136,0)),Data!C1474))</f>
        <v>産出</v>
      </c>
      <c r="D1474" s="82" t="str">
        <f aca="false">IF(Data!D1474="—","—",IFERROR(INDEX(対訳マスタ!$C$2:$C$136,MATCH(Data!D1474,対訳マスタ!$B$2:$B$136,0)),Data!D1474))</f>
        <v>言語能力</v>
      </c>
      <c r="E1474" s="82" t="str">
        <f aca="false">IFERROR(INDEX(対訳マスタ!$C$2:$C$136,MATCH(Data!E1474,対訳マスタ!$B$2:$B$136,0)),Data!E1474)</f>
        <v>空間文法の正確さ</v>
      </c>
      <c r="F1474" s="82" t="str">
        <f aca="false">Data!F1474</f>
        <v>B2+</v>
      </c>
      <c r="G1474" s="81" t="str">
        <f aca="false">Data!G1474</f>
        <v>Can situate the different contents/actions in the text sensibly in the signing space in order to structure the text.</v>
      </c>
      <c r="H1474" s="81"/>
      <c r="I1474" s="82" t="s">
        <v>3625</v>
      </c>
    </row>
    <row r="1475" customFormat="false" ht="21.75" hidden="false" customHeight="true" outlineLevel="0" collapsed="false">
      <c r="A1475" s="82" t="n">
        <f aca="false">Data!A1475</f>
        <v>1474</v>
      </c>
      <c r="B1475" s="82" t="str">
        <f aca="false">IFERROR(INDEX(対訳マスタ!$C$2:$C$136,MATCH(Data!B1475,対訳マスタ!$B$2:$B$136,0)),Data!B1475)</f>
        <v>手話能力</v>
      </c>
      <c r="C1475" s="82" t="str">
        <f aca="false">IF(Data!C1475="—","—",IFERROR(INDEX(対訳マスタ!$C$2:$C$136,MATCH(Data!C1475,対訳マスタ!$B$2:$B$136,0)),Data!C1475))</f>
        <v>産出</v>
      </c>
      <c r="D1475" s="82" t="str">
        <f aca="false">IF(Data!D1475="—","—",IFERROR(INDEX(対訳マスタ!$C$2:$C$136,MATCH(Data!D1475,対訳マスタ!$B$2:$B$136,0)),Data!D1475))</f>
        <v>言語能力</v>
      </c>
      <c r="E1475" s="82" t="str">
        <f aca="false">IFERROR(INDEX(対訳マスタ!$C$2:$C$136,MATCH(Data!E1475,対訳マスタ!$B$2:$B$136,0)),Data!E1475)</f>
        <v>空間文法の正確さ</v>
      </c>
      <c r="F1475" s="82" t="str">
        <f aca="false">Data!F1475</f>
        <v>B2+</v>
      </c>
      <c r="G1475" s="81" t="str">
        <f aca="false">Data!G1475</f>
        <v>Can maintain full consistency in the reference using indexing, productive signs, in short texts.</v>
      </c>
      <c r="H1475" s="81"/>
      <c r="I1475" s="82" t="s">
        <v>3625</v>
      </c>
    </row>
    <row r="1476" customFormat="false" ht="21.75" hidden="false" customHeight="true" outlineLevel="0" collapsed="false">
      <c r="A1476" s="82" t="n">
        <f aca="false">Data!A1476</f>
        <v>1475</v>
      </c>
      <c r="B1476" s="82" t="str">
        <f aca="false">IFERROR(INDEX(対訳マスタ!$C$2:$C$136,MATCH(Data!B1476,対訳マスタ!$B$2:$B$136,0)),Data!B1476)</f>
        <v>手話能力</v>
      </c>
      <c r="C1476" s="82" t="str">
        <f aca="false">IF(Data!C1476="—","—",IFERROR(INDEX(対訳マスタ!$C$2:$C$136,MATCH(Data!C1476,対訳マスタ!$B$2:$B$136,0)),Data!C1476))</f>
        <v>産出</v>
      </c>
      <c r="D1476" s="82" t="str">
        <f aca="false">IF(Data!D1476="—","—",IFERROR(INDEX(対訳マスタ!$C$2:$C$136,MATCH(Data!D1476,対訳マスタ!$B$2:$B$136,0)),Data!D1476))</f>
        <v>言語能力</v>
      </c>
      <c r="E1476" s="82" t="str">
        <f aca="false">IFERROR(INDEX(対訳マスタ!$C$2:$C$136,MATCH(Data!E1476,対訳マスタ!$B$2:$B$136,0)),Data!E1476)</f>
        <v>空間文法の正確さ</v>
      </c>
      <c r="F1476" s="82" t="str">
        <f aca="false">Data!F1476</f>
        <v>B2</v>
      </c>
      <c r="G1476" s="81" t="str">
        <f aca="false">Data!G1476</f>
        <v>Can use the signing space in a conscious manner, e.g. using the right side for &lt;for&gt; and the left side for &lt;against&gt; reasons.</v>
      </c>
      <c r="H1476" s="81"/>
      <c r="I1476" s="82" t="s">
        <v>3625</v>
      </c>
    </row>
    <row r="1477" customFormat="false" ht="15" hidden="false" customHeight="true" outlineLevel="0" collapsed="false">
      <c r="A1477" s="82" t="n">
        <f aca="false">Data!A1477</f>
        <v>1476</v>
      </c>
      <c r="B1477" s="82" t="str">
        <f aca="false">IFERROR(INDEX(対訳マスタ!$C$2:$C$136,MATCH(Data!B1477,対訳マスタ!$B$2:$B$136,0)),Data!B1477)</f>
        <v>手話能力</v>
      </c>
      <c r="C1477" s="82" t="str">
        <f aca="false">IF(Data!C1477="—","—",IFERROR(INDEX(対訳マスタ!$C$2:$C$136,MATCH(Data!C1477,対訳マスタ!$B$2:$B$136,0)),Data!C1477))</f>
        <v>産出</v>
      </c>
      <c r="D1477" s="82" t="str">
        <f aca="false">IF(Data!D1477="—","—",IFERROR(INDEX(対訳マスタ!$C$2:$C$136,MATCH(Data!D1477,対訳マスタ!$B$2:$B$136,0)),Data!D1477))</f>
        <v>言語能力</v>
      </c>
      <c r="E1477" s="82" t="str">
        <f aca="false">IFERROR(INDEX(対訳マスタ!$C$2:$C$136,MATCH(Data!E1477,対訳マスタ!$B$2:$B$136,0)),Data!E1477)</f>
        <v>空間文法の正確さ</v>
      </c>
      <c r="F1477" s="82" t="str">
        <f aca="false">Data!F1477</f>
        <v>B2</v>
      </c>
      <c r="G1477" s="81" t="str">
        <f aca="false">Data!G1477</f>
        <v>Can use a large or a small signing space, dependent on the situation.</v>
      </c>
      <c r="H1477" s="81"/>
      <c r="I1477" s="82" t="s">
        <v>3625</v>
      </c>
    </row>
    <row r="1478" customFormat="false" ht="15" hidden="false" customHeight="true" outlineLevel="0" collapsed="false">
      <c r="A1478" s="82" t="n">
        <f aca="false">Data!A1478</f>
        <v>1477</v>
      </c>
      <c r="B1478" s="82" t="str">
        <f aca="false">IFERROR(INDEX(対訳マスタ!$C$2:$C$136,MATCH(Data!B1478,対訳マスタ!$B$2:$B$136,0)),Data!B1478)</f>
        <v>手話能力</v>
      </c>
      <c r="C1478" s="82" t="str">
        <f aca="false">IF(Data!C1478="—","—",IFERROR(INDEX(対訳マスタ!$C$2:$C$136,MATCH(Data!C1478,対訳マスタ!$B$2:$B$136,0)),Data!C1478))</f>
        <v>産出</v>
      </c>
      <c r="D1478" s="82" t="str">
        <f aca="false">IF(Data!D1478="—","—",IFERROR(INDEX(対訳マスタ!$C$2:$C$136,MATCH(Data!D1478,対訳マスタ!$B$2:$B$136,0)),Data!D1478))</f>
        <v>言語能力</v>
      </c>
      <c r="E1478" s="82" t="str">
        <f aca="false">IFERROR(INDEX(対訳マスタ!$C$2:$C$136,MATCH(Data!E1478,対訳マスタ!$B$2:$B$136,0)),Data!E1478)</f>
        <v>空間文法の正確さ</v>
      </c>
      <c r="F1478" s="82" t="str">
        <f aca="false">Data!F1478</f>
        <v>B2</v>
      </c>
      <c r="G1478" s="81" t="str">
        <f aca="false">Data!G1478</f>
        <v>Can link productive signing with indicators of time (timelines).</v>
      </c>
      <c r="H1478" s="81"/>
      <c r="I1478" s="82" t="s">
        <v>3625</v>
      </c>
    </row>
    <row r="1479" customFormat="false" ht="21.75" hidden="false" customHeight="true" outlineLevel="0" collapsed="false">
      <c r="A1479" s="82" t="n">
        <f aca="false">Data!A1479</f>
        <v>1478</v>
      </c>
      <c r="B1479" s="82" t="str">
        <f aca="false">IFERROR(INDEX(対訳マスタ!$C$2:$C$136,MATCH(Data!B1479,対訳マスタ!$B$2:$B$136,0)),Data!B1479)</f>
        <v>手話能力</v>
      </c>
      <c r="C1479" s="82" t="str">
        <f aca="false">IF(Data!C1479="—","—",IFERROR(INDEX(対訳マスタ!$C$2:$C$136,MATCH(Data!C1479,対訳マスタ!$B$2:$B$136,0)),Data!C1479))</f>
        <v>産出</v>
      </c>
      <c r="D1479" s="82" t="str">
        <f aca="false">IF(Data!D1479="—","—",IFERROR(INDEX(対訳マスタ!$C$2:$C$136,MATCH(Data!D1479,対訳マスタ!$B$2:$B$136,0)),Data!D1479))</f>
        <v>言語能力</v>
      </c>
      <c r="E1479" s="82" t="str">
        <f aca="false">IFERROR(INDEX(対訳マスタ!$C$2:$C$136,MATCH(Data!E1479,対訳マスタ!$B$2:$B$136,0)),Data!E1479)</f>
        <v>空間文法の正確さ</v>
      </c>
      <c r="F1479" s="82" t="str">
        <f aca="false">Data!F1479</f>
        <v>B2</v>
      </c>
      <c r="G1479" s="81" t="str">
        <f aca="false">Data!G1479</f>
        <v>Can employ appropriate timelines in order to indicate the point in time or the duration of an event (for temporal relations: simultaneously, beforehand/afterwards, after another).</v>
      </c>
      <c r="H1479" s="81"/>
      <c r="I1479" s="82" t="s">
        <v>3625</v>
      </c>
    </row>
    <row r="1480" customFormat="false" ht="15" hidden="false" customHeight="true" outlineLevel="0" collapsed="false">
      <c r="A1480" s="82" t="n">
        <f aca="false">Data!A1480</f>
        <v>1479</v>
      </c>
      <c r="B1480" s="82" t="str">
        <f aca="false">IFERROR(INDEX(対訳マスタ!$C$2:$C$136,MATCH(Data!B1480,対訳マスタ!$B$2:$B$136,0)),Data!B1480)</f>
        <v>手話能力</v>
      </c>
      <c r="C1480" s="82" t="str">
        <f aca="false">IF(Data!C1480="—","—",IFERROR(INDEX(対訳マスタ!$C$2:$C$136,MATCH(Data!C1480,対訳マスタ!$B$2:$B$136,0)),Data!C1480))</f>
        <v>産出</v>
      </c>
      <c r="D1480" s="82" t="str">
        <f aca="false">IF(Data!D1480="—","—",IFERROR(INDEX(対訳マスタ!$C$2:$C$136,MATCH(Data!D1480,対訳マスタ!$B$2:$B$136,0)),Data!D1480))</f>
        <v>言語能力</v>
      </c>
      <c r="E1480" s="82" t="str">
        <f aca="false">IFERROR(INDEX(対訳マスタ!$C$2:$C$136,MATCH(Data!E1480,対訳マスタ!$B$2:$B$136,0)),Data!E1480)</f>
        <v>空間文法の正確さ</v>
      </c>
      <c r="F1480" s="82" t="str">
        <f aca="false">Data!F1480</f>
        <v>B2</v>
      </c>
      <c r="G1480" s="81" t="str">
        <f aca="false">Data!G1480</f>
        <v>Can express how one does something; &lt;with X&gt;; &lt;without Y&gt;.</v>
      </c>
      <c r="H1480" s="81"/>
      <c r="I1480" s="82" t="s">
        <v>3625</v>
      </c>
    </row>
    <row r="1481" customFormat="false" ht="21.75" hidden="false" customHeight="true" outlineLevel="0" collapsed="false">
      <c r="A1481" s="82" t="n">
        <f aca="false">Data!A1481</f>
        <v>1480</v>
      </c>
      <c r="B1481" s="82" t="str">
        <f aca="false">IFERROR(INDEX(対訳マスタ!$C$2:$C$136,MATCH(Data!B1481,対訳マスタ!$B$2:$B$136,0)),Data!B1481)</f>
        <v>手話能力</v>
      </c>
      <c r="C1481" s="82" t="str">
        <f aca="false">IF(Data!C1481="—","—",IFERROR(INDEX(対訳マスタ!$C$2:$C$136,MATCH(Data!C1481,対訳マスタ!$B$2:$B$136,0)),Data!C1481))</f>
        <v>産出</v>
      </c>
      <c r="D1481" s="82" t="str">
        <f aca="false">IF(Data!D1481="—","—",IFERROR(INDEX(対訳マスタ!$C$2:$C$136,MATCH(Data!D1481,対訳マスタ!$B$2:$B$136,0)),Data!D1481))</f>
        <v>言語能力</v>
      </c>
      <c r="E1481" s="82" t="str">
        <f aca="false">IFERROR(INDEX(対訳マスタ!$C$2:$C$136,MATCH(Data!E1481,対訳マスタ!$B$2:$B$136,0)),Data!E1481)</f>
        <v>空間文法の正確さ</v>
      </c>
      <c r="F1481" s="82" t="str">
        <f aca="false">Data!F1481</f>
        <v>B2</v>
      </c>
      <c r="G1481" s="81" t="str">
        <f aca="false">Data!G1481</f>
        <v>Can express different temporal relationships (for example, three relationships: simultaneously; before and after; one after another).</v>
      </c>
      <c r="H1481" s="81"/>
      <c r="I1481" s="82" t="s">
        <v>3625</v>
      </c>
    </row>
    <row r="1482" customFormat="false" ht="21.75" hidden="false" customHeight="true" outlineLevel="0" collapsed="false">
      <c r="A1482" s="82" t="n">
        <f aca="false">Data!A1482</f>
        <v>1481</v>
      </c>
      <c r="B1482" s="82" t="str">
        <f aca="false">IFERROR(INDEX(対訳マスタ!$C$2:$C$136,MATCH(Data!B1482,対訳マスタ!$B$2:$B$136,0)),Data!B1482)</f>
        <v>手話能力</v>
      </c>
      <c r="C1482" s="82" t="str">
        <f aca="false">IF(Data!C1482="—","—",IFERROR(INDEX(対訳マスタ!$C$2:$C$136,MATCH(Data!C1482,対訳マスタ!$B$2:$B$136,0)),Data!C1482))</f>
        <v>産出</v>
      </c>
      <c r="D1482" s="82" t="str">
        <f aca="false">IF(Data!D1482="—","—",IFERROR(INDEX(対訳マスタ!$C$2:$C$136,MATCH(Data!D1482,対訳マスタ!$B$2:$B$136,0)),Data!D1482))</f>
        <v>言語能力</v>
      </c>
      <c r="E1482" s="82" t="str">
        <f aca="false">IFERROR(INDEX(対訳マスタ!$C$2:$C$136,MATCH(Data!E1482,対訳マスタ!$B$2:$B$136,0)),Data!E1482)</f>
        <v>空間文法の正確さ</v>
      </c>
      <c r="F1482" s="82" t="str">
        <f aca="false">Data!F1482</f>
        <v>B2</v>
      </c>
      <c r="G1482" s="81" t="str">
        <f aca="false">Data!G1482</f>
        <v>Can employ upper body posture when indicating time reference, e.g. lean forward for future.</v>
      </c>
      <c r="H1482" s="81"/>
      <c r="I1482" s="82" t="s">
        <v>3625</v>
      </c>
    </row>
    <row r="1483" customFormat="false" ht="21.75" hidden="false" customHeight="true" outlineLevel="0" collapsed="false">
      <c r="A1483" s="82" t="n">
        <f aca="false">Data!A1483</f>
        <v>1482</v>
      </c>
      <c r="B1483" s="82" t="str">
        <f aca="false">IFERROR(INDEX(対訳マスタ!$C$2:$C$136,MATCH(Data!B1483,対訳マスタ!$B$2:$B$136,0)),Data!B1483)</f>
        <v>手話能力</v>
      </c>
      <c r="C1483" s="82" t="str">
        <f aca="false">IF(Data!C1483="—","—",IFERROR(INDEX(対訳マスタ!$C$2:$C$136,MATCH(Data!C1483,対訳マスタ!$B$2:$B$136,0)),Data!C1483))</f>
        <v>産出</v>
      </c>
      <c r="D1483" s="82" t="str">
        <f aca="false">IF(Data!D1483="—","—",IFERROR(INDEX(対訳マスタ!$C$2:$C$136,MATCH(Data!D1483,対訳マスタ!$B$2:$B$136,0)),Data!D1483))</f>
        <v>言語能力</v>
      </c>
      <c r="E1483" s="82" t="str">
        <f aca="false">IFERROR(INDEX(対訳マスタ!$C$2:$C$136,MATCH(Data!E1483,対訳マスタ!$B$2:$B$136,0)),Data!E1483)</f>
        <v>空間文法の正確さ</v>
      </c>
      <c r="F1483" s="82" t="str">
        <f aca="false">Data!F1483</f>
        <v>B2</v>
      </c>
      <c r="G1483" s="81" t="str">
        <f aca="false">Data!G1483</f>
        <v>Can exploit an appropriate timeline in order to place past, present and future events in the correct relationship to each other.</v>
      </c>
      <c r="H1483" s="81"/>
      <c r="I1483" s="82" t="s">
        <v>3625</v>
      </c>
    </row>
    <row r="1484" customFormat="false" ht="21.75" hidden="false" customHeight="true" outlineLevel="0" collapsed="false">
      <c r="A1484" s="82" t="n">
        <f aca="false">Data!A1484</f>
        <v>1483</v>
      </c>
      <c r="B1484" s="82" t="str">
        <f aca="false">IFERROR(INDEX(対訳マスタ!$C$2:$C$136,MATCH(Data!B1484,対訳マスタ!$B$2:$B$136,0)),Data!B1484)</f>
        <v>手話能力</v>
      </c>
      <c r="C1484" s="82" t="str">
        <f aca="false">IF(Data!C1484="—","—",IFERROR(INDEX(対訳マスタ!$C$2:$C$136,MATCH(Data!C1484,対訳マスタ!$B$2:$B$136,0)),Data!C1484))</f>
        <v>産出</v>
      </c>
      <c r="D1484" s="82" t="str">
        <f aca="false">IF(Data!D1484="—","—",IFERROR(INDEX(対訳マスタ!$C$2:$C$136,MATCH(Data!D1484,対訳マスタ!$B$2:$B$136,0)),Data!D1484))</f>
        <v>言語能力</v>
      </c>
      <c r="E1484" s="82" t="str">
        <f aca="false">IFERROR(INDEX(対訳マスタ!$C$2:$C$136,MATCH(Data!E1484,対訳マスタ!$B$2:$B$136,0)),Data!E1484)</f>
        <v>空間文法の正確さ</v>
      </c>
      <c r="F1484" s="82" t="str">
        <f aca="false">Data!F1484</f>
        <v>B2</v>
      </c>
      <c r="G1484" s="81" t="str">
        <f aca="false">Data!G1484</f>
        <v>Can exploit variation in the sign order of subject, verb, object in a sentence in order to highlight something (e.g. SVO, SOV, OSV).</v>
      </c>
      <c r="H1484" s="81"/>
      <c r="I1484" s="82" t="s">
        <v>3625</v>
      </c>
    </row>
    <row r="1485" customFormat="false" ht="15" hidden="false" customHeight="true" outlineLevel="0" collapsed="false">
      <c r="A1485" s="82" t="n">
        <f aca="false">Data!A1485</f>
        <v>1484</v>
      </c>
      <c r="B1485" s="82" t="str">
        <f aca="false">IFERROR(INDEX(対訳マスタ!$C$2:$C$136,MATCH(Data!B1485,対訳マスタ!$B$2:$B$136,0)),Data!B1485)</f>
        <v>手話能力</v>
      </c>
      <c r="C1485" s="82" t="str">
        <f aca="false">IF(Data!C1485="—","—",IFERROR(INDEX(対訳マスタ!$C$2:$C$136,MATCH(Data!C1485,対訳マスタ!$B$2:$B$136,0)),Data!C1485))</f>
        <v>産出</v>
      </c>
      <c r="D1485" s="82" t="str">
        <f aca="false">IF(Data!D1485="—","—",IFERROR(INDEX(対訳マスタ!$C$2:$C$136,MATCH(Data!D1485,対訳マスタ!$B$2:$B$136,0)),Data!D1485))</f>
        <v>言語能力</v>
      </c>
      <c r="E1485" s="82" t="str">
        <f aca="false">IFERROR(INDEX(対訳マスタ!$C$2:$C$136,MATCH(Data!E1485,対訳マスタ!$B$2:$B$136,0)),Data!E1485)</f>
        <v>空間文法の正確さ</v>
      </c>
      <c r="F1485" s="82" t="str">
        <f aca="false">Data!F1485</f>
        <v>B1+</v>
      </c>
      <c r="G1485" s="81" t="str">
        <f aca="false">Data!G1485</f>
        <v>Can express rhetorical questions in an economical manner, e.g. using just the eyebrows.</v>
      </c>
      <c r="H1485" s="81"/>
      <c r="I1485" s="82" t="s">
        <v>3625</v>
      </c>
    </row>
    <row r="1486" customFormat="false" ht="15" hidden="false" customHeight="true" outlineLevel="0" collapsed="false">
      <c r="A1486" s="82" t="n">
        <f aca="false">Data!A1486</f>
        <v>1485</v>
      </c>
      <c r="B1486" s="82" t="str">
        <f aca="false">IFERROR(INDEX(対訳マスタ!$C$2:$C$136,MATCH(Data!B1486,対訳マスタ!$B$2:$B$136,0)),Data!B1486)</f>
        <v>手話能力</v>
      </c>
      <c r="C1486" s="82" t="str">
        <f aca="false">IF(Data!C1486="—","—",IFERROR(INDEX(対訳マスタ!$C$2:$C$136,MATCH(Data!C1486,対訳マスタ!$B$2:$B$136,0)),Data!C1486))</f>
        <v>産出</v>
      </c>
      <c r="D1486" s="82" t="str">
        <f aca="false">IF(Data!D1486="—","—",IFERROR(INDEX(対訳マスタ!$C$2:$C$136,MATCH(Data!D1486,対訳マスタ!$B$2:$B$136,0)),Data!D1486))</f>
        <v>言語能力</v>
      </c>
      <c r="E1486" s="82" t="str">
        <f aca="false">IFERROR(INDEX(対訳マスタ!$C$2:$C$136,MATCH(Data!E1486,対訳マスタ!$B$2:$B$136,0)),Data!E1486)</f>
        <v>空間文法の正確さ</v>
      </c>
      <c r="F1486" s="82" t="str">
        <f aca="false">Data!F1486</f>
        <v>B1+</v>
      </c>
      <c r="G1486" s="81" t="str">
        <f aca="false">Data!G1486</f>
        <v>Can express why one does something (aim:&lt; in order to …&gt;).</v>
      </c>
      <c r="H1486" s="81"/>
      <c r="I1486" s="82" t="s">
        <v>3625</v>
      </c>
    </row>
    <row r="1487" customFormat="false" ht="15" hidden="false" customHeight="true" outlineLevel="0" collapsed="false">
      <c r="A1487" s="82" t="n">
        <f aca="false">Data!A1487</f>
        <v>1486</v>
      </c>
      <c r="B1487" s="82" t="str">
        <f aca="false">IFERROR(INDEX(対訳マスタ!$C$2:$C$136,MATCH(Data!B1487,対訳マスタ!$B$2:$B$136,0)),Data!B1487)</f>
        <v>手話能力</v>
      </c>
      <c r="C1487" s="82" t="str">
        <f aca="false">IF(Data!C1487="—","—",IFERROR(INDEX(対訳マスタ!$C$2:$C$136,MATCH(Data!C1487,対訳マスタ!$B$2:$B$136,0)),Data!C1487))</f>
        <v>産出</v>
      </c>
      <c r="D1487" s="82" t="str">
        <f aca="false">IF(Data!D1487="—","—",IFERROR(INDEX(対訳マスタ!$C$2:$C$136,MATCH(Data!D1487,対訳マスタ!$B$2:$B$136,0)),Data!D1487))</f>
        <v>言語能力</v>
      </c>
      <c r="E1487" s="82" t="str">
        <f aca="false">IFERROR(INDEX(対訳マスタ!$C$2:$C$136,MATCH(Data!E1487,対訳マスタ!$B$2:$B$136,0)),Data!E1487)</f>
        <v>空間文法の正確さ</v>
      </c>
      <c r="F1487" s="82" t="str">
        <f aca="false">Data!F1487</f>
        <v>B1+</v>
      </c>
      <c r="G1487" s="81" t="str">
        <f aca="false">Data!G1487</f>
        <v>Can link two phrases to yield the meaning relation of &lt;although&gt; and &lt;despite&gt;.</v>
      </c>
      <c r="H1487" s="81"/>
      <c r="I1487" s="82" t="s">
        <v>3625</v>
      </c>
    </row>
    <row r="1488" customFormat="false" ht="21.75" hidden="false" customHeight="true" outlineLevel="0" collapsed="false">
      <c r="A1488" s="82" t="n">
        <f aca="false">Data!A1488</f>
        <v>1487</v>
      </c>
      <c r="B1488" s="82" t="str">
        <f aca="false">IFERROR(INDEX(対訳マスタ!$C$2:$C$136,MATCH(Data!B1488,対訳マスタ!$B$2:$B$136,0)),Data!B1488)</f>
        <v>手話能力</v>
      </c>
      <c r="C1488" s="82" t="str">
        <f aca="false">IF(Data!C1488="—","—",IFERROR(INDEX(対訳マスタ!$C$2:$C$136,MATCH(Data!C1488,対訳マスタ!$B$2:$B$136,0)),Data!C1488))</f>
        <v>産出</v>
      </c>
      <c r="D1488" s="82" t="str">
        <f aca="false">IF(Data!D1488="—","—",IFERROR(INDEX(対訳マスタ!$C$2:$C$136,MATCH(Data!D1488,対訳マスタ!$B$2:$B$136,0)),Data!D1488))</f>
        <v>言語能力</v>
      </c>
      <c r="E1488" s="82" t="str">
        <f aca="false">IFERROR(INDEX(対訳マスタ!$C$2:$C$136,MATCH(Data!E1488,対訳マスタ!$B$2:$B$136,0)),Data!E1488)</f>
        <v>空間文法の正確さ</v>
      </c>
      <c r="F1488" s="82" t="str">
        <f aca="false">Data!F1488</f>
        <v>B1+</v>
      </c>
      <c r="G1488" s="81" t="str">
        <f aca="false">Data!G1488</f>
        <v>Can indicate a rhetorical question correctly by leaving a slight pause between the question and the answer.</v>
      </c>
      <c r="H1488" s="81"/>
      <c r="I1488" s="82" t="s">
        <v>3625</v>
      </c>
    </row>
    <row r="1489" customFormat="false" ht="15" hidden="false" customHeight="true" outlineLevel="0" collapsed="false">
      <c r="A1489" s="82" t="n">
        <f aca="false">Data!A1489</f>
        <v>1488</v>
      </c>
      <c r="B1489" s="82" t="str">
        <f aca="false">IFERROR(INDEX(対訳マスタ!$C$2:$C$136,MATCH(Data!B1489,対訳マスタ!$B$2:$B$136,0)),Data!B1489)</f>
        <v>手話能力</v>
      </c>
      <c r="C1489" s="82" t="str">
        <f aca="false">IF(Data!C1489="—","—",IFERROR(INDEX(対訳マスタ!$C$2:$C$136,MATCH(Data!C1489,対訳マスタ!$B$2:$B$136,0)),Data!C1489))</f>
        <v>産出</v>
      </c>
      <c r="D1489" s="82" t="str">
        <f aca="false">IF(Data!D1489="—","—",IFERROR(INDEX(対訳マスタ!$C$2:$C$136,MATCH(Data!D1489,対訳マスタ!$B$2:$B$136,0)),Data!D1489))</f>
        <v>言語能力</v>
      </c>
      <c r="E1489" s="82" t="str">
        <f aca="false">IFERROR(INDEX(対訳マスタ!$C$2:$C$136,MATCH(Data!E1489,対訳マスタ!$B$2:$B$136,0)),Data!E1489)</f>
        <v>空間文法の正確さ</v>
      </c>
      <c r="F1489" s="82" t="str">
        <f aca="false">Data!F1489</f>
        <v>B1+</v>
      </c>
      <c r="G1489" s="81" t="str">
        <f aca="false">Data!G1489</f>
        <v>Can establish relationships in the signing space and later reuse these.</v>
      </c>
      <c r="H1489" s="81"/>
      <c r="I1489" s="82" t="s">
        <v>3625</v>
      </c>
    </row>
    <row r="1490" customFormat="false" ht="21.75" hidden="false" customHeight="true" outlineLevel="0" collapsed="false">
      <c r="A1490" s="82" t="n">
        <f aca="false">Data!A1490</f>
        <v>1489</v>
      </c>
      <c r="B1490" s="82" t="str">
        <f aca="false">IFERROR(INDEX(対訳マスタ!$C$2:$C$136,MATCH(Data!B1490,対訳マスタ!$B$2:$B$136,0)),Data!B1490)</f>
        <v>手話能力</v>
      </c>
      <c r="C1490" s="82" t="str">
        <f aca="false">IF(Data!C1490="—","—",IFERROR(INDEX(対訳マスタ!$C$2:$C$136,MATCH(Data!C1490,対訳マスタ!$B$2:$B$136,0)),Data!C1490))</f>
        <v>産出</v>
      </c>
      <c r="D1490" s="82" t="str">
        <f aca="false">IF(Data!D1490="—","—",IFERROR(INDEX(対訳マスタ!$C$2:$C$136,MATCH(Data!D1490,対訳マスタ!$B$2:$B$136,0)),Data!D1490))</f>
        <v>言語能力</v>
      </c>
      <c r="E1490" s="82" t="str">
        <f aca="false">IFERROR(INDEX(対訳マスタ!$C$2:$C$136,MATCH(Data!E1490,対訳マスタ!$B$2:$B$136,0)),Data!E1490)</f>
        <v>空間文法の正確さ</v>
      </c>
      <c r="F1490" s="82" t="str">
        <f aca="false">Data!F1490</f>
        <v>B1+</v>
      </c>
      <c r="G1490" s="81" t="str">
        <f aca="false">Data!G1490</f>
        <v>Can focus on one point on a timeline and/or use temporal adverbials in order to locate an event correctly in past, present or future time.</v>
      </c>
      <c r="H1490" s="81"/>
      <c r="I1490" s="82" t="s">
        <v>3625</v>
      </c>
    </row>
    <row r="1491" customFormat="false" ht="21.75" hidden="false" customHeight="true" outlineLevel="0" collapsed="false">
      <c r="A1491" s="82" t="n">
        <f aca="false">Data!A1491</f>
        <v>1490</v>
      </c>
      <c r="B1491" s="82" t="str">
        <f aca="false">IFERROR(INDEX(対訳マスタ!$C$2:$C$136,MATCH(Data!B1491,対訳マスタ!$B$2:$B$136,0)),Data!B1491)</f>
        <v>手話能力</v>
      </c>
      <c r="C1491" s="82" t="str">
        <f aca="false">IF(Data!C1491="—","—",IFERROR(INDEX(対訳マスタ!$C$2:$C$136,MATCH(Data!C1491,対訳マスタ!$B$2:$B$136,0)),Data!C1491))</f>
        <v>産出</v>
      </c>
      <c r="D1491" s="82" t="str">
        <f aca="false">IF(Data!D1491="—","—",IFERROR(INDEX(対訳マスタ!$C$2:$C$136,MATCH(Data!D1491,対訳マスタ!$B$2:$B$136,0)),Data!D1491))</f>
        <v>言語能力</v>
      </c>
      <c r="E1491" s="82" t="str">
        <f aca="false">IFERROR(INDEX(対訳マスタ!$C$2:$C$136,MATCH(Data!E1491,対訳マスタ!$B$2:$B$136,0)),Data!E1491)</f>
        <v>空間文法の正確さ</v>
      </c>
      <c r="F1491" s="82" t="str">
        <f aca="false">Data!F1491</f>
        <v>B1+</v>
      </c>
      <c r="G1491" s="81" t="str">
        <f aca="false">Data!G1491</f>
        <v>Can make comparisons using adjectives, including superlative forms, e.g. through use of productive signs, changing size, or speed of hand movement.</v>
      </c>
      <c r="H1491" s="81"/>
      <c r="I1491" s="82" t="s">
        <v>3625</v>
      </c>
    </row>
    <row r="1492" customFormat="false" ht="21.75" hidden="false" customHeight="true" outlineLevel="0" collapsed="false">
      <c r="A1492" s="82" t="n">
        <f aca="false">Data!A1492</f>
        <v>1491</v>
      </c>
      <c r="B1492" s="82" t="str">
        <f aca="false">IFERROR(INDEX(対訳マスタ!$C$2:$C$136,MATCH(Data!B1492,対訳マスタ!$B$2:$B$136,0)),Data!B1492)</f>
        <v>手話能力</v>
      </c>
      <c r="C1492" s="82" t="str">
        <f aca="false">IF(Data!C1492="—","—",IFERROR(INDEX(対訳マスタ!$C$2:$C$136,MATCH(Data!C1492,対訳マスタ!$B$2:$B$136,0)),Data!C1492))</f>
        <v>産出</v>
      </c>
      <c r="D1492" s="82" t="str">
        <f aca="false">IF(Data!D1492="—","—",IFERROR(INDEX(対訳マスタ!$C$2:$C$136,MATCH(Data!D1492,対訳マスタ!$B$2:$B$136,0)),Data!D1492))</f>
        <v>言語能力</v>
      </c>
      <c r="E1492" s="82" t="str">
        <f aca="false">IFERROR(INDEX(対訳マスタ!$C$2:$C$136,MATCH(Data!E1492,対訳マスタ!$B$2:$B$136,0)),Data!E1492)</f>
        <v>空間文法の正確さ</v>
      </c>
      <c r="F1492" s="82" t="str">
        <f aca="false">Data!F1492</f>
        <v>B1</v>
      </c>
      <c r="G1492" s="81" t="str">
        <f aca="false">Data!G1492</f>
        <v>Can situate objects/people in the signing space by indexing and later referencing them with pronouns.</v>
      </c>
      <c r="H1492" s="81"/>
      <c r="I1492" s="82" t="s">
        <v>3625</v>
      </c>
    </row>
    <row r="1493" customFormat="false" ht="21.75" hidden="false" customHeight="true" outlineLevel="0" collapsed="false">
      <c r="A1493" s="82" t="n">
        <f aca="false">Data!A1493</f>
        <v>1492</v>
      </c>
      <c r="B1493" s="82" t="str">
        <f aca="false">IFERROR(INDEX(対訳マスタ!$C$2:$C$136,MATCH(Data!B1493,対訳マスタ!$B$2:$B$136,0)),Data!B1493)</f>
        <v>手話能力</v>
      </c>
      <c r="C1493" s="82" t="str">
        <f aca="false">IF(Data!C1493="—","—",IFERROR(INDEX(対訳マスタ!$C$2:$C$136,MATCH(Data!C1493,対訳マスタ!$B$2:$B$136,0)),Data!C1493))</f>
        <v>産出</v>
      </c>
      <c r="D1493" s="82" t="str">
        <f aca="false">IF(Data!D1493="—","—",IFERROR(INDEX(対訳マスタ!$C$2:$C$136,MATCH(Data!D1493,対訳マスタ!$B$2:$B$136,0)),Data!D1493))</f>
        <v>言語能力</v>
      </c>
      <c r="E1493" s="82" t="str">
        <f aca="false">IFERROR(INDEX(対訳マスタ!$C$2:$C$136,MATCH(Data!E1493,対訳マスタ!$B$2:$B$136,0)),Data!E1493)</f>
        <v>空間文法の正確さ</v>
      </c>
      <c r="F1493" s="82" t="str">
        <f aca="false">Data!F1493</f>
        <v>B1</v>
      </c>
      <c r="G1493" s="81" t="str">
        <f aca="false">Data!G1493</f>
        <v>Can correctly direct eye gaze in the signing space in order to refer to previously introduced objects or people.</v>
      </c>
      <c r="H1493" s="81"/>
      <c r="I1493" s="82" t="s">
        <v>3625</v>
      </c>
    </row>
    <row r="1494" customFormat="false" ht="15" hidden="false" customHeight="true" outlineLevel="0" collapsed="false">
      <c r="A1494" s="82" t="n">
        <f aca="false">Data!A1494</f>
        <v>1493</v>
      </c>
      <c r="B1494" s="82" t="str">
        <f aca="false">IFERROR(INDEX(対訳マスタ!$C$2:$C$136,MATCH(Data!B1494,対訳マスタ!$B$2:$B$136,0)),Data!B1494)</f>
        <v>手話能力</v>
      </c>
      <c r="C1494" s="82" t="str">
        <f aca="false">IF(Data!C1494="—","—",IFERROR(INDEX(対訳マスタ!$C$2:$C$136,MATCH(Data!C1494,対訳マスタ!$B$2:$B$136,0)),Data!C1494))</f>
        <v>産出</v>
      </c>
      <c r="D1494" s="82" t="str">
        <f aca="false">IF(Data!D1494="—","—",IFERROR(INDEX(対訳マスタ!$C$2:$C$136,MATCH(Data!D1494,対訳マスタ!$B$2:$B$136,0)),Data!D1494))</f>
        <v>言語能力</v>
      </c>
      <c r="E1494" s="82" t="str">
        <f aca="false">IFERROR(INDEX(対訳マスタ!$C$2:$C$136,MATCH(Data!E1494,対訳マスタ!$B$2:$B$136,0)),Data!E1494)</f>
        <v>空間文法の正確さ</v>
      </c>
      <c r="F1494" s="82" t="str">
        <f aca="false">Data!F1494</f>
        <v>B1</v>
      </c>
      <c r="G1494" s="81" t="str">
        <f aca="false">Data!G1494</f>
        <v>Can correctly use different sentence types (statements, questions, imperatives).</v>
      </c>
      <c r="H1494" s="81"/>
      <c r="I1494" s="82" t="s">
        <v>3625</v>
      </c>
    </row>
    <row r="1495" customFormat="false" ht="21.75" hidden="false" customHeight="true" outlineLevel="0" collapsed="false">
      <c r="A1495" s="82" t="n">
        <f aca="false">Data!A1495</f>
        <v>1494</v>
      </c>
      <c r="B1495" s="82" t="str">
        <f aca="false">IFERROR(INDEX(対訳マスタ!$C$2:$C$136,MATCH(Data!B1495,対訳マスタ!$B$2:$B$136,0)),Data!B1495)</f>
        <v>手話能力</v>
      </c>
      <c r="C1495" s="82" t="str">
        <f aca="false">IF(Data!C1495="—","—",IFERROR(INDEX(対訳マスタ!$C$2:$C$136,MATCH(Data!C1495,対訳マスタ!$B$2:$B$136,0)),Data!C1495))</f>
        <v>産出</v>
      </c>
      <c r="D1495" s="82" t="str">
        <f aca="false">IF(Data!D1495="—","—",IFERROR(INDEX(対訳マスタ!$C$2:$C$136,MATCH(Data!D1495,対訳マスタ!$B$2:$B$136,0)),Data!D1495))</f>
        <v>言語能力</v>
      </c>
      <c r="E1495" s="82" t="str">
        <f aca="false">IFERROR(INDEX(対訳マスタ!$C$2:$C$136,MATCH(Data!E1495,対訳マスタ!$B$2:$B$136,0)),Data!E1495)</f>
        <v>空間文法の正確さ</v>
      </c>
      <c r="F1495" s="82" t="str">
        <f aca="false">Data!F1495</f>
        <v>B1</v>
      </c>
      <c r="G1495" s="81" t="str">
        <f aca="false">Data!G1495</f>
        <v>Can mark questions appropriately, using non-manual markers relevant (e.g. upper body posture plus mimic, eyebrows).</v>
      </c>
      <c r="H1495" s="81"/>
      <c r="I1495" s="82" t="s">
        <v>3625</v>
      </c>
    </row>
    <row r="1496" customFormat="false" ht="15" hidden="false" customHeight="true" outlineLevel="0" collapsed="false">
      <c r="A1496" s="82" t="n">
        <f aca="false">Data!A1496</f>
        <v>1495</v>
      </c>
      <c r="B1496" s="82" t="str">
        <f aca="false">IFERROR(INDEX(対訳マスタ!$C$2:$C$136,MATCH(Data!B1496,対訳マスタ!$B$2:$B$136,0)),Data!B1496)</f>
        <v>手話能力</v>
      </c>
      <c r="C1496" s="82" t="str">
        <f aca="false">IF(Data!C1496="—","—",IFERROR(INDEX(対訳マスタ!$C$2:$C$136,MATCH(Data!C1496,対訳マスタ!$B$2:$B$136,0)),Data!C1496))</f>
        <v>産出</v>
      </c>
      <c r="D1496" s="82" t="str">
        <f aca="false">IF(Data!D1496="—","—",IFERROR(INDEX(対訳マスタ!$C$2:$C$136,MATCH(Data!D1496,対訳マスタ!$B$2:$B$136,0)),Data!D1496))</f>
        <v>言語能力</v>
      </c>
      <c r="E1496" s="82" t="str">
        <f aca="false">IFERROR(INDEX(対訳マスタ!$C$2:$C$136,MATCH(Data!E1496,対訳マスタ!$B$2:$B$136,0)),Data!E1496)</f>
        <v>空間文法の正確さ</v>
      </c>
      <c r="F1496" s="82" t="str">
        <f aca="false">Data!F1496</f>
        <v>B1</v>
      </c>
      <c r="G1496" s="81" t="str">
        <f aca="false">Data!G1496</f>
        <v>Can employ the relevant non-manual elements for the description of a shape.</v>
      </c>
      <c r="H1496" s="81"/>
      <c r="I1496" s="82" t="s">
        <v>3625</v>
      </c>
    </row>
    <row r="1497" customFormat="false" ht="15" hidden="false" customHeight="true" outlineLevel="0" collapsed="false">
      <c r="A1497" s="82" t="n">
        <f aca="false">Data!A1497</f>
        <v>1496</v>
      </c>
      <c r="B1497" s="82" t="str">
        <f aca="false">IFERROR(INDEX(対訳マスタ!$C$2:$C$136,MATCH(Data!B1497,対訳マスタ!$B$2:$B$136,0)),Data!B1497)</f>
        <v>手話能力</v>
      </c>
      <c r="C1497" s="82" t="str">
        <f aca="false">IF(Data!C1497="—","—",IFERROR(INDEX(対訳マスタ!$C$2:$C$136,MATCH(Data!C1497,対訳マスタ!$B$2:$B$136,0)),Data!C1497))</f>
        <v>産出</v>
      </c>
      <c r="D1497" s="82" t="str">
        <f aca="false">IF(Data!D1497="—","—",IFERROR(INDEX(対訳マスタ!$C$2:$C$136,MATCH(Data!D1497,対訳マスタ!$B$2:$B$136,0)),Data!D1497))</f>
        <v>言語能力</v>
      </c>
      <c r="E1497" s="82" t="str">
        <f aca="false">IFERROR(INDEX(対訳マスタ!$C$2:$C$136,MATCH(Data!E1497,対訳マスタ!$B$2:$B$136,0)),Data!E1497)</f>
        <v>空間文法の正確さ</v>
      </c>
      <c r="F1497" s="82" t="str">
        <f aca="false">Data!F1497</f>
        <v>B1</v>
      </c>
      <c r="G1497" s="81" t="str">
        <f aca="false">Data!G1497</f>
        <v>Can employ constructed action in order to convey meaning.</v>
      </c>
      <c r="H1497" s="81"/>
      <c r="I1497" s="82" t="s">
        <v>3625</v>
      </c>
    </row>
    <row r="1498" customFormat="false" ht="21.75" hidden="false" customHeight="true" outlineLevel="0" collapsed="false">
      <c r="A1498" s="82" t="n">
        <f aca="false">Data!A1498</f>
        <v>1497</v>
      </c>
      <c r="B1498" s="82" t="str">
        <f aca="false">IFERROR(INDEX(対訳マスタ!$C$2:$C$136,MATCH(Data!B1498,対訳マスタ!$B$2:$B$136,0)),Data!B1498)</f>
        <v>手話能力</v>
      </c>
      <c r="C1498" s="82" t="str">
        <f aca="false">IF(Data!C1498="—","—",IFERROR(INDEX(対訳マスタ!$C$2:$C$136,MATCH(Data!C1498,対訳マスタ!$B$2:$B$136,0)),Data!C1498))</f>
        <v>産出</v>
      </c>
      <c r="D1498" s="82" t="str">
        <f aca="false">IF(Data!D1498="—","—",IFERROR(INDEX(対訳マスタ!$C$2:$C$136,MATCH(Data!D1498,対訳マスタ!$B$2:$B$136,0)),Data!D1498))</f>
        <v>言語能力</v>
      </c>
      <c r="E1498" s="82" t="str">
        <f aca="false">IFERROR(INDEX(対訳マスタ!$C$2:$C$136,MATCH(Data!E1498,対訳マスタ!$B$2:$B$136,0)),Data!E1498)</f>
        <v>空間文法の正確さ</v>
      </c>
      <c r="F1498" s="82" t="str">
        <f aca="false">Data!F1498</f>
        <v>B1</v>
      </c>
      <c r="G1498" s="81" t="str">
        <f aca="false">Data!G1498</f>
        <v>Can incorporate number marking into a sign (e.g. to indicate number of persons moving, number of days).</v>
      </c>
      <c r="H1498" s="81"/>
      <c r="I1498" s="82" t="s">
        <v>3625</v>
      </c>
    </row>
    <row r="1499" customFormat="false" ht="15" hidden="false" customHeight="true" outlineLevel="0" collapsed="false">
      <c r="A1499" s="82" t="n">
        <f aca="false">Data!A1499</f>
        <v>1498</v>
      </c>
      <c r="B1499" s="82" t="str">
        <f aca="false">IFERROR(INDEX(対訳マスタ!$C$2:$C$136,MATCH(Data!B1499,対訳マスタ!$B$2:$B$136,0)),Data!B1499)</f>
        <v>手話能力</v>
      </c>
      <c r="C1499" s="82" t="str">
        <f aca="false">IF(Data!C1499="—","—",IFERROR(INDEX(対訳マスタ!$C$2:$C$136,MATCH(Data!C1499,対訳マスタ!$B$2:$B$136,0)),Data!C1499))</f>
        <v>産出</v>
      </c>
      <c r="D1499" s="82" t="str">
        <f aca="false">IF(Data!D1499="—","—",IFERROR(INDEX(対訳マスタ!$C$2:$C$136,MATCH(Data!D1499,対訳マスタ!$B$2:$B$136,0)),Data!D1499))</f>
        <v>言語能力</v>
      </c>
      <c r="E1499" s="82" t="str">
        <f aca="false">IFERROR(INDEX(対訳マスタ!$C$2:$C$136,MATCH(Data!E1499,対訳マスタ!$B$2:$B$136,0)),Data!E1499)</f>
        <v>空間文法の正確さ</v>
      </c>
      <c r="F1499" s="82" t="str">
        <f aca="false">Data!F1499</f>
        <v>B1</v>
      </c>
      <c r="G1499" s="81" t="str">
        <f aca="false">Data!G1499</f>
        <v>Can present a simple temporal sequence by using the signing space.</v>
      </c>
      <c r="H1499" s="81"/>
      <c r="I1499" s="82" t="s">
        <v>3625</v>
      </c>
    </row>
    <row r="1500" customFormat="false" ht="21.75" hidden="false" customHeight="true" outlineLevel="0" collapsed="false">
      <c r="A1500" s="82" t="n">
        <f aca="false">Data!A1500</f>
        <v>1499</v>
      </c>
      <c r="B1500" s="82" t="str">
        <f aca="false">IFERROR(INDEX(対訳マスタ!$C$2:$C$136,MATCH(Data!B1500,対訳マスタ!$B$2:$B$136,0)),Data!B1500)</f>
        <v>手話能力</v>
      </c>
      <c r="C1500" s="82" t="str">
        <f aca="false">IF(Data!C1500="—","—",IFERROR(INDEX(対訳マスタ!$C$2:$C$136,MATCH(Data!C1500,対訳マスタ!$B$2:$B$136,0)),Data!C1500))</f>
        <v>産出</v>
      </c>
      <c r="D1500" s="82" t="str">
        <f aca="false">IF(Data!D1500="—","—",IFERROR(INDEX(対訳マスタ!$C$2:$C$136,MATCH(Data!D1500,対訳マスタ!$B$2:$B$136,0)),Data!D1500))</f>
        <v>言語能力</v>
      </c>
      <c r="E1500" s="82" t="str">
        <f aca="false">IFERROR(INDEX(対訳マスタ!$C$2:$C$136,MATCH(Data!E1500,対訳マスタ!$B$2:$B$136,0)),Data!E1500)</f>
        <v>空間文法の正確さ</v>
      </c>
      <c r="F1500" s="82" t="str">
        <f aca="false">Data!F1500</f>
        <v>B1</v>
      </c>
      <c r="G1500" s="81" t="str">
        <f aca="false">Data!G1500</f>
        <v>Can support referencing to events in a passage of time with non-manual features (e.g. to distinguish events that are close in time as opposed to events that are distant in time).</v>
      </c>
      <c r="H1500" s="81"/>
      <c r="I1500" s="82" t="s">
        <v>3625</v>
      </c>
    </row>
    <row r="1501" customFormat="false" ht="15" hidden="false" customHeight="true" outlineLevel="0" collapsed="false">
      <c r="A1501" s="82" t="n">
        <f aca="false">Data!A1501</f>
        <v>1500</v>
      </c>
      <c r="B1501" s="82" t="str">
        <f aca="false">IFERROR(INDEX(対訳マスタ!$C$2:$C$136,MATCH(Data!B1501,対訳マスタ!$B$2:$B$136,0)),Data!B1501)</f>
        <v>手話能力</v>
      </c>
      <c r="C1501" s="82" t="str">
        <f aca="false">IF(Data!C1501="—","—",IFERROR(INDEX(対訳マスタ!$C$2:$C$136,MATCH(Data!C1501,対訳マスタ!$B$2:$B$136,0)),Data!C1501))</f>
        <v>産出</v>
      </c>
      <c r="D1501" s="82" t="str">
        <f aca="false">IF(Data!D1501="—","—",IFERROR(INDEX(対訳マスタ!$C$2:$C$136,MATCH(Data!D1501,対訳マスタ!$B$2:$B$136,0)),Data!D1501))</f>
        <v>言語能力</v>
      </c>
      <c r="E1501" s="82" t="str">
        <f aca="false">IFERROR(INDEX(対訳マスタ!$C$2:$C$136,MATCH(Data!E1501,対訳マスタ!$B$2:$B$136,0)),Data!E1501)</f>
        <v>空間文法の正確さ</v>
      </c>
      <c r="F1501" s="82" t="str">
        <f aca="false">Data!F1501</f>
        <v>B1</v>
      </c>
      <c r="G1501" s="81" t="str">
        <f aca="false">Data!G1501</f>
        <v>Can express cause and effect (reason for something).</v>
      </c>
      <c r="H1501" s="81"/>
      <c r="I1501" s="82" t="s">
        <v>3625</v>
      </c>
    </row>
    <row r="1502" customFormat="false" ht="15" hidden="false" customHeight="true" outlineLevel="0" collapsed="false">
      <c r="A1502" s="82" t="n">
        <f aca="false">Data!A1502</f>
        <v>1501</v>
      </c>
      <c r="B1502" s="82" t="str">
        <f aca="false">IFERROR(INDEX(対訳マスタ!$C$2:$C$136,MATCH(Data!B1502,対訳マスタ!$B$2:$B$136,0)),Data!B1502)</f>
        <v>手話能力</v>
      </c>
      <c r="C1502" s="82" t="str">
        <f aca="false">IF(Data!C1502="—","—",IFERROR(INDEX(対訳マスタ!$C$2:$C$136,MATCH(Data!C1502,対訳マスタ!$B$2:$B$136,0)),Data!C1502))</f>
        <v>産出</v>
      </c>
      <c r="D1502" s="82" t="str">
        <f aca="false">IF(Data!D1502="—","—",IFERROR(INDEX(対訳マスタ!$C$2:$C$136,MATCH(Data!D1502,対訳マスタ!$B$2:$B$136,0)),Data!D1502))</f>
        <v>言語能力</v>
      </c>
      <c r="E1502" s="82" t="str">
        <f aca="false">IFERROR(INDEX(対訳マスタ!$C$2:$C$136,MATCH(Data!E1502,対訳マスタ!$B$2:$B$136,0)),Data!E1502)</f>
        <v>空間文法の正確さ</v>
      </c>
      <c r="F1502" s="82" t="str">
        <f aca="false">Data!F1502</f>
        <v>A2+</v>
      </c>
      <c r="G1502" s="81" t="str">
        <f aca="false">Data!G1502</f>
        <v>Can express the conditions under which one does certain things (&lt;if … then&gt;).</v>
      </c>
      <c r="H1502" s="81"/>
      <c r="I1502" s="82" t="s">
        <v>3625</v>
      </c>
    </row>
    <row r="1503" customFormat="false" ht="15" hidden="false" customHeight="true" outlineLevel="0" collapsed="false">
      <c r="A1503" s="82" t="n">
        <f aca="false">Data!A1503</f>
        <v>1502</v>
      </c>
      <c r="B1503" s="82" t="str">
        <f aca="false">IFERROR(INDEX(対訳マスタ!$C$2:$C$136,MATCH(Data!B1503,対訳マスタ!$B$2:$B$136,0)),Data!B1503)</f>
        <v>手話能力</v>
      </c>
      <c r="C1503" s="82" t="str">
        <f aca="false">IF(Data!C1503="—","—",IFERROR(INDEX(対訳マスタ!$C$2:$C$136,MATCH(Data!C1503,対訳マスタ!$B$2:$B$136,0)),Data!C1503))</f>
        <v>産出</v>
      </c>
      <c r="D1503" s="82" t="str">
        <f aca="false">IF(Data!D1503="—","—",IFERROR(INDEX(対訳マスタ!$C$2:$C$136,MATCH(Data!D1503,対訳マスタ!$B$2:$B$136,0)),Data!D1503))</f>
        <v>言語能力</v>
      </c>
      <c r="E1503" s="82" t="str">
        <f aca="false">IFERROR(INDEX(対訳マスタ!$C$2:$C$136,MATCH(Data!E1503,対訳マスタ!$B$2:$B$136,0)),Data!E1503)</f>
        <v>空間文法の正確さ</v>
      </c>
      <c r="F1503" s="82" t="str">
        <f aca="false">Data!F1503</f>
        <v>A2+</v>
      </c>
      <c r="G1503" s="81" t="str">
        <f aca="false">Data!G1503</f>
        <v>Can mark verb agreement consistently, maintaining concordance.</v>
      </c>
      <c r="H1503" s="81"/>
      <c r="I1503" s="82" t="s">
        <v>3625</v>
      </c>
    </row>
    <row r="1504" customFormat="false" ht="21.75" hidden="false" customHeight="true" outlineLevel="0" collapsed="false">
      <c r="A1504" s="82" t="n">
        <f aca="false">Data!A1504</f>
        <v>1503</v>
      </c>
      <c r="B1504" s="82" t="str">
        <f aca="false">IFERROR(INDEX(対訳マスタ!$C$2:$C$136,MATCH(Data!B1504,対訳マスタ!$B$2:$B$136,0)),Data!B1504)</f>
        <v>手話能力</v>
      </c>
      <c r="C1504" s="82" t="str">
        <f aca="false">IF(Data!C1504="—","—",IFERROR(INDEX(対訳マスタ!$C$2:$C$136,MATCH(Data!C1504,対訳マスタ!$B$2:$B$136,0)),Data!C1504))</f>
        <v>産出</v>
      </c>
      <c r="D1504" s="82" t="str">
        <f aca="false">IF(Data!D1504="—","—",IFERROR(INDEX(対訳マスタ!$C$2:$C$136,MATCH(Data!D1504,対訳マスタ!$B$2:$B$136,0)),Data!D1504))</f>
        <v>言語能力</v>
      </c>
      <c r="E1504" s="82" t="str">
        <f aca="false">IFERROR(INDEX(対訳マスタ!$C$2:$C$136,MATCH(Data!E1504,対訳マスタ!$B$2:$B$136,0)),Data!E1504)</f>
        <v>空間文法の正確さ</v>
      </c>
      <c r="F1504" s="82" t="str">
        <f aca="false">Data!F1504</f>
        <v>A2+</v>
      </c>
      <c r="G1504" s="81" t="str">
        <f aca="false">Data!G1504</f>
        <v>Can express a non-causal sequence (e.g. &lt;and then …&gt;, &lt;and so …&gt;, &lt;next …&gt;, &lt;after that …&gt;).</v>
      </c>
      <c r="H1504" s="81"/>
      <c r="I1504" s="82" t="s">
        <v>3625</v>
      </c>
    </row>
    <row r="1505" customFormat="false" ht="15" hidden="false" customHeight="true" outlineLevel="0" collapsed="false">
      <c r="A1505" s="82" t="n">
        <f aca="false">Data!A1505</f>
        <v>1504</v>
      </c>
      <c r="B1505" s="82" t="str">
        <f aca="false">IFERROR(INDEX(対訳マスタ!$C$2:$C$136,MATCH(Data!B1505,対訳マスタ!$B$2:$B$136,0)),Data!B1505)</f>
        <v>手話能力</v>
      </c>
      <c r="C1505" s="82" t="str">
        <f aca="false">IF(Data!C1505="—","—",IFERROR(INDEX(対訳マスタ!$C$2:$C$136,MATCH(Data!C1505,対訳マスタ!$B$2:$B$136,0)),Data!C1505))</f>
        <v>産出</v>
      </c>
      <c r="D1505" s="82" t="str">
        <f aca="false">IF(Data!D1505="—","—",IFERROR(INDEX(対訳マスタ!$C$2:$C$136,MATCH(Data!D1505,対訳マスタ!$B$2:$B$136,0)),Data!D1505))</f>
        <v>言語能力</v>
      </c>
      <c r="E1505" s="82" t="str">
        <f aca="false">IFERROR(INDEX(対訳マスタ!$C$2:$C$136,MATCH(Data!E1505,対訳マスタ!$B$2:$B$136,0)),Data!E1505)</f>
        <v>空間文法の正確さ</v>
      </c>
      <c r="F1505" s="82" t="str">
        <f aca="false">Data!F1505</f>
        <v>A2</v>
      </c>
      <c r="G1505" s="81" t="str">
        <f aca="false">Data!G1505</f>
        <v>Can describe the environment (e.g. landscape) with depicting signs).</v>
      </c>
      <c r="H1505" s="81"/>
      <c r="I1505" s="82" t="s">
        <v>3625</v>
      </c>
    </row>
    <row r="1506" customFormat="false" ht="15" hidden="false" customHeight="true" outlineLevel="0" collapsed="false">
      <c r="A1506" s="82" t="n">
        <f aca="false">Data!A1506</f>
        <v>1505</v>
      </c>
      <c r="B1506" s="82" t="str">
        <f aca="false">IFERROR(INDEX(対訳マスタ!$C$2:$C$136,MATCH(Data!B1506,対訳マスタ!$B$2:$B$136,0)),Data!B1506)</f>
        <v>手話能力</v>
      </c>
      <c r="C1506" s="82" t="str">
        <f aca="false">IF(Data!C1506="—","—",IFERROR(INDEX(対訳マスタ!$C$2:$C$136,MATCH(Data!C1506,対訳マスタ!$B$2:$B$136,0)),Data!C1506))</f>
        <v>産出</v>
      </c>
      <c r="D1506" s="82" t="str">
        <f aca="false">IF(Data!D1506="—","—",IFERROR(INDEX(対訳マスタ!$C$2:$C$136,MATCH(Data!D1506,対訳マスタ!$B$2:$B$136,0)),Data!D1506))</f>
        <v>言語能力</v>
      </c>
      <c r="E1506" s="82" t="str">
        <f aca="false">IFERROR(INDEX(対訳マスタ!$C$2:$C$136,MATCH(Data!E1506,対訳マスタ!$B$2:$B$136,0)),Data!E1506)</f>
        <v>空間文法の正確さ</v>
      </c>
      <c r="F1506" s="82" t="str">
        <f aca="false">Data!F1506</f>
        <v>A2</v>
      </c>
      <c r="G1506" s="81" t="str">
        <f aca="false">Data!G1506</f>
        <v>Can use canonical space effectively to place focus on important elements.</v>
      </c>
      <c r="H1506" s="81"/>
      <c r="I1506" s="82" t="s">
        <v>3625</v>
      </c>
    </row>
    <row r="1507" customFormat="false" ht="15" hidden="false" customHeight="true" outlineLevel="0" collapsed="false">
      <c r="A1507" s="82" t="n">
        <f aca="false">Data!A1507</f>
        <v>1506</v>
      </c>
      <c r="B1507" s="82" t="str">
        <f aca="false">IFERROR(INDEX(対訳マスタ!$C$2:$C$136,MATCH(Data!B1507,対訳マスタ!$B$2:$B$136,0)),Data!B1507)</f>
        <v>手話能力</v>
      </c>
      <c r="C1507" s="82" t="str">
        <f aca="false">IF(Data!C1507="—","—",IFERROR(INDEX(対訳マスタ!$C$2:$C$136,MATCH(Data!C1507,対訳マスタ!$B$2:$B$136,0)),Data!C1507))</f>
        <v>産出</v>
      </c>
      <c r="D1507" s="82" t="str">
        <f aca="false">IF(Data!D1507="—","—",IFERROR(INDEX(対訳マスタ!$C$2:$C$136,MATCH(Data!D1507,対訳マスタ!$B$2:$B$136,0)),Data!D1507))</f>
        <v>言語能力</v>
      </c>
      <c r="E1507" s="82" t="str">
        <f aca="false">IFERROR(INDEX(対訳マスタ!$C$2:$C$136,MATCH(Data!E1507,対訳マスタ!$B$2:$B$136,0)),Data!E1507)</f>
        <v>空間文法の正確さ</v>
      </c>
      <c r="F1507" s="82" t="str">
        <f aca="false">Data!F1507</f>
        <v>A2</v>
      </c>
      <c r="G1507" s="81" t="str">
        <f aca="false">Data!G1507</f>
        <v>Can produce accurate handshapes not only in isolated signs but also in sentences.</v>
      </c>
      <c r="H1507" s="81"/>
      <c r="I1507" s="82" t="s">
        <v>3625</v>
      </c>
    </row>
    <row r="1508" customFormat="false" ht="15" hidden="false" customHeight="true" outlineLevel="0" collapsed="false">
      <c r="A1508" s="82" t="n">
        <f aca="false">Data!A1508</f>
        <v>1507</v>
      </c>
      <c r="B1508" s="82" t="str">
        <f aca="false">IFERROR(INDEX(対訳マスタ!$C$2:$C$136,MATCH(Data!B1508,対訳マスタ!$B$2:$B$136,0)),Data!B1508)</f>
        <v>手話能力</v>
      </c>
      <c r="C1508" s="82" t="str">
        <f aca="false">IF(Data!C1508="—","—",IFERROR(INDEX(対訳マスタ!$C$2:$C$136,MATCH(Data!C1508,対訳マスタ!$B$2:$B$136,0)),Data!C1508))</f>
        <v>産出</v>
      </c>
      <c r="D1508" s="82" t="str">
        <f aca="false">IF(Data!D1508="—","—",IFERROR(INDEX(対訳マスタ!$C$2:$C$136,MATCH(Data!D1508,対訳マスタ!$B$2:$B$136,0)),Data!D1508))</f>
        <v>言語能力</v>
      </c>
      <c r="E1508" s="82" t="str">
        <f aca="false">IFERROR(INDEX(対訳マスタ!$C$2:$C$136,MATCH(Data!E1508,対訳マスタ!$B$2:$B$136,0)),Data!E1508)</f>
        <v>空間文法の正確さ</v>
      </c>
      <c r="F1508" s="82" t="str">
        <f aca="false">Data!F1508</f>
        <v>A2</v>
      </c>
      <c r="G1508" s="81" t="str">
        <f aca="false">Data!G1508</f>
        <v>Can use &lt;if … then&gt; sentences.</v>
      </c>
      <c r="H1508" s="81"/>
      <c r="I1508" s="82" t="s">
        <v>3625</v>
      </c>
    </row>
    <row r="1509" customFormat="false" ht="15" hidden="false" customHeight="true" outlineLevel="0" collapsed="false">
      <c r="A1509" s="82" t="n">
        <f aca="false">Data!A1509</f>
        <v>1508</v>
      </c>
      <c r="B1509" s="82" t="str">
        <f aca="false">IFERROR(INDEX(対訳マスタ!$C$2:$C$136,MATCH(Data!B1509,対訳マスタ!$B$2:$B$136,0)),Data!B1509)</f>
        <v>手話能力</v>
      </c>
      <c r="C1509" s="82" t="str">
        <f aca="false">IF(Data!C1509="—","—",IFERROR(INDEX(対訳マスタ!$C$2:$C$136,MATCH(Data!C1509,対訳マスタ!$B$2:$B$136,0)),Data!C1509))</f>
        <v>産出</v>
      </c>
      <c r="D1509" s="82" t="str">
        <f aca="false">IF(Data!D1509="—","—",IFERROR(INDEX(対訳マスタ!$C$2:$C$136,MATCH(Data!D1509,対訳マスタ!$B$2:$B$136,0)),Data!D1509))</f>
        <v>言語能力</v>
      </c>
      <c r="E1509" s="82" t="str">
        <f aca="false">IFERROR(INDEX(対訳マスタ!$C$2:$C$136,MATCH(Data!E1509,対訳マスタ!$B$2:$B$136,0)),Data!E1509)</f>
        <v>空間文法の正確さ</v>
      </c>
      <c r="F1509" s="82" t="str">
        <f aca="false">Data!F1509</f>
        <v>A2</v>
      </c>
      <c r="G1509" s="81" t="str">
        <f aca="false">Data!G1509</f>
        <v>Can express lists and sequences &lt;and...,... plus.&gt;).</v>
      </c>
      <c r="H1509" s="81"/>
      <c r="I1509" s="82" t="s">
        <v>3625</v>
      </c>
    </row>
    <row r="1510" customFormat="false" ht="15" hidden="false" customHeight="true" outlineLevel="0" collapsed="false">
      <c r="A1510" s="82" t="n">
        <f aca="false">Data!A1510</f>
        <v>1509</v>
      </c>
      <c r="B1510" s="82" t="str">
        <f aca="false">IFERROR(INDEX(対訳マスタ!$C$2:$C$136,MATCH(Data!B1510,対訳マスタ!$B$2:$B$136,0)),Data!B1510)</f>
        <v>手話能力</v>
      </c>
      <c r="C1510" s="82" t="str">
        <f aca="false">IF(Data!C1510="—","—",IFERROR(INDEX(対訳マスタ!$C$2:$C$136,MATCH(Data!C1510,対訳マスタ!$B$2:$B$136,0)),Data!C1510))</f>
        <v>産出</v>
      </c>
      <c r="D1510" s="82" t="str">
        <f aca="false">IF(Data!D1510="—","—",IFERROR(INDEX(対訳マスタ!$C$2:$C$136,MATCH(Data!D1510,対訳マスタ!$B$2:$B$136,0)),Data!D1510))</f>
        <v>言語能力</v>
      </c>
      <c r="E1510" s="82" t="str">
        <f aca="false">IFERROR(INDEX(対訳マスタ!$C$2:$C$136,MATCH(Data!E1510,対訳マスタ!$B$2:$B$136,0)),Data!E1510)</f>
        <v>空間文法の正確さ</v>
      </c>
      <c r="F1510" s="82" t="str">
        <f aca="false">Data!F1510</f>
        <v>A2</v>
      </c>
      <c r="G1510" s="81" t="str">
        <f aca="false">Data!G1510</f>
        <v>Can employ productive signs correctly in simple sentences.</v>
      </c>
      <c r="H1510" s="81"/>
      <c r="I1510" s="82" t="s">
        <v>3625</v>
      </c>
    </row>
    <row r="1511" customFormat="false" ht="15" hidden="false" customHeight="true" outlineLevel="0" collapsed="false">
      <c r="A1511" s="82" t="n">
        <f aca="false">Data!A1511</f>
        <v>1510</v>
      </c>
      <c r="B1511" s="82" t="str">
        <f aca="false">IFERROR(INDEX(対訳マスタ!$C$2:$C$136,MATCH(Data!B1511,対訳マスタ!$B$2:$B$136,0)),Data!B1511)</f>
        <v>手話能力</v>
      </c>
      <c r="C1511" s="82" t="str">
        <f aca="false">IF(Data!C1511="—","—",IFERROR(INDEX(対訳マスタ!$C$2:$C$136,MATCH(Data!C1511,対訳マスタ!$B$2:$B$136,0)),Data!C1511))</f>
        <v>産出</v>
      </c>
      <c r="D1511" s="82" t="str">
        <f aca="false">IF(Data!D1511="—","—",IFERROR(INDEX(対訳マスタ!$C$2:$C$136,MATCH(Data!D1511,対訳マスタ!$B$2:$B$136,0)),Data!D1511))</f>
        <v>言語能力</v>
      </c>
      <c r="E1511" s="82" t="str">
        <f aca="false">IFERROR(INDEX(対訳マスタ!$C$2:$C$136,MATCH(Data!E1511,対訳マスタ!$B$2:$B$136,0)),Data!E1511)</f>
        <v>空間文法の正確さ</v>
      </c>
      <c r="F1511" s="82" t="str">
        <f aca="false">Data!F1511</f>
        <v>A1</v>
      </c>
      <c r="G1511" s="81" t="str">
        <f aca="false">Data!G1511</f>
        <v>Can use personal pronouns correctly.</v>
      </c>
      <c r="H1511" s="81"/>
      <c r="I1511" s="82" t="s">
        <v>3625</v>
      </c>
    </row>
    <row r="1512" customFormat="false" ht="15" hidden="false" customHeight="true" outlineLevel="0" collapsed="false">
      <c r="A1512" s="82" t="n">
        <f aca="false">Data!A1512</f>
        <v>1511</v>
      </c>
      <c r="B1512" s="82" t="str">
        <f aca="false">IFERROR(INDEX(対訳マスタ!$C$2:$C$136,MATCH(Data!B1512,対訳マスタ!$B$2:$B$136,0)),Data!B1512)</f>
        <v>手話能力</v>
      </c>
      <c r="C1512" s="82" t="str">
        <f aca="false">IF(Data!C1512="—","—",IFERROR(INDEX(対訳マスタ!$C$2:$C$136,MATCH(Data!C1512,対訳マスタ!$B$2:$B$136,0)),Data!C1512))</f>
        <v>産出</v>
      </c>
      <c r="D1512" s="82" t="str">
        <f aca="false">IF(Data!D1512="—","—",IFERROR(INDEX(対訳マスタ!$C$2:$C$136,MATCH(Data!D1512,対訳マスタ!$B$2:$B$136,0)),Data!D1512))</f>
        <v>言語能力</v>
      </c>
      <c r="E1512" s="82" t="str">
        <f aca="false">IFERROR(INDEX(対訳マスタ!$C$2:$C$136,MATCH(Data!E1512,対訳マスタ!$B$2:$B$136,0)),Data!E1512)</f>
        <v>空間文法の正確さ</v>
      </c>
      <c r="F1512" s="82" t="str">
        <f aca="false">Data!F1512</f>
        <v>A1</v>
      </c>
      <c r="G1512" s="81" t="str">
        <f aca="false">Data!G1512</f>
        <v>Can construct simple sentences with SVO and SOV patterns.</v>
      </c>
      <c r="H1512" s="81"/>
      <c r="I1512" s="82" t="s">
        <v>3625</v>
      </c>
    </row>
    <row r="1513" customFormat="false" ht="15" hidden="false" customHeight="true" outlineLevel="0" collapsed="false">
      <c r="A1513" s="82" t="n">
        <f aca="false">Data!A1513</f>
        <v>1512</v>
      </c>
      <c r="B1513" s="82" t="str">
        <f aca="false">IFERROR(INDEX(対訳マスタ!$C$2:$C$136,MATCH(Data!B1513,対訳マスタ!$B$2:$B$136,0)),Data!B1513)</f>
        <v>手話能力</v>
      </c>
      <c r="C1513" s="82" t="str">
        <f aca="false">IF(Data!C1513="—","—",IFERROR(INDEX(対訳マスタ!$C$2:$C$136,MATCH(Data!C1513,対訳マスタ!$B$2:$B$136,0)),Data!C1513))</f>
        <v>産出</v>
      </c>
      <c r="D1513" s="82" t="str">
        <f aca="false">IF(Data!D1513="—","—",IFERROR(INDEX(対訳マスタ!$C$2:$C$136,MATCH(Data!D1513,対訳マスタ!$B$2:$B$136,0)),Data!D1513))</f>
        <v>言語能力</v>
      </c>
      <c r="E1513" s="82" t="str">
        <f aca="false">IFERROR(INDEX(対訳マスタ!$C$2:$C$136,MATCH(Data!E1513,対訳マスタ!$B$2:$B$136,0)),Data!E1513)</f>
        <v>空間文法の正確さ</v>
      </c>
      <c r="F1513" s="82" t="str">
        <f aca="false">Data!F1513</f>
        <v>A1</v>
      </c>
      <c r="G1513" s="81" t="str">
        <f aca="false">Data!G1513</f>
        <v>Can represent the thickness of an object by using productive signs.</v>
      </c>
      <c r="H1513" s="81"/>
      <c r="I1513" s="82" t="s">
        <v>3625</v>
      </c>
    </row>
    <row r="1514" customFormat="false" ht="15" hidden="false" customHeight="true" outlineLevel="0" collapsed="false">
      <c r="A1514" s="82" t="n">
        <f aca="false">Data!A1514</f>
        <v>1513</v>
      </c>
      <c r="B1514" s="82" t="str">
        <f aca="false">IFERROR(INDEX(対訳マスタ!$C$2:$C$136,MATCH(Data!B1514,対訳マスタ!$B$2:$B$136,0)),Data!B1514)</f>
        <v>手話能力</v>
      </c>
      <c r="C1514" s="82" t="str">
        <f aca="false">IF(Data!C1514="—","—",IFERROR(INDEX(対訳マスタ!$C$2:$C$136,MATCH(Data!C1514,対訳マスタ!$B$2:$B$136,0)),Data!C1514))</f>
        <v>産出</v>
      </c>
      <c r="D1514" s="82" t="str">
        <f aca="false">IF(Data!D1514="—","—",IFERROR(INDEX(対訳マスタ!$C$2:$C$136,MATCH(Data!D1514,対訳マスタ!$B$2:$B$136,0)),Data!D1514))</f>
        <v>言語能力</v>
      </c>
      <c r="E1514" s="82" t="str">
        <f aca="false">IFERROR(INDEX(対訳マスタ!$C$2:$C$136,MATCH(Data!E1514,対訳マスタ!$B$2:$B$136,0)),Data!E1514)</f>
        <v>空間文法の正確さ</v>
      </c>
      <c r="F1514" s="82" t="str">
        <f aca="false">Data!F1514</f>
        <v>A1</v>
      </c>
      <c r="G1514" s="81" t="str">
        <f aca="false">Data!G1514</f>
        <v>Can construct a simple sentence using lexical signs.</v>
      </c>
      <c r="H1514" s="81"/>
      <c r="I1514" s="82" t="s">
        <v>3625</v>
      </c>
    </row>
    <row r="1515" customFormat="false" ht="15" hidden="false" customHeight="true" outlineLevel="0" collapsed="false">
      <c r="A1515" s="82" t="n">
        <f aca="false">Data!A1515</f>
        <v>1514</v>
      </c>
      <c r="B1515" s="82" t="str">
        <f aca="false">IFERROR(INDEX(対訳マスタ!$C$2:$C$136,MATCH(Data!B1515,対訳マスタ!$B$2:$B$136,0)),Data!B1515)</f>
        <v>手話能力</v>
      </c>
      <c r="C1515" s="82" t="str">
        <f aca="false">IF(Data!C1515="—","—",IFERROR(INDEX(対訳マスタ!$C$2:$C$136,MATCH(Data!C1515,対訳マスタ!$B$2:$B$136,0)),Data!C1515))</f>
        <v>産出</v>
      </c>
      <c r="D1515" s="82" t="str">
        <f aca="false">IF(Data!D1515="—","—",IFERROR(INDEX(対訳マスタ!$C$2:$C$136,MATCH(Data!D1515,対訳マスタ!$B$2:$B$136,0)),Data!D1515))</f>
        <v>言語能力</v>
      </c>
      <c r="E1515" s="82" t="str">
        <f aca="false">IFERROR(INDEX(対訳マスタ!$C$2:$C$136,MATCH(Data!E1515,対訳マスタ!$B$2:$B$136,0)),Data!E1515)</f>
        <v>空間文法の正確さ</v>
      </c>
      <c r="F1515" s="82" t="str">
        <f aca="false">Data!F1515</f>
        <v>A1</v>
      </c>
      <c r="G1515" s="81" t="str">
        <f aca="false">Data!G1515</f>
        <v>Can form plurals through use of repetition or by marking a number.</v>
      </c>
      <c r="H1515" s="81"/>
      <c r="I1515" s="82" t="s">
        <v>3625</v>
      </c>
    </row>
    <row r="1516" customFormat="false" ht="21.75" hidden="false" customHeight="true" outlineLevel="0" collapsed="false">
      <c r="A1516" s="82" t="n">
        <f aca="false">Data!A1516</f>
        <v>1515</v>
      </c>
      <c r="B1516" s="82" t="str">
        <f aca="false">IFERROR(INDEX(対訳マスタ!$C$2:$C$136,MATCH(Data!B1516,対訳マスタ!$B$2:$B$136,0)),Data!B1516)</f>
        <v>手話能力</v>
      </c>
      <c r="C1516" s="82" t="str">
        <f aca="false">IF(Data!C1516="—","—",IFERROR(INDEX(対訳マスタ!$C$2:$C$136,MATCH(Data!C1516,対訳マスタ!$B$2:$B$136,0)),Data!C1516))</f>
        <v>受容</v>
      </c>
      <c r="D1516" s="82" t="str">
        <f aca="false">IF(Data!D1516="—","—",IFERROR(INDEX(対訳マスタ!$C$2:$C$136,MATCH(Data!D1516,対訳マスタ!$B$2:$B$136,0)),Data!D1516))</f>
        <v>社会言語能力</v>
      </c>
      <c r="E1516" s="82" t="str">
        <f aca="false">IFERROR(INDEX(対訳マスタ!$C$2:$C$136,MATCH(Data!E1516,対訳マスタ!$B$2:$B$136,0)),Data!E1516)</f>
        <v>社会言語的適切さと文化レパートリー</v>
      </c>
      <c r="F1516" s="82" t="str">
        <f aca="false">Data!F1516</f>
        <v>C2</v>
      </c>
      <c r="G1516" s="81" t="str">
        <f aca="false">Data!G1516</f>
        <v>Can recognise sociocultural conventions in unfamiliar texts (e.g., appropriate register, polite forms, social status, taboo subjects).</v>
      </c>
      <c r="H1516" s="81"/>
      <c r="I1516" s="82" t="s">
        <v>3625</v>
      </c>
    </row>
    <row r="1517" customFormat="false" ht="21.75" hidden="false" customHeight="true" outlineLevel="0" collapsed="false">
      <c r="A1517" s="82" t="n">
        <f aca="false">Data!A1517</f>
        <v>1516</v>
      </c>
      <c r="B1517" s="82" t="str">
        <f aca="false">IFERROR(INDEX(対訳マスタ!$C$2:$C$136,MATCH(Data!B1517,対訳マスタ!$B$2:$B$136,0)),Data!B1517)</f>
        <v>手話能力</v>
      </c>
      <c r="C1517" s="82" t="str">
        <f aca="false">IF(Data!C1517="—","—",IFERROR(INDEX(対訳マスタ!$C$2:$C$136,MATCH(Data!C1517,対訳マスタ!$B$2:$B$136,0)),Data!C1517))</f>
        <v>受容</v>
      </c>
      <c r="D1517" s="82" t="str">
        <f aca="false">IF(Data!D1517="—","—",IFERROR(INDEX(対訳マスタ!$C$2:$C$136,MATCH(Data!D1517,対訳マスタ!$B$2:$B$136,0)),Data!D1517))</f>
        <v>社会言語能力</v>
      </c>
      <c r="E1517" s="82" t="str">
        <f aca="false">IFERROR(INDEX(対訳マスタ!$C$2:$C$136,MATCH(Data!E1517,対訳マスタ!$B$2:$B$136,0)),Data!E1517)</f>
        <v>社会言語的適切さと文化レパートリー</v>
      </c>
      <c r="F1517" s="82" t="str">
        <f aca="false">Data!F1517</f>
        <v>C2</v>
      </c>
      <c r="G1517" s="81" t="str">
        <f aca="false">Data!G1517</f>
        <v>Can recognise when the signer gives the characters in a story their own linguistic profile and can describe these profiles.</v>
      </c>
      <c r="H1517" s="81"/>
      <c r="I1517" s="82" t="s">
        <v>3625</v>
      </c>
    </row>
    <row r="1518" customFormat="false" ht="15" hidden="false" customHeight="true" outlineLevel="0" collapsed="false">
      <c r="A1518" s="82" t="n">
        <f aca="false">Data!A1518</f>
        <v>1517</v>
      </c>
      <c r="B1518" s="82" t="str">
        <f aca="false">IFERROR(INDEX(対訳マスタ!$C$2:$C$136,MATCH(Data!B1518,対訳マスタ!$B$2:$B$136,0)),Data!B1518)</f>
        <v>手話能力</v>
      </c>
      <c r="C1518" s="82" t="str">
        <f aca="false">IF(Data!C1518="—","—",IFERROR(INDEX(対訳マスタ!$C$2:$C$136,MATCH(Data!C1518,対訳マスタ!$B$2:$B$136,0)),Data!C1518))</f>
        <v>受容</v>
      </c>
      <c r="D1518" s="82" t="str">
        <f aca="false">IF(Data!D1518="—","—",IFERROR(INDEX(対訳マスタ!$C$2:$C$136,MATCH(Data!D1518,対訳マスタ!$B$2:$B$136,0)),Data!D1518))</f>
        <v>社会言語能力</v>
      </c>
      <c r="E1518" s="82" t="str">
        <f aca="false">IFERROR(INDEX(対訳マスタ!$C$2:$C$136,MATCH(Data!E1518,対訳マスタ!$B$2:$B$136,0)),Data!E1518)</f>
        <v>社会言語的適切さと文化レパートリー</v>
      </c>
      <c r="F1518" s="82" t="str">
        <f aca="false">Data!F1518</f>
        <v>C1</v>
      </c>
      <c r="G1518" s="81" t="str">
        <f aca="false">Data!G1518</f>
        <v>Can recognise the linguistic register chosen by the signer on the basis of the signs used.</v>
      </c>
      <c r="H1518" s="81"/>
      <c r="I1518" s="82" t="s">
        <v>3625</v>
      </c>
    </row>
    <row r="1519" customFormat="false" ht="21.75" hidden="false" customHeight="true" outlineLevel="0" collapsed="false">
      <c r="A1519" s="82" t="n">
        <f aca="false">Data!A1519</f>
        <v>1518</v>
      </c>
      <c r="B1519" s="82" t="str">
        <f aca="false">IFERROR(INDEX(対訳マスタ!$C$2:$C$136,MATCH(Data!B1519,対訳マスタ!$B$2:$B$136,0)),Data!B1519)</f>
        <v>手話能力</v>
      </c>
      <c r="C1519" s="82" t="str">
        <f aca="false">IF(Data!C1519="—","—",IFERROR(INDEX(対訳マスタ!$C$2:$C$136,MATCH(Data!C1519,対訳マスタ!$B$2:$B$136,0)),Data!C1519))</f>
        <v>受容</v>
      </c>
      <c r="D1519" s="82" t="str">
        <f aca="false">IF(Data!D1519="—","—",IFERROR(INDEX(対訳マスタ!$C$2:$C$136,MATCH(Data!D1519,対訳マスタ!$B$2:$B$136,0)),Data!D1519))</f>
        <v>社会言語能力</v>
      </c>
      <c r="E1519" s="82" t="str">
        <f aca="false">IFERROR(INDEX(対訳マスタ!$C$2:$C$136,MATCH(Data!E1519,対訳マスタ!$B$2:$B$136,0)),Data!E1519)</f>
        <v>社会言語的適切さと文化レパートリー</v>
      </c>
      <c r="F1519" s="82" t="str">
        <f aca="false">Data!F1519</f>
        <v>C1</v>
      </c>
      <c r="G1519" s="81" t="str">
        <f aca="false">Data!G1519</f>
        <v>Can recognise when a signer switches from an informal to a formal register or vice versa.</v>
      </c>
      <c r="H1519" s="81"/>
      <c r="I1519" s="82" t="s">
        <v>3625</v>
      </c>
    </row>
    <row r="1520" customFormat="false" ht="15" hidden="false" customHeight="true" outlineLevel="0" collapsed="false">
      <c r="A1520" s="82" t="n">
        <f aca="false">Data!A1520</f>
        <v>1519</v>
      </c>
      <c r="B1520" s="82" t="str">
        <f aca="false">IFERROR(INDEX(対訳マスタ!$C$2:$C$136,MATCH(Data!B1520,対訳マスタ!$B$2:$B$136,0)),Data!B1520)</f>
        <v>手話能力</v>
      </c>
      <c r="C1520" s="82" t="str">
        <f aca="false">IF(Data!C1520="—","—",IFERROR(INDEX(対訳マスタ!$C$2:$C$136,MATCH(Data!C1520,対訳マスタ!$B$2:$B$136,0)),Data!C1520))</f>
        <v>受容</v>
      </c>
      <c r="D1520" s="82" t="str">
        <f aca="false">IF(Data!D1520="—","—",IFERROR(INDEX(対訳マスタ!$C$2:$C$136,MATCH(Data!D1520,対訳マスタ!$B$2:$B$136,0)),Data!D1520))</f>
        <v>社会言語能力</v>
      </c>
      <c r="E1520" s="82" t="str">
        <f aca="false">IFERROR(INDEX(対訳マスタ!$C$2:$C$136,MATCH(Data!E1520,対訳マスタ!$B$2:$B$136,0)),Data!E1520)</f>
        <v>社会言語的適切さと文化レパートリー</v>
      </c>
      <c r="F1520" s="82" t="str">
        <f aca="false">Data!F1520</f>
        <v>C1</v>
      </c>
      <c r="G1520" s="81" t="str">
        <f aca="false">Data!G1520</f>
        <v>Can judge whether the register employed maintains a distance appropriate to the text.</v>
      </c>
      <c r="H1520" s="81"/>
      <c r="I1520" s="82" t="s">
        <v>3625</v>
      </c>
    </row>
    <row r="1521" customFormat="false" ht="21.75" hidden="false" customHeight="true" outlineLevel="0" collapsed="false">
      <c r="A1521" s="82" t="n">
        <f aca="false">Data!A1521</f>
        <v>1520</v>
      </c>
      <c r="B1521" s="82" t="str">
        <f aca="false">IFERROR(INDEX(対訳マスタ!$C$2:$C$136,MATCH(Data!B1521,対訳マスタ!$B$2:$B$136,0)),Data!B1521)</f>
        <v>手話能力</v>
      </c>
      <c r="C1521" s="82" t="str">
        <f aca="false">IF(Data!C1521="—","—",IFERROR(INDEX(対訳マスタ!$C$2:$C$136,MATCH(Data!C1521,対訳マスタ!$B$2:$B$136,0)),Data!C1521))</f>
        <v>受容</v>
      </c>
      <c r="D1521" s="82" t="str">
        <f aca="false">IF(Data!D1521="—","—",IFERROR(INDEX(対訳マスタ!$C$2:$C$136,MATCH(Data!D1521,対訳マスタ!$B$2:$B$136,0)),Data!D1521))</f>
        <v>社会言語能力</v>
      </c>
      <c r="E1521" s="82" t="str">
        <f aca="false">IFERROR(INDEX(対訳マスタ!$C$2:$C$136,MATCH(Data!E1521,対訳マスタ!$B$2:$B$136,0)),Data!E1521)</f>
        <v>社会言語的適切さと文化レパートリー</v>
      </c>
      <c r="F1521" s="82" t="str">
        <f aca="false">Data!F1521</f>
        <v>C1</v>
      </c>
      <c r="G1521" s="81" t="str">
        <f aca="false">Data!G1521</f>
        <v>Can infer the social relationship between interlocutors (proximity, hierarchy, etc.) from their remarks.</v>
      </c>
      <c r="H1521" s="81"/>
      <c r="I1521" s="82" t="s">
        <v>3625</v>
      </c>
    </row>
    <row r="1522" customFormat="false" ht="21.75" hidden="false" customHeight="true" outlineLevel="0" collapsed="false">
      <c r="A1522" s="82" t="n">
        <f aca="false">Data!A1522</f>
        <v>1521</v>
      </c>
      <c r="B1522" s="82" t="str">
        <f aca="false">IFERROR(INDEX(対訳マスタ!$C$2:$C$136,MATCH(Data!B1522,対訳マスタ!$B$2:$B$136,0)),Data!B1522)</f>
        <v>手話能力</v>
      </c>
      <c r="C1522" s="82" t="str">
        <f aca="false">IF(Data!C1522="—","—",IFERROR(INDEX(対訳マスタ!$C$2:$C$136,MATCH(Data!C1522,対訳マスタ!$B$2:$B$136,0)),Data!C1522))</f>
        <v>受容</v>
      </c>
      <c r="D1522" s="82" t="str">
        <f aca="false">IF(Data!D1522="—","—",IFERROR(INDEX(対訳マスタ!$C$2:$C$136,MATCH(Data!D1522,対訳マスタ!$B$2:$B$136,0)),Data!D1522))</f>
        <v>社会言語能力</v>
      </c>
      <c r="E1522" s="82" t="str">
        <f aca="false">IFERROR(INDEX(対訳マスタ!$C$2:$C$136,MATCH(Data!E1522,対訳マスタ!$B$2:$B$136,0)),Data!E1522)</f>
        <v>社会言語的適切さと文化レパートリー</v>
      </c>
      <c r="F1522" s="82" t="str">
        <f aca="false">Data!F1522</f>
        <v>C1</v>
      </c>
      <c r="G1522" s="81" t="str">
        <f aca="false">Data!G1522</f>
        <v>Can indicate a person’s social status when they have seen how others address that person (by interpreting the manual signing).</v>
      </c>
      <c r="H1522" s="81"/>
      <c r="I1522" s="82" t="s">
        <v>3625</v>
      </c>
    </row>
    <row r="1523" customFormat="false" ht="32.25" hidden="false" customHeight="true" outlineLevel="0" collapsed="false">
      <c r="A1523" s="82" t="n">
        <f aca="false">Data!A1523</f>
        <v>1522</v>
      </c>
      <c r="B1523" s="82" t="str">
        <f aca="false">IFERROR(INDEX(対訳マスタ!$C$2:$C$136,MATCH(Data!B1523,対訳マスタ!$B$2:$B$136,0)),Data!B1523)</f>
        <v>手話能力</v>
      </c>
      <c r="C1523" s="82" t="str">
        <f aca="false">IF(Data!C1523="—","—",IFERROR(INDEX(対訳マスタ!$C$2:$C$136,MATCH(Data!C1523,対訳マスタ!$B$2:$B$136,0)),Data!C1523))</f>
        <v>受容</v>
      </c>
      <c r="D1523" s="82" t="str">
        <f aca="false">IF(Data!D1523="—","—",IFERROR(INDEX(対訳マスタ!$C$2:$C$136,MATCH(Data!D1523,対訳マスタ!$B$2:$B$136,0)),Data!D1523))</f>
        <v>社会言語能力</v>
      </c>
      <c r="E1523" s="82" t="str">
        <f aca="false">IFERROR(INDEX(対訳マスタ!$C$2:$C$136,MATCH(Data!E1523,対訳マスタ!$B$2:$B$136,0)),Data!E1523)</f>
        <v>社会言語的適切さと文化レパートリー</v>
      </c>
      <c r="F1523" s="82" t="str">
        <f aca="false">Data!F1523</f>
        <v>C1</v>
      </c>
      <c r="G1523" s="81" t="str">
        <f aca="false">Data!G1523</f>
        <v>Can understand discreet references to persons present when the signer, for example, employs a smaller signing space or holds a hand in front of the index finger so that it is not apparent to whom the finger is pointing.</v>
      </c>
      <c r="H1523" s="81"/>
      <c r="I1523" s="82" t="s">
        <v>3625</v>
      </c>
    </row>
    <row r="1524" customFormat="false" ht="21.75" hidden="false" customHeight="true" outlineLevel="0" collapsed="false">
      <c r="A1524" s="82" t="n">
        <f aca="false">Data!A1524</f>
        <v>1523</v>
      </c>
      <c r="B1524" s="82" t="str">
        <f aca="false">IFERROR(INDEX(対訳マスタ!$C$2:$C$136,MATCH(Data!B1524,対訳マスタ!$B$2:$B$136,0)),Data!B1524)</f>
        <v>手話能力</v>
      </c>
      <c r="C1524" s="82" t="str">
        <f aca="false">IF(Data!C1524="—","—",IFERROR(INDEX(対訳マスタ!$C$2:$C$136,MATCH(Data!C1524,対訳マスタ!$B$2:$B$136,0)),Data!C1524))</f>
        <v>受容</v>
      </c>
      <c r="D1524" s="82" t="str">
        <f aca="false">IF(Data!D1524="—","—",IFERROR(INDEX(対訳マスタ!$C$2:$C$136,MATCH(Data!D1524,対訳マスタ!$B$2:$B$136,0)),Data!D1524))</f>
        <v>社会言語能力</v>
      </c>
      <c r="E1524" s="82" t="str">
        <f aca="false">IFERROR(INDEX(対訳マスタ!$C$2:$C$136,MATCH(Data!E1524,対訳マスタ!$B$2:$B$136,0)),Data!E1524)</f>
        <v>社会言語的適切さと文化レパートリー</v>
      </c>
      <c r="F1524" s="82" t="str">
        <f aca="false">Data!F1524</f>
        <v>B2+</v>
      </c>
      <c r="G1524" s="81" t="str">
        <f aca="false">Data!G1524</f>
        <v>Can deduce from a person’s linguistic register their probable background (origin, age, occupation).</v>
      </c>
      <c r="H1524" s="81"/>
      <c r="I1524" s="82" t="s">
        <v>3625</v>
      </c>
    </row>
    <row r="1525" customFormat="false" ht="15" hidden="false" customHeight="true" outlineLevel="0" collapsed="false">
      <c r="A1525" s="82" t="n">
        <f aca="false">Data!A1525</f>
        <v>1524</v>
      </c>
      <c r="B1525" s="82" t="str">
        <f aca="false">IFERROR(INDEX(対訳マスタ!$C$2:$C$136,MATCH(Data!B1525,対訳マスタ!$B$2:$B$136,0)),Data!B1525)</f>
        <v>手話能力</v>
      </c>
      <c r="C1525" s="82" t="str">
        <f aca="false">IF(Data!C1525="—","—",IFERROR(INDEX(対訳マスタ!$C$2:$C$136,MATCH(Data!C1525,対訳マスタ!$B$2:$B$136,0)),Data!C1525))</f>
        <v>受容</v>
      </c>
      <c r="D1525" s="82" t="str">
        <f aca="false">IF(Data!D1525="—","—",IFERROR(INDEX(対訳マスタ!$C$2:$C$136,MATCH(Data!D1525,対訳マスタ!$B$2:$B$136,0)),Data!D1525))</f>
        <v>社会言語能力</v>
      </c>
      <c r="E1525" s="82" t="str">
        <f aca="false">IFERROR(INDEX(対訳マスタ!$C$2:$C$136,MATCH(Data!E1525,対訳マスタ!$B$2:$B$136,0)),Data!E1525)</f>
        <v>社会言語的適切さと文化レパートリー</v>
      </c>
      <c r="F1525" s="82" t="str">
        <f aca="false">Data!F1525</f>
        <v>B2+</v>
      </c>
      <c r="G1525" s="81" t="str">
        <f aca="false">Data!G1525</f>
        <v>Can recognise whether the register of a text is appropriate for the target audience.</v>
      </c>
      <c r="H1525" s="81"/>
      <c r="I1525" s="82" t="s">
        <v>3625</v>
      </c>
    </row>
    <row r="1526" customFormat="false" ht="21.75" hidden="false" customHeight="true" outlineLevel="0" collapsed="false">
      <c r="A1526" s="82" t="n">
        <f aca="false">Data!A1526</f>
        <v>1525</v>
      </c>
      <c r="B1526" s="82" t="str">
        <f aca="false">IFERROR(INDEX(対訳マスタ!$C$2:$C$136,MATCH(Data!B1526,対訳マスタ!$B$2:$B$136,0)),Data!B1526)</f>
        <v>手話能力</v>
      </c>
      <c r="C1526" s="82" t="str">
        <f aca="false">IF(Data!C1526="—","—",IFERROR(INDEX(対訳マスタ!$C$2:$C$136,MATCH(Data!C1526,対訳マスタ!$B$2:$B$136,0)),Data!C1526))</f>
        <v>受容</v>
      </c>
      <c r="D1526" s="82" t="str">
        <f aca="false">IF(Data!D1526="—","—",IFERROR(INDEX(対訳マスタ!$C$2:$C$136,MATCH(Data!D1526,対訳マスタ!$B$2:$B$136,0)),Data!D1526))</f>
        <v>社会言語能力</v>
      </c>
      <c r="E1526" s="82" t="str">
        <f aca="false">IFERROR(INDEX(対訳マスタ!$C$2:$C$136,MATCH(Data!E1526,対訳マスタ!$B$2:$B$136,0)),Data!E1526)</f>
        <v>社会言語的適切さと文化レパートリー</v>
      </c>
      <c r="F1526" s="82" t="str">
        <f aca="false">Data!F1526</f>
        <v>B2+</v>
      </c>
      <c r="G1526" s="81" t="str">
        <f aca="false">Data!G1526</f>
        <v>Can recognise whether a text contains all information necessary to enable a target audience with the relevant prior knowledge to understand it.</v>
      </c>
      <c r="H1526" s="81"/>
      <c r="I1526" s="82" t="s">
        <v>3625</v>
      </c>
    </row>
    <row r="1527" customFormat="false" ht="21.75" hidden="false" customHeight="true" outlineLevel="0" collapsed="false">
      <c r="A1527" s="82" t="n">
        <f aca="false">Data!A1527</f>
        <v>1526</v>
      </c>
      <c r="B1527" s="82" t="str">
        <f aca="false">IFERROR(INDEX(対訳マスタ!$C$2:$C$136,MATCH(Data!B1527,対訳マスタ!$B$2:$B$136,0)),Data!B1527)</f>
        <v>手話能力</v>
      </c>
      <c r="C1527" s="82" t="str">
        <f aca="false">IF(Data!C1527="—","—",IFERROR(INDEX(対訳マスタ!$C$2:$C$136,MATCH(Data!C1527,対訳マスタ!$B$2:$B$136,0)),Data!C1527))</f>
        <v>受容</v>
      </c>
      <c r="D1527" s="82" t="str">
        <f aca="false">IF(Data!D1527="—","—",IFERROR(INDEX(対訳マスタ!$C$2:$C$136,MATCH(Data!D1527,対訳マスタ!$B$2:$B$136,0)),Data!D1527))</f>
        <v>社会言語能力</v>
      </c>
      <c r="E1527" s="82" t="str">
        <f aca="false">IFERROR(INDEX(対訳マスタ!$C$2:$C$136,MATCH(Data!E1527,対訳マスタ!$B$2:$B$136,0)),Data!E1527)</f>
        <v>社会言語的適切さと文化レパートリー</v>
      </c>
      <c r="F1527" s="82" t="str">
        <f aca="false">Data!F1527</f>
        <v>B2+</v>
      </c>
      <c r="G1527" s="81" t="str">
        <f aca="false">Data!G1527</f>
        <v>Can recognise a person or character’s social status on the basis of manual and non-manual references in the text.</v>
      </c>
      <c r="H1527" s="81"/>
      <c r="I1527" s="82" t="s">
        <v>3625</v>
      </c>
    </row>
    <row r="1528" customFormat="false" ht="15" hidden="false" customHeight="true" outlineLevel="0" collapsed="false">
      <c r="A1528" s="82" t="n">
        <f aca="false">Data!A1528</f>
        <v>1527</v>
      </c>
      <c r="B1528" s="82" t="str">
        <f aca="false">IFERROR(INDEX(対訳マスタ!$C$2:$C$136,MATCH(Data!B1528,対訳マスタ!$B$2:$B$136,0)),Data!B1528)</f>
        <v>手話能力</v>
      </c>
      <c r="C1528" s="82" t="str">
        <f aca="false">IF(Data!C1528="—","—",IFERROR(INDEX(対訳マスタ!$C$2:$C$136,MATCH(Data!C1528,対訳マスタ!$B$2:$B$136,0)),Data!C1528))</f>
        <v>受容</v>
      </c>
      <c r="D1528" s="82" t="str">
        <f aca="false">IF(Data!D1528="—","—",IFERROR(INDEX(対訳マスタ!$C$2:$C$136,MATCH(Data!D1528,対訳マスタ!$B$2:$B$136,0)),Data!D1528))</f>
        <v>社会言語能力</v>
      </c>
      <c r="E1528" s="82" t="str">
        <f aca="false">IFERROR(INDEX(対訳マスタ!$C$2:$C$136,MATCH(Data!E1528,対訳マスタ!$B$2:$B$136,0)),Data!E1528)</f>
        <v>社会言語的適切さと文化レパートリー</v>
      </c>
      <c r="F1528" s="82" t="str">
        <f aca="false">Data!F1528</f>
        <v>B2+</v>
      </c>
      <c r="G1528" s="81" t="str">
        <f aca="false">Data!G1528</f>
        <v>Can understand the abbreviations commonly used in the deaf community.</v>
      </c>
      <c r="H1528" s="81"/>
      <c r="I1528" s="82" t="s">
        <v>3625</v>
      </c>
    </row>
    <row r="1529" customFormat="false" ht="21.75" hidden="false" customHeight="true" outlineLevel="0" collapsed="false">
      <c r="A1529" s="82" t="n">
        <f aca="false">Data!A1529</f>
        <v>1528</v>
      </c>
      <c r="B1529" s="82" t="str">
        <f aca="false">IFERROR(INDEX(対訳マスタ!$C$2:$C$136,MATCH(Data!B1529,対訳マスタ!$B$2:$B$136,0)),Data!B1529)</f>
        <v>手話能力</v>
      </c>
      <c r="C1529" s="82" t="str">
        <f aca="false">IF(Data!C1529="—","—",IFERROR(INDEX(対訳マスタ!$C$2:$C$136,MATCH(Data!C1529,対訳マスタ!$B$2:$B$136,0)),Data!C1529))</f>
        <v>受容</v>
      </c>
      <c r="D1529" s="82" t="str">
        <f aca="false">IF(Data!D1529="—","—",IFERROR(INDEX(対訳マスタ!$C$2:$C$136,MATCH(Data!D1529,対訳マスタ!$B$2:$B$136,0)),Data!D1529))</f>
        <v>社会言語能力</v>
      </c>
      <c r="E1529" s="82" t="str">
        <f aca="false">IFERROR(INDEX(対訳マスタ!$C$2:$C$136,MATCH(Data!E1529,対訳マスタ!$B$2:$B$136,0)),Data!E1529)</f>
        <v>社会言語的適切さと文化レパートリー</v>
      </c>
      <c r="F1529" s="82" t="str">
        <f aca="false">Data!F1529</f>
        <v>B2</v>
      </c>
      <c r="G1529" s="81" t="str">
        <f aca="false">Data!G1529</f>
        <v>Can attribute a text to a target audience on the basis of the size of a sign, e.g., big/formal or small/intimate setting.</v>
      </c>
      <c r="H1529" s="81"/>
      <c r="I1529" s="82" t="s">
        <v>3625</v>
      </c>
    </row>
    <row r="1530" customFormat="false" ht="21.75" hidden="false" customHeight="true" outlineLevel="0" collapsed="false">
      <c r="A1530" s="82" t="n">
        <f aca="false">Data!A1530</f>
        <v>1529</v>
      </c>
      <c r="B1530" s="82" t="str">
        <f aca="false">IFERROR(INDEX(対訳マスタ!$C$2:$C$136,MATCH(Data!B1530,対訳マスタ!$B$2:$B$136,0)),Data!B1530)</f>
        <v>手話能力</v>
      </c>
      <c r="C1530" s="82" t="str">
        <f aca="false">IF(Data!C1530="—","—",IFERROR(INDEX(対訳マスタ!$C$2:$C$136,MATCH(Data!C1530,対訳マスタ!$B$2:$B$136,0)),Data!C1530))</f>
        <v>受容</v>
      </c>
      <c r="D1530" s="82" t="str">
        <f aca="false">IF(Data!D1530="—","—",IFERROR(INDEX(対訳マスタ!$C$2:$C$136,MATCH(Data!D1530,対訳マスタ!$B$2:$B$136,0)),Data!D1530))</f>
        <v>社会言語能力</v>
      </c>
      <c r="E1530" s="82" t="str">
        <f aca="false">IFERROR(INDEX(対訳マスタ!$C$2:$C$136,MATCH(Data!E1530,対訳マスタ!$B$2:$B$136,0)),Data!E1530)</f>
        <v>社会言語的適切さと文化レパートリー</v>
      </c>
      <c r="F1530" s="82" t="str">
        <f aca="false">Data!F1530</f>
        <v>B2</v>
      </c>
      <c r="G1530" s="81" t="str">
        <f aca="false">Data!G1530</f>
        <v>Can assign the text to a formal or informal context on the basis of manual or non-manual features in the introduction to the text.</v>
      </c>
      <c r="H1530" s="81"/>
      <c r="I1530" s="82" t="s">
        <v>3625</v>
      </c>
    </row>
    <row r="1531" customFormat="false" ht="21.75" hidden="false" customHeight="true" outlineLevel="0" collapsed="false">
      <c r="A1531" s="82" t="n">
        <f aca="false">Data!A1531</f>
        <v>1530</v>
      </c>
      <c r="B1531" s="82" t="str">
        <f aca="false">IFERROR(INDEX(対訳マスタ!$C$2:$C$136,MATCH(Data!B1531,対訳マスタ!$B$2:$B$136,0)),Data!B1531)</f>
        <v>手話能力</v>
      </c>
      <c r="C1531" s="82" t="str">
        <f aca="false">IF(Data!C1531="—","—",IFERROR(INDEX(対訳マスタ!$C$2:$C$136,MATCH(Data!C1531,対訳マスタ!$B$2:$B$136,0)),Data!C1531))</f>
        <v>受容</v>
      </c>
      <c r="D1531" s="82" t="str">
        <f aca="false">IF(Data!D1531="—","—",IFERROR(INDEX(対訳マスタ!$C$2:$C$136,MATCH(Data!D1531,対訳マスタ!$B$2:$B$136,0)),Data!D1531))</f>
        <v>社会言語能力</v>
      </c>
      <c r="E1531" s="82" t="str">
        <f aca="false">IFERROR(INDEX(対訳マスタ!$C$2:$C$136,MATCH(Data!E1531,対訳マスタ!$B$2:$B$136,0)),Data!E1531)</f>
        <v>社会言語的適切さと文化レパートリー</v>
      </c>
      <c r="F1531" s="82" t="str">
        <f aca="false">Data!F1531</f>
        <v>B2</v>
      </c>
      <c r="G1531" s="81" t="str">
        <f aca="false">Data!G1531</f>
        <v>Can judge whether a person introduces themselves to other deaf people in a culturally appropriate way.</v>
      </c>
      <c r="H1531" s="81"/>
      <c r="I1531" s="82" t="s">
        <v>3625</v>
      </c>
    </row>
    <row r="1532" customFormat="false" ht="15" hidden="false" customHeight="true" outlineLevel="0" collapsed="false">
      <c r="A1532" s="82" t="n">
        <f aca="false">Data!A1532</f>
        <v>1531</v>
      </c>
      <c r="B1532" s="82" t="str">
        <f aca="false">IFERROR(INDEX(対訳マスタ!$C$2:$C$136,MATCH(Data!B1532,対訳マスタ!$B$2:$B$136,0)),Data!B1532)</f>
        <v>手話能力</v>
      </c>
      <c r="C1532" s="82" t="str">
        <f aca="false">IF(Data!C1532="—","—",IFERROR(INDEX(対訳マスタ!$C$2:$C$136,MATCH(Data!C1532,対訳マスタ!$B$2:$B$136,0)),Data!C1532))</f>
        <v>受容</v>
      </c>
      <c r="D1532" s="82" t="str">
        <f aca="false">IF(Data!D1532="—","—",IFERROR(INDEX(対訳マスタ!$C$2:$C$136,MATCH(Data!D1532,対訳マスタ!$B$2:$B$136,0)),Data!D1532))</f>
        <v>社会言語能力</v>
      </c>
      <c r="E1532" s="82" t="str">
        <f aca="false">IFERROR(INDEX(対訳マスタ!$C$2:$C$136,MATCH(Data!E1532,対訳マスタ!$B$2:$B$136,0)),Data!E1532)</f>
        <v>社会言語的適切さと文化レパートリー</v>
      </c>
      <c r="F1532" s="82" t="str">
        <f aca="false">Data!F1532</f>
        <v>B2</v>
      </c>
      <c r="G1532" s="81" t="str">
        <f aca="false">Data!G1532</f>
        <v>Can recognise and understand cultural references in texts.</v>
      </c>
      <c r="H1532" s="81"/>
      <c r="I1532" s="82" t="s">
        <v>3625</v>
      </c>
    </row>
    <row r="1533" customFormat="false" ht="21.75" hidden="false" customHeight="true" outlineLevel="0" collapsed="false">
      <c r="A1533" s="82" t="n">
        <f aca="false">Data!A1533</f>
        <v>1532</v>
      </c>
      <c r="B1533" s="82" t="str">
        <f aca="false">IFERROR(INDEX(対訳マスタ!$C$2:$C$136,MATCH(Data!B1533,対訳マスタ!$B$2:$B$136,0)),Data!B1533)</f>
        <v>手話能力</v>
      </c>
      <c r="C1533" s="82" t="str">
        <f aca="false">IF(Data!C1533="—","—",IFERROR(INDEX(対訳マスタ!$C$2:$C$136,MATCH(Data!C1533,対訳マスタ!$B$2:$B$136,0)),Data!C1533))</f>
        <v>受容</v>
      </c>
      <c r="D1533" s="82" t="str">
        <f aca="false">IF(Data!D1533="—","—",IFERROR(INDEX(対訳マスタ!$C$2:$C$136,MATCH(Data!D1533,対訳マスタ!$B$2:$B$136,0)),Data!D1533))</f>
        <v>社会言語能力</v>
      </c>
      <c r="E1533" s="82" t="str">
        <f aca="false">IFERROR(INDEX(対訳マスタ!$C$2:$C$136,MATCH(Data!E1533,対訳マスタ!$B$2:$B$136,0)),Data!E1533)</f>
        <v>社会言語的適切さと文化レパートリー</v>
      </c>
      <c r="F1533" s="82" t="str">
        <f aca="false">Data!F1533</f>
        <v>B2</v>
      </c>
      <c r="G1533" s="81" t="str">
        <f aca="false">Data!G1533</f>
        <v>Can draw on indirect references to important events, persons and institutions in their own country in order to understand a text.</v>
      </c>
      <c r="H1533" s="81"/>
      <c r="I1533" s="82" t="s">
        <v>3625</v>
      </c>
    </row>
    <row r="1534" customFormat="false" ht="21.75" hidden="false" customHeight="true" outlineLevel="0" collapsed="false">
      <c r="A1534" s="82" t="n">
        <f aca="false">Data!A1534</f>
        <v>1533</v>
      </c>
      <c r="B1534" s="82" t="str">
        <f aca="false">IFERROR(INDEX(対訳マスタ!$C$2:$C$136,MATCH(Data!B1534,対訳マスタ!$B$2:$B$136,0)),Data!B1534)</f>
        <v>手話能力</v>
      </c>
      <c r="C1534" s="82" t="str">
        <f aca="false">IF(Data!C1534="—","—",IFERROR(INDEX(対訳マスタ!$C$2:$C$136,MATCH(Data!C1534,対訳マスタ!$B$2:$B$136,0)),Data!C1534))</f>
        <v>受容</v>
      </c>
      <c r="D1534" s="82" t="str">
        <f aca="false">IF(Data!D1534="—","—",IFERROR(INDEX(対訳マスタ!$C$2:$C$136,MATCH(Data!D1534,対訳マスタ!$B$2:$B$136,0)),Data!D1534))</f>
        <v>社会言語能力</v>
      </c>
      <c r="E1534" s="82" t="str">
        <f aca="false">IFERROR(INDEX(対訳マスタ!$C$2:$C$136,MATCH(Data!E1534,対訳マスタ!$B$2:$B$136,0)),Data!E1534)</f>
        <v>社会言語的適切さと文化レパートリー</v>
      </c>
      <c r="F1534" s="82" t="str">
        <f aca="false">Data!F1534</f>
        <v>B1+</v>
      </c>
      <c r="G1534" s="81" t="str">
        <f aca="false">Data!G1534</f>
        <v>Can understand and follow explanations on the origin of culture-specific signs, such as names of well-known people, institutions or places.</v>
      </c>
      <c r="H1534" s="81"/>
      <c r="I1534" s="82" t="s">
        <v>3625</v>
      </c>
    </row>
    <row r="1535" customFormat="false" ht="21.75" hidden="false" customHeight="true" outlineLevel="0" collapsed="false">
      <c r="A1535" s="82" t="n">
        <f aca="false">Data!A1535</f>
        <v>1534</v>
      </c>
      <c r="B1535" s="82" t="str">
        <f aca="false">IFERROR(INDEX(対訳マスタ!$C$2:$C$136,MATCH(Data!B1535,対訳マスタ!$B$2:$B$136,0)),Data!B1535)</f>
        <v>手話能力</v>
      </c>
      <c r="C1535" s="82" t="str">
        <f aca="false">IF(Data!C1535="—","—",IFERROR(INDEX(対訳マスタ!$C$2:$C$136,MATCH(Data!C1535,対訳マスタ!$B$2:$B$136,0)),Data!C1535))</f>
        <v>受容</v>
      </c>
      <c r="D1535" s="82" t="str">
        <f aca="false">IF(Data!D1535="—","—",IFERROR(INDEX(対訳マスタ!$C$2:$C$136,MATCH(Data!D1535,対訳マスタ!$B$2:$B$136,0)),Data!D1535))</f>
        <v>社会言語能力</v>
      </c>
      <c r="E1535" s="82" t="str">
        <f aca="false">IFERROR(INDEX(対訳マスタ!$C$2:$C$136,MATCH(Data!E1535,対訳マスタ!$B$2:$B$136,0)),Data!E1535)</f>
        <v>社会言語的適切さと文化レパートリー</v>
      </c>
      <c r="F1535" s="82" t="str">
        <f aca="false">Data!F1535</f>
        <v>B1</v>
      </c>
      <c r="G1535" s="81" t="str">
        <f aca="false">Data!G1535</f>
        <v>Can judge whether or not a greeting/leave-taking remark is appropriate for the type of text concerned.</v>
      </c>
      <c r="H1535" s="81"/>
      <c r="I1535" s="82" t="s">
        <v>3625</v>
      </c>
    </row>
    <row r="1536" customFormat="false" ht="21.75" hidden="false" customHeight="true" outlineLevel="0" collapsed="false">
      <c r="A1536" s="82" t="n">
        <f aca="false">Data!A1536</f>
        <v>1535</v>
      </c>
      <c r="B1536" s="82" t="str">
        <f aca="false">IFERROR(INDEX(対訳マスタ!$C$2:$C$136,MATCH(Data!B1536,対訳マスタ!$B$2:$B$136,0)),Data!B1536)</f>
        <v>手話能力</v>
      </c>
      <c r="C1536" s="82" t="str">
        <f aca="false">IF(Data!C1536="—","—",IFERROR(INDEX(対訳マスタ!$C$2:$C$136,MATCH(Data!C1536,対訳マスタ!$B$2:$B$136,0)),Data!C1536))</f>
        <v>受容</v>
      </c>
      <c r="D1536" s="82" t="str">
        <f aca="false">IF(Data!D1536="—","—",IFERROR(INDEX(対訳マスタ!$C$2:$C$136,MATCH(Data!D1536,対訳マスタ!$B$2:$B$136,0)),Data!D1536))</f>
        <v>社会言語能力</v>
      </c>
      <c r="E1536" s="82" t="str">
        <f aca="false">IFERROR(INDEX(対訳マスタ!$C$2:$C$136,MATCH(Data!E1536,対訳マスタ!$B$2:$B$136,0)),Data!E1536)</f>
        <v>社会言語的適切さと文化レパートリー</v>
      </c>
      <c r="F1536" s="82" t="str">
        <f aca="false">Data!F1536</f>
        <v>A2+</v>
      </c>
      <c r="G1536" s="81" t="str">
        <f aca="false">Data!G1536</f>
        <v>Can recognise on the basis of the sign-language address pronouns whether strangers are addressing them appropriately.</v>
      </c>
      <c r="H1536" s="81"/>
      <c r="I1536" s="82" t="s">
        <v>3625</v>
      </c>
    </row>
    <row r="1537" customFormat="false" ht="21.75" hidden="false" customHeight="true" outlineLevel="0" collapsed="false">
      <c r="A1537" s="82" t="n">
        <f aca="false">Data!A1537</f>
        <v>1536</v>
      </c>
      <c r="B1537" s="82" t="str">
        <f aca="false">IFERROR(INDEX(対訳マスタ!$C$2:$C$136,MATCH(Data!B1537,対訳マスタ!$B$2:$B$136,0)),Data!B1537)</f>
        <v>手話能力</v>
      </c>
      <c r="C1537" s="82" t="str">
        <f aca="false">IF(Data!C1537="—","—",IFERROR(INDEX(対訳マスタ!$C$2:$C$136,MATCH(Data!C1537,対訳マスタ!$B$2:$B$136,0)),Data!C1537))</f>
        <v>受容</v>
      </c>
      <c r="D1537" s="82" t="str">
        <f aca="false">IF(Data!D1537="—","—",IFERROR(INDEX(対訳マスタ!$C$2:$C$136,MATCH(Data!D1537,対訳マスタ!$B$2:$B$136,0)),Data!D1537))</f>
        <v>社会言語能力</v>
      </c>
      <c r="E1537" s="82" t="str">
        <f aca="false">IFERROR(INDEX(対訳マスタ!$C$2:$C$136,MATCH(Data!E1537,対訳マスタ!$B$2:$B$136,0)),Data!E1537)</f>
        <v>社会言語的適切さと文化レパートリー</v>
      </c>
      <c r="F1537" s="82" t="str">
        <f aca="false">Data!F1537</f>
        <v>A2+</v>
      </c>
      <c r="G1537" s="81" t="str">
        <f aca="false">Data!G1537</f>
        <v>Can recognise when someone wishes to be given the floor (e.g., raising a hand, tapping a person's arm).</v>
      </c>
      <c r="H1537" s="81"/>
      <c r="I1537" s="82" t="s">
        <v>3625</v>
      </c>
    </row>
    <row r="1538" customFormat="false" ht="21.75" hidden="false" customHeight="true" outlineLevel="0" collapsed="false">
      <c r="A1538" s="82" t="n">
        <f aca="false">Data!A1538</f>
        <v>1537</v>
      </c>
      <c r="B1538" s="82" t="str">
        <f aca="false">IFERROR(INDEX(対訳マスタ!$C$2:$C$136,MATCH(Data!B1538,対訳マスタ!$B$2:$B$136,0)),Data!B1538)</f>
        <v>手話能力</v>
      </c>
      <c r="C1538" s="82" t="str">
        <f aca="false">IF(Data!C1538="—","—",IFERROR(INDEX(対訳マスタ!$C$2:$C$136,MATCH(Data!C1538,対訳マスタ!$B$2:$B$136,0)),Data!C1538))</f>
        <v>受容</v>
      </c>
      <c r="D1538" s="82" t="str">
        <f aca="false">IF(Data!D1538="—","—",IFERROR(INDEX(対訳マスタ!$C$2:$C$136,MATCH(Data!D1538,対訳マスタ!$B$2:$B$136,0)),Data!D1538))</f>
        <v>社会言語能力</v>
      </c>
      <c r="E1538" s="82" t="str">
        <f aca="false">IFERROR(INDEX(対訳マスタ!$C$2:$C$136,MATCH(Data!E1538,対訳マスタ!$B$2:$B$136,0)),Data!E1538)</f>
        <v>社会言語的適切さと文化レパートリー</v>
      </c>
      <c r="F1538" s="82" t="str">
        <f aca="false">Data!F1538</f>
        <v>A2</v>
      </c>
      <c r="G1538" s="81" t="str">
        <f aca="false">Data!G1538</f>
        <v>Can recognise differences in register that the signer expresses manually and non-manually.</v>
      </c>
      <c r="H1538" s="81"/>
      <c r="I1538" s="82" t="s">
        <v>3625</v>
      </c>
    </row>
    <row r="1539" customFormat="false" ht="15" hidden="false" customHeight="true" outlineLevel="0" collapsed="false">
      <c r="A1539" s="82" t="n">
        <f aca="false">Data!A1539</f>
        <v>1538</v>
      </c>
      <c r="B1539" s="82" t="str">
        <f aca="false">IFERROR(INDEX(対訳マスタ!$C$2:$C$136,MATCH(Data!B1539,対訳マスタ!$B$2:$B$136,0)),Data!B1539)</f>
        <v>手話能力</v>
      </c>
      <c r="C1539" s="82" t="str">
        <f aca="false">IF(Data!C1539="—","—",IFERROR(INDEX(対訳マスタ!$C$2:$C$136,MATCH(Data!C1539,対訳マスタ!$B$2:$B$136,0)),Data!C1539))</f>
        <v>受容</v>
      </c>
      <c r="D1539" s="82" t="str">
        <f aca="false">IF(Data!D1539="—","—",IFERROR(INDEX(対訳マスタ!$C$2:$C$136,MATCH(Data!D1539,対訳マスタ!$B$2:$B$136,0)),Data!D1539))</f>
        <v>社会言語能力</v>
      </c>
      <c r="E1539" s="82" t="str">
        <f aca="false">IFERROR(INDEX(対訳マスタ!$C$2:$C$136,MATCH(Data!E1539,対訳マスタ!$B$2:$B$136,0)),Data!E1539)</f>
        <v>社会言語的適切さと文化レパートリー</v>
      </c>
      <c r="F1539" s="82" t="str">
        <f aca="false">Data!F1539</f>
        <v>A2</v>
      </c>
      <c r="G1539" s="81" t="str">
        <f aca="false">Data!G1539</f>
        <v>Can recognise whether the interlocutor responds appropriately to a &lt;thank you&gt; etc..</v>
      </c>
      <c r="H1539" s="81"/>
      <c r="I1539" s="82" t="s">
        <v>3625</v>
      </c>
    </row>
    <row r="1540" customFormat="false" ht="15" hidden="false" customHeight="true" outlineLevel="0" collapsed="false">
      <c r="A1540" s="82" t="n">
        <f aca="false">Data!A1540</f>
        <v>1539</v>
      </c>
      <c r="B1540" s="82" t="str">
        <f aca="false">IFERROR(INDEX(対訳マスタ!$C$2:$C$136,MATCH(Data!B1540,対訳マスタ!$B$2:$B$136,0)),Data!B1540)</f>
        <v>手話能力</v>
      </c>
      <c r="C1540" s="82" t="str">
        <f aca="false">IF(Data!C1540="—","—",IFERROR(INDEX(対訳マスタ!$C$2:$C$136,MATCH(Data!C1540,対訳マスタ!$B$2:$B$136,0)),Data!C1540))</f>
        <v>受容</v>
      </c>
      <c r="D1540" s="82" t="str">
        <f aca="false">IF(Data!D1540="—","—",IFERROR(INDEX(対訳マスタ!$C$2:$C$136,MATCH(Data!D1540,対訳マスタ!$B$2:$B$136,0)),Data!D1540))</f>
        <v>社会言語能力</v>
      </c>
      <c r="E1540" s="82" t="str">
        <f aca="false">IFERROR(INDEX(対訳マスタ!$C$2:$C$136,MATCH(Data!E1540,対訳マスタ!$B$2:$B$136,0)),Data!E1540)</f>
        <v>社会言語的適切さと文化レパートリー</v>
      </c>
      <c r="F1540" s="82" t="str">
        <f aca="false">Data!F1540</f>
        <v>A1</v>
      </c>
      <c r="G1540" s="81" t="str">
        <f aca="false">Data!G1540</f>
        <v>Can maintain appropriate eye contact with a signer in a dialogue.</v>
      </c>
      <c r="H1540" s="81"/>
      <c r="I1540" s="82" t="s">
        <v>3625</v>
      </c>
    </row>
    <row r="1541" customFormat="false" ht="15" hidden="false" customHeight="true" outlineLevel="0" collapsed="false">
      <c r="A1541" s="82" t="n">
        <f aca="false">Data!A1541</f>
        <v>1540</v>
      </c>
      <c r="B1541" s="82" t="str">
        <f aca="false">IFERROR(INDEX(対訳マスタ!$C$2:$C$136,MATCH(Data!B1541,対訳マスタ!$B$2:$B$136,0)),Data!B1541)</f>
        <v>手話能力</v>
      </c>
      <c r="C1541" s="82" t="str">
        <f aca="false">IF(Data!C1541="—","—",IFERROR(INDEX(対訳マスタ!$C$2:$C$136,MATCH(Data!C1541,対訳マスタ!$B$2:$B$136,0)),Data!C1541))</f>
        <v>産出</v>
      </c>
      <c r="D1541" s="82" t="str">
        <f aca="false">IF(Data!D1541="—","—",IFERROR(INDEX(対訳マスタ!$C$2:$C$136,MATCH(Data!D1541,対訳マスタ!$B$2:$B$136,0)),Data!D1541))</f>
        <v>社会言語能力</v>
      </c>
      <c r="E1541" s="82" t="str">
        <f aca="false">IFERROR(INDEX(対訳マスタ!$C$2:$C$136,MATCH(Data!E1541,対訳マスタ!$B$2:$B$136,0)),Data!E1541)</f>
        <v>社会言語的適切さと文化レパートリー</v>
      </c>
      <c r="F1541" s="82" t="str">
        <f aca="false">Data!F1541</f>
        <v>C2</v>
      </c>
      <c r="G1541" s="81" t="str">
        <f aca="false">Data!G1541</f>
        <v>No descriptors available; see C1</v>
      </c>
      <c r="H1541" s="81" t="s">
        <v>624</v>
      </c>
      <c r="I1541" s="80" t="s">
        <v>624</v>
      </c>
    </row>
    <row r="1542" customFormat="false" ht="21.75" hidden="false" customHeight="true" outlineLevel="0" collapsed="false">
      <c r="A1542" s="82" t="n">
        <f aca="false">Data!A1542</f>
        <v>1541</v>
      </c>
      <c r="B1542" s="82" t="str">
        <f aca="false">IFERROR(INDEX(対訳マスタ!$C$2:$C$136,MATCH(Data!B1542,対訳マスタ!$B$2:$B$136,0)),Data!B1542)</f>
        <v>手話能力</v>
      </c>
      <c r="C1542" s="82" t="str">
        <f aca="false">IF(Data!C1542="—","—",IFERROR(INDEX(対訳マスタ!$C$2:$C$136,MATCH(Data!C1542,対訳マスタ!$B$2:$B$136,0)),Data!C1542))</f>
        <v>産出</v>
      </c>
      <c r="D1542" s="82" t="str">
        <f aca="false">IF(Data!D1542="—","—",IFERROR(INDEX(対訳マスタ!$C$2:$C$136,MATCH(Data!D1542,対訳マスタ!$B$2:$B$136,0)),Data!D1542))</f>
        <v>社会言語能力</v>
      </c>
      <c r="E1542" s="82" t="str">
        <f aca="false">IFERROR(INDEX(対訳マスタ!$C$2:$C$136,MATCH(Data!E1542,対訳マスタ!$B$2:$B$136,0)),Data!E1542)</f>
        <v>社会言語的適切さと文化レパートリー</v>
      </c>
      <c r="F1542" s="82" t="str">
        <f aca="false">Data!F1542</f>
        <v>C1</v>
      </c>
      <c r="G1542" s="81" t="str">
        <f aca="false">Data!G1542</f>
        <v>Can respect sociocultural norms in producing texts (e.g. appropriate register, forms of politeness, status, taboos).</v>
      </c>
      <c r="H1542" s="81"/>
      <c r="I1542" s="82" t="s">
        <v>3625</v>
      </c>
    </row>
    <row r="1543" customFormat="false" ht="15" hidden="false" customHeight="true" outlineLevel="0" collapsed="false">
      <c r="A1543" s="82" t="n">
        <f aca="false">Data!A1543</f>
        <v>1542</v>
      </c>
      <c r="B1543" s="82" t="str">
        <f aca="false">IFERROR(INDEX(対訳マスタ!$C$2:$C$136,MATCH(Data!B1543,対訳マスタ!$B$2:$B$136,0)),Data!B1543)</f>
        <v>手話能力</v>
      </c>
      <c r="C1543" s="82" t="str">
        <f aca="false">IF(Data!C1543="—","—",IFERROR(INDEX(対訳マスタ!$C$2:$C$136,MATCH(Data!C1543,対訳マスタ!$B$2:$B$136,0)),Data!C1543))</f>
        <v>産出</v>
      </c>
      <c r="D1543" s="82" t="str">
        <f aca="false">IF(Data!D1543="—","—",IFERROR(INDEX(対訳マスタ!$C$2:$C$136,MATCH(Data!D1543,対訳マスタ!$B$2:$B$136,0)),Data!D1543))</f>
        <v>社会言語能力</v>
      </c>
      <c r="E1543" s="82" t="str">
        <f aca="false">IFERROR(INDEX(対訳マスタ!$C$2:$C$136,MATCH(Data!E1543,対訳マスタ!$B$2:$B$136,0)),Data!E1543)</f>
        <v>社会言語的適切さと文化レパートリー</v>
      </c>
      <c r="F1543" s="82" t="str">
        <f aca="false">Data!F1543</f>
        <v>C1</v>
      </c>
      <c r="G1543" s="81" t="str">
        <f aca="false">Data!G1543</f>
        <v>Can adapt their register to the audience concerned.</v>
      </c>
      <c r="H1543" s="81"/>
      <c r="I1543" s="82" t="s">
        <v>3625</v>
      </c>
    </row>
    <row r="1544" customFormat="false" ht="15" hidden="false" customHeight="true" outlineLevel="0" collapsed="false">
      <c r="A1544" s="82" t="n">
        <f aca="false">Data!A1544</f>
        <v>1543</v>
      </c>
      <c r="B1544" s="82" t="str">
        <f aca="false">IFERROR(INDEX(対訳マスタ!$C$2:$C$136,MATCH(Data!B1544,対訳マスタ!$B$2:$B$136,0)),Data!B1544)</f>
        <v>手話能力</v>
      </c>
      <c r="C1544" s="82" t="str">
        <f aca="false">IF(Data!C1544="—","—",IFERROR(INDEX(対訳マスタ!$C$2:$C$136,MATCH(Data!C1544,対訳マスタ!$B$2:$B$136,0)),Data!C1544))</f>
        <v>産出</v>
      </c>
      <c r="D1544" s="82" t="str">
        <f aca="false">IF(Data!D1544="—","—",IFERROR(INDEX(対訳マスタ!$C$2:$C$136,MATCH(Data!D1544,対訳マスタ!$B$2:$B$136,0)),Data!D1544))</f>
        <v>社会言語能力</v>
      </c>
      <c r="E1544" s="82" t="str">
        <f aca="false">IFERROR(INDEX(対訳マスタ!$C$2:$C$136,MATCH(Data!E1544,対訳マスタ!$B$2:$B$136,0)),Data!E1544)</f>
        <v>社会言語的適切さと文化レパートリー</v>
      </c>
      <c r="F1544" s="82" t="str">
        <f aca="false">Data!F1544</f>
        <v>C1</v>
      </c>
      <c r="G1544" s="81" t="str">
        <f aca="false">Data!G1544</f>
        <v>Can switch between formal and informal registers without effort.</v>
      </c>
      <c r="H1544" s="81"/>
      <c r="I1544" s="82" t="s">
        <v>3625</v>
      </c>
    </row>
    <row r="1545" customFormat="false" ht="21.75" hidden="false" customHeight="true" outlineLevel="0" collapsed="false">
      <c r="A1545" s="82" t="n">
        <f aca="false">Data!A1545</f>
        <v>1544</v>
      </c>
      <c r="B1545" s="82" t="str">
        <f aca="false">IFERROR(INDEX(対訳マスタ!$C$2:$C$136,MATCH(Data!B1545,対訳マスタ!$B$2:$B$136,0)),Data!B1545)</f>
        <v>手話能力</v>
      </c>
      <c r="C1545" s="82" t="str">
        <f aca="false">IF(Data!C1545="—","—",IFERROR(INDEX(対訳マスタ!$C$2:$C$136,MATCH(Data!C1545,対訳マスタ!$B$2:$B$136,0)),Data!C1545))</f>
        <v>産出</v>
      </c>
      <c r="D1545" s="82" t="str">
        <f aca="false">IF(Data!D1545="—","—",IFERROR(INDEX(対訳マスタ!$C$2:$C$136,MATCH(Data!D1545,対訳マスタ!$B$2:$B$136,0)),Data!D1545))</f>
        <v>社会言語能力</v>
      </c>
      <c r="E1545" s="82" t="str">
        <f aca="false">IFERROR(INDEX(対訳マスタ!$C$2:$C$136,MATCH(Data!E1545,対訳マスタ!$B$2:$B$136,0)),Data!E1545)</f>
        <v>社会言語的適切さと文化レパートリー</v>
      </c>
      <c r="F1545" s="82" t="str">
        <f aca="false">Data!F1545</f>
        <v>C1</v>
      </c>
      <c r="G1545" s="81" t="str">
        <f aca="false">Data!G1545</f>
        <v>Can express non-lexical difference of register through both manual and non-manual means.</v>
      </c>
      <c r="H1545" s="81"/>
      <c r="I1545" s="82" t="s">
        <v>3625</v>
      </c>
    </row>
    <row r="1546" customFormat="false" ht="15" hidden="false" customHeight="true" outlineLevel="0" collapsed="false">
      <c r="A1546" s="82" t="n">
        <f aca="false">Data!A1546</f>
        <v>1545</v>
      </c>
      <c r="B1546" s="82" t="str">
        <f aca="false">IFERROR(INDEX(対訳マスタ!$C$2:$C$136,MATCH(Data!B1546,対訳マスタ!$B$2:$B$136,0)),Data!B1546)</f>
        <v>手話能力</v>
      </c>
      <c r="C1546" s="82" t="str">
        <f aca="false">IF(Data!C1546="—","—",IFERROR(INDEX(対訳マスタ!$C$2:$C$136,MATCH(Data!C1546,対訳マスタ!$B$2:$B$136,0)),Data!C1546))</f>
        <v>産出</v>
      </c>
      <c r="D1546" s="82" t="str">
        <f aca="false">IF(Data!D1546="—","—",IFERROR(INDEX(対訳マスタ!$C$2:$C$136,MATCH(Data!D1546,対訳マスタ!$B$2:$B$136,0)),Data!D1546))</f>
        <v>社会言語能力</v>
      </c>
      <c r="E1546" s="82" t="str">
        <f aca="false">IFERROR(INDEX(対訳マスタ!$C$2:$C$136,MATCH(Data!E1546,対訳マスタ!$B$2:$B$136,0)),Data!E1546)</f>
        <v>社会言語的適切さと文化レパートリー</v>
      </c>
      <c r="F1546" s="82" t="str">
        <f aca="false">Data!F1546</f>
        <v>C1</v>
      </c>
      <c r="G1546" s="81" t="str">
        <f aca="false">Data!G1546</f>
        <v>Can tell a joke that relates to deaf experiences.</v>
      </c>
      <c r="H1546" s="81"/>
      <c r="I1546" s="82" t="s">
        <v>3625</v>
      </c>
    </row>
    <row r="1547" customFormat="false" ht="21.75" hidden="false" customHeight="true" outlineLevel="0" collapsed="false">
      <c r="A1547" s="82" t="n">
        <f aca="false">Data!A1547</f>
        <v>1546</v>
      </c>
      <c r="B1547" s="82" t="str">
        <f aca="false">IFERROR(INDEX(対訳マスタ!$C$2:$C$136,MATCH(Data!B1547,対訳マスタ!$B$2:$B$136,0)),Data!B1547)</f>
        <v>手話能力</v>
      </c>
      <c r="C1547" s="82" t="str">
        <f aca="false">IF(Data!C1547="—","—",IFERROR(INDEX(対訳マスタ!$C$2:$C$136,MATCH(Data!C1547,対訳マスタ!$B$2:$B$136,0)),Data!C1547))</f>
        <v>産出</v>
      </c>
      <c r="D1547" s="82" t="str">
        <f aca="false">IF(Data!D1547="—","—",IFERROR(INDEX(対訳マスタ!$C$2:$C$136,MATCH(Data!D1547,対訳マスタ!$B$2:$B$136,0)),Data!D1547))</f>
        <v>社会言語能力</v>
      </c>
      <c r="E1547" s="82" t="str">
        <f aca="false">IFERROR(INDEX(対訳マスタ!$C$2:$C$136,MATCH(Data!E1547,対訳マスタ!$B$2:$B$136,0)),Data!E1547)</f>
        <v>社会言語的適切さと文化レパートリー</v>
      </c>
      <c r="F1547" s="82" t="str">
        <f aca="false">Data!F1547</f>
        <v>B2+</v>
      </c>
      <c r="G1547" s="81" t="str">
        <f aca="false">Data!G1547</f>
        <v>Can gauge whether the public concerned is familiar with deafness and can explain things explicitly if necessary.</v>
      </c>
      <c r="H1547" s="81"/>
      <c r="I1547" s="82" t="s">
        <v>3625</v>
      </c>
    </row>
    <row r="1548" customFormat="false" ht="15" hidden="false" customHeight="true" outlineLevel="0" collapsed="false">
      <c r="A1548" s="82" t="n">
        <f aca="false">Data!A1548</f>
        <v>1547</v>
      </c>
      <c r="B1548" s="82" t="str">
        <f aca="false">IFERROR(INDEX(対訳マスタ!$C$2:$C$136,MATCH(Data!B1548,対訳マスタ!$B$2:$B$136,0)),Data!B1548)</f>
        <v>手話能力</v>
      </c>
      <c r="C1548" s="82" t="str">
        <f aca="false">IF(Data!C1548="—","—",IFERROR(INDEX(対訳マスタ!$C$2:$C$136,MATCH(Data!C1548,対訳マスタ!$B$2:$B$136,0)),Data!C1548))</f>
        <v>産出</v>
      </c>
      <c r="D1548" s="82" t="str">
        <f aca="false">IF(Data!D1548="—","—",IFERROR(INDEX(対訳マスタ!$C$2:$C$136,MATCH(Data!D1548,対訳マスタ!$B$2:$B$136,0)),Data!D1548))</f>
        <v>社会言語能力</v>
      </c>
      <c r="E1548" s="82" t="str">
        <f aca="false">IFERROR(INDEX(対訳マスタ!$C$2:$C$136,MATCH(Data!E1548,対訳マスタ!$B$2:$B$136,0)),Data!E1548)</f>
        <v>社会言語的適切さと文化レパートリー</v>
      </c>
      <c r="F1548" s="82" t="str">
        <f aca="false">Data!F1548</f>
        <v>B2+</v>
      </c>
      <c r="G1548" s="81" t="str">
        <f aca="false">Data!G1548</f>
        <v>Can produce lexicalised signs of different registers.</v>
      </c>
      <c r="H1548" s="81"/>
      <c r="I1548" s="82" t="s">
        <v>3625</v>
      </c>
    </row>
    <row r="1549" customFormat="false" ht="15" hidden="false" customHeight="true" outlineLevel="0" collapsed="false">
      <c r="A1549" s="82" t="n">
        <f aca="false">Data!A1549</f>
        <v>1548</v>
      </c>
      <c r="B1549" s="82" t="str">
        <f aca="false">IFERROR(INDEX(対訳マスタ!$C$2:$C$136,MATCH(Data!B1549,対訳マスタ!$B$2:$B$136,0)),Data!B1549)</f>
        <v>手話能力</v>
      </c>
      <c r="C1549" s="82" t="str">
        <f aca="false">IF(Data!C1549="—","—",IFERROR(INDEX(対訳マスタ!$C$2:$C$136,MATCH(Data!C1549,対訳マスタ!$B$2:$B$136,0)),Data!C1549))</f>
        <v>産出</v>
      </c>
      <c r="D1549" s="82" t="str">
        <f aca="false">IF(Data!D1549="—","—",IFERROR(INDEX(対訳マスタ!$C$2:$C$136,MATCH(Data!D1549,対訳マスタ!$B$2:$B$136,0)),Data!D1549))</f>
        <v>社会言語能力</v>
      </c>
      <c r="E1549" s="82" t="str">
        <f aca="false">IFERROR(INDEX(対訳マスタ!$C$2:$C$136,MATCH(Data!E1549,対訳マスタ!$B$2:$B$136,0)),Data!E1549)</f>
        <v>社会言語的適切さと文化レパートリー</v>
      </c>
      <c r="F1549" s="82" t="str">
        <f aca="false">Data!F1549</f>
        <v>B2+</v>
      </c>
      <c r="G1549" s="81" t="str">
        <f aca="false">Data!G1549</f>
        <v>Can explain facts and events that are important in deaf communities.</v>
      </c>
      <c r="H1549" s="81"/>
      <c r="I1549" s="82" t="s">
        <v>3625</v>
      </c>
    </row>
    <row r="1550" customFormat="false" ht="21.75" hidden="false" customHeight="true" outlineLevel="0" collapsed="false">
      <c r="A1550" s="82" t="n">
        <f aca="false">Data!A1550</f>
        <v>1549</v>
      </c>
      <c r="B1550" s="82" t="str">
        <f aca="false">IFERROR(INDEX(対訳マスタ!$C$2:$C$136,MATCH(Data!B1550,対訳マスタ!$B$2:$B$136,0)),Data!B1550)</f>
        <v>手話能力</v>
      </c>
      <c r="C1550" s="82" t="str">
        <f aca="false">IF(Data!C1550="—","—",IFERROR(INDEX(対訳マスタ!$C$2:$C$136,MATCH(Data!C1550,対訳マスタ!$B$2:$B$136,0)),Data!C1550))</f>
        <v>産出</v>
      </c>
      <c r="D1550" s="82" t="str">
        <f aca="false">IF(Data!D1550="—","—",IFERROR(INDEX(対訳マスタ!$C$2:$C$136,MATCH(Data!D1550,対訳マスタ!$B$2:$B$136,0)),Data!D1550))</f>
        <v>社会言語能力</v>
      </c>
      <c r="E1550" s="82" t="str">
        <f aca="false">IFERROR(INDEX(対訳マスタ!$C$2:$C$136,MATCH(Data!E1550,対訳マスタ!$B$2:$B$136,0)),Data!E1550)</f>
        <v>社会言語的適切さと文化レパートリー</v>
      </c>
      <c r="F1550" s="82" t="str">
        <f aca="false">Data!F1550</f>
        <v>B2</v>
      </c>
      <c r="G1550" s="81" t="str">
        <f aca="false">Data!G1550</f>
        <v>Can adopt the appropriate formal register in order to maintain distance from the reported issue.</v>
      </c>
      <c r="H1550" s="81"/>
      <c r="I1550" s="82" t="s">
        <v>3625</v>
      </c>
    </row>
    <row r="1551" customFormat="false" ht="32.25" hidden="false" customHeight="true" outlineLevel="0" collapsed="false">
      <c r="A1551" s="82" t="n">
        <f aca="false">Data!A1551</f>
        <v>1550</v>
      </c>
      <c r="B1551" s="82" t="str">
        <f aca="false">IFERROR(INDEX(対訳マスタ!$C$2:$C$136,MATCH(Data!B1551,対訳マスタ!$B$2:$B$136,0)),Data!B1551)</f>
        <v>手話能力</v>
      </c>
      <c r="C1551" s="82" t="str">
        <f aca="false">IF(Data!C1551="—","—",IFERROR(INDEX(対訳マスタ!$C$2:$C$136,MATCH(Data!C1551,対訳マスタ!$B$2:$B$136,0)),Data!C1551))</f>
        <v>産出</v>
      </c>
      <c r="D1551" s="82" t="str">
        <f aca="false">IF(Data!D1551="—","—",IFERROR(INDEX(対訳マスタ!$C$2:$C$136,MATCH(Data!D1551,対訳マスタ!$B$2:$B$136,0)),Data!D1551))</f>
        <v>社会言語能力</v>
      </c>
      <c r="E1551" s="82" t="str">
        <f aca="false">IFERROR(INDEX(対訳マスタ!$C$2:$C$136,MATCH(Data!E1551,対訳マスタ!$B$2:$B$136,0)),Data!E1551)</f>
        <v>社会言語的適切さと文化レパートリー</v>
      </c>
      <c r="F1551" s="82" t="str">
        <f aca="false">Data!F1551</f>
        <v>B2</v>
      </c>
      <c r="G1551" s="81" t="str">
        <f aca="false">Data!G1551</f>
        <v>Can indicate someone’s social status through the articulation of signs in the signing space (e.g. use of a higher locus in signing space to indicate a higher status than the signer’s).</v>
      </c>
      <c r="H1551" s="81"/>
      <c r="I1551" s="82" t="s">
        <v>3625</v>
      </c>
    </row>
    <row r="1552" customFormat="false" ht="21.75" hidden="false" customHeight="true" outlineLevel="0" collapsed="false">
      <c r="A1552" s="82" t="n">
        <f aca="false">Data!A1552</f>
        <v>1551</v>
      </c>
      <c r="B1552" s="82" t="str">
        <f aca="false">IFERROR(INDEX(対訳マスタ!$C$2:$C$136,MATCH(Data!B1552,対訳マスタ!$B$2:$B$136,0)),Data!B1552)</f>
        <v>手話能力</v>
      </c>
      <c r="C1552" s="82" t="str">
        <f aca="false">IF(Data!C1552="—","—",IFERROR(INDEX(対訳マスタ!$C$2:$C$136,MATCH(Data!C1552,対訳マスタ!$B$2:$B$136,0)),Data!C1552))</f>
        <v>産出</v>
      </c>
      <c r="D1552" s="82" t="str">
        <f aca="false">IF(Data!D1552="—","—",IFERROR(INDEX(対訳マスタ!$C$2:$C$136,MATCH(Data!D1552,対訳マスタ!$B$2:$B$136,0)),Data!D1552))</f>
        <v>社会言語能力</v>
      </c>
      <c r="E1552" s="82" t="str">
        <f aca="false">IFERROR(INDEX(対訳マスタ!$C$2:$C$136,MATCH(Data!E1552,対訳マスタ!$B$2:$B$136,0)),Data!E1552)</f>
        <v>社会言語的適切さと文化レパートリー</v>
      </c>
      <c r="F1552" s="82" t="str">
        <f aca="false">Data!F1552</f>
        <v>B1+</v>
      </c>
      <c r="G1552" s="81" t="str">
        <f aca="false">Data!G1552</f>
        <v>Can, as appropriate, engage in greeting/leave-taking remark, according to the type of text and the public concerned.</v>
      </c>
      <c r="H1552" s="81"/>
      <c r="I1552" s="82" t="s">
        <v>3625</v>
      </c>
    </row>
    <row r="1553" customFormat="false" ht="21.75" hidden="false" customHeight="true" outlineLevel="0" collapsed="false">
      <c r="A1553" s="82" t="n">
        <f aca="false">Data!A1553</f>
        <v>1552</v>
      </c>
      <c r="B1553" s="82" t="str">
        <f aca="false">IFERROR(INDEX(対訳マスタ!$C$2:$C$136,MATCH(Data!B1553,対訳マスタ!$B$2:$B$136,0)),Data!B1553)</f>
        <v>手話能力</v>
      </c>
      <c r="C1553" s="82" t="str">
        <f aca="false">IF(Data!C1553="—","—",IFERROR(INDEX(対訳マスタ!$C$2:$C$136,MATCH(Data!C1553,対訳マスタ!$B$2:$B$136,0)),Data!C1553))</f>
        <v>産出</v>
      </c>
      <c r="D1553" s="82" t="str">
        <f aca="false">IF(Data!D1553="—","—",IFERROR(INDEX(対訳マスタ!$C$2:$C$136,MATCH(Data!D1553,対訳マスタ!$B$2:$B$136,0)),Data!D1553))</f>
        <v>社会言語能力</v>
      </c>
      <c r="E1553" s="82" t="str">
        <f aca="false">IFERROR(INDEX(対訳マスタ!$C$2:$C$136,MATCH(Data!E1553,対訳マスタ!$B$2:$B$136,0)),Data!E1553)</f>
        <v>社会言語的適切さと文化レパートリー</v>
      </c>
      <c r="F1553" s="82" t="str">
        <f aca="false">Data!F1553</f>
        <v>B1+</v>
      </c>
      <c r="G1553" s="81" t="str">
        <f aca="false">Data!G1553</f>
        <v>Can present themselves in a manner appropriate to the type of text and the public concerned (e.g. clothes, accessories, personal appearance).[1]</v>
      </c>
      <c r="H1553" s="81"/>
      <c r="I1553" s="82" t="s">
        <v>3625</v>
      </c>
    </row>
    <row r="1554" customFormat="false" ht="15" hidden="false" customHeight="true" outlineLevel="0" collapsed="false">
      <c r="A1554" s="82" t="n">
        <f aca="false">Data!A1554</f>
        <v>1553</v>
      </c>
      <c r="B1554" s="82" t="str">
        <f aca="false">IFERROR(INDEX(対訳マスタ!$C$2:$C$136,MATCH(Data!B1554,対訳マスタ!$B$2:$B$136,0)),Data!B1554)</f>
        <v>手話能力</v>
      </c>
      <c r="C1554" s="82" t="str">
        <f aca="false">IF(Data!C1554="—","—",IFERROR(INDEX(対訳マスタ!$C$2:$C$136,MATCH(Data!C1554,対訳マスタ!$B$2:$B$136,0)),Data!C1554))</f>
        <v>産出</v>
      </c>
      <c r="D1554" s="82" t="str">
        <f aca="false">IF(Data!D1554="—","—",IFERROR(INDEX(対訳マスタ!$C$2:$C$136,MATCH(Data!D1554,対訳マスタ!$B$2:$B$136,0)),Data!D1554))</f>
        <v>社会言語能力</v>
      </c>
      <c r="E1554" s="82" t="str">
        <f aca="false">IFERROR(INDEX(対訳マスタ!$C$2:$C$136,MATCH(Data!E1554,対訳マスタ!$B$2:$B$136,0)),Data!E1554)</f>
        <v>社会言語的適切さと文化レパートリー</v>
      </c>
      <c r="F1554" s="82" t="str">
        <f aca="false">Data!F1554</f>
        <v>B1+</v>
      </c>
      <c r="G1554" s="81" t="str">
        <f aca="false">Data!G1554</f>
        <v>Can sensitise people to cultural issues.</v>
      </c>
      <c r="H1554" s="81"/>
      <c r="I1554" s="82" t="s">
        <v>3625</v>
      </c>
    </row>
    <row r="1555" customFormat="false" ht="21.75" hidden="false" customHeight="true" outlineLevel="0" collapsed="false">
      <c r="A1555" s="82" t="n">
        <f aca="false">Data!A1555</f>
        <v>1554</v>
      </c>
      <c r="B1555" s="82" t="str">
        <f aca="false">IFERROR(INDEX(対訳マスタ!$C$2:$C$136,MATCH(Data!B1555,対訳マスタ!$B$2:$B$136,0)),Data!B1555)</f>
        <v>手話能力</v>
      </c>
      <c r="C1555" s="82" t="str">
        <f aca="false">IF(Data!C1555="—","—",IFERROR(INDEX(対訳マスタ!$C$2:$C$136,MATCH(Data!C1555,対訳マスタ!$B$2:$B$136,0)),Data!C1555))</f>
        <v>産出</v>
      </c>
      <c r="D1555" s="82" t="str">
        <f aca="false">IF(Data!D1555="—","—",IFERROR(INDEX(対訳マスタ!$C$2:$C$136,MATCH(Data!D1555,対訳マスタ!$B$2:$B$136,0)),Data!D1555))</f>
        <v>社会言語能力</v>
      </c>
      <c r="E1555" s="82" t="str">
        <f aca="false">IFERROR(INDEX(対訳マスタ!$C$2:$C$136,MATCH(Data!E1555,対訳マスタ!$B$2:$B$136,0)),Data!E1555)</f>
        <v>社会言語的適切さと文化レパートリー</v>
      </c>
      <c r="F1555" s="82" t="str">
        <f aca="false">Data!F1555</f>
        <v>B1+</v>
      </c>
      <c r="G1555" s="81" t="str">
        <f aca="false">Data!G1555</f>
        <v>Can, in the course of describing travel, include cultural experiences and aspects typical of the country concerned.</v>
      </c>
      <c r="H1555" s="81"/>
      <c r="I1555" s="82" t="s">
        <v>3625</v>
      </c>
    </row>
    <row r="1556" customFormat="false" ht="15" hidden="false" customHeight="true" outlineLevel="0" collapsed="false">
      <c r="A1556" s="82" t="n">
        <f aca="false">Data!A1556</f>
        <v>1555</v>
      </c>
      <c r="B1556" s="82" t="str">
        <f aca="false">IFERROR(INDEX(対訳マスタ!$C$2:$C$136,MATCH(Data!B1556,対訳マスタ!$B$2:$B$136,0)),Data!B1556)</f>
        <v>手話能力</v>
      </c>
      <c r="C1556" s="82" t="str">
        <f aca="false">IF(Data!C1556="—","—",IFERROR(INDEX(対訳マスタ!$C$2:$C$136,MATCH(Data!C1556,対訳マスタ!$B$2:$B$136,0)),Data!C1556))</f>
        <v>産出</v>
      </c>
      <c r="D1556" s="82" t="str">
        <f aca="false">IF(Data!D1556="—","—",IFERROR(INDEX(対訳マスタ!$C$2:$C$136,MATCH(Data!D1556,対訳マスタ!$B$2:$B$136,0)),Data!D1556))</f>
        <v>社会言語能力</v>
      </c>
      <c r="E1556" s="82" t="str">
        <f aca="false">IFERROR(INDEX(対訳マスタ!$C$2:$C$136,MATCH(Data!E1556,対訳マスタ!$B$2:$B$136,0)),Data!E1556)</f>
        <v>社会言語的適切さと文化レパートリー</v>
      </c>
      <c r="F1556" s="82" t="str">
        <f aca="false">Data!F1556</f>
        <v>B1</v>
      </c>
      <c r="G1556" s="81" t="str">
        <f aca="false">Data!G1556</f>
        <v>Can introduce themselves to deaf people appropriately.</v>
      </c>
      <c r="H1556" s="81"/>
      <c r="I1556" s="82" t="s">
        <v>3625</v>
      </c>
    </row>
    <row r="1557" customFormat="false" ht="32.25" hidden="false" customHeight="true" outlineLevel="0" collapsed="false">
      <c r="A1557" s="82" t="n">
        <f aca="false">Data!A1557</f>
        <v>1556</v>
      </c>
      <c r="B1557" s="82" t="str">
        <f aca="false">IFERROR(INDEX(対訳マスタ!$C$2:$C$136,MATCH(Data!B1557,対訳マスタ!$B$2:$B$136,0)),Data!B1557)</f>
        <v>手話能力</v>
      </c>
      <c r="C1557" s="82" t="str">
        <f aca="false">IF(Data!C1557="—","—",IFERROR(INDEX(対訳マスタ!$C$2:$C$136,MATCH(Data!C1557,対訳マスタ!$B$2:$B$136,0)),Data!C1557))</f>
        <v>産出</v>
      </c>
      <c r="D1557" s="82" t="str">
        <f aca="false">IF(Data!D1557="—","—",IFERROR(INDEX(対訳マスタ!$C$2:$C$136,MATCH(Data!D1557,対訳マスタ!$B$2:$B$136,0)),Data!D1557))</f>
        <v>社会言語能力</v>
      </c>
      <c r="E1557" s="82" t="str">
        <f aca="false">IFERROR(INDEX(対訳マスタ!$C$2:$C$136,MATCH(Data!E1557,対訳マスタ!$B$2:$B$136,0)),Data!E1557)</f>
        <v>社会言語的適切さと文化レパートリー</v>
      </c>
      <c r="F1557" s="82" t="str">
        <f aca="false">Data!F1557</f>
        <v>B1</v>
      </c>
      <c r="G1557" s="81" t="str">
        <f aca="false">Data!G1557</f>
        <v>Can use their knowledge of the target sign language culture to explain the origin of certain culturally determined signs (e.g. the names of well-known people, institutions and place names).</v>
      </c>
      <c r="H1557" s="81"/>
      <c r="I1557" s="82" t="s">
        <v>3625</v>
      </c>
    </row>
    <row r="1558" customFormat="false" ht="15" hidden="false" customHeight="true" outlineLevel="0" collapsed="false">
      <c r="A1558" s="82" t="n">
        <f aca="false">Data!A1558</f>
        <v>1557</v>
      </c>
      <c r="B1558" s="82" t="str">
        <f aca="false">IFERROR(INDEX(対訳マスタ!$C$2:$C$136,MATCH(Data!B1558,対訳マスタ!$B$2:$B$136,0)),Data!B1558)</f>
        <v>手話能力</v>
      </c>
      <c r="C1558" s="82" t="str">
        <f aca="false">IF(Data!C1558="—","—",IFERROR(INDEX(対訳マスタ!$C$2:$C$136,MATCH(Data!C1558,対訳マスタ!$B$2:$B$136,0)),Data!C1558))</f>
        <v>産出</v>
      </c>
      <c r="D1558" s="82" t="str">
        <f aca="false">IF(Data!D1558="—","—",IFERROR(INDEX(対訳マスタ!$C$2:$C$136,MATCH(Data!D1558,対訳マスタ!$B$2:$B$136,0)),Data!D1558))</f>
        <v>社会言語能力</v>
      </c>
      <c r="E1558" s="82" t="str">
        <f aca="false">IFERROR(INDEX(対訳マスタ!$C$2:$C$136,MATCH(Data!E1558,対訳マスタ!$B$2:$B$136,0)),Data!E1558)</f>
        <v>社会言語的適切さと文化レパートリー</v>
      </c>
      <c r="F1558" s="82" t="str">
        <f aca="false">Data!F1558</f>
        <v>B1</v>
      </c>
      <c r="G1558" s="81" t="str">
        <f aca="false">Data!G1558</f>
        <v>Can indicate someone’s social status with non-manual means (e.g. direction of vision).</v>
      </c>
      <c r="H1558" s="81"/>
      <c r="I1558" s="82" t="s">
        <v>3625</v>
      </c>
    </row>
    <row r="1559" customFormat="false" ht="21.75" hidden="false" customHeight="true" outlineLevel="0" collapsed="false">
      <c r="A1559" s="82" t="n">
        <f aca="false">Data!A1559</f>
        <v>1558</v>
      </c>
      <c r="B1559" s="82" t="str">
        <f aca="false">IFERROR(INDEX(対訳マスタ!$C$2:$C$136,MATCH(Data!B1559,対訳マスタ!$B$2:$B$136,0)),Data!B1559)</f>
        <v>手話能力</v>
      </c>
      <c r="C1559" s="82" t="str">
        <f aca="false">IF(Data!C1559="—","—",IFERROR(INDEX(対訳マスタ!$C$2:$C$136,MATCH(Data!C1559,対訳マスタ!$B$2:$B$136,0)),Data!C1559))</f>
        <v>産出</v>
      </c>
      <c r="D1559" s="82" t="str">
        <f aca="false">IF(Data!D1559="—","—",IFERROR(INDEX(対訳マスタ!$C$2:$C$136,MATCH(Data!D1559,対訳マスタ!$B$2:$B$136,0)),Data!D1559))</f>
        <v>社会言語能力</v>
      </c>
      <c r="E1559" s="82" t="str">
        <f aca="false">IFERROR(INDEX(対訳マスタ!$C$2:$C$136,MATCH(Data!E1559,対訳マスタ!$B$2:$B$136,0)),Data!E1559)</f>
        <v>社会言語的適切さと文化レパートリー</v>
      </c>
      <c r="F1559" s="82" t="str">
        <f aca="false">Data!F1559</f>
        <v>B1</v>
      </c>
      <c r="G1559" s="81" t="str">
        <f aca="false">Data!G1559</f>
        <v>Can use the sign-abbreviations that are conventional in relation to sign language communities.</v>
      </c>
      <c r="H1559" s="81"/>
      <c r="I1559" s="82" t="s">
        <v>3625</v>
      </c>
    </row>
    <row r="1560" customFormat="false" ht="15" hidden="false" customHeight="true" outlineLevel="0" collapsed="false">
      <c r="A1560" s="82" t="n">
        <f aca="false">Data!A1560</f>
        <v>1559</v>
      </c>
      <c r="B1560" s="82" t="str">
        <f aca="false">IFERROR(INDEX(対訳マスタ!$C$2:$C$136,MATCH(Data!B1560,対訳マスタ!$B$2:$B$136,0)),Data!B1560)</f>
        <v>手話能力</v>
      </c>
      <c r="C1560" s="82" t="str">
        <f aca="false">IF(Data!C1560="—","—",IFERROR(INDEX(対訳マスタ!$C$2:$C$136,MATCH(Data!C1560,対訳マスタ!$B$2:$B$136,0)),Data!C1560))</f>
        <v>産出</v>
      </c>
      <c r="D1560" s="82" t="str">
        <f aca="false">IF(Data!D1560="—","—",IFERROR(INDEX(対訳マスタ!$C$2:$C$136,MATCH(Data!D1560,対訳マスタ!$B$2:$B$136,0)),Data!D1560))</f>
        <v>社会言語能力</v>
      </c>
      <c r="E1560" s="82" t="str">
        <f aca="false">IFERROR(INDEX(対訳マスタ!$C$2:$C$136,MATCH(Data!E1560,対訳マスタ!$B$2:$B$136,0)),Data!E1560)</f>
        <v>社会言語的適切さと文化レパートリー</v>
      </c>
      <c r="F1560" s="82" t="str">
        <f aca="false">Data!F1560</f>
        <v>A2+</v>
      </c>
      <c r="G1560" s="81" t="str">
        <f aca="false">Data!G1560</f>
        <v>Can maintain eye contact with their interlocutor while signing.</v>
      </c>
      <c r="H1560" s="81"/>
      <c r="I1560" s="82" t="s">
        <v>3625</v>
      </c>
    </row>
    <row r="1561" customFormat="false" ht="15" hidden="false" customHeight="true" outlineLevel="0" collapsed="false">
      <c r="A1561" s="82" t="n">
        <f aca="false">Data!A1561</f>
        <v>1560</v>
      </c>
      <c r="B1561" s="82" t="str">
        <f aca="false">IFERROR(INDEX(対訳マスタ!$C$2:$C$136,MATCH(Data!B1561,対訳マスタ!$B$2:$B$136,0)),Data!B1561)</f>
        <v>手話能力</v>
      </c>
      <c r="C1561" s="82" t="str">
        <f aca="false">IF(Data!C1561="—","—",IFERROR(INDEX(対訳マスタ!$C$2:$C$136,MATCH(Data!C1561,対訳マスタ!$B$2:$B$136,0)),Data!C1561))</f>
        <v>産出</v>
      </c>
      <c r="D1561" s="82" t="str">
        <f aca="false">IF(Data!D1561="—","—",IFERROR(INDEX(対訳マスタ!$C$2:$C$136,MATCH(Data!D1561,対訳マスタ!$B$2:$B$136,0)),Data!D1561))</f>
        <v>社会言語能力</v>
      </c>
      <c r="E1561" s="82" t="str">
        <f aca="false">IFERROR(INDEX(対訳マスタ!$C$2:$C$136,MATCH(Data!E1561,対訳マスタ!$B$2:$B$136,0)),Data!E1561)</f>
        <v>社会言語的適切さと文化レパートリー</v>
      </c>
      <c r="F1561" s="82" t="str">
        <f aca="false">Data!F1561</f>
        <v>A2+</v>
      </c>
      <c r="G1561" s="81" t="str">
        <f aca="false">Data!G1561</f>
        <v>Can accept or decline a direct request or demand.</v>
      </c>
      <c r="H1561" s="81"/>
      <c r="I1561" s="82" t="s">
        <v>3625</v>
      </c>
    </row>
    <row r="1562" customFormat="false" ht="21.75" hidden="false" customHeight="true" outlineLevel="0" collapsed="false">
      <c r="A1562" s="82" t="n">
        <f aca="false">Data!A1562</f>
        <v>1561</v>
      </c>
      <c r="B1562" s="82" t="str">
        <f aca="false">IFERROR(INDEX(対訳マスタ!$C$2:$C$136,MATCH(Data!B1562,対訳マスタ!$B$2:$B$136,0)),Data!B1562)</f>
        <v>手話能力</v>
      </c>
      <c r="C1562" s="82" t="str">
        <f aca="false">IF(Data!C1562="—","—",IFERROR(INDEX(対訳マスタ!$C$2:$C$136,MATCH(Data!C1562,対訳マスタ!$B$2:$B$136,0)),Data!C1562))</f>
        <v>産出</v>
      </c>
      <c r="D1562" s="82" t="str">
        <f aca="false">IF(Data!D1562="—","—",IFERROR(INDEX(対訳マスタ!$C$2:$C$136,MATCH(Data!D1562,対訳マスタ!$B$2:$B$136,0)),Data!D1562))</f>
        <v>社会言語能力</v>
      </c>
      <c r="E1562" s="82" t="str">
        <f aca="false">IFERROR(INDEX(対訳マスタ!$C$2:$C$136,MATCH(Data!E1562,対訳マスタ!$B$2:$B$136,0)),Data!E1562)</f>
        <v>社会言語的適切さと文化レパートリー</v>
      </c>
      <c r="F1562" s="82" t="str">
        <f aca="false">Data!F1562</f>
        <v>A2+</v>
      </c>
      <c r="G1562" s="81" t="str">
        <f aca="false">Data!G1562</f>
        <v>Is familiar with the common technical aids for communication between deaf and hearing people and can name them.</v>
      </c>
      <c r="H1562" s="81"/>
      <c r="I1562" s="82" t="s">
        <v>3625</v>
      </c>
    </row>
    <row r="1563" customFormat="false" ht="15" hidden="false" customHeight="true" outlineLevel="0" collapsed="false">
      <c r="A1563" s="82" t="n">
        <f aca="false">Data!A1563</f>
        <v>1562</v>
      </c>
      <c r="B1563" s="82" t="str">
        <f aca="false">IFERROR(INDEX(対訳マスタ!$C$2:$C$136,MATCH(Data!B1563,対訳マスタ!$B$2:$B$136,0)),Data!B1563)</f>
        <v>手話能力</v>
      </c>
      <c r="C1563" s="82" t="str">
        <f aca="false">IF(Data!C1563="—","—",IFERROR(INDEX(対訳マスタ!$C$2:$C$136,MATCH(Data!C1563,対訳マスタ!$B$2:$B$136,0)),Data!C1563))</f>
        <v>産出</v>
      </c>
      <c r="D1563" s="82" t="str">
        <f aca="false">IF(Data!D1563="—","—",IFERROR(INDEX(対訳マスタ!$C$2:$C$136,MATCH(Data!D1563,対訳マスタ!$B$2:$B$136,0)),Data!D1563))</f>
        <v>社会言語能力</v>
      </c>
      <c r="E1563" s="82" t="str">
        <f aca="false">IFERROR(INDEX(対訳マスタ!$C$2:$C$136,MATCH(Data!E1563,対訳マスタ!$B$2:$B$136,0)),Data!E1563)</f>
        <v>社会言語的適切さと文化レパートリー</v>
      </c>
      <c r="F1563" s="82" t="str">
        <f aca="false">Data!F1563</f>
        <v>A2</v>
      </c>
      <c r="G1563" s="81" t="str">
        <f aca="false">Data!G1563</f>
        <v>Can use an appropriate means of address when meeting an unknown deaf person.</v>
      </c>
      <c r="H1563" s="81"/>
      <c r="I1563" s="82" t="s">
        <v>3625</v>
      </c>
    </row>
    <row r="1564" customFormat="false" ht="15" hidden="false" customHeight="true" outlineLevel="0" collapsed="false">
      <c r="A1564" s="82" t="n">
        <f aca="false">Data!A1564</f>
        <v>1563</v>
      </c>
      <c r="B1564" s="82" t="str">
        <f aca="false">IFERROR(INDEX(対訳マスタ!$C$2:$C$136,MATCH(Data!B1564,対訳マスタ!$B$2:$B$136,0)),Data!B1564)</f>
        <v>手話能力</v>
      </c>
      <c r="C1564" s="82" t="str">
        <f aca="false">IF(Data!C1564="—","—",IFERROR(INDEX(対訳マスタ!$C$2:$C$136,MATCH(Data!C1564,対訳マスタ!$B$2:$B$136,0)),Data!C1564))</f>
        <v>産出</v>
      </c>
      <c r="D1564" s="82" t="str">
        <f aca="false">IF(Data!D1564="—","—",IFERROR(INDEX(対訳マスタ!$C$2:$C$136,MATCH(Data!D1564,対訳マスタ!$B$2:$B$136,0)),Data!D1564))</f>
        <v>社会言語能力</v>
      </c>
      <c r="E1564" s="82" t="str">
        <f aca="false">IFERROR(INDEX(対訳マスタ!$C$2:$C$136,MATCH(Data!E1564,対訳マスタ!$B$2:$B$136,0)),Data!E1564)</f>
        <v>社会言語的適切さと文化レパートリー</v>
      </c>
      <c r="F1564" s="82" t="str">
        <f aca="false">Data!F1564</f>
        <v>A2</v>
      </c>
      <c r="G1564" s="81" t="str">
        <f aca="false">Data!G1564</f>
        <v>Can adapt the signing space used to the context and the audience.</v>
      </c>
      <c r="H1564" s="81"/>
      <c r="I1564" s="82" t="s">
        <v>3625</v>
      </c>
    </row>
    <row r="1565" customFormat="false" ht="21.75" hidden="false" customHeight="true" outlineLevel="0" collapsed="false">
      <c r="A1565" s="82" t="n">
        <f aca="false">Data!A1565</f>
        <v>1564</v>
      </c>
      <c r="B1565" s="82" t="str">
        <f aca="false">IFERROR(INDEX(対訳マスタ!$C$2:$C$136,MATCH(Data!B1565,対訳マスタ!$B$2:$B$136,0)),Data!B1565)</f>
        <v>手話能力</v>
      </c>
      <c r="C1565" s="82" t="str">
        <f aca="false">IF(Data!C1565="—","—",IFERROR(INDEX(対訳マスタ!$C$2:$C$136,MATCH(Data!C1565,対訳マスタ!$B$2:$B$136,0)),Data!C1565))</f>
        <v>産出</v>
      </c>
      <c r="D1565" s="82" t="str">
        <f aca="false">IF(Data!D1565="—","—",IFERROR(INDEX(対訳マスタ!$C$2:$C$136,MATCH(Data!D1565,対訳マスタ!$B$2:$B$136,0)),Data!D1565))</f>
        <v>社会言語能力</v>
      </c>
      <c r="E1565" s="82" t="str">
        <f aca="false">IFERROR(INDEX(対訳マスタ!$C$2:$C$136,MATCH(Data!E1565,対訳マスタ!$B$2:$B$136,0)),Data!E1565)</f>
        <v>社会言語的適切さと文化レパートリー</v>
      </c>
      <c r="F1565" s="82" t="str">
        <f aca="false">Data!F1565</f>
        <v>A2</v>
      </c>
      <c r="G1565" s="81" t="str">
        <f aca="false">Data!G1565</f>
        <v>Can take into account aspects of the immediate environment that are important for signed communication (e.g. light, objects on the table).</v>
      </c>
      <c r="H1565" s="81"/>
      <c r="I1565" s="82" t="s">
        <v>3625</v>
      </c>
    </row>
    <row r="1566" customFormat="false" ht="15" hidden="false" customHeight="true" outlineLevel="0" collapsed="false">
      <c r="A1566" s="82" t="n">
        <f aca="false">Data!A1566</f>
        <v>1565</v>
      </c>
      <c r="B1566" s="82" t="str">
        <f aca="false">IFERROR(INDEX(対訳マスタ!$C$2:$C$136,MATCH(Data!B1566,対訳マスタ!$B$2:$B$136,0)),Data!B1566)</f>
        <v>手話能力</v>
      </c>
      <c r="C1566" s="82" t="str">
        <f aca="false">IF(Data!C1566="—","—",IFERROR(INDEX(対訳マスタ!$C$2:$C$136,MATCH(Data!C1566,対訳マスタ!$B$2:$B$136,0)),Data!C1566))</f>
        <v>産出</v>
      </c>
      <c r="D1566" s="82" t="str">
        <f aca="false">IF(Data!D1566="—","—",IFERROR(INDEX(対訳マスタ!$C$2:$C$136,MATCH(Data!D1566,対訳マスタ!$B$2:$B$136,0)),Data!D1566))</f>
        <v>社会言語能力</v>
      </c>
      <c r="E1566" s="82" t="str">
        <f aca="false">IFERROR(INDEX(対訳マスタ!$C$2:$C$136,MATCH(Data!E1566,対訳マスタ!$B$2:$B$136,0)),Data!E1566)</f>
        <v>社会言語的適切さと文化レパートリー</v>
      </c>
      <c r="F1566" s="82" t="str">
        <f aca="false">Data!F1566</f>
        <v>A1</v>
      </c>
      <c r="G1566" s="81" t="str">
        <f aca="false">Data!G1566</f>
        <v>Can greet a deaf person appropriately.</v>
      </c>
      <c r="H1566" s="81"/>
      <c r="I1566" s="82" t="s">
        <v>3625</v>
      </c>
    </row>
    <row r="1567" customFormat="false" ht="32.25" hidden="false" customHeight="true" outlineLevel="0" collapsed="false">
      <c r="A1567" s="82" t="n">
        <f aca="false">Data!A1567</f>
        <v>1566</v>
      </c>
      <c r="B1567" s="82" t="str">
        <f aca="false">IFERROR(INDEX(対訳マスタ!$C$2:$C$136,MATCH(Data!B1567,対訳マスタ!$B$2:$B$136,0)),Data!B1567)</f>
        <v>手話能力</v>
      </c>
      <c r="C1567" s="82" t="str">
        <f aca="false">IF(Data!C1567="—","—",IFERROR(INDEX(対訳マスタ!$C$2:$C$136,MATCH(Data!C1567,対訳マスタ!$B$2:$B$136,0)),Data!C1567))</f>
        <v>産出</v>
      </c>
      <c r="D1567" s="82" t="str">
        <f aca="false">IF(Data!D1567="—","—",IFERROR(INDEX(対訳マスタ!$C$2:$C$136,MATCH(Data!D1567,対訳マスタ!$B$2:$B$136,0)),Data!D1567))</f>
        <v>社会言語能力</v>
      </c>
      <c r="E1567" s="82" t="str">
        <f aca="false">IFERROR(INDEX(対訳マスタ!$C$2:$C$136,MATCH(Data!E1567,対訳マスタ!$B$2:$B$136,0)),Data!E1567)</f>
        <v>社会言語的適切さと文化レパートリー</v>
      </c>
      <c r="F1567" s="82" t="str">
        <f aca="false">Data!F1567</f>
        <v>A1</v>
      </c>
      <c r="G1567" s="81" t="str">
        <f aca="false">Data!G1567</f>
        <v>Can employ different strategies in order to establish the eye contact necessary for communication (e.g. waving, tapping a person on the shoulder, arm or hand, tapping on the table, turning off and on lighting).</v>
      </c>
      <c r="H1567" s="81"/>
      <c r="I1567" s="82" t="s">
        <v>3625</v>
      </c>
    </row>
    <row r="1568" customFormat="false" ht="21.75" hidden="false" customHeight="true" outlineLevel="0" collapsed="false">
      <c r="A1568" s="82" t="n">
        <f aca="false">Data!A1568</f>
        <v>1567</v>
      </c>
      <c r="B1568" s="82" t="str">
        <f aca="false">IFERROR(INDEX(対訳マスタ!$C$2:$C$136,MATCH(Data!B1568,対訳マスタ!$B$2:$B$136,0)),Data!B1568)</f>
        <v>手話能力</v>
      </c>
      <c r="C1568" s="82" t="str">
        <f aca="false">IF(Data!C1568="—","—",IFERROR(INDEX(対訳マスタ!$C$2:$C$136,MATCH(Data!C1568,対訳マスタ!$B$2:$B$136,0)),Data!C1568))</f>
        <v>産出</v>
      </c>
      <c r="D1568" s="82" t="str">
        <f aca="false">IF(Data!D1568="—","—",IFERROR(INDEX(対訳マスタ!$C$2:$C$136,MATCH(Data!D1568,対訳マスタ!$B$2:$B$136,0)),Data!D1568))</f>
        <v>社会言語能力</v>
      </c>
      <c r="E1568" s="82" t="str">
        <f aca="false">IFERROR(INDEX(対訳マスタ!$C$2:$C$136,MATCH(Data!E1568,対訳マスタ!$B$2:$B$136,0)),Data!E1568)</f>
        <v>社会言語的適切さと文化レパートリー</v>
      </c>
      <c r="F1568" s="82" t="str">
        <f aca="false">Data!F1568</f>
        <v>A1</v>
      </c>
      <c r="G1568" s="81" t="str">
        <f aca="false">Data!G1568</f>
        <v>Can attract attention in order to acquire the turn (e.g. by raising a hand or waving to gain eye contact, by tapping the interlocutor on the shoulder).</v>
      </c>
      <c r="H1568" s="81"/>
      <c r="I1568" s="82" t="s">
        <v>3625</v>
      </c>
    </row>
    <row r="1569" customFormat="false" ht="15" hidden="false" customHeight="true" outlineLevel="0" collapsed="false">
      <c r="A1569" s="82" t="n">
        <f aca="false">Data!A1569</f>
        <v>1568</v>
      </c>
      <c r="B1569" s="82" t="str">
        <f aca="false">IFERROR(INDEX(対訳マスタ!$C$2:$C$136,MATCH(Data!B1569,対訳マスタ!$B$2:$B$136,0)),Data!B1569)</f>
        <v>手話能力</v>
      </c>
      <c r="C1569" s="82" t="str">
        <f aca="false">IF(Data!C1569="—","—",IFERROR(INDEX(対訳マスタ!$C$2:$C$136,MATCH(Data!C1569,対訳マスタ!$B$2:$B$136,0)),Data!C1569))</f>
        <v>産出</v>
      </c>
      <c r="D1569" s="82" t="str">
        <f aca="false">IF(Data!D1569="—","—",IFERROR(INDEX(対訳マスタ!$C$2:$C$136,MATCH(Data!D1569,対訳マスタ!$B$2:$B$136,0)),Data!D1569))</f>
        <v>社会言語能力</v>
      </c>
      <c r="E1569" s="82" t="str">
        <f aca="false">IFERROR(INDEX(対訳マスタ!$C$2:$C$136,MATCH(Data!E1569,対訳マスタ!$B$2:$B$136,0)),Data!E1569)</f>
        <v>社会言語的適切さと文化レパートリー</v>
      </c>
      <c r="F1569" s="82" t="str">
        <f aca="false">Data!F1569</f>
        <v>A1</v>
      </c>
      <c r="G1569" s="81" t="str">
        <f aca="false">Data!G1569</f>
        <v>Can maintain direct eye contact with their interlocutor.</v>
      </c>
      <c r="H1569" s="81"/>
      <c r="I1569" s="82" t="s">
        <v>3625</v>
      </c>
    </row>
    <row r="1570" customFormat="false" ht="15" hidden="false" customHeight="true" outlineLevel="0" collapsed="false">
      <c r="A1570" s="82" t="n">
        <f aca="false">Data!A1570</f>
        <v>1569</v>
      </c>
      <c r="B1570" s="82" t="str">
        <f aca="false">IFERROR(INDEX(対訳マスタ!$C$2:$C$136,MATCH(Data!B1570,対訳マスタ!$B$2:$B$136,0)),Data!B1570)</f>
        <v>手話能力</v>
      </c>
      <c r="C1570" s="82" t="str">
        <f aca="false">IF(Data!C1570="—","—",IFERROR(INDEX(対訳マスタ!$C$2:$C$136,MATCH(Data!C1570,対訳マスタ!$B$2:$B$136,0)),Data!C1570))</f>
        <v>産出</v>
      </c>
      <c r="D1570" s="82" t="str">
        <f aca="false">IF(Data!D1570="—","—",IFERROR(INDEX(対訳マスタ!$C$2:$C$136,MATCH(Data!D1570,対訳マスタ!$B$2:$B$136,0)),Data!D1570))</f>
        <v>社会言語能力</v>
      </c>
      <c r="E1570" s="82" t="str">
        <f aca="false">IFERROR(INDEX(対訳マスタ!$C$2:$C$136,MATCH(Data!E1570,対訳マスタ!$B$2:$B$136,0)),Data!E1570)</f>
        <v>社会言語的適切さと文化レパートリー</v>
      </c>
      <c r="F1570" s="82" t="str">
        <f aca="false">Data!F1570</f>
        <v>A1</v>
      </c>
      <c r="G1570" s="81" t="str">
        <f aca="false">Data!G1570</f>
        <v>Can use fingerspelling as an aid when communication problems occur.</v>
      </c>
      <c r="H1570" s="81"/>
      <c r="I1570" s="82" t="s">
        <v>3625</v>
      </c>
    </row>
    <row r="1571" customFormat="false" ht="21.75" hidden="false" customHeight="true" outlineLevel="0" collapsed="false">
      <c r="A1571" s="82" t="n">
        <f aca="false">Data!A1571</f>
        <v>1570</v>
      </c>
      <c r="B1571" s="82" t="str">
        <f aca="false">IFERROR(INDEX(対訳マスタ!$C$2:$C$136,MATCH(Data!B1571,対訳マスタ!$B$2:$B$136,0)),Data!B1571)</f>
        <v>手話能力</v>
      </c>
      <c r="C1571" s="82" t="str">
        <f aca="false">IF(Data!C1571="—","—",IFERROR(INDEX(対訳マスタ!$C$2:$C$136,MATCH(Data!C1571,対訳マスタ!$B$2:$B$136,0)),Data!C1571))</f>
        <v>産出</v>
      </c>
      <c r="D1571" s="82" t="str">
        <f aca="false">IF(Data!D1571="—","—",IFERROR(INDEX(対訳マスタ!$C$2:$C$136,MATCH(Data!D1571,対訳マスタ!$B$2:$B$136,0)),Data!D1571))</f>
        <v>社会言語能力</v>
      </c>
      <c r="E1571" s="82" t="str">
        <f aca="false">IFERROR(INDEX(対訳マスタ!$C$2:$C$136,MATCH(Data!E1571,対訳マスタ!$B$2:$B$136,0)),Data!E1571)</f>
        <v>社会言語的適切さと文化レパートリー</v>
      </c>
      <c r="F1571" s="82" t="str">
        <f aca="false">Data!F1571</f>
        <v>A1</v>
      </c>
      <c r="G1571" s="81" t="str">
        <f aca="false">Data!G1571</f>
        <v>Can give their interlocutor visual feedback through conventionalised phrases and mouthings.</v>
      </c>
      <c r="H1571" s="81"/>
      <c r="I1571" s="82" t="s">
        <v>3625</v>
      </c>
    </row>
    <row r="1572" customFormat="false" ht="21.75" hidden="false" customHeight="true" outlineLevel="0" collapsed="false">
      <c r="A1572" s="82" t="n">
        <f aca="false">Data!A1572</f>
        <v>1571</v>
      </c>
      <c r="B1572" s="82" t="str">
        <f aca="false">IFERROR(INDEX(対訳マスタ!$C$2:$C$136,MATCH(Data!B1572,対訳マスタ!$B$2:$B$136,0)),Data!B1572)</f>
        <v>手話能力</v>
      </c>
      <c r="C1572" s="82" t="str">
        <f aca="false">IF(Data!C1572="—","—",IFERROR(INDEX(対訳マスタ!$C$2:$C$136,MATCH(Data!C1572,対訳マスタ!$B$2:$B$136,0)),Data!C1572))</f>
        <v>産出</v>
      </c>
      <c r="D1572" s="82" t="str">
        <f aca="false">IF(Data!D1572="—","—",IFERROR(INDEX(対訳マスタ!$C$2:$C$136,MATCH(Data!D1572,対訳マスタ!$B$2:$B$136,0)),Data!D1572))</f>
        <v>社会言語能力</v>
      </c>
      <c r="E1572" s="82" t="str">
        <f aca="false">IFERROR(INDEX(対訳マスタ!$C$2:$C$136,MATCH(Data!E1572,対訳マスタ!$B$2:$B$136,0)),Data!E1572)</f>
        <v>社会言語的適切さと文化レパートリー</v>
      </c>
      <c r="F1572" s="82" t="str">
        <f aca="false">Data!F1572</f>
        <v>A1</v>
      </c>
      <c r="G1572" s="81" t="str">
        <f aca="false">Data!G1572</f>
        <v>Can give their interlocutor visual feedback (positive and negative) using facial expressions and other non-manual elements (e.g. head nod or shake).</v>
      </c>
      <c r="H1572" s="81"/>
      <c r="I1572" s="82" t="s">
        <v>3625</v>
      </c>
    </row>
    <row r="1573" customFormat="false" ht="21.75" hidden="false" customHeight="true" outlineLevel="0" collapsed="false">
      <c r="A1573" s="82" t="n">
        <f aca="false">Data!A1573</f>
        <v>1572</v>
      </c>
      <c r="B1573" s="82" t="str">
        <f aca="false">IFERROR(INDEX(対訳マスタ!$C$2:$C$136,MATCH(Data!B1573,対訳マスタ!$B$2:$B$136,0)),Data!B1573)</f>
        <v>手話能力</v>
      </c>
      <c r="C1573" s="82" t="str">
        <f aca="false">IF(Data!C1573="—","—",IFERROR(INDEX(対訳マスタ!$C$2:$C$136,MATCH(Data!C1573,対訳マスタ!$B$2:$B$136,0)),Data!C1573))</f>
        <v>産出</v>
      </c>
      <c r="D1573" s="82" t="str">
        <f aca="false">IF(Data!D1573="—","—",IFERROR(INDEX(対訳マスタ!$C$2:$C$136,MATCH(Data!D1573,対訳マスタ!$B$2:$B$136,0)),Data!D1573))</f>
        <v>社会言語能力</v>
      </c>
      <c r="E1573" s="82" t="str">
        <f aca="false">IFERROR(INDEX(対訳マスタ!$C$2:$C$136,MATCH(Data!E1573,対訳マスタ!$B$2:$B$136,0)),Data!E1573)</f>
        <v>社会言語的適切さと文化レパートリー</v>
      </c>
      <c r="F1573" s="82" t="str">
        <f aca="false">Data!F1573</f>
        <v>A1</v>
      </c>
      <c r="G1573" s="81" t="str">
        <f aca="false">Data!G1573</f>
        <v>Can respond appropriately in conventionalised interactions, e.g. replying with a formulaic &lt;welcome&gt; / &lt;never mind&gt; / &lt;all well …&gt; / &lt;thank you&gt;.</v>
      </c>
      <c r="H1573" s="81"/>
      <c r="I1573" s="82" t="s">
        <v>3625</v>
      </c>
    </row>
    <row r="1574" customFormat="false" ht="21.75" hidden="false" customHeight="true" outlineLevel="0" collapsed="false">
      <c r="A1574" s="82" t="n">
        <f aca="false">Data!A1574</f>
        <v>1573</v>
      </c>
      <c r="B1574" s="82" t="str">
        <f aca="false">IFERROR(INDEX(対訳マスタ!$C$2:$C$136,MATCH(Data!B1574,対訳マスタ!$B$2:$B$136,0)),Data!B1574)</f>
        <v>手話能力</v>
      </c>
      <c r="C1574" s="82" t="str">
        <f aca="false">IF(Data!C1574="—","—",IFERROR(INDEX(対訳マスタ!$C$2:$C$136,MATCH(Data!C1574,対訳マスタ!$B$2:$B$136,0)),Data!C1574))</f>
        <v>受容</v>
      </c>
      <c r="D1574" s="82" t="str">
        <f aca="false">IF(Data!D1574="—","—",IFERROR(INDEX(対訳マスタ!$C$2:$C$136,MATCH(Data!D1574,対訳マスタ!$B$2:$B$136,0)),Data!D1574))</f>
        <v>語用能力</v>
      </c>
      <c r="E1574" s="82" t="str">
        <f aca="false">IFERROR(INDEX(対訳マスタ!$C$2:$C$136,MATCH(Data!E1574,対訳マスタ!$B$2:$B$136,0)),Data!E1574)</f>
        <v>手話テキストの構造</v>
      </c>
      <c r="F1574" s="82" t="str">
        <f aca="false">Data!F1574</f>
        <v>C2</v>
      </c>
      <c r="G1574" s="81" t="str">
        <f aca="false">Data!G1574</f>
        <v>Can understand logical, causal, temporal or semantic relationships in order to link parts of a signed text to one another.</v>
      </c>
      <c r="H1574" s="81"/>
      <c r="I1574" s="82" t="s">
        <v>3625</v>
      </c>
    </row>
    <row r="1575" customFormat="false" ht="21.75" hidden="false" customHeight="true" outlineLevel="0" collapsed="false">
      <c r="A1575" s="82" t="n">
        <f aca="false">Data!A1575</f>
        <v>1574</v>
      </c>
      <c r="B1575" s="82" t="str">
        <f aca="false">IFERROR(INDEX(対訳マスタ!$C$2:$C$136,MATCH(Data!B1575,対訳マスタ!$B$2:$B$136,0)),Data!B1575)</f>
        <v>手話能力</v>
      </c>
      <c r="C1575" s="82" t="str">
        <f aca="false">IF(Data!C1575="—","—",IFERROR(INDEX(対訳マスタ!$C$2:$C$136,MATCH(Data!C1575,対訳マスタ!$B$2:$B$136,0)),Data!C1575))</f>
        <v>受容</v>
      </c>
      <c r="D1575" s="82" t="str">
        <f aca="false">IF(Data!D1575="—","—",IFERROR(INDEX(対訳マスタ!$C$2:$C$136,MATCH(Data!D1575,対訳マスタ!$B$2:$B$136,0)),Data!D1575))</f>
        <v>語用能力</v>
      </c>
      <c r="E1575" s="82" t="str">
        <f aca="false">IFERROR(INDEX(対訳マスタ!$C$2:$C$136,MATCH(Data!E1575,対訳マスタ!$B$2:$B$136,0)),Data!E1575)</f>
        <v>手話テキストの構造</v>
      </c>
      <c r="F1575" s="82" t="str">
        <f aca="false">Data!F1575</f>
        <v>C2</v>
      </c>
      <c r="G1575" s="81" t="str">
        <f aca="false">Data!G1575</f>
        <v>Can distinguish various kinds of evaluative texts from one another (e.g., a controvert text with arguments for and against, justification of an argument, or a philosophical text).</v>
      </c>
      <c r="H1575" s="81"/>
      <c r="I1575" s="82" t="s">
        <v>3625</v>
      </c>
    </row>
    <row r="1576" customFormat="false" ht="21.75" hidden="false" customHeight="true" outlineLevel="0" collapsed="false">
      <c r="A1576" s="82" t="n">
        <f aca="false">Data!A1576</f>
        <v>1575</v>
      </c>
      <c r="B1576" s="82" t="str">
        <f aca="false">IFERROR(INDEX(対訳マスタ!$C$2:$C$136,MATCH(Data!B1576,対訳マスタ!$B$2:$B$136,0)),Data!B1576)</f>
        <v>手話能力</v>
      </c>
      <c r="C1576" s="82" t="str">
        <f aca="false">IF(Data!C1576="—","—",IFERROR(INDEX(対訳マスタ!$C$2:$C$136,MATCH(Data!C1576,対訳マスタ!$B$2:$B$136,0)),Data!C1576))</f>
        <v>受容</v>
      </c>
      <c r="D1576" s="82" t="str">
        <f aca="false">IF(Data!D1576="—","—",IFERROR(INDEX(対訳マスタ!$C$2:$C$136,MATCH(Data!D1576,対訳マスタ!$B$2:$B$136,0)),Data!D1576))</f>
        <v>語用能力</v>
      </c>
      <c r="E1576" s="82" t="str">
        <f aca="false">IFERROR(INDEX(対訳マスタ!$C$2:$C$136,MATCH(Data!E1576,対訳マスタ!$B$2:$B$136,0)),Data!E1576)</f>
        <v>手話テキストの構造</v>
      </c>
      <c r="F1576" s="82" t="str">
        <f aca="false">Data!F1576</f>
        <v>C2</v>
      </c>
      <c r="G1576" s="81" t="str">
        <f aca="false">Data!G1576</f>
        <v>Can identify and understand complex hierarchical structures (e.g. in politics and organisations).</v>
      </c>
      <c r="H1576" s="81"/>
      <c r="I1576" s="82" t="s">
        <v>3625</v>
      </c>
    </row>
    <row r="1577" customFormat="false" ht="21.75" hidden="false" customHeight="true" outlineLevel="0" collapsed="false">
      <c r="A1577" s="82" t="n">
        <f aca="false">Data!A1577</f>
        <v>1576</v>
      </c>
      <c r="B1577" s="82" t="str">
        <f aca="false">IFERROR(INDEX(対訳マスタ!$C$2:$C$136,MATCH(Data!B1577,対訳マスタ!$B$2:$B$136,0)),Data!B1577)</f>
        <v>手話能力</v>
      </c>
      <c r="C1577" s="82" t="str">
        <f aca="false">IF(Data!C1577="—","—",IFERROR(INDEX(対訳マスタ!$C$2:$C$136,MATCH(Data!C1577,対訳マスタ!$B$2:$B$136,0)),Data!C1577))</f>
        <v>受容</v>
      </c>
      <c r="D1577" s="82" t="str">
        <f aca="false">IF(Data!D1577="—","—",IFERROR(INDEX(対訳マスタ!$C$2:$C$136,MATCH(Data!D1577,対訳マスタ!$B$2:$B$136,0)),Data!D1577))</f>
        <v>語用能力</v>
      </c>
      <c r="E1577" s="82" t="str">
        <f aca="false">IFERROR(INDEX(対訳マスタ!$C$2:$C$136,MATCH(Data!E1577,対訳マスタ!$B$2:$B$136,0)),Data!E1577)</f>
        <v>手話テキストの構造</v>
      </c>
      <c r="F1577" s="82" t="str">
        <f aca="false">Data!F1577</f>
        <v>C2</v>
      </c>
      <c r="G1577" s="81" t="str">
        <f aca="false">Data!G1577</f>
        <v>Can identify missing parts of complex texts or unfamiliar types of texts and infer missing content.</v>
      </c>
      <c r="H1577" s="81"/>
      <c r="I1577" s="82" t="s">
        <v>3625</v>
      </c>
    </row>
    <row r="1578" customFormat="false" ht="15" hidden="false" customHeight="true" outlineLevel="0" collapsed="false">
      <c r="A1578" s="82" t="n">
        <f aca="false">Data!A1578</f>
        <v>1577</v>
      </c>
      <c r="B1578" s="82" t="str">
        <f aca="false">IFERROR(INDEX(対訳マスタ!$C$2:$C$136,MATCH(Data!B1578,対訳マスタ!$B$2:$B$136,0)),Data!B1578)</f>
        <v>手話能力</v>
      </c>
      <c r="C1578" s="82" t="str">
        <f aca="false">IF(Data!C1578="—","—",IFERROR(INDEX(対訳マスタ!$C$2:$C$136,MATCH(Data!C1578,対訳マスタ!$B$2:$B$136,0)),Data!C1578))</f>
        <v>受容</v>
      </c>
      <c r="D1578" s="82" t="str">
        <f aca="false">IF(Data!D1578="—","—",IFERROR(INDEX(対訳マスタ!$C$2:$C$136,MATCH(Data!D1578,対訳マスタ!$B$2:$B$136,0)),Data!D1578))</f>
        <v>語用能力</v>
      </c>
      <c r="E1578" s="82" t="str">
        <f aca="false">IFERROR(INDEX(対訳マスタ!$C$2:$C$136,MATCH(Data!E1578,対訳マスタ!$B$2:$B$136,0)),Data!E1578)</f>
        <v>手話テキストの構造</v>
      </c>
      <c r="F1578" s="82" t="str">
        <f aca="false">Data!F1578</f>
        <v>C1</v>
      </c>
      <c r="G1578" s="81" t="str">
        <f aca="false">Data!G1578</f>
        <v>Can reproduce the content of a lengthy signed text with various details.</v>
      </c>
      <c r="H1578" s="81"/>
      <c r="I1578" s="82" t="s">
        <v>3625</v>
      </c>
    </row>
    <row r="1579" customFormat="false" ht="15" hidden="false" customHeight="true" outlineLevel="0" collapsed="false">
      <c r="A1579" s="82" t="n">
        <f aca="false">Data!A1579</f>
        <v>1578</v>
      </c>
      <c r="B1579" s="82" t="str">
        <f aca="false">IFERROR(INDEX(対訳マスタ!$C$2:$C$136,MATCH(Data!B1579,対訳マスタ!$B$2:$B$136,0)),Data!B1579)</f>
        <v>手話能力</v>
      </c>
      <c r="C1579" s="82" t="str">
        <f aca="false">IF(Data!C1579="—","—",IFERROR(INDEX(対訳マスタ!$C$2:$C$136,MATCH(Data!C1579,対訳マスタ!$B$2:$B$136,0)),Data!C1579))</f>
        <v>受容</v>
      </c>
      <c r="D1579" s="82" t="str">
        <f aca="false">IF(Data!D1579="—","—",IFERROR(INDEX(対訳マスタ!$C$2:$C$136,MATCH(Data!D1579,対訳マスタ!$B$2:$B$136,0)),Data!D1579))</f>
        <v>語用能力</v>
      </c>
      <c r="E1579" s="82" t="str">
        <f aca="false">IFERROR(INDEX(対訳マスタ!$C$2:$C$136,MATCH(Data!E1579,対訳マスタ!$B$2:$B$136,0)),Data!E1579)</f>
        <v>手話テキストの構造</v>
      </c>
      <c r="F1579" s="82" t="str">
        <f aca="false">Data!F1579</f>
        <v>C1</v>
      </c>
      <c r="G1579" s="81" t="str">
        <f aca="false">Data!G1579</f>
        <v>Can, after watching a signed text, explain relationships in detail.</v>
      </c>
      <c r="H1579" s="81"/>
      <c r="I1579" s="82" t="s">
        <v>3625</v>
      </c>
    </row>
    <row r="1580" customFormat="false" ht="21.75" hidden="false" customHeight="true" outlineLevel="0" collapsed="false">
      <c r="A1580" s="82" t="n">
        <f aca="false">Data!A1580</f>
        <v>1579</v>
      </c>
      <c r="B1580" s="82" t="str">
        <f aca="false">IFERROR(INDEX(対訳マスタ!$C$2:$C$136,MATCH(Data!B1580,対訳マスタ!$B$2:$B$136,0)),Data!B1580)</f>
        <v>手話能力</v>
      </c>
      <c r="C1580" s="82" t="str">
        <f aca="false">IF(Data!C1580="—","—",IFERROR(INDEX(対訳マスタ!$C$2:$C$136,MATCH(Data!C1580,対訳マスタ!$B$2:$B$136,0)),Data!C1580))</f>
        <v>受容</v>
      </c>
      <c r="D1580" s="82" t="str">
        <f aca="false">IF(Data!D1580="—","—",IFERROR(INDEX(対訳マスタ!$C$2:$C$136,MATCH(Data!D1580,対訳マスタ!$B$2:$B$136,0)),Data!D1580))</f>
        <v>語用能力</v>
      </c>
      <c r="E1580" s="82" t="str">
        <f aca="false">IFERROR(INDEX(対訳マスタ!$C$2:$C$136,MATCH(Data!E1580,対訳マスタ!$B$2:$B$136,0)),Data!E1580)</f>
        <v>手話テキストの構造</v>
      </c>
      <c r="F1580" s="82" t="str">
        <f aca="false">Data!F1580</f>
        <v>C1</v>
      </c>
      <c r="G1580" s="81" t="str">
        <f aca="false">Data!G1580</f>
        <v>Can recognise various means of structuring signed texts and correctly interpret their function in the textual context (e.g., rhetorical questions, enumeration, body turns).</v>
      </c>
      <c r="H1580" s="81"/>
      <c r="I1580" s="82" t="s">
        <v>3625</v>
      </c>
    </row>
    <row r="1581" customFormat="false" ht="21.75" hidden="false" customHeight="true" outlineLevel="0" collapsed="false">
      <c r="A1581" s="82" t="n">
        <f aca="false">Data!A1581</f>
        <v>1580</v>
      </c>
      <c r="B1581" s="82" t="str">
        <f aca="false">IFERROR(INDEX(対訳マスタ!$C$2:$C$136,MATCH(Data!B1581,対訳マスタ!$B$2:$B$136,0)),Data!B1581)</f>
        <v>手話能力</v>
      </c>
      <c r="C1581" s="82" t="str">
        <f aca="false">IF(Data!C1581="—","—",IFERROR(INDEX(対訳マスタ!$C$2:$C$136,MATCH(Data!C1581,対訳マスタ!$B$2:$B$136,0)),Data!C1581))</f>
        <v>受容</v>
      </c>
      <c r="D1581" s="82" t="str">
        <f aca="false">IF(Data!D1581="—","—",IFERROR(INDEX(対訳マスタ!$C$2:$C$136,MATCH(Data!D1581,対訳マスタ!$B$2:$B$136,0)),Data!D1581))</f>
        <v>語用能力</v>
      </c>
      <c r="E1581" s="82" t="str">
        <f aca="false">IFERROR(INDEX(対訳マスタ!$C$2:$C$136,MATCH(Data!E1581,対訳マスタ!$B$2:$B$136,0)),Data!E1581)</f>
        <v>手話テキストの構造</v>
      </c>
      <c r="F1581" s="82" t="str">
        <f aca="false">Data!F1581</f>
        <v>C1</v>
      </c>
      <c r="G1581" s="81" t="str">
        <f aca="false">Data!G1581</f>
        <v>Can use their own knowledge of types of text to formulate expectations regarding the content and structure of a text and assess its quality accordingly.</v>
      </c>
      <c r="H1581" s="81"/>
      <c r="I1581" s="82" t="s">
        <v>3625</v>
      </c>
    </row>
    <row r="1582" customFormat="false" ht="21.75" hidden="false" customHeight="true" outlineLevel="0" collapsed="false">
      <c r="A1582" s="82" t="n">
        <f aca="false">Data!A1582</f>
        <v>1581</v>
      </c>
      <c r="B1582" s="82" t="str">
        <f aca="false">IFERROR(INDEX(対訳マスタ!$C$2:$C$136,MATCH(Data!B1582,対訳マスタ!$B$2:$B$136,0)),Data!B1582)</f>
        <v>手話能力</v>
      </c>
      <c r="C1582" s="82" t="str">
        <f aca="false">IF(Data!C1582="—","—",IFERROR(INDEX(対訳マスタ!$C$2:$C$136,MATCH(Data!C1582,対訳マスタ!$B$2:$B$136,0)),Data!C1582))</f>
        <v>受容</v>
      </c>
      <c r="D1582" s="82" t="str">
        <f aca="false">IF(Data!D1582="—","—",IFERROR(INDEX(対訳マスタ!$C$2:$C$136,MATCH(Data!D1582,対訳マスタ!$B$2:$B$136,0)),Data!D1582))</f>
        <v>語用能力</v>
      </c>
      <c r="E1582" s="82" t="str">
        <f aca="false">IFERROR(INDEX(対訳マスタ!$C$2:$C$136,MATCH(Data!E1582,対訳マスタ!$B$2:$B$136,0)),Data!E1582)</f>
        <v>手話テキストの構造</v>
      </c>
      <c r="F1582" s="82" t="str">
        <f aca="false">Data!F1582</f>
        <v>C1</v>
      </c>
      <c r="G1582" s="81" t="str">
        <f aca="false">Data!G1582</f>
        <v>Can distinguish the separate elements of an argument (assertion, reasons, examples, conclusions) in a signed text.</v>
      </c>
      <c r="H1582" s="81"/>
      <c r="I1582" s="82" t="s">
        <v>3625</v>
      </c>
    </row>
    <row r="1583" customFormat="false" ht="21.75" hidden="false" customHeight="true" outlineLevel="0" collapsed="false">
      <c r="A1583" s="82" t="n">
        <f aca="false">Data!A1583</f>
        <v>1582</v>
      </c>
      <c r="B1583" s="82" t="str">
        <f aca="false">IFERROR(INDEX(対訳マスタ!$C$2:$C$136,MATCH(Data!B1583,対訳マスタ!$B$2:$B$136,0)),Data!B1583)</f>
        <v>手話能力</v>
      </c>
      <c r="C1583" s="82" t="str">
        <f aca="false">IF(Data!C1583="—","—",IFERROR(INDEX(対訳マスタ!$C$2:$C$136,MATCH(Data!C1583,対訳マスタ!$B$2:$B$136,0)),Data!C1583))</f>
        <v>受容</v>
      </c>
      <c r="D1583" s="82" t="str">
        <f aca="false">IF(Data!D1583="—","—",IFERROR(INDEX(対訳マスタ!$C$2:$C$136,MATCH(Data!D1583,対訳マスタ!$B$2:$B$136,0)),Data!D1583))</f>
        <v>語用能力</v>
      </c>
      <c r="E1583" s="82" t="str">
        <f aca="false">IFERROR(INDEX(対訳マスタ!$C$2:$C$136,MATCH(Data!E1583,対訳マスタ!$B$2:$B$136,0)),Data!E1583)</f>
        <v>手話テキストの構造</v>
      </c>
      <c r="F1583" s="82" t="str">
        <f aca="false">Data!F1583</f>
        <v>C1</v>
      </c>
      <c r="G1583" s="81" t="str">
        <f aca="false">Data!G1583</f>
        <v>Can predict what is coming next from the order in which elements appear in an utterance, and the emphasis that they receive.</v>
      </c>
      <c r="H1583" s="81"/>
      <c r="I1583" s="82" t="s">
        <v>3625</v>
      </c>
    </row>
    <row r="1584" customFormat="false" ht="15" hidden="false" customHeight="true" outlineLevel="0" collapsed="false">
      <c r="A1584" s="82" t="n">
        <f aca="false">Data!A1584</f>
        <v>1583</v>
      </c>
      <c r="B1584" s="82" t="str">
        <f aca="false">IFERROR(INDEX(対訳マスタ!$C$2:$C$136,MATCH(Data!B1584,対訳マスタ!$B$2:$B$136,0)),Data!B1584)</f>
        <v>手話能力</v>
      </c>
      <c r="C1584" s="82" t="str">
        <f aca="false">IF(Data!C1584="—","—",IFERROR(INDEX(対訳マスタ!$C$2:$C$136,MATCH(Data!C1584,対訳マスタ!$B$2:$B$136,0)),Data!C1584))</f>
        <v>受容</v>
      </c>
      <c r="D1584" s="82" t="str">
        <f aca="false">IF(Data!D1584="—","—",IFERROR(INDEX(対訳マスタ!$C$2:$C$136,MATCH(Data!D1584,対訳マスタ!$B$2:$B$136,0)),Data!D1584))</f>
        <v>語用能力</v>
      </c>
      <c r="E1584" s="82" t="str">
        <f aca="false">IFERROR(INDEX(対訳マスタ!$C$2:$C$136,MATCH(Data!E1584,対訳マスタ!$B$2:$B$136,0)),Data!E1584)</f>
        <v>手話テキストの構造</v>
      </c>
      <c r="F1584" s="82" t="str">
        <f aca="false">Data!F1584</f>
        <v>B2+</v>
      </c>
      <c r="G1584" s="81" t="str">
        <f aca="false">Data!G1584</f>
        <v>Can recognise the recurrent, central theme in enacted texts.</v>
      </c>
      <c r="H1584" s="81"/>
      <c r="I1584" s="82" t="s">
        <v>3625</v>
      </c>
    </row>
    <row r="1585" customFormat="false" ht="21.75" hidden="false" customHeight="true" outlineLevel="0" collapsed="false">
      <c r="A1585" s="82" t="n">
        <f aca="false">Data!A1585</f>
        <v>1584</v>
      </c>
      <c r="B1585" s="82" t="str">
        <f aca="false">IFERROR(INDEX(対訳マスタ!$C$2:$C$136,MATCH(Data!B1585,対訳マスタ!$B$2:$B$136,0)),Data!B1585)</f>
        <v>手話能力</v>
      </c>
      <c r="C1585" s="82" t="str">
        <f aca="false">IF(Data!C1585="—","—",IFERROR(INDEX(対訳マスタ!$C$2:$C$136,MATCH(Data!C1585,対訳マスタ!$B$2:$B$136,0)),Data!C1585))</f>
        <v>受容</v>
      </c>
      <c r="D1585" s="82" t="str">
        <f aca="false">IF(Data!D1585="—","—",IFERROR(INDEX(対訳マスタ!$C$2:$C$136,MATCH(Data!D1585,対訳マスタ!$B$2:$B$136,0)),Data!D1585))</f>
        <v>語用能力</v>
      </c>
      <c r="E1585" s="82" t="str">
        <f aca="false">IFERROR(INDEX(対訳マスタ!$C$2:$C$136,MATCH(Data!E1585,対訳マスタ!$B$2:$B$136,0)),Data!E1585)</f>
        <v>手話テキストの構造</v>
      </c>
      <c r="F1585" s="82" t="str">
        <f aca="false">Data!F1585</f>
        <v>B2+</v>
      </c>
      <c r="G1585" s="81" t="str">
        <f aca="false">Data!G1585</f>
        <v>Can recognise, on the basis of the location of an argument in the signing space, to what opinion the argument belongs.</v>
      </c>
      <c r="H1585" s="81"/>
      <c r="I1585" s="82" t="s">
        <v>3625</v>
      </c>
    </row>
    <row r="1586" customFormat="false" ht="21.75" hidden="false" customHeight="true" outlineLevel="0" collapsed="false">
      <c r="A1586" s="82" t="n">
        <f aca="false">Data!A1586</f>
        <v>1585</v>
      </c>
      <c r="B1586" s="82" t="str">
        <f aca="false">IFERROR(INDEX(対訳マスタ!$C$2:$C$136,MATCH(Data!B1586,対訳マスタ!$B$2:$B$136,0)),Data!B1586)</f>
        <v>手話能力</v>
      </c>
      <c r="C1586" s="82" t="str">
        <f aca="false">IF(Data!C1586="—","—",IFERROR(INDEX(対訳マスタ!$C$2:$C$136,MATCH(Data!C1586,対訳マスタ!$B$2:$B$136,0)),Data!C1586))</f>
        <v>受容</v>
      </c>
      <c r="D1586" s="82" t="str">
        <f aca="false">IF(Data!D1586="—","—",IFERROR(INDEX(対訳マスタ!$C$2:$C$136,MATCH(Data!D1586,対訳マスタ!$B$2:$B$136,0)),Data!D1586))</f>
        <v>語用能力</v>
      </c>
      <c r="E1586" s="82" t="str">
        <f aca="false">IFERROR(INDEX(対訳マスタ!$C$2:$C$136,MATCH(Data!E1586,対訳マスタ!$B$2:$B$136,0)),Data!E1586)</f>
        <v>手話テキストの構造</v>
      </c>
      <c r="F1586" s="82" t="str">
        <f aca="false">Data!F1586</f>
        <v>B2+</v>
      </c>
      <c r="G1586" s="81" t="str">
        <f aca="false">Data!G1586</f>
        <v>Can identify structural elements of texts and use their functions to understand the text as a whole.</v>
      </c>
      <c r="H1586" s="81"/>
      <c r="I1586" s="82" t="s">
        <v>3625</v>
      </c>
    </row>
    <row r="1587" customFormat="false" ht="15" hidden="false" customHeight="true" outlineLevel="0" collapsed="false">
      <c r="A1587" s="82" t="n">
        <f aca="false">Data!A1587</f>
        <v>1586</v>
      </c>
      <c r="B1587" s="82" t="str">
        <f aca="false">IFERROR(INDEX(対訳マスタ!$C$2:$C$136,MATCH(Data!B1587,対訳マスタ!$B$2:$B$136,0)),Data!B1587)</f>
        <v>手話能力</v>
      </c>
      <c r="C1587" s="82" t="str">
        <f aca="false">IF(Data!C1587="—","—",IFERROR(INDEX(対訳マスタ!$C$2:$C$136,MATCH(Data!C1587,対訳マスタ!$B$2:$B$136,0)),Data!C1587))</f>
        <v>受容</v>
      </c>
      <c r="D1587" s="82" t="str">
        <f aca="false">IF(Data!D1587="—","—",IFERROR(INDEX(対訳マスタ!$C$2:$C$136,MATCH(Data!D1587,対訳マスタ!$B$2:$B$136,0)),Data!D1587))</f>
        <v>語用能力</v>
      </c>
      <c r="E1587" s="82" t="str">
        <f aca="false">IFERROR(INDEX(対訳マスタ!$C$2:$C$136,MATCH(Data!E1587,対訳マスタ!$B$2:$B$136,0)),Data!E1587)</f>
        <v>手話テキストの構造</v>
      </c>
      <c r="F1587" s="82" t="str">
        <f aca="false">Data!F1587</f>
        <v>B2+</v>
      </c>
      <c r="G1587" s="81" t="str">
        <f aca="false">Data!G1587</f>
        <v>Can identify gaps in familiar types of text and fill these coherently by deduction or query.</v>
      </c>
      <c r="H1587" s="81"/>
      <c r="I1587" s="82" t="s">
        <v>3625</v>
      </c>
    </row>
    <row r="1588" customFormat="false" ht="15" hidden="false" customHeight="true" outlineLevel="0" collapsed="false">
      <c r="A1588" s="82" t="n">
        <f aca="false">Data!A1588</f>
        <v>1587</v>
      </c>
      <c r="B1588" s="82" t="str">
        <f aca="false">IFERROR(INDEX(対訳マスタ!$C$2:$C$136,MATCH(Data!B1588,対訳マスタ!$B$2:$B$136,0)),Data!B1588)</f>
        <v>手話能力</v>
      </c>
      <c r="C1588" s="82" t="str">
        <f aca="false">IF(Data!C1588="—","—",IFERROR(INDEX(対訳マスタ!$C$2:$C$136,MATCH(Data!C1588,対訳マスタ!$B$2:$B$136,0)),Data!C1588))</f>
        <v>受容</v>
      </c>
      <c r="D1588" s="82" t="str">
        <f aca="false">IF(Data!D1588="—","—",IFERROR(INDEX(対訳マスタ!$C$2:$C$136,MATCH(Data!D1588,対訳マスタ!$B$2:$B$136,0)),Data!D1588))</f>
        <v>語用能力</v>
      </c>
      <c r="E1588" s="82" t="str">
        <f aca="false">IFERROR(INDEX(対訳マスタ!$C$2:$C$136,MATCH(Data!E1588,対訳マスタ!$B$2:$B$136,0)),Data!E1588)</f>
        <v>手話テキストの構造</v>
      </c>
      <c r="F1588" s="82" t="str">
        <f aca="false">Data!F1588</f>
        <v>B2+</v>
      </c>
      <c r="G1588" s="81" t="str">
        <f aca="false">Data!G1588</f>
        <v>Can recognise whether or not the signer is answering the key questions in a text.</v>
      </c>
      <c r="H1588" s="81"/>
      <c r="I1588" s="82" t="s">
        <v>3625</v>
      </c>
    </row>
    <row r="1589" customFormat="false" ht="15" hidden="false" customHeight="true" outlineLevel="0" collapsed="false">
      <c r="A1589" s="82" t="n">
        <f aca="false">Data!A1589</f>
        <v>1588</v>
      </c>
      <c r="B1589" s="82" t="str">
        <f aca="false">IFERROR(INDEX(対訳マスタ!$C$2:$C$136,MATCH(Data!B1589,対訳マスタ!$B$2:$B$136,0)),Data!B1589)</f>
        <v>手話能力</v>
      </c>
      <c r="C1589" s="82" t="str">
        <f aca="false">IF(Data!C1589="—","—",IFERROR(INDEX(対訳マスタ!$C$2:$C$136,MATCH(Data!C1589,対訳マスタ!$B$2:$B$136,0)),Data!C1589))</f>
        <v>受容</v>
      </c>
      <c r="D1589" s="82" t="str">
        <f aca="false">IF(Data!D1589="—","—",IFERROR(INDEX(対訳マスタ!$C$2:$C$136,MATCH(Data!D1589,対訳マスタ!$B$2:$B$136,0)),Data!D1589))</f>
        <v>語用能力</v>
      </c>
      <c r="E1589" s="82" t="str">
        <f aca="false">IFERROR(INDEX(対訳マスタ!$C$2:$C$136,MATCH(Data!E1589,対訳マスタ!$B$2:$B$136,0)),Data!E1589)</f>
        <v>手話テキストの構造</v>
      </c>
      <c r="F1589" s="82" t="str">
        <f aca="false">Data!F1589</f>
        <v>B2</v>
      </c>
      <c r="G1589" s="81" t="str">
        <f aca="false">Data!G1589</f>
        <v>Can understand well the content of a clearly structured, lengthy signed text.</v>
      </c>
      <c r="H1589" s="81"/>
      <c r="I1589" s="82" t="s">
        <v>3625</v>
      </c>
    </row>
    <row r="1590" customFormat="false" ht="15" hidden="false" customHeight="true" outlineLevel="0" collapsed="false">
      <c r="A1590" s="82" t="n">
        <f aca="false">Data!A1590</f>
        <v>1589</v>
      </c>
      <c r="B1590" s="82" t="str">
        <f aca="false">IFERROR(INDEX(対訳マスタ!$C$2:$C$136,MATCH(Data!B1590,対訳マスタ!$B$2:$B$136,0)),Data!B1590)</f>
        <v>手話能力</v>
      </c>
      <c r="C1590" s="82" t="str">
        <f aca="false">IF(Data!C1590="—","—",IFERROR(INDEX(対訳マスタ!$C$2:$C$136,MATCH(Data!C1590,対訳マスタ!$B$2:$B$136,0)),Data!C1590))</f>
        <v>受容</v>
      </c>
      <c r="D1590" s="82" t="str">
        <f aca="false">IF(Data!D1590="—","—",IFERROR(INDEX(対訳マスタ!$C$2:$C$136,MATCH(Data!D1590,対訳マスタ!$B$2:$B$136,0)),Data!D1590))</f>
        <v>語用能力</v>
      </c>
      <c r="E1590" s="82" t="str">
        <f aca="false">IFERROR(INDEX(対訳マスタ!$C$2:$C$136,MATCH(Data!E1590,対訳マスタ!$B$2:$B$136,0)),Data!E1590)</f>
        <v>手話テキストの構造</v>
      </c>
      <c r="F1590" s="82" t="str">
        <f aca="false">Data!F1590</f>
        <v>B2</v>
      </c>
      <c r="G1590" s="81" t="str">
        <f aca="false">Data!G1590</f>
        <v>Can grasp the recurrent, central theme in a text and follow it without difficulty.</v>
      </c>
      <c r="H1590" s="81"/>
      <c r="I1590" s="82" t="s">
        <v>3625</v>
      </c>
    </row>
    <row r="1591" customFormat="false" ht="21.75" hidden="false" customHeight="true" outlineLevel="0" collapsed="false">
      <c r="A1591" s="82" t="n">
        <f aca="false">Data!A1591</f>
        <v>1590</v>
      </c>
      <c r="B1591" s="82" t="str">
        <f aca="false">IFERROR(INDEX(対訳マスタ!$C$2:$C$136,MATCH(Data!B1591,対訳マスタ!$B$2:$B$136,0)),Data!B1591)</f>
        <v>手話能力</v>
      </c>
      <c r="C1591" s="82" t="str">
        <f aca="false">IF(Data!C1591="—","—",IFERROR(INDEX(対訳マスタ!$C$2:$C$136,MATCH(Data!C1591,対訳マスタ!$B$2:$B$136,0)),Data!C1591))</f>
        <v>受容</v>
      </c>
      <c r="D1591" s="82" t="str">
        <f aca="false">IF(Data!D1591="—","—",IFERROR(INDEX(対訳マスタ!$C$2:$C$136,MATCH(Data!D1591,対訳マスタ!$B$2:$B$136,0)),Data!D1591))</f>
        <v>語用能力</v>
      </c>
      <c r="E1591" s="82" t="str">
        <f aca="false">IFERROR(INDEX(対訳マスタ!$C$2:$C$136,MATCH(Data!E1591,対訳マスタ!$B$2:$B$136,0)),Data!E1591)</f>
        <v>手話テキストの構造</v>
      </c>
      <c r="F1591" s="82" t="str">
        <f aca="false">Data!F1591</f>
        <v>B2</v>
      </c>
      <c r="G1591" s="81" t="str">
        <f aca="false">Data!G1591</f>
        <v>Can recognise in a signed text the transitions between the introduction, the main text and the conclusions.</v>
      </c>
      <c r="H1591" s="81"/>
      <c r="I1591" s="82" t="s">
        <v>3625</v>
      </c>
    </row>
    <row r="1592" customFormat="false" ht="15" hidden="false" customHeight="true" outlineLevel="0" collapsed="false">
      <c r="A1592" s="82" t="n">
        <f aca="false">Data!A1592</f>
        <v>1591</v>
      </c>
      <c r="B1592" s="82" t="str">
        <f aca="false">IFERROR(INDEX(対訳マスタ!$C$2:$C$136,MATCH(Data!B1592,対訳マスタ!$B$2:$B$136,0)),Data!B1592)</f>
        <v>手話能力</v>
      </c>
      <c r="C1592" s="82" t="str">
        <f aca="false">IF(Data!C1592="—","—",IFERROR(INDEX(対訳マスタ!$C$2:$C$136,MATCH(Data!C1592,対訳マスタ!$B$2:$B$136,0)),Data!C1592))</f>
        <v>受容</v>
      </c>
      <c r="D1592" s="82" t="str">
        <f aca="false">IF(Data!D1592="—","—",IFERROR(INDEX(対訳マスタ!$C$2:$C$136,MATCH(Data!D1592,対訳マスタ!$B$2:$B$136,0)),Data!D1592))</f>
        <v>語用能力</v>
      </c>
      <c r="E1592" s="82" t="str">
        <f aca="false">IFERROR(INDEX(対訳マスタ!$C$2:$C$136,MATCH(Data!E1592,対訳マスタ!$B$2:$B$136,0)),Data!E1592)</f>
        <v>手話テキストの構造</v>
      </c>
      <c r="F1592" s="82" t="str">
        <f aca="false">Data!F1592</f>
        <v>B2</v>
      </c>
      <c r="G1592" s="81" t="str">
        <f aca="false">Data!G1592</f>
        <v>Can assess whether the introduction and the conclusion of a text fit together.</v>
      </c>
      <c r="H1592" s="81"/>
      <c r="I1592" s="82" t="s">
        <v>3625</v>
      </c>
    </row>
    <row r="1593" customFormat="false" ht="15" hidden="false" customHeight="true" outlineLevel="0" collapsed="false">
      <c r="A1593" s="82" t="n">
        <f aca="false">Data!A1593</f>
        <v>1592</v>
      </c>
      <c r="B1593" s="82" t="str">
        <f aca="false">IFERROR(INDEX(対訳マスタ!$C$2:$C$136,MATCH(Data!B1593,対訳マスタ!$B$2:$B$136,0)),Data!B1593)</f>
        <v>手話能力</v>
      </c>
      <c r="C1593" s="82" t="str">
        <f aca="false">IF(Data!C1593="—","—",IFERROR(INDEX(対訳マスタ!$C$2:$C$136,MATCH(Data!C1593,対訳マスタ!$B$2:$B$136,0)),Data!C1593))</f>
        <v>受容</v>
      </c>
      <c r="D1593" s="82" t="str">
        <f aca="false">IF(Data!D1593="—","—",IFERROR(INDEX(対訳マスタ!$C$2:$C$136,MATCH(Data!D1593,対訳マスタ!$B$2:$B$136,0)),Data!D1593))</f>
        <v>語用能力</v>
      </c>
      <c r="E1593" s="82" t="str">
        <f aca="false">IFERROR(INDEX(対訳マスタ!$C$2:$C$136,MATCH(Data!E1593,対訳マスタ!$B$2:$B$136,0)),Data!E1593)</f>
        <v>手話テキストの構造</v>
      </c>
      <c r="F1593" s="82" t="str">
        <f aca="false">Data!F1593</f>
        <v>B2</v>
      </c>
      <c r="G1593" s="81" t="str">
        <f aca="false">Data!G1593</f>
        <v>Can recognise a change of topics in a signed text.</v>
      </c>
      <c r="H1593" s="81"/>
      <c r="I1593" s="82" t="s">
        <v>3625</v>
      </c>
    </row>
    <row r="1594" customFormat="false" ht="15" hidden="false" customHeight="true" outlineLevel="0" collapsed="false">
      <c r="A1594" s="82" t="n">
        <f aca="false">Data!A1594</f>
        <v>1593</v>
      </c>
      <c r="B1594" s="82" t="str">
        <f aca="false">IFERROR(INDEX(対訳マスタ!$C$2:$C$136,MATCH(Data!B1594,対訳マスタ!$B$2:$B$136,0)),Data!B1594)</f>
        <v>手話能力</v>
      </c>
      <c r="C1594" s="82" t="str">
        <f aca="false">IF(Data!C1594="—","—",IFERROR(INDEX(対訳マスタ!$C$2:$C$136,MATCH(Data!C1594,対訳マスタ!$B$2:$B$136,0)),Data!C1594))</f>
        <v>受容</v>
      </c>
      <c r="D1594" s="82" t="str">
        <f aca="false">IF(Data!D1594="—","—",IFERROR(INDEX(対訳マスタ!$C$2:$C$136,MATCH(Data!D1594,対訳マスタ!$B$2:$B$136,0)),Data!D1594))</f>
        <v>語用能力</v>
      </c>
      <c r="E1594" s="82" t="str">
        <f aca="false">IFERROR(INDEX(対訳マスタ!$C$2:$C$136,MATCH(Data!E1594,対訳マスタ!$B$2:$B$136,0)),Data!E1594)</f>
        <v>手話テキストの構造</v>
      </c>
      <c r="F1594" s="82" t="str">
        <f aca="false">Data!F1594</f>
        <v>B1+</v>
      </c>
      <c r="G1594" s="81" t="str">
        <f aca="false">Data!G1594</f>
        <v>Can recognise the importance of a statement that is at the centre of the signing space.</v>
      </c>
      <c r="H1594" s="81"/>
      <c r="I1594" s="82" t="s">
        <v>3625</v>
      </c>
    </row>
    <row r="1595" customFormat="false" ht="15" hidden="false" customHeight="true" outlineLevel="0" collapsed="false">
      <c r="A1595" s="82" t="n">
        <f aca="false">Data!A1595</f>
        <v>1594</v>
      </c>
      <c r="B1595" s="82" t="str">
        <f aca="false">IFERROR(INDEX(対訳マスタ!$C$2:$C$136,MATCH(Data!B1595,対訳マスタ!$B$2:$B$136,0)),Data!B1595)</f>
        <v>手話能力</v>
      </c>
      <c r="C1595" s="82" t="str">
        <f aca="false">IF(Data!C1595="—","—",IFERROR(INDEX(対訳マスタ!$C$2:$C$136,MATCH(Data!C1595,対訳マスタ!$B$2:$B$136,0)),Data!C1595))</f>
        <v>受容</v>
      </c>
      <c r="D1595" s="82" t="str">
        <f aca="false">IF(Data!D1595="—","—",IFERROR(INDEX(対訳マスタ!$C$2:$C$136,MATCH(Data!D1595,対訳マスタ!$B$2:$B$136,0)),Data!D1595))</f>
        <v>語用能力</v>
      </c>
      <c r="E1595" s="82" t="str">
        <f aca="false">IFERROR(INDEX(対訳マスタ!$C$2:$C$136,MATCH(Data!E1595,対訳マスタ!$B$2:$B$136,0)),Data!E1595)</f>
        <v>手話テキストの構造</v>
      </c>
      <c r="F1595" s="82" t="str">
        <f aca="false">Data!F1595</f>
        <v>B1+</v>
      </c>
      <c r="G1595" s="81" t="str">
        <f aca="false">Data!G1595</f>
        <v>Can understand references to previously provided information.</v>
      </c>
      <c r="H1595" s="81"/>
      <c r="I1595" s="82" t="s">
        <v>3625</v>
      </c>
    </row>
    <row r="1596" customFormat="false" ht="21.75" hidden="false" customHeight="true" outlineLevel="0" collapsed="false">
      <c r="A1596" s="82" t="n">
        <f aca="false">Data!A1596</f>
        <v>1595</v>
      </c>
      <c r="B1596" s="82" t="str">
        <f aca="false">IFERROR(INDEX(対訳マスタ!$C$2:$C$136,MATCH(Data!B1596,対訳マスタ!$B$2:$B$136,0)),Data!B1596)</f>
        <v>手話能力</v>
      </c>
      <c r="C1596" s="82" t="str">
        <f aca="false">IF(Data!C1596="—","—",IFERROR(INDEX(対訳マスタ!$C$2:$C$136,MATCH(Data!C1596,対訳マスタ!$B$2:$B$136,0)),Data!C1596))</f>
        <v>受容</v>
      </c>
      <c r="D1596" s="82" t="str">
        <f aca="false">IF(Data!D1596="—","—",IFERROR(INDEX(対訳マスタ!$C$2:$C$136,MATCH(Data!D1596,対訳マスタ!$B$2:$B$136,0)),Data!D1596))</f>
        <v>語用能力</v>
      </c>
      <c r="E1596" s="82" t="str">
        <f aca="false">IFERROR(INDEX(対訳マスタ!$C$2:$C$136,MATCH(Data!E1596,対訳マスタ!$B$2:$B$136,0)),Data!E1596)</f>
        <v>手話テキストの構造</v>
      </c>
      <c r="F1596" s="82" t="str">
        <f aca="false">Data!F1596</f>
        <v>B1+</v>
      </c>
      <c r="G1596" s="81" t="str">
        <f aca="false">Data!G1596</f>
        <v>Can identify connections and relationships between content if these are explicitly referred to in the signed text.</v>
      </c>
      <c r="H1596" s="81"/>
      <c r="I1596" s="82" t="s">
        <v>3625</v>
      </c>
    </row>
    <row r="1597" customFormat="false" ht="15" hidden="false" customHeight="true" outlineLevel="0" collapsed="false">
      <c r="A1597" s="82" t="n">
        <f aca="false">Data!A1597</f>
        <v>1596</v>
      </c>
      <c r="B1597" s="82" t="str">
        <f aca="false">IFERROR(INDEX(対訳マスタ!$C$2:$C$136,MATCH(Data!B1597,対訳マスタ!$B$2:$B$136,0)),Data!B1597)</f>
        <v>手話能力</v>
      </c>
      <c r="C1597" s="82" t="str">
        <f aca="false">IF(Data!C1597="—","—",IFERROR(INDEX(対訳マスタ!$C$2:$C$136,MATCH(Data!C1597,対訳マスタ!$B$2:$B$136,0)),Data!C1597))</f>
        <v>受容</v>
      </c>
      <c r="D1597" s="82" t="str">
        <f aca="false">IF(Data!D1597="—","—",IFERROR(INDEX(対訳マスタ!$C$2:$C$136,MATCH(Data!D1597,対訳マスタ!$B$2:$B$136,0)),Data!D1597))</f>
        <v>語用能力</v>
      </c>
      <c r="E1597" s="82" t="str">
        <f aca="false">IFERROR(INDEX(対訳マスタ!$C$2:$C$136,MATCH(Data!E1597,対訳マスタ!$B$2:$B$136,0)),Data!E1597)</f>
        <v>手話テキストの構造</v>
      </c>
      <c r="F1597" s="82" t="str">
        <f aca="false">Data!F1597</f>
        <v>B1+</v>
      </c>
      <c r="G1597" s="81" t="str">
        <f aca="false">Data!G1597</f>
        <v>Can understand the development of a highly structured signed text.</v>
      </c>
      <c r="H1597" s="81"/>
      <c r="I1597" s="82" t="s">
        <v>3625</v>
      </c>
    </row>
    <row r="1598" customFormat="false" ht="21.75" hidden="false" customHeight="true" outlineLevel="0" collapsed="false">
      <c r="A1598" s="82" t="n">
        <f aca="false">Data!A1598</f>
        <v>1597</v>
      </c>
      <c r="B1598" s="82" t="str">
        <f aca="false">IFERROR(INDEX(対訳マスタ!$C$2:$C$136,MATCH(Data!B1598,対訳マスタ!$B$2:$B$136,0)),Data!B1598)</f>
        <v>手話能力</v>
      </c>
      <c r="C1598" s="82" t="str">
        <f aca="false">IF(Data!C1598="—","—",IFERROR(INDEX(対訳マスタ!$C$2:$C$136,MATCH(Data!C1598,対訳マスタ!$B$2:$B$136,0)),Data!C1598))</f>
        <v>受容</v>
      </c>
      <c r="D1598" s="82" t="str">
        <f aca="false">IF(Data!D1598="—","—",IFERROR(INDEX(対訳マスタ!$C$2:$C$136,MATCH(Data!D1598,対訳マスタ!$B$2:$B$136,0)),Data!D1598))</f>
        <v>語用能力</v>
      </c>
      <c r="E1598" s="82" t="str">
        <f aca="false">IFERROR(INDEX(対訳マスタ!$C$2:$C$136,MATCH(Data!E1598,対訳マスタ!$B$2:$B$136,0)),Data!E1598)</f>
        <v>手話テキストの構造</v>
      </c>
      <c r="F1598" s="82" t="str">
        <f aca="false">Data!F1598</f>
        <v>B1+</v>
      </c>
      <c r="G1598" s="81" t="str">
        <f aca="false">Data!G1598</f>
        <v>Can recognise means of spatial structuring and use them for understanding a signed text.</v>
      </c>
      <c r="H1598" s="81"/>
      <c r="I1598" s="82" t="s">
        <v>3625</v>
      </c>
    </row>
    <row r="1599" customFormat="false" ht="21.75" hidden="false" customHeight="true" outlineLevel="0" collapsed="false">
      <c r="A1599" s="82" t="n">
        <f aca="false">Data!A1599</f>
        <v>1598</v>
      </c>
      <c r="B1599" s="82" t="str">
        <f aca="false">IFERROR(INDEX(対訳マスタ!$C$2:$C$136,MATCH(Data!B1599,対訳マスタ!$B$2:$B$136,0)),Data!B1599)</f>
        <v>手話能力</v>
      </c>
      <c r="C1599" s="82" t="str">
        <f aca="false">IF(Data!C1599="—","—",IFERROR(INDEX(対訳マスタ!$C$2:$C$136,MATCH(Data!C1599,対訳マスタ!$B$2:$B$136,0)),Data!C1599))</f>
        <v>受容</v>
      </c>
      <c r="D1599" s="82" t="str">
        <f aca="false">IF(Data!D1599="—","—",IFERROR(INDEX(対訳マスタ!$C$2:$C$136,MATCH(Data!D1599,対訳マスタ!$B$2:$B$136,0)),Data!D1599))</f>
        <v>語用能力</v>
      </c>
      <c r="E1599" s="82" t="str">
        <f aca="false">IFERROR(INDEX(対訳マスタ!$C$2:$C$136,MATCH(Data!E1599,対訳マスタ!$B$2:$B$136,0)),Data!E1599)</f>
        <v>手話テキストの構造</v>
      </c>
      <c r="F1599" s="82" t="str">
        <f aca="false">Data!F1599</f>
        <v>B1+</v>
      </c>
      <c r="G1599" s="81" t="str">
        <f aca="false">Data!G1599</f>
        <v>Can deduce the content of a short text from the context even if local cohesive devices are lacking.</v>
      </c>
      <c r="H1599" s="81"/>
      <c r="I1599" s="82" t="s">
        <v>3625</v>
      </c>
    </row>
    <row r="1600" customFormat="false" ht="21.75" hidden="false" customHeight="true" outlineLevel="0" collapsed="false">
      <c r="A1600" s="82" t="n">
        <f aca="false">Data!A1600</f>
        <v>1599</v>
      </c>
      <c r="B1600" s="82" t="str">
        <f aca="false">IFERROR(INDEX(対訳マスタ!$C$2:$C$136,MATCH(Data!B1600,対訳マスタ!$B$2:$B$136,0)),Data!B1600)</f>
        <v>手話能力</v>
      </c>
      <c r="C1600" s="82" t="str">
        <f aca="false">IF(Data!C1600="—","—",IFERROR(INDEX(対訳マスタ!$C$2:$C$136,MATCH(Data!C1600,対訳マスタ!$B$2:$B$136,0)),Data!C1600))</f>
        <v>受容</v>
      </c>
      <c r="D1600" s="82" t="str">
        <f aca="false">IF(Data!D1600="—","—",IFERROR(INDEX(対訳マスタ!$C$2:$C$136,MATCH(Data!D1600,対訳マスタ!$B$2:$B$136,0)),Data!D1600))</f>
        <v>語用能力</v>
      </c>
      <c r="E1600" s="82" t="str">
        <f aca="false">IFERROR(INDEX(対訳マスタ!$C$2:$C$136,MATCH(Data!E1600,対訳マスタ!$B$2:$B$136,0)),Data!E1600)</f>
        <v>手話テキストの構造</v>
      </c>
      <c r="F1600" s="82" t="str">
        <f aca="false">Data!F1600</f>
        <v>B1</v>
      </c>
      <c r="G1600" s="81" t="str">
        <f aca="false">Data!G1600</f>
        <v>Can recognise simple ways of structuring in a signed text (e.g., a subject and comments on it).</v>
      </c>
      <c r="H1600" s="81"/>
      <c r="I1600" s="82" t="s">
        <v>3625</v>
      </c>
    </row>
    <row r="1601" customFormat="false" ht="15" hidden="false" customHeight="true" outlineLevel="0" collapsed="false">
      <c r="A1601" s="82" t="n">
        <f aca="false">Data!A1601</f>
        <v>1600</v>
      </c>
      <c r="B1601" s="82" t="str">
        <f aca="false">IFERROR(INDEX(対訳マスタ!$C$2:$C$136,MATCH(Data!B1601,対訳マスタ!$B$2:$B$136,0)),Data!B1601)</f>
        <v>手話能力</v>
      </c>
      <c r="C1601" s="82" t="str">
        <f aca="false">IF(Data!C1601="—","—",IFERROR(INDEX(対訳マスタ!$C$2:$C$136,MATCH(Data!C1601,対訳マスタ!$B$2:$B$136,0)),Data!C1601))</f>
        <v>受容</v>
      </c>
      <c r="D1601" s="82" t="str">
        <f aca="false">IF(Data!D1601="—","—",IFERROR(INDEX(対訳マスタ!$C$2:$C$136,MATCH(Data!D1601,対訳マスタ!$B$2:$B$136,0)),Data!D1601))</f>
        <v>語用能力</v>
      </c>
      <c r="E1601" s="82" t="str">
        <f aca="false">IFERROR(INDEX(対訳マスタ!$C$2:$C$136,MATCH(Data!E1601,対訳マスタ!$B$2:$B$136,0)),Data!E1601)</f>
        <v>手話テキストの構造</v>
      </c>
      <c r="F1601" s="82" t="str">
        <f aca="false">Data!F1601</f>
        <v>A2</v>
      </c>
      <c r="G1601" s="81" t="str">
        <f aca="false">Data!G1601</f>
        <v>Can find the main points in short everyday texts.</v>
      </c>
      <c r="H1601" s="81"/>
      <c r="I1601" s="82" t="s">
        <v>3625</v>
      </c>
    </row>
    <row r="1602" customFormat="false" ht="21.75" hidden="false" customHeight="true" outlineLevel="0" collapsed="false">
      <c r="A1602" s="82" t="n">
        <f aca="false">Data!A1602</f>
        <v>1601</v>
      </c>
      <c r="B1602" s="82" t="str">
        <f aca="false">IFERROR(INDEX(対訳マスタ!$C$2:$C$136,MATCH(Data!B1602,対訳マスタ!$B$2:$B$136,0)),Data!B1602)</f>
        <v>手話能力</v>
      </c>
      <c r="C1602" s="82" t="str">
        <f aca="false">IF(Data!C1602="—","—",IFERROR(INDEX(対訳マスタ!$C$2:$C$136,MATCH(Data!C1602,対訳マスタ!$B$2:$B$136,0)),Data!C1602))</f>
        <v>受容</v>
      </c>
      <c r="D1602" s="82" t="str">
        <f aca="false">IF(Data!D1602="—","—",IFERROR(INDEX(対訳マスタ!$C$2:$C$136,MATCH(Data!D1602,対訳マスタ!$B$2:$B$136,0)),Data!D1602))</f>
        <v>語用能力</v>
      </c>
      <c r="E1602" s="82" t="str">
        <f aca="false">IFERROR(INDEX(対訳マスタ!$C$2:$C$136,MATCH(Data!E1602,対訳マスタ!$B$2:$B$136,0)),Data!E1602)</f>
        <v>手話テキストの構造</v>
      </c>
      <c r="F1602" s="82" t="str">
        <f aca="false">Data!F1602</f>
        <v>A2</v>
      </c>
      <c r="G1602" s="81" t="str">
        <f aca="false">Data!G1602</f>
        <v>Can identify and understand simple hierarchical structures (e.g., families, work) by using buoys in signing space.</v>
      </c>
      <c r="H1602" s="81"/>
      <c r="I1602" s="82" t="s">
        <v>3625</v>
      </c>
    </row>
    <row r="1603" customFormat="false" ht="15" hidden="false" customHeight="true" outlineLevel="0" collapsed="false">
      <c r="A1603" s="82" t="n">
        <f aca="false">Data!A1603</f>
        <v>1602</v>
      </c>
      <c r="B1603" s="82" t="str">
        <f aca="false">IFERROR(INDEX(対訳マスタ!$C$2:$C$136,MATCH(Data!B1603,対訳マスタ!$B$2:$B$136,0)),Data!B1603)</f>
        <v>手話能力</v>
      </c>
      <c r="C1603" s="82" t="str">
        <f aca="false">IF(Data!C1603="—","—",IFERROR(INDEX(対訳マスタ!$C$2:$C$136,MATCH(Data!C1603,対訳マスタ!$B$2:$B$136,0)),Data!C1603))</f>
        <v>受容</v>
      </c>
      <c r="D1603" s="82" t="str">
        <f aca="false">IF(Data!D1603="—","—",IFERROR(INDEX(対訳マスタ!$C$2:$C$136,MATCH(Data!D1603,対訳マスタ!$B$2:$B$136,0)),Data!D1603))</f>
        <v>語用能力</v>
      </c>
      <c r="E1603" s="82" t="str">
        <f aca="false">IFERROR(INDEX(対訳マスタ!$C$2:$C$136,MATCH(Data!E1603,対訳マスタ!$B$2:$B$136,0)),Data!E1603)</f>
        <v>手話テキストの構造</v>
      </c>
      <c r="F1603" s="82" t="str">
        <f aca="false">Data!F1603</f>
        <v>A2</v>
      </c>
      <c r="G1603" s="81" t="str">
        <f aca="false">Data!G1603</f>
        <v>Can understand simple time sequences expressed through the signing space.</v>
      </c>
      <c r="H1603" s="81"/>
      <c r="I1603" s="82" t="s">
        <v>3625</v>
      </c>
    </row>
    <row r="1604" customFormat="false" ht="15" hidden="false" customHeight="true" outlineLevel="0" collapsed="false">
      <c r="A1604" s="82" t="n">
        <f aca="false">Data!A1604</f>
        <v>1603</v>
      </c>
      <c r="B1604" s="82" t="str">
        <f aca="false">IFERROR(INDEX(対訳マスタ!$C$2:$C$136,MATCH(Data!B1604,対訳マスタ!$B$2:$B$136,0)),Data!B1604)</f>
        <v>手話能力</v>
      </c>
      <c r="C1604" s="82" t="str">
        <f aca="false">IF(Data!C1604="—","—",IFERROR(INDEX(対訳マスタ!$C$2:$C$136,MATCH(Data!C1604,対訳マスタ!$B$2:$B$136,0)),Data!C1604))</f>
        <v>受容</v>
      </c>
      <c r="D1604" s="82" t="str">
        <f aca="false">IF(Data!D1604="—","—",IFERROR(INDEX(対訳マスタ!$C$2:$C$136,MATCH(Data!D1604,対訳マスタ!$B$2:$B$136,0)),Data!D1604))</f>
        <v>語用能力</v>
      </c>
      <c r="E1604" s="82" t="str">
        <f aca="false">IFERROR(INDEX(対訳マスタ!$C$2:$C$136,MATCH(Data!E1604,対訳マスタ!$B$2:$B$136,0)),Data!E1604)</f>
        <v>手話テキストの構造</v>
      </c>
      <c r="F1604" s="82" t="str">
        <f aca="false">Data!F1604</f>
        <v>A2</v>
      </c>
      <c r="G1604" s="81" t="str">
        <f aca="false">Data!G1604</f>
        <v>Can infer the intention/objective of a signed text from the introduction.</v>
      </c>
      <c r="H1604" s="81"/>
      <c r="I1604" s="82" t="s">
        <v>3625</v>
      </c>
    </row>
    <row r="1605" customFormat="false" ht="15" hidden="false" customHeight="true" outlineLevel="0" collapsed="false">
      <c r="A1605" s="82" t="n">
        <f aca="false">Data!A1605</f>
        <v>1604</v>
      </c>
      <c r="B1605" s="82" t="str">
        <f aca="false">IFERROR(INDEX(対訳マスタ!$C$2:$C$136,MATCH(Data!B1605,対訳マスタ!$B$2:$B$136,0)),Data!B1605)</f>
        <v>手話能力</v>
      </c>
      <c r="C1605" s="82" t="str">
        <f aca="false">IF(Data!C1605="—","—",IFERROR(INDEX(対訳マスタ!$C$2:$C$136,MATCH(Data!C1605,対訳マスタ!$B$2:$B$136,0)),Data!C1605))</f>
        <v>受容</v>
      </c>
      <c r="D1605" s="82" t="str">
        <f aca="false">IF(Data!D1605="—","—",IFERROR(INDEX(対訳マスタ!$C$2:$C$136,MATCH(Data!D1605,対訳マスタ!$B$2:$B$136,0)),Data!D1605))</f>
        <v>語用能力</v>
      </c>
      <c r="E1605" s="82" t="str">
        <f aca="false">IFERROR(INDEX(対訳マスタ!$C$2:$C$136,MATCH(Data!E1605,対訳マスタ!$B$2:$B$136,0)),Data!E1605)</f>
        <v>手話テキストの構造</v>
      </c>
      <c r="F1605" s="82" t="str">
        <f aca="false">Data!F1605</f>
        <v>A1</v>
      </c>
      <c r="G1605" s="81" t="str">
        <f aca="false">Data!G1605</f>
        <v>Can grasp the individual points in an enumeration.</v>
      </c>
      <c r="H1605" s="81"/>
      <c r="I1605" s="82" t="s">
        <v>3625</v>
      </c>
    </row>
    <row r="1606" customFormat="false" ht="15" hidden="false" customHeight="true" outlineLevel="0" collapsed="false">
      <c r="A1606" s="82" t="n">
        <f aca="false">Data!A1606</f>
        <v>1605</v>
      </c>
      <c r="B1606" s="82" t="str">
        <f aca="false">IFERROR(INDEX(対訳マスタ!$C$2:$C$136,MATCH(Data!B1606,対訳マスタ!$B$2:$B$136,0)),Data!B1606)</f>
        <v>手話能力</v>
      </c>
      <c r="C1606" s="82" t="str">
        <f aca="false">IF(Data!C1606="—","—",IFERROR(INDEX(対訳マスタ!$C$2:$C$136,MATCH(Data!C1606,対訳マスタ!$B$2:$B$136,0)),Data!C1606))</f>
        <v>受容</v>
      </c>
      <c r="D1606" s="82" t="str">
        <f aca="false">IF(Data!D1606="—","—",IFERROR(INDEX(対訳マスタ!$C$2:$C$136,MATCH(Data!D1606,対訳マスタ!$B$2:$B$136,0)),Data!D1606))</f>
        <v>語用能力</v>
      </c>
      <c r="E1606" s="82" t="str">
        <f aca="false">IFERROR(INDEX(対訳マスタ!$C$2:$C$136,MATCH(Data!E1606,対訳マスタ!$B$2:$B$136,0)),Data!E1606)</f>
        <v>手話テキストの構造</v>
      </c>
      <c r="F1606" s="82" t="str">
        <f aca="false">Data!F1606</f>
        <v>A1</v>
      </c>
      <c r="G1606" s="81" t="str">
        <f aca="false">Data!G1606</f>
        <v>Can recognise the end of a signed contribution by e.g., the clasped hands.</v>
      </c>
      <c r="H1606" s="81"/>
      <c r="I1606" s="82" t="s">
        <v>3625</v>
      </c>
    </row>
    <row r="1607" customFormat="false" ht="15" hidden="false" customHeight="true" outlineLevel="0" collapsed="false">
      <c r="A1607" s="82" t="n">
        <f aca="false">Data!A1607</f>
        <v>1606</v>
      </c>
      <c r="B1607" s="82" t="str">
        <f aca="false">IFERROR(INDEX(対訳マスタ!$C$2:$C$136,MATCH(Data!B1607,対訳マスタ!$B$2:$B$136,0)),Data!B1607)</f>
        <v>手話能力</v>
      </c>
      <c r="C1607" s="82" t="str">
        <f aca="false">IF(Data!C1607="—","—",IFERROR(INDEX(対訳マスタ!$C$2:$C$136,MATCH(Data!C1607,対訳マスタ!$B$2:$B$136,0)),Data!C1607))</f>
        <v>産出</v>
      </c>
      <c r="D1607" s="82" t="str">
        <f aca="false">IF(Data!D1607="—","—",IFERROR(INDEX(対訳マスタ!$C$2:$C$136,MATCH(Data!D1607,対訳マスタ!$B$2:$B$136,0)),Data!D1607))</f>
        <v>語用能力</v>
      </c>
      <c r="E1607" s="82" t="str">
        <f aca="false">IFERROR(INDEX(対訳マスタ!$C$2:$C$136,MATCH(Data!E1607,対訳マスタ!$B$2:$B$136,0)),Data!E1607)</f>
        <v>手話テキストの構造</v>
      </c>
      <c r="F1607" s="82" t="str">
        <f aca="false">Data!F1607</f>
        <v>C2</v>
      </c>
      <c r="G1607" s="81" t="str">
        <f aca="false">Data!G1607</f>
        <v>Can mention in passing several other places and people, without losing their thread.</v>
      </c>
      <c r="H1607" s="81"/>
      <c r="I1607" s="82" t="s">
        <v>3625</v>
      </c>
    </row>
    <row r="1608" customFormat="false" ht="15" hidden="false" customHeight="true" outlineLevel="0" collapsed="false">
      <c r="A1608" s="82" t="n">
        <f aca="false">Data!A1608</f>
        <v>1607</v>
      </c>
      <c r="B1608" s="82" t="str">
        <f aca="false">IFERROR(INDEX(対訳マスタ!$C$2:$C$136,MATCH(Data!B1608,対訳マスタ!$B$2:$B$136,0)),Data!B1608)</f>
        <v>手話能力</v>
      </c>
      <c r="C1608" s="82" t="str">
        <f aca="false">IF(Data!C1608="—","—",IFERROR(INDEX(対訳マスタ!$C$2:$C$136,MATCH(Data!C1608,対訳マスタ!$B$2:$B$136,0)),Data!C1608))</f>
        <v>産出</v>
      </c>
      <c r="D1608" s="82" t="str">
        <f aca="false">IF(Data!D1608="—","—",IFERROR(INDEX(対訳マスタ!$C$2:$C$136,MATCH(Data!D1608,対訳マスタ!$B$2:$B$136,0)),Data!D1608))</f>
        <v>語用能力</v>
      </c>
      <c r="E1608" s="82" t="str">
        <f aca="false">IFERROR(INDEX(対訳マスタ!$C$2:$C$136,MATCH(Data!E1608,対訳マスタ!$B$2:$B$136,0)),Data!E1608)</f>
        <v>手話テキストの構造</v>
      </c>
      <c r="F1608" s="82" t="str">
        <f aca="false">Data!F1608</f>
        <v>C2</v>
      </c>
      <c r="G1608" s="81" t="str">
        <f aca="false">Data!G1608</f>
        <v>Can systematically justify their opinions, for example logically, morally and pragmatically.</v>
      </c>
      <c r="H1608" s="81"/>
      <c r="I1608" s="82" t="s">
        <v>3625</v>
      </c>
    </row>
    <row r="1609" customFormat="false" ht="15" hidden="false" customHeight="true" outlineLevel="0" collapsed="false">
      <c r="A1609" s="82" t="n">
        <f aca="false">Data!A1609</f>
        <v>1608</v>
      </c>
      <c r="B1609" s="82" t="str">
        <f aca="false">IFERROR(INDEX(対訳マスタ!$C$2:$C$136,MATCH(Data!B1609,対訳マスタ!$B$2:$B$136,0)),Data!B1609)</f>
        <v>手話能力</v>
      </c>
      <c r="C1609" s="82" t="str">
        <f aca="false">IF(Data!C1609="—","—",IFERROR(INDEX(対訳マスタ!$C$2:$C$136,MATCH(Data!C1609,対訳マスタ!$B$2:$B$136,0)),Data!C1609))</f>
        <v>産出</v>
      </c>
      <c r="D1609" s="82" t="str">
        <f aca="false">IF(Data!D1609="—","—",IFERROR(INDEX(対訳マスタ!$C$2:$C$136,MATCH(Data!D1609,対訳マスタ!$B$2:$B$136,0)),Data!D1609))</f>
        <v>語用能力</v>
      </c>
      <c r="E1609" s="82" t="str">
        <f aca="false">IFERROR(INDEX(対訳マスタ!$C$2:$C$136,MATCH(Data!E1609,対訳マスタ!$B$2:$B$136,0)),Data!E1609)</f>
        <v>手話テキストの構造</v>
      </c>
      <c r="F1609" s="82" t="str">
        <f aca="false">Data!F1609</f>
        <v>C2</v>
      </c>
      <c r="G1609" s="81" t="str">
        <f aca="false">Data!G1609</f>
        <v>Can effortlessly use stylistic and rhetoric means to effectively develop their contribution.</v>
      </c>
      <c r="H1609" s="81"/>
      <c r="I1609" s="82" t="s">
        <v>3625</v>
      </c>
    </row>
    <row r="1610" customFormat="false" ht="21.75" hidden="false" customHeight="true" outlineLevel="0" collapsed="false">
      <c r="A1610" s="82" t="n">
        <f aca="false">Data!A1610</f>
        <v>1609</v>
      </c>
      <c r="B1610" s="82" t="str">
        <f aca="false">IFERROR(INDEX(対訳マスタ!$C$2:$C$136,MATCH(Data!B1610,対訳マスタ!$B$2:$B$136,0)),Data!B1610)</f>
        <v>手話能力</v>
      </c>
      <c r="C1610" s="82" t="str">
        <f aca="false">IF(Data!C1610="—","—",IFERROR(INDEX(対訳マスタ!$C$2:$C$136,MATCH(Data!C1610,対訳マスタ!$B$2:$B$136,0)),Data!C1610))</f>
        <v>産出</v>
      </c>
      <c r="D1610" s="82" t="str">
        <f aca="false">IF(Data!D1610="—","—",IFERROR(INDEX(対訳マスタ!$C$2:$C$136,MATCH(Data!D1610,対訳マスタ!$B$2:$B$136,0)),Data!D1610))</f>
        <v>語用能力</v>
      </c>
      <c r="E1610" s="82" t="str">
        <f aca="false">IFERROR(INDEX(対訳マスタ!$C$2:$C$136,MATCH(Data!E1610,対訳マスタ!$B$2:$B$136,0)),Data!E1610)</f>
        <v>手話テキストの構造</v>
      </c>
      <c r="F1610" s="82" t="str">
        <f aca="false">Data!F1610</f>
        <v>C1</v>
      </c>
      <c r="G1610" s="81" t="str">
        <f aca="false">Data!G1610</f>
        <v>Can develop a convincing, logical argument (thesis, justification, exemplification, conclusion).</v>
      </c>
      <c r="H1610" s="81"/>
      <c r="I1610" s="82" t="s">
        <v>3625</v>
      </c>
    </row>
    <row r="1611" customFormat="false" ht="15" hidden="false" customHeight="true" outlineLevel="0" collapsed="false">
      <c r="A1611" s="82" t="n">
        <f aca="false">Data!A1611</f>
        <v>1610</v>
      </c>
      <c r="B1611" s="82" t="str">
        <f aca="false">IFERROR(INDEX(対訳マスタ!$C$2:$C$136,MATCH(Data!B1611,対訳マスタ!$B$2:$B$136,0)),Data!B1611)</f>
        <v>手話能力</v>
      </c>
      <c r="C1611" s="82" t="str">
        <f aca="false">IF(Data!C1611="—","—",IFERROR(INDEX(対訳マスタ!$C$2:$C$136,MATCH(Data!C1611,対訳マスタ!$B$2:$B$136,0)),Data!C1611))</f>
        <v>産出</v>
      </c>
      <c r="D1611" s="82" t="str">
        <f aca="false">IF(Data!D1611="—","—",IFERROR(INDEX(対訳マスタ!$C$2:$C$136,MATCH(Data!D1611,対訳マスタ!$B$2:$B$136,0)),Data!D1611))</f>
        <v>語用能力</v>
      </c>
      <c r="E1611" s="82" t="str">
        <f aca="false">IFERROR(INDEX(対訳マスタ!$C$2:$C$136,MATCH(Data!E1611,対訳マスタ!$B$2:$B$136,0)),Data!E1611)</f>
        <v>手話テキストの構造</v>
      </c>
      <c r="F1611" s="82" t="str">
        <f aca="false">Data!F1611</f>
        <v>C1</v>
      </c>
      <c r="G1611" s="81" t="str">
        <f aca="false">Data!G1611</f>
        <v>Can emphasise certain aspects of a complex topic.</v>
      </c>
      <c r="H1611" s="81"/>
      <c r="I1611" s="82" t="s">
        <v>3625</v>
      </c>
    </row>
    <row r="1612" customFormat="false" ht="15" hidden="false" customHeight="true" outlineLevel="0" collapsed="false">
      <c r="A1612" s="82" t="n">
        <f aca="false">Data!A1612</f>
        <v>1611</v>
      </c>
      <c r="B1612" s="82" t="str">
        <f aca="false">IFERROR(INDEX(対訳マスタ!$C$2:$C$136,MATCH(Data!B1612,対訳マスタ!$B$2:$B$136,0)),Data!B1612)</f>
        <v>手話能力</v>
      </c>
      <c r="C1612" s="82" t="str">
        <f aca="false">IF(Data!C1612="—","—",IFERROR(INDEX(対訳マスタ!$C$2:$C$136,MATCH(Data!C1612,対訳マスタ!$B$2:$B$136,0)),Data!C1612))</f>
        <v>産出</v>
      </c>
      <c r="D1612" s="82" t="str">
        <f aca="false">IF(Data!D1612="—","—",IFERROR(INDEX(対訳マスタ!$C$2:$C$136,MATCH(Data!D1612,対訳マスタ!$B$2:$B$136,0)),Data!D1612))</f>
        <v>語用能力</v>
      </c>
      <c r="E1612" s="82" t="str">
        <f aca="false">IFERROR(INDEX(対訳マスタ!$C$2:$C$136,MATCH(Data!E1612,対訳マスタ!$B$2:$B$136,0)),Data!E1612)</f>
        <v>手話テキストの構造</v>
      </c>
      <c r="F1612" s="82" t="str">
        <f aca="false">Data!F1612</f>
        <v>C1</v>
      </c>
      <c r="G1612" s="81" t="str">
        <f aca="false">Data!G1612</f>
        <v>Can structure complex content in a sensible way.</v>
      </c>
      <c r="H1612" s="81"/>
      <c r="I1612" s="82" t="s">
        <v>3625</v>
      </c>
    </row>
    <row r="1613" customFormat="false" ht="32.25" hidden="false" customHeight="true" outlineLevel="0" collapsed="false">
      <c r="A1613" s="82" t="n">
        <f aca="false">Data!A1613</f>
        <v>1612</v>
      </c>
      <c r="B1613" s="82" t="str">
        <f aca="false">IFERROR(INDEX(対訳マスタ!$C$2:$C$136,MATCH(Data!B1613,対訳マスタ!$B$2:$B$136,0)),Data!B1613)</f>
        <v>手話能力</v>
      </c>
      <c r="C1613" s="82" t="str">
        <f aca="false">IF(Data!C1613="—","—",IFERROR(INDEX(対訳マスタ!$C$2:$C$136,MATCH(Data!C1613,対訳マスタ!$B$2:$B$136,0)),Data!C1613))</f>
        <v>産出</v>
      </c>
      <c r="D1613" s="82" t="str">
        <f aca="false">IF(Data!D1613="—","—",IFERROR(INDEX(対訳マスタ!$C$2:$C$136,MATCH(Data!D1613,対訳マスタ!$B$2:$B$136,0)),Data!D1613))</f>
        <v>語用能力</v>
      </c>
      <c r="E1613" s="82" t="str">
        <f aca="false">IFERROR(INDEX(対訳マスタ!$C$2:$C$136,MATCH(Data!E1613,対訳マスタ!$B$2:$B$136,0)),Data!E1613)</f>
        <v>手話テキストの構造</v>
      </c>
      <c r="F1613" s="82" t="str">
        <f aca="false">Data!F1613</f>
        <v>C1</v>
      </c>
      <c r="G1613" s="81" t="str">
        <f aca="false">Data!G1613</f>
        <v>Can employ different types of argumentative texts (e.g. an explanatory text outlining arguments for and against something, or a text giving detailed background and exploring an issue in depth).</v>
      </c>
      <c r="H1613" s="81"/>
      <c r="I1613" s="82" t="s">
        <v>3625</v>
      </c>
    </row>
    <row r="1614" customFormat="false" ht="21.75" hidden="false" customHeight="true" outlineLevel="0" collapsed="false">
      <c r="A1614" s="82" t="n">
        <f aca="false">Data!A1614</f>
        <v>1613</v>
      </c>
      <c r="B1614" s="82" t="str">
        <f aca="false">IFERROR(INDEX(対訳マスタ!$C$2:$C$136,MATCH(Data!B1614,対訳マスタ!$B$2:$B$136,0)),Data!B1614)</f>
        <v>手話能力</v>
      </c>
      <c r="C1614" s="82" t="str">
        <f aca="false">IF(Data!C1614="—","—",IFERROR(INDEX(対訳マスタ!$C$2:$C$136,MATCH(Data!C1614,対訳マスタ!$B$2:$B$136,0)),Data!C1614))</f>
        <v>産出</v>
      </c>
      <c r="D1614" s="82" t="str">
        <f aca="false">IF(Data!D1614="—","—",IFERROR(INDEX(対訳マスタ!$C$2:$C$136,MATCH(Data!D1614,対訳マスタ!$B$2:$B$136,0)),Data!D1614))</f>
        <v>語用能力</v>
      </c>
      <c r="E1614" s="82" t="str">
        <f aca="false">IFERROR(INDEX(対訳マスタ!$C$2:$C$136,MATCH(Data!E1614,対訳マスタ!$B$2:$B$136,0)),Data!E1614)</f>
        <v>手話テキストの構造</v>
      </c>
      <c r="F1614" s="82" t="str">
        <f aca="false">Data!F1614</f>
        <v>C1</v>
      </c>
      <c r="G1614" s="81" t="str">
        <f aca="false">Data!G1614</f>
        <v>Can treat a very wide range of topics, introducing and concluding each one appropriately.</v>
      </c>
      <c r="H1614" s="81"/>
      <c r="I1614" s="82" t="s">
        <v>3625</v>
      </c>
    </row>
    <row r="1615" customFormat="false" ht="21.75" hidden="false" customHeight="true" outlineLevel="0" collapsed="false">
      <c r="A1615" s="82" t="n">
        <f aca="false">Data!A1615</f>
        <v>1614</v>
      </c>
      <c r="B1615" s="82" t="str">
        <f aca="false">IFERROR(INDEX(対訳マスタ!$C$2:$C$136,MATCH(Data!B1615,対訳マスタ!$B$2:$B$136,0)),Data!B1615)</f>
        <v>手話能力</v>
      </c>
      <c r="C1615" s="82" t="str">
        <f aca="false">IF(Data!C1615="—","—",IFERROR(INDEX(対訳マスタ!$C$2:$C$136,MATCH(Data!C1615,対訳マスタ!$B$2:$B$136,0)),Data!C1615))</f>
        <v>産出</v>
      </c>
      <c r="D1615" s="82" t="str">
        <f aca="false">IF(Data!D1615="—","—",IFERROR(INDEX(対訳マスタ!$C$2:$C$136,MATCH(Data!D1615,対訳マスタ!$B$2:$B$136,0)),Data!D1615))</f>
        <v>語用能力</v>
      </c>
      <c r="E1615" s="82" t="str">
        <f aca="false">IFERROR(INDEX(対訳マスタ!$C$2:$C$136,MATCH(Data!E1615,対訳マスタ!$B$2:$B$136,0)),Data!E1615)</f>
        <v>手話テキストの構造</v>
      </c>
      <c r="F1615" s="82" t="str">
        <f aca="false">Data!F1615</f>
        <v>C1</v>
      </c>
      <c r="G1615" s="81" t="str">
        <f aca="false">Data!G1615</f>
        <v>Can effortlessly employ manual and non-manual, lexical and productive cohesive devices to structure the text.</v>
      </c>
      <c r="H1615" s="81"/>
      <c r="I1615" s="82" t="s">
        <v>3625</v>
      </c>
    </row>
    <row r="1616" customFormat="false" ht="21.75" hidden="false" customHeight="true" outlineLevel="0" collapsed="false">
      <c r="A1616" s="82" t="n">
        <f aca="false">Data!A1616</f>
        <v>1615</v>
      </c>
      <c r="B1616" s="82" t="str">
        <f aca="false">IFERROR(INDEX(対訳マスタ!$C$2:$C$136,MATCH(Data!B1616,対訳マスタ!$B$2:$B$136,0)),Data!B1616)</f>
        <v>手話能力</v>
      </c>
      <c r="C1616" s="82" t="str">
        <f aca="false">IF(Data!C1616="—","—",IFERROR(INDEX(対訳マスタ!$C$2:$C$136,MATCH(Data!C1616,対訳マスタ!$B$2:$B$136,0)),Data!C1616))</f>
        <v>産出</v>
      </c>
      <c r="D1616" s="82" t="str">
        <f aca="false">IF(Data!D1616="—","—",IFERROR(INDEX(対訳マスタ!$C$2:$C$136,MATCH(Data!D1616,対訳マスタ!$B$2:$B$136,0)),Data!D1616))</f>
        <v>語用能力</v>
      </c>
      <c r="E1616" s="82" t="str">
        <f aca="false">IFERROR(INDEX(対訳マスタ!$C$2:$C$136,MATCH(Data!E1616,対訳マスタ!$B$2:$B$136,0)),Data!E1616)</f>
        <v>手話テキストの構造</v>
      </c>
      <c r="F1616" s="82" t="str">
        <f aca="false">Data!F1616</f>
        <v>C1</v>
      </c>
      <c r="G1616" s="81" t="str">
        <f aca="false">Data!G1616</f>
        <v>Can adapt the linguistic cohesive devices employed appropriately to the internal structure of the text.</v>
      </c>
      <c r="H1616" s="81"/>
      <c r="I1616" s="82" t="s">
        <v>3625</v>
      </c>
    </row>
    <row r="1617" customFormat="false" ht="15" hidden="false" customHeight="true" outlineLevel="0" collapsed="false">
      <c r="A1617" s="82" t="n">
        <f aca="false">Data!A1617</f>
        <v>1616</v>
      </c>
      <c r="B1617" s="82" t="str">
        <f aca="false">IFERROR(INDEX(対訳マスタ!$C$2:$C$136,MATCH(Data!B1617,対訳マスタ!$B$2:$B$136,0)),Data!B1617)</f>
        <v>手話能力</v>
      </c>
      <c r="C1617" s="82" t="str">
        <f aca="false">IF(Data!C1617="—","—",IFERROR(INDEX(対訳マスタ!$C$2:$C$136,MATCH(Data!C1617,対訳マスタ!$B$2:$B$136,0)),Data!C1617))</f>
        <v>産出</v>
      </c>
      <c r="D1617" s="82" t="str">
        <f aca="false">IF(Data!D1617="—","—",IFERROR(INDEX(対訳マスタ!$C$2:$C$136,MATCH(Data!D1617,対訳マスタ!$B$2:$B$136,0)),Data!D1617))</f>
        <v>語用能力</v>
      </c>
      <c r="E1617" s="82" t="str">
        <f aca="false">IFERROR(INDEX(対訳マスタ!$C$2:$C$136,MATCH(Data!E1617,対訳マスタ!$B$2:$B$136,0)),Data!E1617)</f>
        <v>手話テキストの構造</v>
      </c>
      <c r="F1617" s="82" t="str">
        <f aca="false">Data!F1617</f>
        <v>C1</v>
      </c>
      <c r="G1617" s="81" t="str">
        <f aca="false">Data!G1617</f>
        <v>Can construct the message of a text from general statements to specific details.</v>
      </c>
      <c r="H1617" s="81"/>
      <c r="I1617" s="82" t="s">
        <v>3625</v>
      </c>
    </row>
    <row r="1618" customFormat="false" ht="15" hidden="false" customHeight="true" outlineLevel="0" collapsed="false">
      <c r="A1618" s="82" t="n">
        <f aca="false">Data!A1618</f>
        <v>1617</v>
      </c>
      <c r="B1618" s="82" t="str">
        <f aca="false">IFERROR(INDEX(対訳マスタ!$C$2:$C$136,MATCH(Data!B1618,対訳マスタ!$B$2:$B$136,0)),Data!B1618)</f>
        <v>手話能力</v>
      </c>
      <c r="C1618" s="82" t="str">
        <f aca="false">IF(Data!C1618="—","—",IFERROR(INDEX(対訳マスタ!$C$2:$C$136,MATCH(Data!C1618,対訳マスタ!$B$2:$B$136,0)),Data!C1618))</f>
        <v>産出</v>
      </c>
      <c r="D1618" s="82" t="str">
        <f aca="false">IF(Data!D1618="—","—",IFERROR(INDEX(対訳マスタ!$C$2:$C$136,MATCH(Data!D1618,対訳マスタ!$B$2:$B$136,0)),Data!D1618))</f>
        <v>語用能力</v>
      </c>
      <c r="E1618" s="82" t="str">
        <f aca="false">IFERROR(INDEX(対訳マスタ!$C$2:$C$136,MATCH(Data!E1618,対訳マスタ!$B$2:$B$136,0)),Data!E1618)</f>
        <v>手話テキストの構造</v>
      </c>
      <c r="F1618" s="82" t="str">
        <f aca="false">Data!F1618</f>
        <v>B2+</v>
      </c>
      <c r="G1618" s="81" t="str">
        <f aca="false">Data!G1618</f>
        <v>Can formulate an appropriate introduction and conclusion for a text.</v>
      </c>
      <c r="H1618" s="81"/>
      <c r="I1618" s="82" t="s">
        <v>3625</v>
      </c>
    </row>
    <row r="1619" customFormat="false" ht="15" hidden="false" customHeight="true" outlineLevel="0" collapsed="false">
      <c r="A1619" s="82" t="n">
        <f aca="false">Data!A1619</f>
        <v>1618</v>
      </c>
      <c r="B1619" s="82" t="str">
        <f aca="false">IFERROR(INDEX(対訳マスタ!$C$2:$C$136,MATCH(Data!B1619,対訳マスタ!$B$2:$B$136,0)),Data!B1619)</f>
        <v>手話能力</v>
      </c>
      <c r="C1619" s="82" t="str">
        <f aca="false">IF(Data!C1619="—","—",IFERROR(INDEX(対訳マスタ!$C$2:$C$136,MATCH(Data!C1619,対訳マスタ!$B$2:$B$136,0)),Data!C1619))</f>
        <v>産出</v>
      </c>
      <c r="D1619" s="82" t="str">
        <f aca="false">IF(Data!D1619="—","—",IFERROR(INDEX(対訳マスタ!$C$2:$C$136,MATCH(Data!D1619,対訳マスタ!$B$2:$B$136,0)),Data!D1619))</f>
        <v>語用能力</v>
      </c>
      <c r="E1619" s="82" t="str">
        <f aca="false">IFERROR(INDEX(対訳マスタ!$C$2:$C$136,MATCH(Data!E1619,対訳マスタ!$B$2:$B$136,0)),Data!E1619)</f>
        <v>手話テキストの構造</v>
      </c>
      <c r="F1619" s="82" t="str">
        <f aca="false">Data!F1619</f>
        <v>B2+</v>
      </c>
      <c r="G1619" s="81" t="str">
        <f aca="false">Data!G1619</f>
        <v>Can, while concluding, establish a thematic reference back to the introduction.</v>
      </c>
      <c r="H1619" s="81"/>
      <c r="I1619" s="82" t="s">
        <v>3625</v>
      </c>
    </row>
    <row r="1620" customFormat="false" ht="15" hidden="false" customHeight="true" outlineLevel="0" collapsed="false">
      <c r="A1620" s="82" t="n">
        <f aca="false">Data!A1620</f>
        <v>1619</v>
      </c>
      <c r="B1620" s="82" t="str">
        <f aca="false">IFERROR(INDEX(対訳マスタ!$C$2:$C$136,MATCH(Data!B1620,対訳マスタ!$B$2:$B$136,0)),Data!B1620)</f>
        <v>手話能力</v>
      </c>
      <c r="C1620" s="82" t="str">
        <f aca="false">IF(Data!C1620="—","—",IFERROR(INDEX(対訳マスタ!$C$2:$C$136,MATCH(Data!C1620,対訳マスタ!$B$2:$B$136,0)),Data!C1620))</f>
        <v>産出</v>
      </c>
      <c r="D1620" s="82" t="str">
        <f aca="false">IF(Data!D1620="—","—",IFERROR(INDEX(対訳マスタ!$C$2:$C$136,MATCH(Data!D1620,対訳マスタ!$B$2:$B$136,0)),Data!D1620))</f>
        <v>語用能力</v>
      </c>
      <c r="E1620" s="82" t="str">
        <f aca="false">IFERROR(INDEX(対訳マスタ!$C$2:$C$136,MATCH(Data!E1620,対訳マスタ!$B$2:$B$136,0)),Data!E1620)</f>
        <v>手話テキストの構造</v>
      </c>
      <c r="F1620" s="82" t="str">
        <f aca="false">Data!F1620</f>
        <v>B2+</v>
      </c>
      <c r="G1620" s="81" t="str">
        <f aca="false">Data!G1620</f>
        <v>Can organise and formulate content following guiding principles.</v>
      </c>
      <c r="H1620" s="81"/>
      <c r="I1620" s="82" t="s">
        <v>3625</v>
      </c>
    </row>
    <row r="1621" customFormat="false" ht="21.75" hidden="false" customHeight="true" outlineLevel="0" collapsed="false">
      <c r="A1621" s="82" t="n">
        <f aca="false">Data!A1621</f>
        <v>1620</v>
      </c>
      <c r="B1621" s="82" t="str">
        <f aca="false">IFERROR(INDEX(対訳マスタ!$C$2:$C$136,MATCH(Data!B1621,対訳マスタ!$B$2:$B$136,0)),Data!B1621)</f>
        <v>手話能力</v>
      </c>
      <c r="C1621" s="82" t="str">
        <f aca="false">IF(Data!C1621="—","—",IFERROR(INDEX(対訳マスタ!$C$2:$C$136,MATCH(Data!C1621,対訳マスタ!$B$2:$B$136,0)),Data!C1621))</f>
        <v>産出</v>
      </c>
      <c r="D1621" s="82" t="str">
        <f aca="false">IF(Data!D1621="—","—",IFERROR(INDEX(対訳マスタ!$C$2:$C$136,MATCH(Data!D1621,対訳マスタ!$B$2:$B$136,0)),Data!D1621))</f>
        <v>語用能力</v>
      </c>
      <c r="E1621" s="82" t="str">
        <f aca="false">IFERROR(INDEX(対訳マスタ!$C$2:$C$136,MATCH(Data!E1621,対訳マスタ!$B$2:$B$136,0)),Data!E1621)</f>
        <v>手話テキストの構造</v>
      </c>
      <c r="F1621" s="82" t="str">
        <f aca="false">Data!F1621</f>
        <v>B2+</v>
      </c>
      <c r="G1621" s="81" t="str">
        <f aca="false">Data!G1621</f>
        <v>Can provide recipients who are not present with all the necessary information about the context, so that they can follow what is said.</v>
      </c>
      <c r="H1621" s="81"/>
      <c r="I1621" s="82" t="s">
        <v>3625</v>
      </c>
    </row>
    <row r="1622" customFormat="false" ht="15" hidden="false" customHeight="true" outlineLevel="0" collapsed="false">
      <c r="A1622" s="82" t="n">
        <f aca="false">Data!A1622</f>
        <v>1621</v>
      </c>
      <c r="B1622" s="82" t="str">
        <f aca="false">IFERROR(INDEX(対訳マスタ!$C$2:$C$136,MATCH(Data!B1622,対訳マスタ!$B$2:$B$136,0)),Data!B1622)</f>
        <v>手話能力</v>
      </c>
      <c r="C1622" s="82" t="str">
        <f aca="false">IF(Data!C1622="—","—",IFERROR(INDEX(対訳マスタ!$C$2:$C$136,MATCH(Data!C1622,対訳マスタ!$B$2:$B$136,0)),Data!C1622))</f>
        <v>産出</v>
      </c>
      <c r="D1622" s="82" t="str">
        <f aca="false">IF(Data!D1622="—","—",IFERROR(INDEX(対訳マスタ!$C$2:$C$136,MATCH(Data!D1622,対訳マスタ!$B$2:$B$136,0)),Data!D1622))</f>
        <v>語用能力</v>
      </c>
      <c r="E1622" s="82" t="str">
        <f aca="false">IFERROR(INDEX(対訳マスタ!$C$2:$C$136,MATCH(Data!E1622,対訳マスタ!$B$2:$B$136,0)),Data!E1622)</f>
        <v>手話テキストの構造</v>
      </c>
      <c r="F1622" s="82" t="str">
        <f aca="false">Data!F1622</f>
        <v>B2+</v>
      </c>
      <c r="G1622" s="81" t="str">
        <f aca="false">Data!G1622</f>
        <v>Can group different pieces of information thematically.</v>
      </c>
      <c r="H1622" s="81"/>
      <c r="I1622" s="82" t="s">
        <v>3625</v>
      </c>
    </row>
    <row r="1623" customFormat="false" ht="15" hidden="false" customHeight="true" outlineLevel="0" collapsed="false">
      <c r="A1623" s="82" t="n">
        <f aca="false">Data!A1623</f>
        <v>1622</v>
      </c>
      <c r="B1623" s="82" t="str">
        <f aca="false">IFERROR(INDEX(対訳マスタ!$C$2:$C$136,MATCH(Data!B1623,対訳マスタ!$B$2:$B$136,0)),Data!B1623)</f>
        <v>手話能力</v>
      </c>
      <c r="C1623" s="82" t="str">
        <f aca="false">IF(Data!C1623="—","—",IFERROR(INDEX(対訳マスタ!$C$2:$C$136,MATCH(Data!C1623,対訳マスタ!$B$2:$B$136,0)),Data!C1623))</f>
        <v>産出</v>
      </c>
      <c r="D1623" s="82" t="str">
        <f aca="false">IF(Data!D1623="—","—",IFERROR(INDEX(対訳マスタ!$C$2:$C$136,MATCH(Data!D1623,対訳マスタ!$B$2:$B$136,0)),Data!D1623))</f>
        <v>語用能力</v>
      </c>
      <c r="E1623" s="82" t="str">
        <f aca="false">IFERROR(INDEX(対訳マスタ!$C$2:$C$136,MATCH(Data!E1623,対訳マスタ!$B$2:$B$136,0)),Data!E1623)</f>
        <v>手話テキストの構造</v>
      </c>
      <c r="F1623" s="82" t="str">
        <f aca="false">Data!F1623</f>
        <v>B2+</v>
      </c>
      <c r="G1623" s="81" t="str">
        <f aca="false">Data!G1623</f>
        <v>Can present with images the way an event/organisation is structured.</v>
      </c>
      <c r="H1623" s="81"/>
      <c r="I1623" s="82" t="s">
        <v>3625</v>
      </c>
    </row>
    <row r="1624" customFormat="false" ht="15" hidden="false" customHeight="true" outlineLevel="0" collapsed="false">
      <c r="A1624" s="82" t="n">
        <f aca="false">Data!A1624</f>
        <v>1623</v>
      </c>
      <c r="B1624" s="82" t="str">
        <f aca="false">IFERROR(INDEX(対訳マスタ!$C$2:$C$136,MATCH(Data!B1624,対訳マスタ!$B$2:$B$136,0)),Data!B1624)</f>
        <v>手話能力</v>
      </c>
      <c r="C1624" s="82" t="str">
        <f aca="false">IF(Data!C1624="—","—",IFERROR(INDEX(対訳マスタ!$C$2:$C$136,MATCH(Data!C1624,対訳マスタ!$B$2:$B$136,0)),Data!C1624))</f>
        <v>産出</v>
      </c>
      <c r="D1624" s="82" t="str">
        <f aca="false">IF(Data!D1624="—","—",IFERROR(INDEX(対訳マスタ!$C$2:$C$136,MATCH(Data!D1624,対訳マスタ!$B$2:$B$136,0)),Data!D1624))</f>
        <v>語用能力</v>
      </c>
      <c r="E1624" s="82" t="str">
        <f aca="false">IFERROR(INDEX(対訳マスタ!$C$2:$C$136,MATCH(Data!E1624,対訳マスタ!$B$2:$B$136,0)),Data!E1624)</f>
        <v>手話テキストの構造</v>
      </c>
      <c r="F1624" s="82" t="str">
        <f aca="false">Data!F1624</f>
        <v>B2+</v>
      </c>
      <c r="G1624" s="81" t="str">
        <f aca="false">Data!G1624</f>
        <v>Can use pauses to structure a text (e.g. pausing between different arguments).</v>
      </c>
      <c r="H1624" s="81"/>
      <c r="I1624" s="82" t="s">
        <v>3625</v>
      </c>
    </row>
    <row r="1625" customFormat="false" ht="21.75" hidden="false" customHeight="true" outlineLevel="0" collapsed="false">
      <c r="A1625" s="82" t="n">
        <f aca="false">Data!A1625</f>
        <v>1624</v>
      </c>
      <c r="B1625" s="82" t="str">
        <f aca="false">IFERROR(INDEX(対訳マスタ!$C$2:$C$136,MATCH(Data!B1625,対訳マスタ!$B$2:$B$136,0)),Data!B1625)</f>
        <v>手話能力</v>
      </c>
      <c r="C1625" s="82" t="str">
        <f aca="false">IF(Data!C1625="—","—",IFERROR(INDEX(対訳マスタ!$C$2:$C$136,MATCH(Data!C1625,対訳マスタ!$B$2:$B$136,0)),Data!C1625))</f>
        <v>産出</v>
      </c>
      <c r="D1625" s="82" t="str">
        <f aca="false">IF(Data!D1625="—","—",IFERROR(INDEX(対訳マスタ!$C$2:$C$136,MATCH(Data!D1625,対訳マスタ!$B$2:$B$136,0)),Data!D1625))</f>
        <v>語用能力</v>
      </c>
      <c r="E1625" s="82" t="str">
        <f aca="false">IFERROR(INDEX(対訳マスタ!$C$2:$C$136,MATCH(Data!E1625,対訳マスタ!$B$2:$B$136,0)),Data!E1625)</f>
        <v>手話テキストの構造</v>
      </c>
      <c r="F1625" s="82" t="str">
        <f aca="false">Data!F1625</f>
        <v>B2</v>
      </c>
      <c r="G1625" s="81" t="str">
        <f aca="false">Data!G1625</f>
        <v>Can structure content into categories/topics, situate these in the signing space, and then refer to them through indexing.</v>
      </c>
      <c r="H1625" s="81"/>
      <c r="I1625" s="82" t="s">
        <v>3625</v>
      </c>
    </row>
    <row r="1626" customFormat="false" ht="15" hidden="false" customHeight="true" outlineLevel="0" collapsed="false">
      <c r="A1626" s="82" t="n">
        <f aca="false">Data!A1626</f>
        <v>1625</v>
      </c>
      <c r="B1626" s="82" t="str">
        <f aca="false">IFERROR(INDEX(対訳マスタ!$C$2:$C$136,MATCH(Data!B1626,対訳マスタ!$B$2:$B$136,0)),Data!B1626)</f>
        <v>手話能力</v>
      </c>
      <c r="C1626" s="82" t="str">
        <f aca="false">IF(Data!C1626="—","—",IFERROR(INDEX(対訳マスタ!$C$2:$C$136,MATCH(Data!C1626,対訳マスタ!$B$2:$B$136,0)),Data!C1626))</f>
        <v>産出</v>
      </c>
      <c r="D1626" s="82" t="str">
        <f aca="false">IF(Data!D1626="—","—",IFERROR(INDEX(対訳マスタ!$C$2:$C$136,MATCH(Data!D1626,対訳マスタ!$B$2:$B$136,0)),Data!D1626))</f>
        <v>語用能力</v>
      </c>
      <c r="E1626" s="82" t="str">
        <f aca="false">IFERROR(INDEX(対訳マスタ!$C$2:$C$136,MATCH(Data!E1626,対訳マスタ!$B$2:$B$136,0)),Data!E1626)</f>
        <v>手話テキストの構造</v>
      </c>
      <c r="F1626" s="82" t="str">
        <f aca="false">Data!F1626</f>
        <v>B2</v>
      </c>
      <c r="G1626" s="81" t="str">
        <f aca="false">Data!G1626</f>
        <v>Can structure the text logically, maintaining a clear development.</v>
      </c>
      <c r="H1626" s="81"/>
      <c r="I1626" s="82" t="s">
        <v>3625</v>
      </c>
    </row>
    <row r="1627" customFormat="false" ht="21.75" hidden="false" customHeight="true" outlineLevel="0" collapsed="false">
      <c r="A1627" s="82" t="n">
        <f aca="false">Data!A1627</f>
        <v>1626</v>
      </c>
      <c r="B1627" s="82" t="str">
        <f aca="false">IFERROR(INDEX(対訳マスタ!$C$2:$C$136,MATCH(Data!B1627,対訳マスタ!$B$2:$B$136,0)),Data!B1627)</f>
        <v>手話能力</v>
      </c>
      <c r="C1627" s="82" t="str">
        <f aca="false">IF(Data!C1627="—","—",IFERROR(INDEX(対訳マスタ!$C$2:$C$136,MATCH(Data!C1627,対訳マスタ!$B$2:$B$136,0)),Data!C1627))</f>
        <v>産出</v>
      </c>
      <c r="D1627" s="82" t="str">
        <f aca="false">IF(Data!D1627="—","—",IFERROR(INDEX(対訳マスタ!$C$2:$C$136,MATCH(Data!D1627,対訳マスタ!$B$2:$B$136,0)),Data!D1627))</f>
        <v>語用能力</v>
      </c>
      <c r="E1627" s="82" t="str">
        <f aca="false">IFERROR(INDEX(対訳マスタ!$C$2:$C$136,MATCH(Data!E1627,対訳マスタ!$B$2:$B$136,0)),Data!E1627)</f>
        <v>手話テキストの構造</v>
      </c>
      <c r="F1627" s="82" t="str">
        <f aca="false">Data!F1627</f>
        <v>B2</v>
      </c>
      <c r="G1627" s="81" t="str">
        <f aca="false">Data!G1627</f>
        <v>Can deliver all of the contents and components that are expected for the type of text concerned.</v>
      </c>
      <c r="H1627" s="81"/>
      <c r="I1627" s="82" t="s">
        <v>3625</v>
      </c>
    </row>
    <row r="1628" customFormat="false" ht="21.75" hidden="false" customHeight="true" outlineLevel="0" collapsed="false">
      <c r="A1628" s="82" t="n">
        <f aca="false">Data!A1628</f>
        <v>1627</v>
      </c>
      <c r="B1628" s="82" t="str">
        <f aca="false">IFERROR(INDEX(対訳マスタ!$C$2:$C$136,MATCH(Data!B1628,対訳マスタ!$B$2:$B$136,0)),Data!B1628)</f>
        <v>手話能力</v>
      </c>
      <c r="C1628" s="82" t="str">
        <f aca="false">IF(Data!C1628="—","—",IFERROR(INDEX(対訳マスタ!$C$2:$C$136,MATCH(Data!C1628,対訳マスタ!$B$2:$B$136,0)),Data!C1628))</f>
        <v>産出</v>
      </c>
      <c r="D1628" s="82" t="str">
        <f aca="false">IF(Data!D1628="—","—",IFERROR(INDEX(対訳マスタ!$C$2:$C$136,MATCH(Data!D1628,対訳マスタ!$B$2:$B$136,0)),Data!D1628))</f>
        <v>語用能力</v>
      </c>
      <c r="E1628" s="82" t="str">
        <f aca="false">IFERROR(INDEX(対訳マスタ!$C$2:$C$136,MATCH(Data!E1628,対訳マスタ!$B$2:$B$136,0)),Data!E1628)</f>
        <v>手話テキストの構造</v>
      </c>
      <c r="F1628" s="82" t="str">
        <f aca="false">Data!F1628</f>
        <v>B2</v>
      </c>
      <c r="G1628" s="81" t="str">
        <f aca="false">Data!G1628</f>
        <v>Can employ a metalanguage, e.g. to orientate the reader by explaining explicitly in the text the order in which they are doing things.</v>
      </c>
      <c r="H1628" s="81"/>
      <c r="I1628" s="82" t="s">
        <v>3625</v>
      </c>
    </row>
    <row r="1629" customFormat="false" ht="15" hidden="false" customHeight="true" outlineLevel="0" collapsed="false">
      <c r="A1629" s="82" t="n">
        <f aca="false">Data!A1629</f>
        <v>1628</v>
      </c>
      <c r="B1629" s="82" t="str">
        <f aca="false">IFERROR(INDEX(対訳マスタ!$C$2:$C$136,MATCH(Data!B1629,対訳マスタ!$B$2:$B$136,0)),Data!B1629)</f>
        <v>手話能力</v>
      </c>
      <c r="C1629" s="82" t="str">
        <f aca="false">IF(Data!C1629="—","—",IFERROR(INDEX(対訳マスタ!$C$2:$C$136,MATCH(Data!C1629,対訳マスタ!$B$2:$B$136,0)),Data!C1629))</f>
        <v>産出</v>
      </c>
      <c r="D1629" s="82" t="str">
        <f aca="false">IF(Data!D1629="—","—",IFERROR(INDEX(対訳マスタ!$C$2:$C$136,MATCH(Data!D1629,対訳マスタ!$B$2:$B$136,0)),Data!D1629))</f>
        <v>語用能力</v>
      </c>
      <c r="E1629" s="82" t="str">
        <f aca="false">IFERROR(INDEX(対訳マスタ!$C$2:$C$136,MATCH(Data!E1629,対訳マスタ!$B$2:$B$136,0)),Data!E1629)</f>
        <v>手話テキストの構造</v>
      </c>
      <c r="F1629" s="82" t="str">
        <f aca="false">Data!F1629</f>
        <v>B2</v>
      </c>
      <c r="G1629" s="81" t="str">
        <f aca="false">Data!G1629</f>
        <v>Can create appropriate transitions and links between the different sections of the text.</v>
      </c>
      <c r="H1629" s="81"/>
      <c r="I1629" s="82" t="s">
        <v>3625</v>
      </c>
    </row>
    <row r="1630" customFormat="false" ht="15" hidden="false" customHeight="true" outlineLevel="0" collapsed="false">
      <c r="A1630" s="82" t="n">
        <f aca="false">Data!A1630</f>
        <v>1629</v>
      </c>
      <c r="B1630" s="82" t="str">
        <f aca="false">IFERROR(INDEX(対訳マスタ!$C$2:$C$136,MATCH(Data!B1630,対訳マスタ!$B$2:$B$136,0)),Data!B1630)</f>
        <v>手話能力</v>
      </c>
      <c r="C1630" s="82" t="str">
        <f aca="false">IF(Data!C1630="—","—",IFERROR(INDEX(対訳マスタ!$C$2:$C$136,MATCH(Data!C1630,対訳マスタ!$B$2:$B$136,0)),Data!C1630))</f>
        <v>産出</v>
      </c>
      <c r="D1630" s="82" t="str">
        <f aca="false">IF(Data!D1630="—","—",IFERROR(INDEX(対訳マスタ!$C$2:$C$136,MATCH(Data!D1630,対訳マスタ!$B$2:$B$136,0)),Data!D1630))</f>
        <v>語用能力</v>
      </c>
      <c r="E1630" s="82" t="str">
        <f aca="false">IFERROR(INDEX(対訳マスタ!$C$2:$C$136,MATCH(Data!E1630,対訳マスタ!$B$2:$B$136,0)),Data!E1630)</f>
        <v>手話テキストの構造</v>
      </c>
      <c r="F1630" s="82" t="str">
        <f aca="false">Data!F1630</f>
        <v>B2</v>
      </c>
      <c r="G1630" s="81" t="str">
        <f aca="false">Data!G1630</f>
        <v>Can highlight the most important aspects of a topic.</v>
      </c>
      <c r="H1630" s="81"/>
      <c r="I1630" s="82" t="s">
        <v>3625</v>
      </c>
    </row>
    <row r="1631" customFormat="false" ht="15" hidden="false" customHeight="true" outlineLevel="0" collapsed="false">
      <c r="A1631" s="82" t="n">
        <f aca="false">Data!A1631</f>
        <v>1630</v>
      </c>
      <c r="B1631" s="82" t="str">
        <f aca="false">IFERROR(INDEX(対訳マスタ!$C$2:$C$136,MATCH(Data!B1631,対訳マスタ!$B$2:$B$136,0)),Data!B1631)</f>
        <v>手話能力</v>
      </c>
      <c r="C1631" s="82" t="str">
        <f aca="false">IF(Data!C1631="—","—",IFERROR(INDEX(対訳マスタ!$C$2:$C$136,MATCH(Data!C1631,対訳マスタ!$B$2:$B$136,0)),Data!C1631))</f>
        <v>産出</v>
      </c>
      <c r="D1631" s="82" t="str">
        <f aca="false">IF(Data!D1631="—","—",IFERROR(INDEX(対訳マスタ!$C$2:$C$136,MATCH(Data!D1631,対訳マスタ!$B$2:$B$136,0)),Data!D1631))</f>
        <v>語用能力</v>
      </c>
      <c r="E1631" s="82" t="str">
        <f aca="false">IFERROR(INDEX(対訳マスタ!$C$2:$C$136,MATCH(Data!E1631,対訳マスタ!$B$2:$B$136,0)),Data!E1631)</f>
        <v>手話テキストの構造</v>
      </c>
      <c r="F1631" s="82" t="str">
        <f aca="false">Data!F1631</f>
        <v>B2</v>
      </c>
      <c r="G1631" s="81" t="str">
        <f aca="false">Data!G1631</f>
        <v>Can employ principles that govern moving from general ideas to presenting details.</v>
      </c>
      <c r="H1631" s="81"/>
      <c r="I1631" s="82" t="s">
        <v>3625</v>
      </c>
    </row>
    <row r="1632" customFormat="false" ht="15" hidden="false" customHeight="true" outlineLevel="0" collapsed="false">
      <c r="A1632" s="82" t="n">
        <f aca="false">Data!A1632</f>
        <v>1631</v>
      </c>
      <c r="B1632" s="82" t="str">
        <f aca="false">IFERROR(INDEX(対訳マスタ!$C$2:$C$136,MATCH(Data!B1632,対訳マスタ!$B$2:$B$136,0)),Data!B1632)</f>
        <v>手話能力</v>
      </c>
      <c r="C1632" s="82" t="str">
        <f aca="false">IF(Data!C1632="—","—",IFERROR(INDEX(対訳マスタ!$C$2:$C$136,MATCH(Data!C1632,対訳マスタ!$B$2:$B$136,0)),Data!C1632))</f>
        <v>産出</v>
      </c>
      <c r="D1632" s="82" t="str">
        <f aca="false">IF(Data!D1632="—","—",IFERROR(INDEX(対訳マスタ!$C$2:$C$136,MATCH(Data!D1632,対訳マスタ!$B$2:$B$136,0)),Data!D1632))</f>
        <v>語用能力</v>
      </c>
      <c r="E1632" s="82" t="str">
        <f aca="false">IFERROR(INDEX(対訳マスタ!$C$2:$C$136,MATCH(Data!E1632,対訳マスタ!$B$2:$B$136,0)),Data!E1632)</f>
        <v>手話テキストの構造</v>
      </c>
      <c r="F1632" s="82" t="str">
        <f aca="false">Data!F1632</f>
        <v>B2</v>
      </c>
      <c r="G1632" s="81" t="str">
        <f aca="false">Data!G1632</f>
        <v>Can employ rules that concern going from the general to details.</v>
      </c>
      <c r="H1632" s="81"/>
      <c r="I1632" s="82" t="s">
        <v>3625</v>
      </c>
    </row>
    <row r="1633" customFormat="false" ht="15" hidden="false" customHeight="true" outlineLevel="0" collapsed="false">
      <c r="A1633" s="82" t="n">
        <f aca="false">Data!A1633</f>
        <v>1632</v>
      </c>
      <c r="B1633" s="82" t="str">
        <f aca="false">IFERROR(INDEX(対訳マスタ!$C$2:$C$136,MATCH(Data!B1633,対訳マスタ!$B$2:$B$136,0)),Data!B1633)</f>
        <v>手話能力</v>
      </c>
      <c r="C1633" s="82" t="str">
        <f aca="false">IF(Data!C1633="—","—",IFERROR(INDEX(対訳マスタ!$C$2:$C$136,MATCH(Data!C1633,対訳マスタ!$B$2:$B$136,0)),Data!C1633))</f>
        <v>産出</v>
      </c>
      <c r="D1633" s="82" t="str">
        <f aca="false">IF(Data!D1633="—","—",IFERROR(INDEX(対訳マスタ!$C$2:$C$136,MATCH(Data!D1633,対訳マスタ!$B$2:$B$136,0)),Data!D1633))</f>
        <v>語用能力</v>
      </c>
      <c r="E1633" s="82" t="str">
        <f aca="false">IFERROR(INDEX(対訳マスタ!$C$2:$C$136,MATCH(Data!E1633,対訳マスタ!$B$2:$B$136,0)),Data!E1633)</f>
        <v>手話テキストの構造</v>
      </c>
      <c r="F1633" s="82" t="str">
        <f aca="false">Data!F1633</f>
        <v>B2</v>
      </c>
      <c r="G1633" s="81" t="str">
        <f aca="false">Data!G1633</f>
        <v>Can indicate temporal relationships between different things related in a report.</v>
      </c>
      <c r="H1633" s="81"/>
      <c r="I1633" s="82" t="s">
        <v>3625</v>
      </c>
    </row>
    <row r="1634" customFormat="false" ht="15" hidden="false" customHeight="true" outlineLevel="0" collapsed="false">
      <c r="A1634" s="82" t="n">
        <f aca="false">Data!A1634</f>
        <v>1633</v>
      </c>
      <c r="B1634" s="82" t="str">
        <f aca="false">IFERROR(INDEX(対訳マスタ!$C$2:$C$136,MATCH(Data!B1634,対訳マスタ!$B$2:$B$136,0)),Data!B1634)</f>
        <v>手話能力</v>
      </c>
      <c r="C1634" s="82" t="str">
        <f aca="false">IF(Data!C1634="—","—",IFERROR(INDEX(対訳マスタ!$C$2:$C$136,MATCH(Data!C1634,対訳マスタ!$B$2:$B$136,0)),Data!C1634))</f>
        <v>産出</v>
      </c>
      <c r="D1634" s="82" t="str">
        <f aca="false">IF(Data!D1634="—","—",IFERROR(INDEX(対訳マスタ!$C$2:$C$136,MATCH(Data!D1634,対訳マスタ!$B$2:$B$136,0)),Data!D1634))</f>
        <v>語用能力</v>
      </c>
      <c r="E1634" s="82" t="str">
        <f aca="false">IFERROR(INDEX(対訳マスタ!$C$2:$C$136,MATCH(Data!E1634,対訳マスタ!$B$2:$B$136,0)),Data!E1634)</f>
        <v>手話テキストの構造</v>
      </c>
      <c r="F1634" s="82" t="str">
        <f aca="false">Data!F1634</f>
        <v>B2</v>
      </c>
      <c r="G1634" s="81" t="str">
        <f aca="false">Data!G1634</f>
        <v>Can briefly explain a term in the course of a text, when and if this is necessary.</v>
      </c>
      <c r="H1634" s="81"/>
      <c r="I1634" s="82" t="s">
        <v>3625</v>
      </c>
    </row>
    <row r="1635" customFormat="false" ht="15" hidden="false" customHeight="true" outlineLevel="0" collapsed="false">
      <c r="A1635" s="82" t="n">
        <f aca="false">Data!A1635</f>
        <v>1634</v>
      </c>
      <c r="B1635" s="82" t="str">
        <f aca="false">IFERROR(INDEX(対訳マスタ!$C$2:$C$136,MATCH(Data!B1635,対訳マスタ!$B$2:$B$136,0)),Data!B1635)</f>
        <v>手話能力</v>
      </c>
      <c r="C1635" s="82" t="str">
        <f aca="false">IF(Data!C1635="—","—",IFERROR(INDEX(対訳マスタ!$C$2:$C$136,MATCH(Data!C1635,対訳マスタ!$B$2:$B$136,0)),Data!C1635))</f>
        <v>産出</v>
      </c>
      <c r="D1635" s="82" t="str">
        <f aca="false">IF(Data!D1635="—","—",IFERROR(INDEX(対訳マスタ!$C$2:$C$136,MATCH(Data!D1635,対訳マスタ!$B$2:$B$136,0)),Data!D1635))</f>
        <v>語用能力</v>
      </c>
      <c r="E1635" s="82" t="str">
        <f aca="false">IFERROR(INDEX(対訳マスタ!$C$2:$C$136,MATCH(Data!E1635,対訳マスタ!$B$2:$B$136,0)),Data!E1635)</f>
        <v>手話テキストの構造</v>
      </c>
      <c r="F1635" s="82" t="str">
        <f aca="false">Data!F1635</f>
        <v>B1+</v>
      </c>
      <c r="G1635" s="81" t="str">
        <f aca="false">Data!G1635</f>
        <v>Can structure text content into an introduction, main section and conclusion.</v>
      </c>
      <c r="H1635" s="81"/>
      <c r="I1635" s="82" t="s">
        <v>3625</v>
      </c>
    </row>
    <row r="1636" customFormat="false" ht="15" hidden="false" customHeight="true" outlineLevel="0" collapsed="false">
      <c r="A1636" s="82" t="n">
        <f aca="false">Data!A1636</f>
        <v>1635</v>
      </c>
      <c r="B1636" s="82" t="str">
        <f aca="false">IFERROR(INDEX(対訳マスタ!$C$2:$C$136,MATCH(Data!B1636,対訳マスタ!$B$2:$B$136,0)),Data!B1636)</f>
        <v>手話能力</v>
      </c>
      <c r="C1636" s="82" t="str">
        <f aca="false">IF(Data!C1636="—","—",IFERROR(INDEX(対訳マスタ!$C$2:$C$136,MATCH(Data!C1636,対訳マスタ!$B$2:$B$136,0)),Data!C1636))</f>
        <v>産出</v>
      </c>
      <c r="D1636" s="82" t="str">
        <f aca="false">IF(Data!D1636="—","—",IFERROR(INDEX(対訳マスタ!$C$2:$C$136,MATCH(Data!D1636,対訳マスタ!$B$2:$B$136,0)),Data!D1636))</f>
        <v>語用能力</v>
      </c>
      <c r="E1636" s="82" t="str">
        <f aca="false">IFERROR(INDEX(対訳マスタ!$C$2:$C$136,MATCH(Data!E1636,対訳マスタ!$B$2:$B$136,0)),Data!E1636)</f>
        <v>手話テキストの構造</v>
      </c>
      <c r="F1636" s="82" t="str">
        <f aca="false">Data!F1636</f>
        <v>B1+</v>
      </c>
      <c r="G1636" s="81" t="str">
        <f aca="false">Data!G1636</f>
        <v>Can present content in a sensible order.</v>
      </c>
      <c r="H1636" s="81"/>
      <c r="I1636" s="82" t="s">
        <v>3625</v>
      </c>
    </row>
    <row r="1637" customFormat="false" ht="15" hidden="false" customHeight="true" outlineLevel="0" collapsed="false">
      <c r="A1637" s="82" t="n">
        <f aca="false">Data!A1637</f>
        <v>1636</v>
      </c>
      <c r="B1637" s="82" t="str">
        <f aca="false">IFERROR(INDEX(対訳マスタ!$C$2:$C$136,MATCH(Data!B1637,対訳マスタ!$B$2:$B$136,0)),Data!B1637)</f>
        <v>手話能力</v>
      </c>
      <c r="C1637" s="82" t="str">
        <f aca="false">IF(Data!C1637="—","—",IFERROR(INDEX(対訳マスタ!$C$2:$C$136,MATCH(Data!C1637,対訳マスタ!$B$2:$B$136,0)),Data!C1637))</f>
        <v>産出</v>
      </c>
      <c r="D1637" s="82" t="str">
        <f aca="false">IF(Data!D1637="—","—",IFERROR(INDEX(対訳マスタ!$C$2:$C$136,MATCH(Data!D1637,対訳マスタ!$B$2:$B$136,0)),Data!D1637))</f>
        <v>語用能力</v>
      </c>
      <c r="E1637" s="82" t="str">
        <f aca="false">IFERROR(INDEX(対訳マスタ!$C$2:$C$136,MATCH(Data!E1637,対訳マスタ!$B$2:$B$136,0)),Data!E1637)</f>
        <v>手話テキストの構造</v>
      </c>
      <c r="F1637" s="82" t="str">
        <f aca="false">Data!F1637</f>
        <v>B1+</v>
      </c>
      <c r="G1637" s="81" t="str">
        <f aca="false">Data!G1637</f>
        <v>Can structure a text into a number of thematic sections.</v>
      </c>
      <c r="H1637" s="81"/>
      <c r="I1637" s="82" t="s">
        <v>3625</v>
      </c>
    </row>
    <row r="1638" customFormat="false" ht="21.75" hidden="false" customHeight="true" outlineLevel="0" collapsed="false">
      <c r="A1638" s="82" t="n">
        <f aca="false">Data!A1638</f>
        <v>1637</v>
      </c>
      <c r="B1638" s="82" t="str">
        <f aca="false">IFERROR(INDEX(対訳マスタ!$C$2:$C$136,MATCH(Data!B1638,対訳マスタ!$B$2:$B$136,0)),Data!B1638)</f>
        <v>手話能力</v>
      </c>
      <c r="C1638" s="82" t="str">
        <f aca="false">IF(Data!C1638="—","—",IFERROR(INDEX(対訳マスタ!$C$2:$C$136,MATCH(Data!C1638,対訳マスタ!$B$2:$B$136,0)),Data!C1638))</f>
        <v>産出</v>
      </c>
      <c r="D1638" s="82" t="str">
        <f aca="false">IF(Data!D1638="—","—",IFERROR(INDEX(対訳マスタ!$C$2:$C$136,MATCH(Data!D1638,対訳マスタ!$B$2:$B$136,0)),Data!D1638))</f>
        <v>語用能力</v>
      </c>
      <c r="E1638" s="82" t="str">
        <f aca="false">IFERROR(INDEX(対訳マスタ!$C$2:$C$136,MATCH(Data!E1638,対訳マスタ!$B$2:$B$136,0)),Data!E1638)</f>
        <v>手話テキストの構造</v>
      </c>
      <c r="F1638" s="82" t="str">
        <f aca="false">Data!F1638</f>
        <v>B1+</v>
      </c>
      <c r="G1638" s="81" t="str">
        <f aca="false">Data!G1638</f>
        <v>Can present clearly the relationships between things by making explicit reference to them.</v>
      </c>
      <c r="H1638" s="81"/>
      <c r="I1638" s="82" t="s">
        <v>3625</v>
      </c>
    </row>
    <row r="1639" customFormat="false" ht="15" hidden="false" customHeight="true" outlineLevel="0" collapsed="false">
      <c r="A1639" s="82" t="n">
        <f aca="false">Data!A1639</f>
        <v>1638</v>
      </c>
      <c r="B1639" s="82" t="str">
        <f aca="false">IFERROR(INDEX(対訳マスタ!$C$2:$C$136,MATCH(Data!B1639,対訳マスタ!$B$2:$B$136,0)),Data!B1639)</f>
        <v>手話能力</v>
      </c>
      <c r="C1639" s="82" t="str">
        <f aca="false">IF(Data!C1639="—","—",IFERROR(INDEX(対訳マスタ!$C$2:$C$136,MATCH(Data!C1639,対訳マスタ!$B$2:$B$136,0)),Data!C1639))</f>
        <v>産出</v>
      </c>
      <c r="D1639" s="82" t="str">
        <f aca="false">IF(Data!D1639="—","—",IFERROR(INDEX(対訳マスタ!$C$2:$C$136,MATCH(Data!D1639,対訳マスタ!$B$2:$B$136,0)),Data!D1639))</f>
        <v>語用能力</v>
      </c>
      <c r="E1639" s="82" t="str">
        <f aca="false">IFERROR(INDEX(対訳マスタ!$C$2:$C$136,MATCH(Data!E1639,対訳マスタ!$B$2:$B$136,0)),Data!E1639)</f>
        <v>手話テキストの構造</v>
      </c>
      <c r="F1639" s="82" t="str">
        <f aca="false">Data!F1639</f>
        <v>B1+</v>
      </c>
      <c r="G1639" s="81" t="str">
        <f aca="false">Data!G1639</f>
        <v>Can point out relevant and interesting details briefly and concisely.</v>
      </c>
      <c r="H1639" s="81"/>
      <c r="I1639" s="82" t="s">
        <v>3625</v>
      </c>
    </row>
    <row r="1640" customFormat="false" ht="15" hidden="false" customHeight="true" outlineLevel="0" collapsed="false">
      <c r="A1640" s="82" t="n">
        <f aca="false">Data!A1640</f>
        <v>1639</v>
      </c>
      <c r="B1640" s="82" t="str">
        <f aca="false">IFERROR(INDEX(対訳マスタ!$C$2:$C$136,MATCH(Data!B1640,対訳マスタ!$B$2:$B$136,0)),Data!B1640)</f>
        <v>手話能力</v>
      </c>
      <c r="C1640" s="82" t="str">
        <f aca="false">IF(Data!C1640="—","—",IFERROR(INDEX(対訳マスタ!$C$2:$C$136,MATCH(Data!C1640,対訳マスタ!$B$2:$B$136,0)),Data!C1640))</f>
        <v>産出</v>
      </c>
      <c r="D1640" s="82" t="str">
        <f aca="false">IF(Data!D1640="—","—",IFERROR(INDEX(対訳マスタ!$C$2:$C$136,MATCH(Data!D1640,対訳マスタ!$B$2:$B$136,0)),Data!D1640))</f>
        <v>語用能力</v>
      </c>
      <c r="E1640" s="82" t="str">
        <f aca="false">IFERROR(INDEX(対訳マスタ!$C$2:$C$136,MATCH(Data!E1640,対訳マスタ!$B$2:$B$136,0)),Data!E1640)</f>
        <v>手話テキストの構造</v>
      </c>
      <c r="F1640" s="82" t="str">
        <f aca="false">Data!F1640</f>
        <v>B1+</v>
      </c>
      <c r="G1640" s="81" t="str">
        <f aca="false">Data!G1640</f>
        <v>Can refer explicitly to what has been said earlier.</v>
      </c>
      <c r="H1640" s="81"/>
      <c r="I1640" s="82" t="s">
        <v>3625</v>
      </c>
    </row>
    <row r="1641" customFormat="false" ht="15" hidden="false" customHeight="true" outlineLevel="0" collapsed="false">
      <c r="A1641" s="82" t="n">
        <f aca="false">Data!A1641</f>
        <v>1640</v>
      </c>
      <c r="B1641" s="82" t="str">
        <f aca="false">IFERROR(INDEX(対訳マスタ!$C$2:$C$136,MATCH(Data!B1641,対訳マスタ!$B$2:$B$136,0)),Data!B1641)</f>
        <v>手話能力</v>
      </c>
      <c r="C1641" s="82" t="str">
        <f aca="false">IF(Data!C1641="—","—",IFERROR(INDEX(対訳マスタ!$C$2:$C$136,MATCH(Data!C1641,対訳マスタ!$B$2:$B$136,0)),Data!C1641))</f>
        <v>産出</v>
      </c>
      <c r="D1641" s="82" t="str">
        <f aca="false">IF(Data!D1641="—","—",IFERROR(INDEX(対訳マスタ!$C$2:$C$136,MATCH(Data!D1641,対訳マスタ!$B$2:$B$136,0)),Data!D1641))</f>
        <v>語用能力</v>
      </c>
      <c r="E1641" s="82" t="str">
        <f aca="false">IFERROR(INDEX(対訳マスタ!$C$2:$C$136,MATCH(Data!E1641,対訳マスタ!$B$2:$B$136,0)),Data!E1641)</f>
        <v>手話テキストの構造</v>
      </c>
      <c r="F1641" s="82" t="str">
        <f aca="false">Data!F1641</f>
        <v>B1+</v>
      </c>
      <c r="G1641" s="81" t="str">
        <f aca="false">Data!G1641</f>
        <v>Can compare the opinions of others and take a position in relation to them.</v>
      </c>
      <c r="H1641" s="81"/>
      <c r="I1641" s="82" t="s">
        <v>3625</v>
      </c>
    </row>
    <row r="1642" customFormat="false" ht="15" hidden="false" customHeight="true" outlineLevel="0" collapsed="false">
      <c r="A1642" s="82" t="n">
        <f aca="false">Data!A1642</f>
        <v>1641</v>
      </c>
      <c r="B1642" s="82" t="str">
        <f aca="false">IFERROR(INDEX(対訳マスタ!$C$2:$C$136,MATCH(Data!B1642,対訳マスタ!$B$2:$B$136,0)),Data!B1642)</f>
        <v>手話能力</v>
      </c>
      <c r="C1642" s="82" t="str">
        <f aca="false">IF(Data!C1642="—","—",IFERROR(INDEX(対訳マスタ!$C$2:$C$136,MATCH(Data!C1642,対訳マスタ!$B$2:$B$136,0)),Data!C1642))</f>
        <v>産出</v>
      </c>
      <c r="D1642" s="82" t="str">
        <f aca="false">IF(Data!D1642="—","—",IFERROR(INDEX(対訳マスタ!$C$2:$C$136,MATCH(Data!D1642,対訳マスタ!$B$2:$B$136,0)),Data!D1642))</f>
        <v>語用能力</v>
      </c>
      <c r="E1642" s="82" t="str">
        <f aca="false">IFERROR(INDEX(対訳マスタ!$C$2:$C$136,MATCH(Data!E1642,対訳マスタ!$B$2:$B$136,0)),Data!E1642)</f>
        <v>手話テキストの構造</v>
      </c>
      <c r="F1642" s="82" t="str">
        <f aca="false">Data!F1642</f>
        <v>B1+</v>
      </c>
      <c r="G1642" s="81" t="str">
        <f aca="false">Data!G1642</f>
        <v>Can relate their own experience to something in the text.</v>
      </c>
      <c r="H1642" s="81"/>
      <c r="I1642" s="82" t="s">
        <v>3625</v>
      </c>
    </row>
    <row r="1643" customFormat="false" ht="15" hidden="false" customHeight="true" outlineLevel="0" collapsed="false">
      <c r="A1643" s="82" t="n">
        <f aca="false">Data!A1643</f>
        <v>1642</v>
      </c>
      <c r="B1643" s="82" t="str">
        <f aca="false">IFERROR(INDEX(対訳マスタ!$C$2:$C$136,MATCH(Data!B1643,対訳マスタ!$B$2:$B$136,0)),Data!B1643)</f>
        <v>手話能力</v>
      </c>
      <c r="C1643" s="82" t="str">
        <f aca="false">IF(Data!C1643="—","—",IFERROR(INDEX(対訳マスタ!$C$2:$C$136,MATCH(Data!C1643,対訳マスタ!$B$2:$B$136,0)),Data!C1643))</f>
        <v>産出</v>
      </c>
      <c r="D1643" s="82" t="str">
        <f aca="false">IF(Data!D1643="—","—",IFERROR(INDEX(対訳マスタ!$C$2:$C$136,MATCH(Data!D1643,対訳マスタ!$B$2:$B$136,0)),Data!D1643))</f>
        <v>語用能力</v>
      </c>
      <c r="E1643" s="82" t="str">
        <f aca="false">IFERROR(INDEX(対訳マスタ!$C$2:$C$136,MATCH(Data!E1643,対訳マスタ!$B$2:$B$136,0)),Data!E1643)</f>
        <v>手話テキストの構造</v>
      </c>
      <c r="F1643" s="82" t="str">
        <f aca="false">Data!F1643</f>
        <v>B1</v>
      </c>
      <c r="G1643" s="81" t="str">
        <f aca="false">Data!G1643</f>
        <v>Can formulate the aim and objective of a text in the introduction.</v>
      </c>
      <c r="H1643" s="81"/>
      <c r="I1643" s="82" t="s">
        <v>3625</v>
      </c>
    </row>
    <row r="1644" customFormat="false" ht="15" hidden="false" customHeight="true" outlineLevel="0" collapsed="false">
      <c r="A1644" s="82" t="n">
        <f aca="false">Data!A1644</f>
        <v>1643</v>
      </c>
      <c r="B1644" s="82" t="str">
        <f aca="false">IFERROR(INDEX(対訳マスタ!$C$2:$C$136,MATCH(Data!B1644,対訳マスタ!$B$2:$B$136,0)),Data!B1644)</f>
        <v>手話能力</v>
      </c>
      <c r="C1644" s="82" t="str">
        <f aca="false">IF(Data!C1644="—","—",IFERROR(INDEX(対訳マスタ!$C$2:$C$136,MATCH(Data!C1644,対訳マスタ!$B$2:$B$136,0)),Data!C1644))</f>
        <v>産出</v>
      </c>
      <c r="D1644" s="82" t="str">
        <f aca="false">IF(Data!D1644="—","—",IFERROR(INDEX(対訳マスタ!$C$2:$C$136,MATCH(Data!D1644,対訳マスタ!$B$2:$B$136,0)),Data!D1644))</f>
        <v>語用能力</v>
      </c>
      <c r="E1644" s="82" t="str">
        <f aca="false">IFERROR(INDEX(対訳マスタ!$C$2:$C$136,MATCH(Data!E1644,対訳マスタ!$B$2:$B$136,0)),Data!E1644)</f>
        <v>手話テキストの構造</v>
      </c>
      <c r="F1644" s="82" t="str">
        <f aca="false">Data!F1644</f>
        <v>B1</v>
      </c>
      <c r="G1644" s="81" t="str">
        <f aca="false">Data!G1644</f>
        <v>Can sequence the successive elements of a text in logical order.</v>
      </c>
      <c r="H1644" s="81"/>
      <c r="I1644" s="82" t="s">
        <v>3625</v>
      </c>
    </row>
    <row r="1645" customFormat="false" ht="15" hidden="false" customHeight="true" outlineLevel="0" collapsed="false">
      <c r="A1645" s="82" t="n">
        <f aca="false">Data!A1645</f>
        <v>1644</v>
      </c>
      <c r="B1645" s="82" t="str">
        <f aca="false">IFERROR(INDEX(対訳マスタ!$C$2:$C$136,MATCH(Data!B1645,対訳マスタ!$B$2:$B$136,0)),Data!B1645)</f>
        <v>手話能力</v>
      </c>
      <c r="C1645" s="82" t="str">
        <f aca="false">IF(Data!C1645="—","—",IFERROR(INDEX(対訳マスタ!$C$2:$C$136,MATCH(Data!C1645,対訳マスタ!$B$2:$B$136,0)),Data!C1645))</f>
        <v>産出</v>
      </c>
      <c r="D1645" s="82" t="str">
        <f aca="false">IF(Data!D1645="—","—",IFERROR(INDEX(対訳マスタ!$C$2:$C$136,MATCH(Data!D1645,対訳マスタ!$B$2:$B$136,0)),Data!D1645))</f>
        <v>語用能力</v>
      </c>
      <c r="E1645" s="82" t="str">
        <f aca="false">IFERROR(INDEX(対訳マスタ!$C$2:$C$136,MATCH(Data!E1645,対訳マスタ!$B$2:$B$136,0)),Data!E1645)</f>
        <v>手話テキストの構造</v>
      </c>
      <c r="F1645" s="82" t="str">
        <f aca="false">Data!F1645</f>
        <v>B1</v>
      </c>
      <c r="G1645" s="81" t="str">
        <f aca="false">Data!G1645</f>
        <v>Can introduce a topic appropriately, then provide the relevant content.</v>
      </c>
      <c r="H1645" s="81"/>
      <c r="I1645" s="82" t="s">
        <v>3625</v>
      </c>
    </row>
    <row r="1646" customFormat="false" ht="21.75" hidden="false" customHeight="true" outlineLevel="0" collapsed="false">
      <c r="A1646" s="82" t="n">
        <f aca="false">Data!A1646</f>
        <v>1645</v>
      </c>
      <c r="B1646" s="82" t="str">
        <f aca="false">IFERROR(INDEX(対訳マスタ!$C$2:$C$136,MATCH(Data!B1646,対訳マスタ!$B$2:$B$136,0)),Data!B1646)</f>
        <v>手話能力</v>
      </c>
      <c r="C1646" s="82" t="str">
        <f aca="false">IF(Data!C1646="—","—",IFERROR(INDEX(対訳マスタ!$C$2:$C$136,MATCH(Data!C1646,対訳マスタ!$B$2:$B$136,0)),Data!C1646))</f>
        <v>産出</v>
      </c>
      <c r="D1646" s="82" t="str">
        <f aca="false">IF(Data!D1646="—","—",IFERROR(INDEX(対訳マスタ!$C$2:$C$136,MATCH(Data!D1646,対訳マスタ!$B$2:$B$136,0)),Data!D1646))</f>
        <v>語用能力</v>
      </c>
      <c r="E1646" s="82" t="str">
        <f aca="false">IFERROR(INDEX(対訳マスタ!$C$2:$C$136,MATCH(Data!E1646,対訳マスタ!$B$2:$B$136,0)),Data!E1646)</f>
        <v>手話テキストの構造</v>
      </c>
      <c r="F1646" s="82" t="str">
        <f aca="false">Data!F1646</f>
        <v>B1</v>
      </c>
      <c r="G1646" s="81" t="str">
        <f aca="false">Data!G1646</f>
        <v>Can indicate the most important aspects of a topic in the hierarchical order of their importance.</v>
      </c>
      <c r="H1646" s="81"/>
      <c r="I1646" s="82" t="s">
        <v>3625</v>
      </c>
    </row>
    <row r="1647" customFormat="false" ht="21.75" hidden="false" customHeight="true" outlineLevel="0" collapsed="false">
      <c r="A1647" s="82" t="n">
        <f aca="false">Data!A1647</f>
        <v>1646</v>
      </c>
      <c r="B1647" s="82" t="str">
        <f aca="false">IFERROR(INDEX(対訳マスタ!$C$2:$C$136,MATCH(Data!B1647,対訳マスタ!$B$2:$B$136,0)),Data!B1647)</f>
        <v>手話能力</v>
      </c>
      <c r="C1647" s="82" t="str">
        <f aca="false">IF(Data!C1647="—","—",IFERROR(INDEX(対訳マスタ!$C$2:$C$136,MATCH(Data!C1647,対訳マスタ!$B$2:$B$136,0)),Data!C1647))</f>
        <v>産出</v>
      </c>
      <c r="D1647" s="82" t="str">
        <f aca="false">IF(Data!D1647="—","—",IFERROR(INDEX(対訳マスタ!$C$2:$C$136,MATCH(Data!D1647,対訳マスタ!$B$2:$B$136,0)),Data!D1647))</f>
        <v>語用能力</v>
      </c>
      <c r="E1647" s="82" t="str">
        <f aca="false">IFERROR(INDEX(対訳マスタ!$C$2:$C$136,MATCH(Data!E1647,対訳マスタ!$B$2:$B$136,0)),Data!E1647)</f>
        <v>手話テキストの構造</v>
      </c>
      <c r="F1647" s="82" t="str">
        <f aca="false">Data!F1647</f>
        <v>B1</v>
      </c>
      <c r="G1647" s="81" t="str">
        <f aca="false">Data!G1647</f>
        <v>Can employ simple strategies to structure information (e.g. adding comments on the topic).</v>
      </c>
      <c r="H1647" s="81"/>
      <c r="I1647" s="82" t="s">
        <v>3625</v>
      </c>
    </row>
    <row r="1648" customFormat="false" ht="15" hidden="false" customHeight="true" outlineLevel="0" collapsed="false">
      <c r="A1648" s="82" t="n">
        <f aca="false">Data!A1648</f>
        <v>1647</v>
      </c>
      <c r="B1648" s="82" t="str">
        <f aca="false">IFERROR(INDEX(対訳マスタ!$C$2:$C$136,MATCH(Data!B1648,対訳マスタ!$B$2:$B$136,0)),Data!B1648)</f>
        <v>手話能力</v>
      </c>
      <c r="C1648" s="82" t="str">
        <f aca="false">IF(Data!C1648="—","—",IFERROR(INDEX(対訳マスタ!$C$2:$C$136,MATCH(Data!C1648,対訳マスタ!$B$2:$B$136,0)),Data!C1648))</f>
        <v>産出</v>
      </c>
      <c r="D1648" s="82" t="str">
        <f aca="false">IF(Data!D1648="—","—",IFERROR(INDEX(対訳マスタ!$C$2:$C$136,MATCH(Data!D1648,対訳マスタ!$B$2:$B$136,0)),Data!D1648))</f>
        <v>語用能力</v>
      </c>
      <c r="E1648" s="82" t="str">
        <f aca="false">IFERROR(INDEX(対訳マスタ!$C$2:$C$136,MATCH(Data!E1648,対訳マスタ!$B$2:$B$136,0)),Data!E1648)</f>
        <v>手話テキストの構造</v>
      </c>
      <c r="F1648" s="82" t="str">
        <f aca="false">Data!F1648</f>
        <v>B1</v>
      </c>
      <c r="G1648" s="81" t="str">
        <f aca="false">Data!G1648</f>
        <v>Can use the sign &lt;palm-up&gt; to mark the end of a particular discourse contribution.</v>
      </c>
      <c r="H1648" s="81"/>
      <c r="I1648" s="82" t="s">
        <v>3625</v>
      </c>
    </row>
    <row r="1649" customFormat="false" ht="21.75" hidden="false" customHeight="true" outlineLevel="0" collapsed="false">
      <c r="A1649" s="82" t="n">
        <f aca="false">Data!A1649</f>
        <v>1648</v>
      </c>
      <c r="B1649" s="82" t="str">
        <f aca="false">IFERROR(INDEX(対訳マスタ!$C$2:$C$136,MATCH(Data!B1649,対訳マスタ!$B$2:$B$136,0)),Data!B1649)</f>
        <v>手話能力</v>
      </c>
      <c r="C1649" s="82" t="str">
        <f aca="false">IF(Data!C1649="—","—",IFERROR(INDEX(対訳マスタ!$C$2:$C$136,MATCH(Data!C1649,対訳マスタ!$B$2:$B$136,0)),Data!C1649))</f>
        <v>産出</v>
      </c>
      <c r="D1649" s="82" t="str">
        <f aca="false">IF(Data!D1649="—","—",IFERROR(INDEX(対訳マスタ!$C$2:$C$136,MATCH(Data!D1649,対訳マスタ!$B$2:$B$136,0)),Data!D1649))</f>
        <v>語用能力</v>
      </c>
      <c r="E1649" s="82" t="str">
        <f aca="false">IFERROR(INDEX(対訳マスタ!$C$2:$C$136,MATCH(Data!E1649,対訳マスタ!$B$2:$B$136,0)),Data!E1649)</f>
        <v>手話テキストの構造</v>
      </c>
      <c r="F1649" s="82" t="str">
        <f aca="false">Data!F1649</f>
        <v>B1</v>
      </c>
      <c r="G1649" s="81" t="str">
        <f aca="false">Data!G1649</f>
        <v>Can summarise in a text the most important statements in reply to “when”, “where”, “who”, “what”, “how” and “why” questions.</v>
      </c>
      <c r="H1649" s="81"/>
      <c r="I1649" s="82" t="s">
        <v>3625</v>
      </c>
    </row>
    <row r="1650" customFormat="false" ht="15" hidden="false" customHeight="true" outlineLevel="0" collapsed="false">
      <c r="A1650" s="82" t="n">
        <f aca="false">Data!A1650</f>
        <v>1649</v>
      </c>
      <c r="B1650" s="82" t="str">
        <f aca="false">IFERROR(INDEX(対訳マスタ!$C$2:$C$136,MATCH(Data!B1650,対訳マスタ!$B$2:$B$136,0)),Data!B1650)</f>
        <v>手話能力</v>
      </c>
      <c r="C1650" s="82" t="str">
        <f aca="false">IF(Data!C1650="—","—",IFERROR(INDEX(対訳マスタ!$C$2:$C$136,MATCH(Data!C1650,対訳マスタ!$B$2:$B$136,0)),Data!C1650))</f>
        <v>産出</v>
      </c>
      <c r="D1650" s="82" t="str">
        <f aca="false">IF(Data!D1650="—","—",IFERROR(INDEX(対訳マスタ!$C$2:$C$136,MATCH(Data!D1650,対訳マスタ!$B$2:$B$136,0)),Data!D1650))</f>
        <v>語用能力</v>
      </c>
      <c r="E1650" s="82" t="str">
        <f aca="false">IFERROR(INDEX(対訳マスタ!$C$2:$C$136,MATCH(Data!E1650,対訳マスタ!$B$2:$B$136,0)),Data!E1650)</f>
        <v>手話テキストの構造</v>
      </c>
      <c r="F1650" s="82" t="str">
        <f aca="false">Data!F1650</f>
        <v>B1</v>
      </c>
      <c r="G1650" s="81" t="str">
        <f aca="false">Data!G1650</f>
        <v>Can give reasons for their opinions.</v>
      </c>
      <c r="H1650" s="81"/>
      <c r="I1650" s="82" t="s">
        <v>3625</v>
      </c>
    </row>
    <row r="1651" customFormat="false" ht="15" hidden="false" customHeight="true" outlineLevel="0" collapsed="false">
      <c r="A1651" s="82" t="n">
        <f aca="false">Data!A1651</f>
        <v>1650</v>
      </c>
      <c r="B1651" s="82" t="str">
        <f aca="false">IFERROR(INDEX(対訳マスタ!$C$2:$C$136,MATCH(Data!B1651,対訳マスタ!$B$2:$B$136,0)),Data!B1651)</f>
        <v>手話能力</v>
      </c>
      <c r="C1651" s="82" t="str">
        <f aca="false">IF(Data!C1651="—","—",IFERROR(INDEX(対訳マスタ!$C$2:$C$136,MATCH(Data!C1651,対訳マスタ!$B$2:$B$136,0)),Data!C1651))</f>
        <v>産出</v>
      </c>
      <c r="D1651" s="82" t="str">
        <f aca="false">IF(Data!D1651="—","—",IFERROR(INDEX(対訳マスタ!$C$2:$C$136,MATCH(Data!D1651,対訳マスタ!$B$2:$B$136,0)),Data!D1651))</f>
        <v>語用能力</v>
      </c>
      <c r="E1651" s="82" t="str">
        <f aca="false">IFERROR(INDEX(対訳マスタ!$C$2:$C$136,MATCH(Data!E1651,対訳マスタ!$B$2:$B$136,0)),Data!E1651)</f>
        <v>手話テキストの構造</v>
      </c>
      <c r="F1651" s="82" t="str">
        <f aca="false">Data!F1651</f>
        <v>B1</v>
      </c>
      <c r="G1651" s="81" t="str">
        <f aca="false">Data!G1651</f>
        <v>Can conclude their contribution correctly (hands together).</v>
      </c>
      <c r="H1651" s="81"/>
      <c r="I1651" s="82" t="s">
        <v>3625</v>
      </c>
    </row>
    <row r="1652" customFormat="false" ht="15" hidden="false" customHeight="true" outlineLevel="0" collapsed="false">
      <c r="A1652" s="82" t="n">
        <f aca="false">Data!A1652</f>
        <v>1651</v>
      </c>
      <c r="B1652" s="82" t="str">
        <f aca="false">IFERROR(INDEX(対訳マスタ!$C$2:$C$136,MATCH(Data!B1652,対訳マスタ!$B$2:$B$136,0)),Data!B1652)</f>
        <v>手話能力</v>
      </c>
      <c r="C1652" s="82" t="str">
        <f aca="false">IF(Data!C1652="—","—",IFERROR(INDEX(対訳マスタ!$C$2:$C$136,MATCH(Data!C1652,対訳マスタ!$B$2:$B$136,0)),Data!C1652))</f>
        <v>産出</v>
      </c>
      <c r="D1652" s="82" t="str">
        <f aca="false">IF(Data!D1652="—","—",IFERROR(INDEX(対訳マスタ!$C$2:$C$136,MATCH(Data!D1652,対訳マスタ!$B$2:$B$136,0)),Data!D1652))</f>
        <v>語用能力</v>
      </c>
      <c r="E1652" s="82" t="str">
        <f aca="false">IFERROR(INDEX(対訳マスタ!$C$2:$C$136,MATCH(Data!E1652,対訳マスタ!$B$2:$B$136,0)),Data!E1652)</f>
        <v>手話テキストの構造</v>
      </c>
      <c r="F1652" s="82" t="str">
        <f aca="false">Data!F1652</f>
        <v>A2+</v>
      </c>
      <c r="G1652" s="81" t="str">
        <f aca="false">Data!G1652</f>
        <v>Can introduce a topic adequately.</v>
      </c>
      <c r="H1652" s="81"/>
      <c r="I1652" s="82" t="s">
        <v>3625</v>
      </c>
    </row>
    <row r="1653" customFormat="false" ht="15" hidden="false" customHeight="true" outlineLevel="0" collapsed="false">
      <c r="A1653" s="82" t="n">
        <f aca="false">Data!A1653</f>
        <v>1652</v>
      </c>
      <c r="B1653" s="82" t="str">
        <f aca="false">IFERROR(INDEX(対訳マスタ!$C$2:$C$136,MATCH(Data!B1653,対訳マスタ!$B$2:$B$136,0)),Data!B1653)</f>
        <v>手話能力</v>
      </c>
      <c r="C1653" s="82" t="str">
        <f aca="false">IF(Data!C1653="—","—",IFERROR(INDEX(対訳マスタ!$C$2:$C$136,MATCH(Data!C1653,対訳マスタ!$B$2:$B$136,0)),Data!C1653))</f>
        <v>産出</v>
      </c>
      <c r="D1653" s="82" t="str">
        <f aca="false">IF(Data!D1653="—","—",IFERROR(INDEX(対訳マスタ!$C$2:$C$136,MATCH(Data!D1653,対訳マスタ!$B$2:$B$136,0)),Data!D1653))</f>
        <v>語用能力</v>
      </c>
      <c r="E1653" s="82" t="str">
        <f aca="false">IFERROR(INDEX(対訳マスタ!$C$2:$C$136,MATCH(Data!E1653,対訳マスタ!$B$2:$B$136,0)),Data!E1653)</f>
        <v>手話テキストの構造</v>
      </c>
      <c r="F1653" s="82" t="str">
        <f aca="false">Data!F1653</f>
        <v>A2+</v>
      </c>
      <c r="G1653" s="81" t="str">
        <f aca="false">Data!G1653</f>
        <v>Can differentiate the different points in a list.</v>
      </c>
      <c r="H1653" s="81"/>
      <c r="I1653" s="82" t="s">
        <v>3625</v>
      </c>
    </row>
    <row r="1654" customFormat="false" ht="15" hidden="false" customHeight="true" outlineLevel="0" collapsed="false">
      <c r="A1654" s="82" t="n">
        <f aca="false">Data!A1654</f>
        <v>1653</v>
      </c>
      <c r="B1654" s="82" t="str">
        <f aca="false">IFERROR(INDEX(対訳マスタ!$C$2:$C$136,MATCH(Data!B1654,対訳マスタ!$B$2:$B$136,0)),Data!B1654)</f>
        <v>手話能力</v>
      </c>
      <c r="C1654" s="82" t="str">
        <f aca="false">IF(Data!C1654="—","—",IFERROR(INDEX(対訳マスタ!$C$2:$C$136,MATCH(Data!C1654,対訳マスタ!$B$2:$B$136,0)),Data!C1654))</f>
        <v>産出</v>
      </c>
      <c r="D1654" s="82" t="str">
        <f aca="false">IF(Data!D1654="—","—",IFERROR(INDEX(対訳マスタ!$C$2:$C$136,MATCH(Data!D1654,対訳マスタ!$B$2:$B$136,0)),Data!D1654))</f>
        <v>語用能力</v>
      </c>
      <c r="E1654" s="82" t="str">
        <f aca="false">IFERROR(INDEX(対訳マスタ!$C$2:$C$136,MATCH(Data!E1654,対訳マスタ!$B$2:$B$136,0)),Data!E1654)</f>
        <v>手話テキストの構造</v>
      </c>
      <c r="F1654" s="82" t="str">
        <f aca="false">Data!F1654</f>
        <v>A2+</v>
      </c>
      <c r="G1654" s="81" t="str">
        <f aca="false">Data!G1654</f>
        <v>Can formulate simple for-and-against arguments in the form of questions.</v>
      </c>
      <c r="H1654" s="81"/>
      <c r="I1654" s="82" t="s">
        <v>3625</v>
      </c>
    </row>
    <row r="1655" customFormat="false" ht="15" hidden="false" customHeight="true" outlineLevel="0" collapsed="false">
      <c r="A1655" s="82" t="n">
        <f aca="false">Data!A1655</f>
        <v>1654</v>
      </c>
      <c r="B1655" s="82" t="str">
        <f aca="false">IFERROR(INDEX(対訳マスタ!$C$2:$C$136,MATCH(Data!B1655,対訳マスタ!$B$2:$B$136,0)),Data!B1655)</f>
        <v>手話能力</v>
      </c>
      <c r="C1655" s="82" t="str">
        <f aca="false">IF(Data!C1655="—","—",IFERROR(INDEX(対訳マスタ!$C$2:$C$136,MATCH(Data!C1655,対訳マスタ!$B$2:$B$136,0)),Data!C1655))</f>
        <v>産出</v>
      </c>
      <c r="D1655" s="82" t="str">
        <f aca="false">IF(Data!D1655="—","—",IFERROR(INDEX(対訳マスタ!$C$2:$C$136,MATCH(Data!D1655,対訳マスタ!$B$2:$B$136,0)),Data!D1655))</f>
        <v>語用能力</v>
      </c>
      <c r="E1655" s="82" t="str">
        <f aca="false">IFERROR(INDEX(対訳マスタ!$C$2:$C$136,MATCH(Data!E1655,対訳マスタ!$B$2:$B$136,0)),Data!E1655)</f>
        <v>手話テキストの構造</v>
      </c>
      <c r="F1655" s="82" t="str">
        <f aca="false">Data!F1655</f>
        <v>A2+</v>
      </c>
      <c r="G1655" s="81" t="str">
        <f aca="false">Data!G1655</f>
        <v>Can produce a summary on simple topics.</v>
      </c>
      <c r="H1655" s="81"/>
      <c r="I1655" s="82" t="s">
        <v>3625</v>
      </c>
    </row>
    <row r="1656" customFormat="false" ht="21.75" hidden="false" customHeight="true" outlineLevel="0" collapsed="false">
      <c r="A1656" s="82" t="n">
        <f aca="false">Data!A1656</f>
        <v>1655</v>
      </c>
      <c r="B1656" s="82" t="str">
        <f aca="false">IFERROR(INDEX(対訳マスタ!$C$2:$C$136,MATCH(Data!B1656,対訳マスタ!$B$2:$B$136,0)),Data!B1656)</f>
        <v>手話能力</v>
      </c>
      <c r="C1656" s="82" t="str">
        <f aca="false">IF(Data!C1656="—","—",IFERROR(INDEX(対訳マスタ!$C$2:$C$136,MATCH(Data!C1656,対訳マスタ!$B$2:$B$136,0)),Data!C1656))</f>
        <v>産出</v>
      </c>
      <c r="D1656" s="82" t="str">
        <f aca="false">IF(Data!D1656="—","—",IFERROR(INDEX(対訳マスタ!$C$2:$C$136,MATCH(Data!D1656,対訳マスタ!$B$2:$B$136,0)),Data!D1656))</f>
        <v>語用能力</v>
      </c>
      <c r="E1656" s="82" t="str">
        <f aca="false">IFERROR(INDEX(対訳マスタ!$C$2:$C$136,MATCH(Data!E1656,対訳マスタ!$B$2:$B$136,0)),Data!E1656)</f>
        <v>手話テキストの構造</v>
      </c>
      <c r="F1656" s="82" t="str">
        <f aca="false">Data!F1656</f>
        <v>A2</v>
      </c>
      <c r="G1656" s="81" t="str">
        <f aca="false">Data!G1656</f>
        <v>Can, at the beginning of a text, give the details necessary to frame the description, providing answers to the key “what”, “where” and “who” questions.</v>
      </c>
      <c r="H1656" s="81"/>
      <c r="I1656" s="82" t="s">
        <v>3625</v>
      </c>
    </row>
    <row r="1657" customFormat="false" ht="15" hidden="false" customHeight="true" outlineLevel="0" collapsed="false">
      <c r="A1657" s="82" t="n">
        <f aca="false">Data!A1657</f>
        <v>1656</v>
      </c>
      <c r="B1657" s="82" t="str">
        <f aca="false">IFERROR(INDEX(対訳マスタ!$C$2:$C$136,MATCH(Data!B1657,対訳マスタ!$B$2:$B$136,0)),Data!B1657)</f>
        <v>手話能力</v>
      </c>
      <c r="C1657" s="82" t="str">
        <f aca="false">IF(Data!C1657="—","—",IFERROR(INDEX(対訳マスタ!$C$2:$C$136,MATCH(Data!C1657,対訳マスタ!$B$2:$B$136,0)),Data!C1657))</f>
        <v>産出</v>
      </c>
      <c r="D1657" s="82" t="str">
        <f aca="false">IF(Data!D1657="—","—",IFERROR(INDEX(対訳マスタ!$C$2:$C$136,MATCH(Data!D1657,対訳マスタ!$B$2:$B$136,0)),Data!D1657))</f>
        <v>語用能力</v>
      </c>
      <c r="E1657" s="82" t="str">
        <f aca="false">IFERROR(INDEX(対訳マスタ!$C$2:$C$136,MATCH(Data!E1657,対訳マスタ!$B$2:$B$136,0)),Data!E1657)</f>
        <v>手話テキストの構造</v>
      </c>
      <c r="F1657" s="82" t="str">
        <f aca="false">Data!F1657</f>
        <v>A1</v>
      </c>
      <c r="G1657" s="81" t="str">
        <f aca="false">Data!G1657</f>
        <v>No descriptors available</v>
      </c>
      <c r="H1657" s="81" t="s">
        <v>624</v>
      </c>
      <c r="I1657" s="80" t="s">
        <v>624</v>
      </c>
    </row>
    <row r="1658" customFormat="false" ht="21.75" hidden="false" customHeight="true" outlineLevel="0" collapsed="false">
      <c r="A1658" s="82" t="n">
        <f aca="false">Data!A1658</f>
        <v>1657</v>
      </c>
      <c r="B1658" s="82" t="str">
        <f aca="false">IFERROR(INDEX(対訳マスタ!$C$2:$C$136,MATCH(Data!B1658,対訳マスタ!$B$2:$B$136,0)),Data!B1658)</f>
        <v>手話能力</v>
      </c>
      <c r="C1658" s="82" t="str">
        <f aca="false">IF(Data!C1658="—","—",IFERROR(INDEX(対訳マスタ!$C$2:$C$136,MATCH(Data!C1658,対訳マスタ!$B$2:$B$136,0)),Data!C1658))</f>
        <v>受容</v>
      </c>
      <c r="D1658" s="82" t="str">
        <f aca="false">IF(Data!D1658="—","—",IFERROR(INDEX(対訳マスタ!$C$2:$C$136,MATCH(Data!D1658,対訳マスタ!$B$2:$B$136,0)),Data!D1658))</f>
        <v>語用能力</v>
      </c>
      <c r="E1658" s="82" t="str">
        <f aca="false">IFERROR(INDEX(対訳マスタ!$C$2:$C$136,MATCH(Data!E1658,対訳マスタ!$B$2:$B$136,0)),Data!E1658)</f>
        <v>場面設定と視点</v>
      </c>
      <c r="F1658" s="82" t="str">
        <f aca="false">Data!F1658</f>
        <v>C2</v>
      </c>
      <c r="G1658" s="81" t="str">
        <f aca="false">Data!G1658</f>
        <v>Can follow a constructed dialogue between several characters without difficulty even if the marking of role changes is reduced e.g., to the direction of vision.</v>
      </c>
      <c r="H1658" s="81"/>
      <c r="I1658" s="82" t="s">
        <v>3625</v>
      </c>
    </row>
    <row r="1659" customFormat="false" ht="15" hidden="false" customHeight="true" outlineLevel="0" collapsed="false">
      <c r="A1659" s="82" t="n">
        <f aca="false">Data!A1659</f>
        <v>1658</v>
      </c>
      <c r="B1659" s="82" t="str">
        <f aca="false">IFERROR(INDEX(対訳マスタ!$C$2:$C$136,MATCH(Data!B1659,対訳マスタ!$B$2:$B$136,0)),Data!B1659)</f>
        <v>手話能力</v>
      </c>
      <c r="C1659" s="82" t="str">
        <f aca="false">IF(Data!C1659="—","—",IFERROR(INDEX(対訳マスタ!$C$2:$C$136,MATCH(Data!C1659,対訳マスタ!$B$2:$B$136,0)),Data!C1659))</f>
        <v>受容</v>
      </c>
      <c r="D1659" s="82" t="str">
        <f aca="false">IF(Data!D1659="—","—",IFERROR(INDEX(対訳マスタ!$C$2:$C$136,MATCH(Data!D1659,対訳マスタ!$B$2:$B$136,0)),Data!D1659))</f>
        <v>語用能力</v>
      </c>
      <c r="E1659" s="82" t="str">
        <f aca="false">IFERROR(INDEX(対訳マスタ!$C$2:$C$136,MATCH(Data!E1659,対訳マスタ!$B$2:$B$136,0)),Data!E1659)</f>
        <v>場面設定と視点</v>
      </c>
      <c r="F1659" s="82" t="str">
        <f aca="false">Data!F1659</f>
        <v>C2</v>
      </c>
      <c r="G1659" s="81" t="str">
        <f aca="false">Data!G1659</f>
        <v>Can follow changes of scene, locations or persons during an action.</v>
      </c>
      <c r="H1659" s="81"/>
      <c r="I1659" s="82" t="s">
        <v>3625</v>
      </c>
    </row>
    <row r="1660" customFormat="false" ht="15" hidden="false" customHeight="true" outlineLevel="0" collapsed="false">
      <c r="A1660" s="82" t="n">
        <f aca="false">Data!A1660</f>
        <v>1659</v>
      </c>
      <c r="B1660" s="82" t="str">
        <f aca="false">IFERROR(INDEX(対訳マスタ!$C$2:$C$136,MATCH(Data!B1660,対訳マスタ!$B$2:$B$136,0)),Data!B1660)</f>
        <v>手話能力</v>
      </c>
      <c r="C1660" s="82" t="str">
        <f aca="false">IF(Data!C1660="—","—",IFERROR(INDEX(対訳マスタ!$C$2:$C$136,MATCH(Data!C1660,対訳マスタ!$B$2:$B$136,0)),Data!C1660))</f>
        <v>受容</v>
      </c>
      <c r="D1660" s="82" t="str">
        <f aca="false">IF(Data!D1660="—","—",IFERROR(INDEX(対訳マスタ!$C$2:$C$136,MATCH(Data!D1660,対訳マスタ!$B$2:$B$136,0)),Data!D1660))</f>
        <v>語用能力</v>
      </c>
      <c r="E1660" s="82" t="str">
        <f aca="false">IFERROR(INDEX(対訳マスタ!$C$2:$C$136,MATCH(Data!E1660,対訳マスタ!$B$2:$B$136,0)),Data!E1660)</f>
        <v>場面設定と視点</v>
      </c>
      <c r="F1660" s="82" t="str">
        <f aca="false">Data!F1660</f>
        <v>C2</v>
      </c>
      <c r="G1660" s="81" t="str">
        <f aca="false">Data!G1660</f>
        <v>Can easily follow several changes of perspective and role.</v>
      </c>
      <c r="H1660" s="81"/>
      <c r="I1660" s="82" t="s">
        <v>3625</v>
      </c>
    </row>
    <row r="1661" customFormat="false" ht="21.75" hidden="false" customHeight="true" outlineLevel="0" collapsed="false">
      <c r="A1661" s="82" t="n">
        <f aca="false">Data!A1661</f>
        <v>1660</v>
      </c>
      <c r="B1661" s="82" t="str">
        <f aca="false">IFERROR(INDEX(対訳マスタ!$C$2:$C$136,MATCH(Data!B1661,対訳マスタ!$B$2:$B$136,0)),Data!B1661)</f>
        <v>手話能力</v>
      </c>
      <c r="C1661" s="82" t="str">
        <f aca="false">IF(Data!C1661="—","—",IFERROR(INDEX(対訳マスタ!$C$2:$C$136,MATCH(Data!C1661,対訳マスタ!$B$2:$B$136,0)),Data!C1661))</f>
        <v>受容</v>
      </c>
      <c r="D1661" s="82" t="str">
        <f aca="false">IF(Data!D1661="—","—",IFERROR(INDEX(対訳マスタ!$C$2:$C$136,MATCH(Data!D1661,対訳マスタ!$B$2:$B$136,0)),Data!D1661))</f>
        <v>語用能力</v>
      </c>
      <c r="E1661" s="82" t="str">
        <f aca="false">IFERROR(INDEX(対訳マスタ!$C$2:$C$136,MATCH(Data!E1661,対訳マスタ!$B$2:$B$136,0)),Data!E1661)</f>
        <v>場面設定と視点</v>
      </c>
      <c r="F1661" s="82" t="str">
        <f aca="false">Data!F1661</f>
        <v>C1</v>
      </c>
      <c r="G1661" s="81" t="str">
        <f aca="false">Data!G1661</f>
        <v>Can memorise spatial settings established in signing space (e.g., landscape, family, situation) and follow references within the settings without difficulty.</v>
      </c>
      <c r="H1661" s="81"/>
      <c r="I1661" s="82" t="s">
        <v>3625</v>
      </c>
    </row>
    <row r="1662" customFormat="false" ht="21.75" hidden="false" customHeight="true" outlineLevel="0" collapsed="false">
      <c r="A1662" s="82" t="n">
        <f aca="false">Data!A1662</f>
        <v>1661</v>
      </c>
      <c r="B1662" s="82" t="str">
        <f aca="false">IFERROR(INDEX(対訳マスタ!$C$2:$C$136,MATCH(Data!B1662,対訳マスタ!$B$2:$B$136,0)),Data!B1662)</f>
        <v>手話能力</v>
      </c>
      <c r="C1662" s="82" t="str">
        <f aca="false">IF(Data!C1662="—","—",IFERROR(INDEX(対訳マスタ!$C$2:$C$136,MATCH(Data!C1662,対訳マスタ!$B$2:$B$136,0)),Data!C1662))</f>
        <v>受容</v>
      </c>
      <c r="D1662" s="82" t="str">
        <f aca="false">IF(Data!D1662="—","—",IFERROR(INDEX(対訳マスタ!$C$2:$C$136,MATCH(Data!D1662,対訳マスタ!$B$2:$B$136,0)),Data!D1662))</f>
        <v>語用能力</v>
      </c>
      <c r="E1662" s="82" t="str">
        <f aca="false">IFERROR(INDEX(対訳マスタ!$C$2:$C$136,MATCH(Data!E1662,対訳マスタ!$B$2:$B$136,0)),Data!E1662)</f>
        <v>場面設定と視点</v>
      </c>
      <c r="F1662" s="82" t="str">
        <f aca="false">Data!F1662</f>
        <v>C1</v>
      </c>
      <c r="G1662" s="81" t="str">
        <f aca="false">Data!G1662</f>
        <v>Can fully grasp a setting established in the signing space (e.g., landscape, family relations, situation), even if it is only indicated by depicting verbs.</v>
      </c>
      <c r="H1662" s="81"/>
      <c r="I1662" s="82" t="s">
        <v>3625</v>
      </c>
    </row>
    <row r="1663" customFormat="false" ht="21.75" hidden="false" customHeight="true" outlineLevel="0" collapsed="false">
      <c r="A1663" s="82" t="n">
        <f aca="false">Data!A1663</f>
        <v>1662</v>
      </c>
      <c r="B1663" s="82" t="str">
        <f aca="false">IFERROR(INDEX(対訳マスタ!$C$2:$C$136,MATCH(Data!B1663,対訳マスタ!$B$2:$B$136,0)),Data!B1663)</f>
        <v>手話能力</v>
      </c>
      <c r="C1663" s="82" t="str">
        <f aca="false">IF(Data!C1663="—","—",IFERROR(INDEX(対訳マスタ!$C$2:$C$136,MATCH(Data!C1663,対訳マスタ!$B$2:$B$136,0)),Data!C1663))</f>
        <v>受容</v>
      </c>
      <c r="D1663" s="82" t="str">
        <f aca="false">IF(Data!D1663="—","—",IFERROR(INDEX(対訳マスタ!$C$2:$C$136,MATCH(Data!D1663,対訳マスタ!$B$2:$B$136,0)),Data!D1663))</f>
        <v>語用能力</v>
      </c>
      <c r="E1663" s="82" t="str">
        <f aca="false">IFERROR(INDEX(対訳マスタ!$C$2:$C$136,MATCH(Data!E1663,対訳マスタ!$B$2:$B$136,0)),Data!E1663)</f>
        <v>場面設定と視点</v>
      </c>
      <c r="F1663" s="82" t="str">
        <f aca="false">Data!F1663</f>
        <v>C1</v>
      </c>
      <c r="G1663" s="81" t="str">
        <f aca="false">Data!G1663</f>
        <v>Can recognise when the signer is establishing a new scene for reference (a setting) in signing space.</v>
      </c>
      <c r="H1663" s="81"/>
      <c r="I1663" s="82" t="s">
        <v>3625</v>
      </c>
    </row>
    <row r="1664" customFormat="false" ht="21.75" hidden="false" customHeight="true" outlineLevel="0" collapsed="false">
      <c r="A1664" s="82" t="n">
        <f aca="false">Data!A1664</f>
        <v>1663</v>
      </c>
      <c r="B1664" s="82" t="str">
        <f aca="false">IFERROR(INDEX(対訳マスタ!$C$2:$C$136,MATCH(Data!B1664,対訳マスタ!$B$2:$B$136,0)),Data!B1664)</f>
        <v>手話能力</v>
      </c>
      <c r="C1664" s="82" t="str">
        <f aca="false">IF(Data!C1664="—","—",IFERROR(INDEX(対訳マスタ!$C$2:$C$136,MATCH(Data!C1664,対訳マスタ!$B$2:$B$136,0)),Data!C1664))</f>
        <v>受容</v>
      </c>
      <c r="D1664" s="82" t="str">
        <f aca="false">IF(Data!D1664="—","—",IFERROR(INDEX(対訳マスタ!$C$2:$C$136,MATCH(Data!D1664,対訳マスタ!$B$2:$B$136,0)),Data!D1664))</f>
        <v>語用能力</v>
      </c>
      <c r="E1664" s="82" t="str">
        <f aca="false">IFERROR(INDEX(対訳マスタ!$C$2:$C$136,MATCH(Data!E1664,対訳マスタ!$B$2:$B$136,0)),Data!E1664)</f>
        <v>場面設定と視点</v>
      </c>
      <c r="F1664" s="82" t="str">
        <f aca="false">Data!F1664</f>
        <v>C1</v>
      </c>
      <c r="G1664" s="81" t="str">
        <f aca="false">Data!G1664</f>
        <v>Can distinguish between various perspectives (observer/narrator), provided they are clearly marked.</v>
      </c>
      <c r="H1664" s="81"/>
      <c r="I1664" s="82" t="s">
        <v>3625</v>
      </c>
    </row>
    <row r="1665" customFormat="false" ht="21.75" hidden="false" customHeight="true" outlineLevel="0" collapsed="false">
      <c r="A1665" s="82" t="n">
        <f aca="false">Data!A1665</f>
        <v>1664</v>
      </c>
      <c r="B1665" s="82" t="str">
        <f aca="false">IFERROR(INDEX(対訳マスタ!$C$2:$C$136,MATCH(Data!B1665,対訳マスタ!$B$2:$B$136,0)),Data!B1665)</f>
        <v>手話能力</v>
      </c>
      <c r="C1665" s="82" t="str">
        <f aca="false">IF(Data!C1665="—","—",IFERROR(INDEX(対訳マスタ!$C$2:$C$136,MATCH(Data!C1665,対訳マスタ!$B$2:$B$136,0)),Data!C1665))</f>
        <v>受容</v>
      </c>
      <c r="D1665" s="82" t="str">
        <f aca="false">IF(Data!D1665="—","—",IFERROR(INDEX(対訳マスタ!$C$2:$C$136,MATCH(Data!D1665,対訳マスタ!$B$2:$B$136,0)),Data!D1665))</f>
        <v>語用能力</v>
      </c>
      <c r="E1665" s="82" t="str">
        <f aca="false">IFERROR(INDEX(対訳マスタ!$C$2:$C$136,MATCH(Data!E1665,対訳マスタ!$B$2:$B$136,0)),Data!E1665)</f>
        <v>場面設定と視点</v>
      </c>
      <c r="F1665" s="82" t="str">
        <f aca="false">Data!F1665</f>
        <v>C1</v>
      </c>
      <c r="G1665" s="81" t="str">
        <f aca="false">Data!G1665</f>
        <v>Can recognise what the signer says from their own perspective and what they say from another person’s perspective.</v>
      </c>
      <c r="H1665" s="81"/>
      <c r="I1665" s="82" t="s">
        <v>3625</v>
      </c>
    </row>
    <row r="1666" customFormat="false" ht="21.75" hidden="false" customHeight="true" outlineLevel="0" collapsed="false">
      <c r="A1666" s="82" t="n">
        <f aca="false">Data!A1666</f>
        <v>1665</v>
      </c>
      <c r="B1666" s="82" t="str">
        <f aca="false">IFERROR(INDEX(対訳マスタ!$C$2:$C$136,MATCH(Data!B1666,対訳マスタ!$B$2:$B$136,0)),Data!B1666)</f>
        <v>手話能力</v>
      </c>
      <c r="C1666" s="82" t="str">
        <f aca="false">IF(Data!C1666="—","—",IFERROR(INDEX(対訳マスタ!$C$2:$C$136,MATCH(Data!C1666,対訳マスタ!$B$2:$B$136,0)),Data!C1666))</f>
        <v>受容</v>
      </c>
      <c r="D1666" s="82" t="str">
        <f aca="false">IF(Data!D1666="—","—",IFERROR(INDEX(対訳マスタ!$C$2:$C$136,MATCH(Data!D1666,対訳マスタ!$B$2:$B$136,0)),Data!D1666))</f>
        <v>語用能力</v>
      </c>
      <c r="E1666" s="82" t="str">
        <f aca="false">IFERROR(INDEX(対訳マスタ!$C$2:$C$136,MATCH(Data!E1666,対訳マスタ!$B$2:$B$136,0)),Data!E1666)</f>
        <v>場面設定と視点</v>
      </c>
      <c r="F1666" s="82" t="str">
        <f aca="false">Data!F1666</f>
        <v>C1</v>
      </c>
      <c r="G1666" s="81" t="str">
        <f aca="false">Data!G1666</f>
        <v>Can, in their interpretation of the text, take account of the perspective of a participant in the action (e.g., that the character does not see everything).</v>
      </c>
      <c r="H1666" s="81"/>
      <c r="I1666" s="82" t="s">
        <v>3625</v>
      </c>
    </row>
    <row r="1667" customFormat="false" ht="21.75" hidden="false" customHeight="true" outlineLevel="0" collapsed="false">
      <c r="A1667" s="82" t="n">
        <f aca="false">Data!A1667</f>
        <v>1666</v>
      </c>
      <c r="B1667" s="82" t="str">
        <f aca="false">IFERROR(INDEX(対訳マスタ!$C$2:$C$136,MATCH(Data!B1667,対訳マスタ!$B$2:$B$136,0)),Data!B1667)</f>
        <v>手話能力</v>
      </c>
      <c r="C1667" s="82" t="str">
        <f aca="false">IF(Data!C1667="—","—",IFERROR(INDEX(対訳マスタ!$C$2:$C$136,MATCH(Data!C1667,対訳マスタ!$B$2:$B$136,0)),Data!C1667))</f>
        <v>受容</v>
      </c>
      <c r="D1667" s="82" t="str">
        <f aca="false">IF(Data!D1667="—","—",IFERROR(INDEX(対訳マスタ!$C$2:$C$136,MATCH(Data!D1667,対訳マスタ!$B$2:$B$136,0)),Data!D1667))</f>
        <v>語用能力</v>
      </c>
      <c r="E1667" s="82" t="str">
        <f aca="false">IFERROR(INDEX(対訳マスタ!$C$2:$C$136,MATCH(Data!E1667,対訳マスタ!$B$2:$B$136,0)),Data!E1667)</f>
        <v>場面設定と視点</v>
      </c>
      <c r="F1667" s="82" t="str">
        <f aca="false">Data!F1667</f>
        <v>B2+</v>
      </c>
      <c r="G1667" s="81" t="str">
        <f aca="false">Data!G1667</f>
        <v>Can understand a narrative with several characters when the changes of roles are clearly and slowly marked (e.g., by the position of the upper body and eye gaze).</v>
      </c>
      <c r="H1667" s="81"/>
      <c r="I1667" s="82" t="s">
        <v>3625</v>
      </c>
    </row>
    <row r="1668" customFormat="false" ht="15" hidden="false" customHeight="true" outlineLevel="0" collapsed="false">
      <c r="A1668" s="82" t="n">
        <f aca="false">Data!A1668</f>
        <v>1667</v>
      </c>
      <c r="B1668" s="82" t="str">
        <f aca="false">IFERROR(INDEX(対訳マスタ!$C$2:$C$136,MATCH(Data!B1668,対訳マスタ!$B$2:$B$136,0)),Data!B1668)</f>
        <v>手話能力</v>
      </c>
      <c r="C1668" s="82" t="str">
        <f aca="false">IF(Data!C1668="—","—",IFERROR(INDEX(対訳マスタ!$C$2:$C$136,MATCH(Data!C1668,対訳マスタ!$B$2:$B$136,0)),Data!C1668))</f>
        <v>受容</v>
      </c>
      <c r="D1668" s="82" t="str">
        <f aca="false">IF(Data!D1668="—","—",IFERROR(INDEX(対訳マスタ!$C$2:$C$136,MATCH(Data!D1668,対訳マスタ!$B$2:$B$136,0)),Data!D1668))</f>
        <v>語用能力</v>
      </c>
      <c r="E1668" s="82" t="str">
        <f aca="false">IFERROR(INDEX(対訳マスタ!$C$2:$C$136,MATCH(Data!E1668,対訳マスタ!$B$2:$B$136,0)),Data!E1668)</f>
        <v>場面設定と視点</v>
      </c>
      <c r="F1668" s="82" t="str">
        <f aca="false">Data!F1668</f>
        <v>B2</v>
      </c>
      <c r="G1668" s="81" t="str">
        <f aca="false">Data!G1668</f>
        <v>Can grasp the spatial references in signing space and use these for comprehension.</v>
      </c>
      <c r="H1668" s="81"/>
      <c r="I1668" s="82" t="s">
        <v>3625</v>
      </c>
    </row>
    <row r="1669" customFormat="false" ht="21.75" hidden="false" customHeight="true" outlineLevel="0" collapsed="false">
      <c r="A1669" s="82" t="n">
        <f aca="false">Data!A1669</f>
        <v>1668</v>
      </c>
      <c r="B1669" s="82" t="str">
        <f aca="false">IFERROR(INDEX(対訳マスタ!$C$2:$C$136,MATCH(Data!B1669,対訳マスタ!$B$2:$B$136,0)),Data!B1669)</f>
        <v>手話能力</v>
      </c>
      <c r="C1669" s="82" t="str">
        <f aca="false">IF(Data!C1669="—","—",IFERROR(INDEX(対訳マスタ!$C$2:$C$136,MATCH(Data!C1669,対訳マスタ!$B$2:$B$136,0)),Data!C1669))</f>
        <v>受容</v>
      </c>
      <c r="D1669" s="82" t="str">
        <f aca="false">IF(Data!D1669="—","—",IFERROR(INDEX(対訳マスタ!$C$2:$C$136,MATCH(Data!D1669,対訳マスタ!$B$2:$B$136,0)),Data!D1669))</f>
        <v>語用能力</v>
      </c>
      <c r="E1669" s="82" t="str">
        <f aca="false">IFERROR(INDEX(対訳マスタ!$C$2:$C$136,MATCH(Data!E1669,対訳マスタ!$B$2:$B$136,0)),Data!E1669)</f>
        <v>場面設定と視点</v>
      </c>
      <c r="F1669" s="82" t="str">
        <f aca="false">Data!F1669</f>
        <v>B2</v>
      </c>
      <c r="G1669" s="81" t="str">
        <f aca="false">Data!G1669</f>
        <v>Can recognise what the signer says themselves and what they say from the perspective of another person.</v>
      </c>
      <c r="H1669" s="81"/>
      <c r="I1669" s="82" t="s">
        <v>3625</v>
      </c>
    </row>
    <row r="1670" customFormat="false" ht="21.75" hidden="false" customHeight="true" outlineLevel="0" collapsed="false">
      <c r="A1670" s="82" t="n">
        <f aca="false">Data!A1670</f>
        <v>1669</v>
      </c>
      <c r="B1670" s="82" t="str">
        <f aca="false">IFERROR(INDEX(対訳マスタ!$C$2:$C$136,MATCH(Data!B1670,対訳マスタ!$B$2:$B$136,0)),Data!B1670)</f>
        <v>手話能力</v>
      </c>
      <c r="C1670" s="82" t="str">
        <f aca="false">IF(Data!C1670="—","—",IFERROR(INDEX(対訳マスタ!$C$2:$C$136,MATCH(Data!C1670,対訳マスタ!$B$2:$B$136,0)),Data!C1670))</f>
        <v>受容</v>
      </c>
      <c r="D1670" s="82" t="str">
        <f aca="false">IF(Data!D1670="—","—",IFERROR(INDEX(対訳マスタ!$C$2:$C$136,MATCH(Data!D1670,対訳マスタ!$B$2:$B$136,0)),Data!D1670))</f>
        <v>語用能力</v>
      </c>
      <c r="E1670" s="82" t="str">
        <f aca="false">IFERROR(INDEX(対訳マスタ!$C$2:$C$136,MATCH(Data!E1670,対訳マスタ!$B$2:$B$136,0)),Data!E1670)</f>
        <v>場面設定と視点</v>
      </c>
      <c r="F1670" s="82" t="str">
        <f aca="false">Data!F1670</f>
        <v>B1+</v>
      </c>
      <c r="G1670" s="81" t="str">
        <f aca="false">Data!G1670</f>
        <v>Can correctly identify objects and persons that have already been introduced on the basis of the direction of the signer’s gaze.</v>
      </c>
      <c r="H1670" s="81"/>
      <c r="I1670" s="82" t="s">
        <v>3625</v>
      </c>
    </row>
    <row r="1671" customFormat="false" ht="21.75" hidden="false" customHeight="true" outlineLevel="0" collapsed="false">
      <c r="A1671" s="82" t="n">
        <f aca="false">Data!A1671</f>
        <v>1670</v>
      </c>
      <c r="B1671" s="82" t="str">
        <f aca="false">IFERROR(INDEX(対訳マスタ!$C$2:$C$136,MATCH(Data!B1671,対訳マスタ!$B$2:$B$136,0)),Data!B1671)</f>
        <v>手話能力</v>
      </c>
      <c r="C1671" s="82" t="str">
        <f aca="false">IF(Data!C1671="—","—",IFERROR(INDEX(対訳マスタ!$C$2:$C$136,MATCH(Data!C1671,対訳マスタ!$B$2:$B$136,0)),Data!C1671))</f>
        <v>受容</v>
      </c>
      <c r="D1671" s="82" t="str">
        <f aca="false">IF(Data!D1671="—","—",IFERROR(INDEX(対訳マスタ!$C$2:$C$136,MATCH(Data!D1671,対訳マスタ!$B$2:$B$136,0)),Data!D1671))</f>
        <v>語用能力</v>
      </c>
      <c r="E1671" s="82" t="str">
        <f aca="false">IFERROR(INDEX(対訳マスタ!$C$2:$C$136,MATCH(Data!E1671,対訳マスタ!$B$2:$B$136,0)),Data!E1671)</f>
        <v>場面設定と視点</v>
      </c>
      <c r="F1671" s="82" t="str">
        <f aca="false">Data!F1671</f>
        <v>B1+</v>
      </c>
      <c r="G1671" s="81" t="str">
        <f aca="false">Data!G1671</f>
        <v>Can use location markings established at the beginning of the text and understand subsequent references to it, provided these are clearly indicated.</v>
      </c>
      <c r="H1671" s="81"/>
      <c r="I1671" s="82" t="s">
        <v>3625</v>
      </c>
    </row>
    <row r="1672" customFormat="false" ht="21.75" hidden="false" customHeight="true" outlineLevel="0" collapsed="false">
      <c r="A1672" s="82" t="n">
        <f aca="false">Data!A1672</f>
        <v>1671</v>
      </c>
      <c r="B1672" s="82" t="str">
        <f aca="false">IFERROR(INDEX(対訳マスタ!$C$2:$C$136,MATCH(Data!B1672,対訳マスタ!$B$2:$B$136,0)),Data!B1672)</f>
        <v>手話能力</v>
      </c>
      <c r="C1672" s="82" t="str">
        <f aca="false">IF(Data!C1672="—","—",IFERROR(INDEX(対訳マスタ!$C$2:$C$136,MATCH(Data!C1672,対訳マスタ!$B$2:$B$136,0)),Data!C1672))</f>
        <v>受容</v>
      </c>
      <c r="D1672" s="82" t="str">
        <f aca="false">IF(Data!D1672="—","—",IFERROR(INDEX(対訳マスタ!$C$2:$C$136,MATCH(Data!D1672,対訳マスタ!$B$2:$B$136,0)),Data!D1672))</f>
        <v>語用能力</v>
      </c>
      <c r="E1672" s="82" t="str">
        <f aca="false">IFERROR(INDEX(対訳マスタ!$C$2:$C$136,MATCH(Data!E1672,対訳マスタ!$B$2:$B$136,0)),Data!E1672)</f>
        <v>場面設定と視点</v>
      </c>
      <c r="F1672" s="82" t="str">
        <f aca="false">Data!F1672</f>
        <v>B1+</v>
      </c>
      <c r="G1672" s="81" t="str">
        <f aca="false">Data!G1672</f>
        <v>Can identify and remember relative positions of persons/objects and their spatial relationships with one another.</v>
      </c>
      <c r="H1672" s="81"/>
      <c r="I1672" s="82" t="s">
        <v>3625</v>
      </c>
    </row>
    <row r="1673" customFormat="false" ht="15" hidden="false" customHeight="true" outlineLevel="0" collapsed="false">
      <c r="A1673" s="82" t="n">
        <f aca="false">Data!A1673</f>
        <v>1672</v>
      </c>
      <c r="B1673" s="82" t="str">
        <f aca="false">IFERROR(INDEX(対訳マスタ!$C$2:$C$136,MATCH(Data!B1673,対訳マスタ!$B$2:$B$136,0)),Data!B1673)</f>
        <v>手話能力</v>
      </c>
      <c r="C1673" s="82" t="str">
        <f aca="false">IF(Data!C1673="—","—",IFERROR(INDEX(対訳マスタ!$C$2:$C$136,MATCH(Data!C1673,対訳マスタ!$B$2:$B$136,0)),Data!C1673))</f>
        <v>受容</v>
      </c>
      <c r="D1673" s="82" t="str">
        <f aca="false">IF(Data!D1673="—","—",IFERROR(INDEX(対訳マスタ!$C$2:$C$136,MATCH(Data!D1673,対訳マスタ!$B$2:$B$136,0)),Data!D1673))</f>
        <v>語用能力</v>
      </c>
      <c r="E1673" s="82" t="str">
        <f aca="false">IFERROR(INDEX(対訳マスタ!$C$2:$C$136,MATCH(Data!E1673,対訳マスタ!$B$2:$B$136,0)),Data!E1673)</f>
        <v>場面設定と視点</v>
      </c>
      <c r="F1673" s="82" t="str">
        <f aca="false">Data!F1673</f>
        <v>B1+</v>
      </c>
      <c r="G1673" s="81" t="str">
        <f aca="false">Data!G1673</f>
        <v>Can, in spatial descriptions, understand where and how objects are located.</v>
      </c>
      <c r="H1673" s="81"/>
      <c r="I1673" s="82" t="s">
        <v>3625</v>
      </c>
    </row>
    <row r="1674" customFormat="false" ht="21.75" hidden="false" customHeight="true" outlineLevel="0" collapsed="false">
      <c r="A1674" s="82" t="n">
        <f aca="false">Data!A1674</f>
        <v>1673</v>
      </c>
      <c r="B1674" s="82" t="str">
        <f aca="false">IFERROR(INDEX(対訳マスタ!$C$2:$C$136,MATCH(Data!B1674,対訳マスタ!$B$2:$B$136,0)),Data!B1674)</f>
        <v>手話能力</v>
      </c>
      <c r="C1674" s="82" t="str">
        <f aca="false">IF(Data!C1674="—","—",IFERROR(INDEX(対訳マスタ!$C$2:$C$136,MATCH(Data!C1674,対訳マスタ!$B$2:$B$136,0)),Data!C1674))</f>
        <v>受容</v>
      </c>
      <c r="D1674" s="82" t="str">
        <f aca="false">IF(Data!D1674="—","—",IFERROR(INDEX(対訳マスタ!$C$2:$C$136,MATCH(Data!D1674,対訳マスタ!$B$2:$B$136,0)),Data!D1674))</f>
        <v>語用能力</v>
      </c>
      <c r="E1674" s="82" t="str">
        <f aca="false">IFERROR(INDEX(対訳マスタ!$C$2:$C$136,MATCH(Data!E1674,対訳マスタ!$B$2:$B$136,0)),Data!E1674)</f>
        <v>場面設定と視点</v>
      </c>
      <c r="F1674" s="82" t="str">
        <f aca="false">Data!F1674</f>
        <v>B1</v>
      </c>
      <c r="G1674" s="81" t="str">
        <f aca="false">Data!G1674</f>
        <v>Can imagine the surroundings, such as the landscape or room furnishings, from descriptions of shapes.</v>
      </c>
      <c r="H1674" s="81"/>
      <c r="I1674" s="82" t="s">
        <v>3625</v>
      </c>
    </row>
    <row r="1675" customFormat="false" ht="21.75" hidden="false" customHeight="true" outlineLevel="0" collapsed="false">
      <c r="A1675" s="82" t="n">
        <f aca="false">Data!A1675</f>
        <v>1674</v>
      </c>
      <c r="B1675" s="82" t="str">
        <f aca="false">IFERROR(INDEX(対訳マスタ!$C$2:$C$136,MATCH(Data!B1675,対訳マスタ!$B$2:$B$136,0)),Data!B1675)</f>
        <v>手話能力</v>
      </c>
      <c r="C1675" s="82" t="str">
        <f aca="false">IF(Data!C1675="—","—",IFERROR(INDEX(対訳マスタ!$C$2:$C$136,MATCH(Data!C1675,対訳マスタ!$B$2:$B$136,0)),Data!C1675))</f>
        <v>受容</v>
      </c>
      <c r="D1675" s="82" t="str">
        <f aca="false">IF(Data!D1675="—","—",IFERROR(INDEX(対訳マスタ!$C$2:$C$136,MATCH(Data!D1675,対訳マスタ!$B$2:$B$136,0)),Data!D1675))</f>
        <v>語用能力</v>
      </c>
      <c r="E1675" s="82" t="str">
        <f aca="false">IFERROR(INDEX(対訳マスタ!$C$2:$C$136,MATCH(Data!E1675,対訳マスタ!$B$2:$B$136,0)),Data!E1675)</f>
        <v>場面設定と視点</v>
      </c>
      <c r="F1675" s="82" t="str">
        <f aca="false">Data!F1675</f>
        <v>B1</v>
      </c>
      <c r="G1675" s="81" t="str">
        <f aca="false">Data!G1675</f>
        <v>Can, by means of subsequent indexical references, once again identify objects and persons previously situated in the signing space.</v>
      </c>
      <c r="H1675" s="81"/>
      <c r="I1675" s="82" t="s">
        <v>3625</v>
      </c>
    </row>
    <row r="1676" customFormat="false" ht="15" hidden="false" customHeight="true" outlineLevel="0" collapsed="false">
      <c r="A1676" s="82" t="n">
        <f aca="false">Data!A1676</f>
        <v>1675</v>
      </c>
      <c r="B1676" s="82" t="str">
        <f aca="false">IFERROR(INDEX(対訳マスタ!$C$2:$C$136,MATCH(Data!B1676,対訳マスタ!$B$2:$B$136,0)),Data!B1676)</f>
        <v>手話能力</v>
      </c>
      <c r="C1676" s="82" t="str">
        <f aca="false">IF(Data!C1676="—","—",IFERROR(INDEX(対訳マスタ!$C$2:$C$136,MATCH(Data!C1676,対訳マスタ!$B$2:$B$136,0)),Data!C1676))</f>
        <v>受容</v>
      </c>
      <c r="D1676" s="82" t="str">
        <f aca="false">IF(Data!D1676="—","—",IFERROR(INDEX(対訳マスタ!$C$2:$C$136,MATCH(Data!D1676,対訳マスタ!$B$2:$B$136,0)),Data!D1676))</f>
        <v>語用能力</v>
      </c>
      <c r="E1676" s="82" t="str">
        <f aca="false">IFERROR(INDEX(対訳マスタ!$C$2:$C$136,MATCH(Data!E1676,対訳マスタ!$B$2:$B$136,0)),Data!E1676)</f>
        <v>場面設定と視点</v>
      </c>
      <c r="F1676" s="82" t="str">
        <f aca="false">Data!F1676</f>
        <v>A2+</v>
      </c>
      <c r="G1676" s="81" t="str">
        <f aca="false">Data!G1676</f>
        <v>No descriptors available</v>
      </c>
      <c r="H1676" s="81" t="s">
        <v>624</v>
      </c>
      <c r="I1676" s="80" t="s">
        <v>624</v>
      </c>
    </row>
    <row r="1677" customFormat="false" ht="15" hidden="false" customHeight="true" outlineLevel="0" collapsed="false">
      <c r="A1677" s="82" t="n">
        <f aca="false">Data!A1677</f>
        <v>1676</v>
      </c>
      <c r="B1677" s="82" t="str">
        <f aca="false">IFERROR(INDEX(対訳マスタ!$C$2:$C$136,MATCH(Data!B1677,対訳マスタ!$B$2:$B$136,0)),Data!B1677)</f>
        <v>手話能力</v>
      </c>
      <c r="C1677" s="82" t="str">
        <f aca="false">IF(Data!C1677="—","—",IFERROR(INDEX(対訳マスタ!$C$2:$C$136,MATCH(Data!C1677,対訳マスタ!$B$2:$B$136,0)),Data!C1677))</f>
        <v>受容</v>
      </c>
      <c r="D1677" s="82" t="str">
        <f aca="false">IF(Data!D1677="—","—",IFERROR(INDEX(対訳マスタ!$C$2:$C$136,MATCH(Data!D1677,対訳マスタ!$B$2:$B$136,0)),Data!D1677))</f>
        <v>語用能力</v>
      </c>
      <c r="E1677" s="82" t="str">
        <f aca="false">IFERROR(INDEX(対訳マスタ!$C$2:$C$136,MATCH(Data!E1677,対訳マスタ!$B$2:$B$136,0)),Data!E1677)</f>
        <v>場面設定と視点</v>
      </c>
      <c r="F1677" s="82" t="str">
        <f aca="false">Data!F1677</f>
        <v>A2</v>
      </c>
      <c r="G1677" s="81" t="str">
        <f aca="false">Data!G1677</f>
        <v>Can understand simple constructed action where the signer takes another person’s role.</v>
      </c>
      <c r="H1677" s="81"/>
      <c r="I1677" s="82" t="s">
        <v>3625</v>
      </c>
    </row>
    <row r="1678" customFormat="false" ht="15" hidden="false" customHeight="true" outlineLevel="0" collapsed="false">
      <c r="A1678" s="82" t="n">
        <f aca="false">Data!A1678</f>
        <v>1677</v>
      </c>
      <c r="B1678" s="82" t="str">
        <f aca="false">IFERROR(INDEX(対訳マスタ!$C$2:$C$136,MATCH(Data!B1678,対訳マスタ!$B$2:$B$136,0)),Data!B1678)</f>
        <v>手話能力</v>
      </c>
      <c r="C1678" s="82" t="str">
        <f aca="false">IF(Data!C1678="—","—",IFERROR(INDEX(対訳マスタ!$C$2:$C$136,MATCH(Data!C1678,対訳マスタ!$B$2:$B$136,0)),Data!C1678))</f>
        <v>受容</v>
      </c>
      <c r="D1678" s="82" t="str">
        <f aca="false">IF(Data!D1678="—","—",IFERROR(INDEX(対訳マスタ!$C$2:$C$136,MATCH(Data!D1678,対訳マスタ!$B$2:$B$136,0)),Data!D1678))</f>
        <v>語用能力</v>
      </c>
      <c r="E1678" s="82" t="str">
        <f aca="false">IFERROR(INDEX(対訳マスタ!$C$2:$C$136,MATCH(Data!E1678,対訳マスタ!$B$2:$B$136,0)),Data!E1678)</f>
        <v>場面設定と視点</v>
      </c>
      <c r="F1678" s="82" t="str">
        <f aca="false">Data!F1678</f>
        <v>A1</v>
      </c>
      <c r="G1678" s="81" t="str">
        <f aca="false">Data!G1678</f>
        <v>No descriptors available </v>
      </c>
      <c r="H1678" s="81" t="s">
        <v>624</v>
      </c>
      <c r="I1678" s="80" t="s">
        <v>624</v>
      </c>
    </row>
    <row r="1679" customFormat="false" ht="21.75" hidden="false" customHeight="true" outlineLevel="0" collapsed="false">
      <c r="A1679" s="82" t="n">
        <f aca="false">Data!A1679</f>
        <v>1678</v>
      </c>
      <c r="B1679" s="82" t="str">
        <f aca="false">IFERROR(INDEX(対訳マスタ!$C$2:$C$136,MATCH(Data!B1679,対訳マスタ!$B$2:$B$136,0)),Data!B1679)</f>
        <v>手話能力</v>
      </c>
      <c r="C1679" s="82" t="str">
        <f aca="false">IF(Data!C1679="—","—",IFERROR(INDEX(対訳マスタ!$C$2:$C$136,MATCH(Data!C1679,対訳マスタ!$B$2:$B$136,0)),Data!C1679))</f>
        <v>産出</v>
      </c>
      <c r="D1679" s="82" t="str">
        <f aca="false">IF(Data!D1679="—","—",IFERROR(INDEX(対訳マスタ!$C$2:$C$136,MATCH(Data!D1679,対訳マスタ!$B$2:$B$136,0)),Data!D1679))</f>
        <v>語用能力</v>
      </c>
      <c r="E1679" s="82" t="str">
        <f aca="false">IFERROR(INDEX(対訳マスタ!$C$2:$C$136,MATCH(Data!E1679,対訳マスタ!$B$2:$B$136,0)),Data!E1679)</f>
        <v>場面設定と視点</v>
      </c>
      <c r="F1679" s="82" t="str">
        <f aca="false">Data!F1679</f>
        <v>C2</v>
      </c>
      <c r="G1679" s="81" t="str">
        <f aca="false">Data!G1679</f>
        <v>Can present a complex action or event by playing different roles and adopting different perspectives.</v>
      </c>
      <c r="H1679" s="81"/>
      <c r="I1679" s="82" t="s">
        <v>3625</v>
      </c>
    </row>
    <row r="1680" customFormat="false" ht="15" hidden="false" customHeight="true" outlineLevel="0" collapsed="false">
      <c r="A1680" s="82" t="n">
        <f aca="false">Data!A1680</f>
        <v>1679</v>
      </c>
      <c r="B1680" s="82" t="str">
        <f aca="false">IFERROR(INDEX(対訳マスタ!$C$2:$C$136,MATCH(Data!B1680,対訳マスタ!$B$2:$B$136,0)),Data!B1680)</f>
        <v>手話能力</v>
      </c>
      <c r="C1680" s="82" t="str">
        <f aca="false">IF(Data!C1680="—","—",IFERROR(INDEX(対訳マスタ!$C$2:$C$136,MATCH(Data!C1680,対訳マスタ!$B$2:$B$136,0)),Data!C1680))</f>
        <v>産出</v>
      </c>
      <c r="D1680" s="82" t="str">
        <f aca="false">IF(Data!D1680="—","—",IFERROR(INDEX(対訳マスタ!$C$2:$C$136,MATCH(Data!D1680,対訳マスタ!$B$2:$B$136,0)),Data!D1680))</f>
        <v>語用能力</v>
      </c>
      <c r="E1680" s="82" t="str">
        <f aca="false">IFERROR(INDEX(対訳マスタ!$C$2:$C$136,MATCH(Data!E1680,対訳マスタ!$B$2:$B$136,0)),Data!E1680)</f>
        <v>場面設定と視点</v>
      </c>
      <c r="F1680" s="82" t="str">
        <f aca="false">Data!F1680</f>
        <v>C1</v>
      </c>
      <c r="G1680" s="81" t="str">
        <f aca="false">Data!G1680</f>
        <v>Can switch between different perspectives.</v>
      </c>
      <c r="H1680" s="81"/>
      <c r="I1680" s="82" t="s">
        <v>3625</v>
      </c>
    </row>
    <row r="1681" customFormat="false" ht="15" hidden="false" customHeight="true" outlineLevel="0" collapsed="false">
      <c r="A1681" s="82" t="n">
        <f aca="false">Data!A1681</f>
        <v>1680</v>
      </c>
      <c r="B1681" s="82" t="str">
        <f aca="false">IFERROR(INDEX(対訳マスタ!$C$2:$C$136,MATCH(Data!B1681,対訳マスタ!$B$2:$B$136,0)),Data!B1681)</f>
        <v>手話能力</v>
      </c>
      <c r="C1681" s="82" t="str">
        <f aca="false">IF(Data!C1681="—","—",IFERROR(INDEX(対訳マスタ!$C$2:$C$136,MATCH(Data!C1681,対訳マスタ!$B$2:$B$136,0)),Data!C1681))</f>
        <v>産出</v>
      </c>
      <c r="D1681" s="82" t="str">
        <f aca="false">IF(Data!D1681="—","—",IFERROR(INDEX(対訳マスタ!$C$2:$C$136,MATCH(Data!D1681,対訳マスタ!$B$2:$B$136,0)),Data!D1681))</f>
        <v>語用能力</v>
      </c>
      <c r="E1681" s="82" t="str">
        <f aca="false">IFERROR(INDEX(対訳マスタ!$C$2:$C$136,MATCH(Data!E1681,対訳マスタ!$B$2:$B$136,0)),Data!E1681)</f>
        <v>場面設定と視点</v>
      </c>
      <c r="F1681" s="82" t="str">
        <f aca="false">Data!F1681</f>
        <v>C1</v>
      </c>
      <c r="G1681" s="81" t="str">
        <f aca="false">Data!G1681</f>
        <v>Can create a complex 3-D image including objects in motion.</v>
      </c>
      <c r="H1681" s="81"/>
      <c r="I1681" s="82" t="s">
        <v>3625</v>
      </c>
    </row>
    <row r="1682" customFormat="false" ht="21.75" hidden="false" customHeight="true" outlineLevel="0" collapsed="false">
      <c r="A1682" s="82" t="n">
        <f aca="false">Data!A1682</f>
        <v>1681</v>
      </c>
      <c r="B1682" s="82" t="str">
        <f aca="false">IFERROR(INDEX(対訳マスタ!$C$2:$C$136,MATCH(Data!B1682,対訳マスタ!$B$2:$B$136,0)),Data!B1682)</f>
        <v>手話能力</v>
      </c>
      <c r="C1682" s="82" t="str">
        <f aca="false">IF(Data!C1682="—","—",IFERROR(INDEX(対訳マスタ!$C$2:$C$136,MATCH(Data!C1682,対訳マスタ!$B$2:$B$136,0)),Data!C1682))</f>
        <v>産出</v>
      </c>
      <c r="D1682" s="82" t="str">
        <f aca="false">IF(Data!D1682="—","—",IFERROR(INDEX(対訳マスタ!$C$2:$C$136,MATCH(Data!D1682,対訳マスタ!$B$2:$B$136,0)),Data!D1682))</f>
        <v>語用能力</v>
      </c>
      <c r="E1682" s="82" t="str">
        <f aca="false">IFERROR(INDEX(対訳マスタ!$C$2:$C$136,MATCH(Data!E1682,対訳マスタ!$B$2:$B$136,0)),Data!E1682)</f>
        <v>場面設定と視点</v>
      </c>
      <c r="F1682" s="82" t="str">
        <f aca="false">Data!F1682</f>
        <v>B2+</v>
      </c>
      <c r="G1682" s="81" t="str">
        <f aca="false">Data!G1682</f>
        <v>Can use the signing space correctly while presenting an interaction between more than two people (e.g. family dinner).</v>
      </c>
      <c r="H1682" s="81"/>
      <c r="I1682" s="82" t="s">
        <v>3625</v>
      </c>
    </row>
    <row r="1683" customFormat="false" ht="15" hidden="false" customHeight="true" outlineLevel="0" collapsed="false">
      <c r="A1683" s="82" t="n">
        <f aca="false">Data!A1683</f>
        <v>1682</v>
      </c>
      <c r="B1683" s="82" t="str">
        <f aca="false">IFERROR(INDEX(対訳マスタ!$C$2:$C$136,MATCH(Data!B1683,対訳マスタ!$B$2:$B$136,0)),Data!B1683)</f>
        <v>手話能力</v>
      </c>
      <c r="C1683" s="82" t="str">
        <f aca="false">IF(Data!C1683="—","—",IFERROR(INDEX(対訳マスタ!$C$2:$C$136,MATCH(Data!C1683,対訳マスタ!$B$2:$B$136,0)),Data!C1683))</f>
        <v>産出</v>
      </c>
      <c r="D1683" s="82" t="str">
        <f aca="false">IF(Data!D1683="—","—",IFERROR(INDEX(対訳マスタ!$C$2:$C$136,MATCH(Data!D1683,対訳マスタ!$B$2:$B$136,0)),Data!D1683))</f>
        <v>語用能力</v>
      </c>
      <c r="E1683" s="82" t="str">
        <f aca="false">IFERROR(INDEX(対訳マスタ!$C$2:$C$136,MATCH(Data!E1683,対訳マスタ!$B$2:$B$136,0)),Data!E1683)</f>
        <v>場面設定と視点</v>
      </c>
      <c r="F1683" s="82" t="str">
        <f aca="false">Data!F1683</f>
        <v>B2+</v>
      </c>
      <c r="G1683" s="81" t="str">
        <f aca="false">Data!G1683</f>
        <v>Can correctly introduce and effect a role shift.</v>
      </c>
      <c r="H1683" s="81"/>
      <c r="I1683" s="82" t="s">
        <v>3625</v>
      </c>
    </row>
    <row r="1684" customFormat="false" ht="15" hidden="false" customHeight="true" outlineLevel="0" collapsed="false">
      <c r="A1684" s="82" t="n">
        <f aca="false">Data!A1684</f>
        <v>1683</v>
      </c>
      <c r="B1684" s="82" t="str">
        <f aca="false">IFERROR(INDEX(対訳マスタ!$C$2:$C$136,MATCH(Data!B1684,対訳マスタ!$B$2:$B$136,0)),Data!B1684)</f>
        <v>手話能力</v>
      </c>
      <c r="C1684" s="82" t="str">
        <f aca="false">IF(Data!C1684="—","—",IFERROR(INDEX(対訳マスタ!$C$2:$C$136,MATCH(Data!C1684,対訳マスタ!$B$2:$B$136,0)),Data!C1684))</f>
        <v>産出</v>
      </c>
      <c r="D1684" s="82" t="str">
        <f aca="false">IF(Data!D1684="—","—",IFERROR(INDEX(対訳マスタ!$C$2:$C$136,MATCH(Data!D1684,対訳マスタ!$B$2:$B$136,0)),Data!D1684))</f>
        <v>語用能力</v>
      </c>
      <c r="E1684" s="82" t="str">
        <f aca="false">IFERROR(INDEX(対訳マスタ!$C$2:$C$136,MATCH(Data!E1684,対訳マスタ!$B$2:$B$136,0)),Data!E1684)</f>
        <v>場面設定と視点</v>
      </c>
      <c r="F1684" s="82" t="str">
        <f aca="false">Data!F1684</f>
        <v>B2+</v>
      </c>
      <c r="G1684" s="81" t="str">
        <f aca="false">Data!G1684</f>
        <v>Can present a simple action or event from the perspective of a participant.</v>
      </c>
      <c r="H1684" s="81"/>
      <c r="I1684" s="82" t="s">
        <v>3625</v>
      </c>
    </row>
    <row r="1685" customFormat="false" ht="15" hidden="false" customHeight="true" outlineLevel="0" collapsed="false">
      <c r="A1685" s="82" t="n">
        <f aca="false">Data!A1685</f>
        <v>1684</v>
      </c>
      <c r="B1685" s="82" t="str">
        <f aca="false">IFERROR(INDEX(対訳マスタ!$C$2:$C$136,MATCH(Data!B1685,対訳マスタ!$B$2:$B$136,0)),Data!B1685)</f>
        <v>手話能力</v>
      </c>
      <c r="C1685" s="82" t="str">
        <f aca="false">IF(Data!C1685="—","—",IFERROR(INDEX(対訳マスタ!$C$2:$C$136,MATCH(Data!C1685,対訳マスタ!$B$2:$B$136,0)),Data!C1685))</f>
        <v>産出</v>
      </c>
      <c r="D1685" s="82" t="str">
        <f aca="false">IF(Data!D1685="—","—",IFERROR(INDEX(対訳マスタ!$C$2:$C$136,MATCH(Data!D1685,対訳マスタ!$B$2:$B$136,0)),Data!D1685))</f>
        <v>語用能力</v>
      </c>
      <c r="E1685" s="82" t="str">
        <f aca="false">IFERROR(INDEX(対訳マスタ!$C$2:$C$136,MATCH(Data!E1685,対訳マスタ!$B$2:$B$136,0)),Data!E1685)</f>
        <v>場面設定と視点</v>
      </c>
      <c r="F1685" s="82" t="str">
        <f aca="false">Data!F1685</f>
        <v>B2+</v>
      </c>
      <c r="G1685" s="81" t="str">
        <f aca="false">Data!G1685</f>
        <v>Can present a simple action or event from the perspective of an observer/narrator.</v>
      </c>
      <c r="H1685" s="81"/>
      <c r="I1685" s="82" t="s">
        <v>3625</v>
      </c>
    </row>
    <row r="1686" customFormat="false" ht="21.75" hidden="false" customHeight="true" outlineLevel="0" collapsed="false">
      <c r="A1686" s="82" t="n">
        <f aca="false">Data!A1686</f>
        <v>1685</v>
      </c>
      <c r="B1686" s="82" t="str">
        <f aca="false">IFERROR(INDEX(対訳マスタ!$C$2:$C$136,MATCH(Data!B1686,対訳マスタ!$B$2:$B$136,0)),Data!B1686)</f>
        <v>手話能力</v>
      </c>
      <c r="C1686" s="82" t="str">
        <f aca="false">IF(Data!C1686="—","—",IFERROR(INDEX(対訳マスタ!$C$2:$C$136,MATCH(Data!C1686,対訳マスタ!$B$2:$B$136,0)),Data!C1686))</f>
        <v>産出</v>
      </c>
      <c r="D1686" s="82" t="str">
        <f aca="false">IF(Data!D1686="—","—",IFERROR(INDEX(対訳マスタ!$C$2:$C$136,MATCH(Data!D1686,対訳マスタ!$B$2:$B$136,0)),Data!D1686))</f>
        <v>語用能力</v>
      </c>
      <c r="E1686" s="82" t="str">
        <f aca="false">IFERROR(INDEX(対訳マスタ!$C$2:$C$136,MATCH(Data!E1686,対訳マスタ!$B$2:$B$136,0)),Data!E1686)</f>
        <v>場面設定と視点</v>
      </c>
      <c r="F1686" s="82" t="str">
        <f aca="false">Data!F1686</f>
        <v>B2</v>
      </c>
      <c r="G1686" s="81" t="str">
        <f aca="false">Data!G1686</f>
        <v>Can linguistically correctly construct a new setting when the text requires a new topic or situation to be addressed.</v>
      </c>
      <c r="H1686" s="81"/>
      <c r="I1686" s="82" t="s">
        <v>3625</v>
      </c>
    </row>
    <row r="1687" customFormat="false" ht="15" hidden="false" customHeight="true" outlineLevel="0" collapsed="false">
      <c r="A1687" s="82" t="n">
        <f aca="false">Data!A1687</f>
        <v>1686</v>
      </c>
      <c r="B1687" s="82" t="str">
        <f aca="false">IFERROR(INDEX(対訳マスタ!$C$2:$C$136,MATCH(Data!B1687,対訳マスタ!$B$2:$B$136,0)),Data!B1687)</f>
        <v>手話能力</v>
      </c>
      <c r="C1687" s="82" t="str">
        <f aca="false">IF(Data!C1687="—","—",IFERROR(INDEX(対訳マスタ!$C$2:$C$136,MATCH(Data!C1687,対訳マスタ!$B$2:$B$136,0)),Data!C1687))</f>
        <v>産出</v>
      </c>
      <c r="D1687" s="82" t="str">
        <f aca="false">IF(Data!D1687="—","—",IFERROR(INDEX(対訳マスタ!$C$2:$C$136,MATCH(Data!D1687,対訳マスタ!$B$2:$B$136,0)),Data!D1687))</f>
        <v>語用能力</v>
      </c>
      <c r="E1687" s="82" t="str">
        <f aca="false">IFERROR(INDEX(対訳マスタ!$C$2:$C$136,MATCH(Data!E1687,対訳マスタ!$B$2:$B$136,0)),Data!E1687)</f>
        <v>場面設定と視点</v>
      </c>
      <c r="F1687" s="82" t="str">
        <f aca="false">Data!F1687</f>
        <v>B2</v>
      </c>
      <c r="G1687" s="81" t="str">
        <f aca="false">Data!G1687</f>
        <v>Can introduce a setting using just constructed action and depiction.</v>
      </c>
      <c r="H1687" s="81"/>
      <c r="I1687" s="82" t="s">
        <v>3625</v>
      </c>
    </row>
    <row r="1688" customFormat="false" ht="15" hidden="false" customHeight="true" outlineLevel="0" collapsed="false">
      <c r="A1688" s="82" t="n">
        <f aca="false">Data!A1688</f>
        <v>1687</v>
      </c>
      <c r="B1688" s="82" t="str">
        <f aca="false">IFERROR(INDEX(対訳マスタ!$C$2:$C$136,MATCH(Data!B1688,対訳マスタ!$B$2:$B$136,0)),Data!B1688)</f>
        <v>手話能力</v>
      </c>
      <c r="C1688" s="82" t="str">
        <f aca="false">IF(Data!C1688="—","—",IFERROR(INDEX(対訳マスタ!$C$2:$C$136,MATCH(Data!C1688,対訳マスタ!$B$2:$B$136,0)),Data!C1688))</f>
        <v>産出</v>
      </c>
      <c r="D1688" s="82" t="str">
        <f aca="false">IF(Data!D1688="—","—",IFERROR(INDEX(対訳マスタ!$C$2:$C$136,MATCH(Data!D1688,対訳マスタ!$B$2:$B$136,0)),Data!D1688))</f>
        <v>語用能力</v>
      </c>
      <c r="E1688" s="82" t="str">
        <f aca="false">IFERROR(INDEX(対訳マスタ!$C$2:$C$136,MATCH(Data!E1688,対訳マスタ!$B$2:$B$136,0)),Data!E1688)</f>
        <v>場面設定と視点</v>
      </c>
      <c r="F1688" s="82" t="str">
        <f aca="false">Data!F1688</f>
        <v>B2</v>
      </c>
      <c r="G1688" s="81" t="str">
        <f aca="false">Data!G1688</f>
        <v>Can present a change of scene, place or person comprehensibly.</v>
      </c>
      <c r="H1688" s="81"/>
      <c r="I1688" s="82" t="s">
        <v>3625</v>
      </c>
    </row>
    <row r="1689" customFormat="false" ht="15" hidden="false" customHeight="true" outlineLevel="0" collapsed="false">
      <c r="A1689" s="82" t="n">
        <f aca="false">Data!A1689</f>
        <v>1688</v>
      </c>
      <c r="B1689" s="82" t="str">
        <f aca="false">IFERROR(INDEX(対訳マスタ!$C$2:$C$136,MATCH(Data!B1689,対訳マスタ!$B$2:$B$136,0)),Data!B1689)</f>
        <v>手話能力</v>
      </c>
      <c r="C1689" s="82" t="str">
        <f aca="false">IF(Data!C1689="—","—",IFERROR(INDEX(対訳マスタ!$C$2:$C$136,MATCH(Data!C1689,対訳マスタ!$B$2:$B$136,0)),Data!C1689))</f>
        <v>産出</v>
      </c>
      <c r="D1689" s="82" t="str">
        <f aca="false">IF(Data!D1689="—","—",IFERROR(INDEX(対訳マスタ!$C$2:$C$136,MATCH(Data!D1689,対訳マスタ!$B$2:$B$136,0)),Data!D1689))</f>
        <v>語用能力</v>
      </c>
      <c r="E1689" s="82" t="str">
        <f aca="false">IFERROR(INDEX(対訳マスタ!$C$2:$C$136,MATCH(Data!E1689,対訳マスタ!$B$2:$B$136,0)),Data!E1689)</f>
        <v>場面設定と視点</v>
      </c>
      <c r="F1689" s="82" t="str">
        <f aca="false">Data!F1689</f>
        <v>B2</v>
      </c>
      <c r="G1689" s="81" t="str">
        <f aca="false">Data!G1689</f>
        <v>Can depict the role of a character, e.g. to demonstrate feelings.</v>
      </c>
      <c r="H1689" s="81"/>
      <c r="I1689" s="82" t="s">
        <v>3625</v>
      </c>
    </row>
    <row r="1690" customFormat="false" ht="21.75" hidden="false" customHeight="true" outlineLevel="0" collapsed="false">
      <c r="A1690" s="82" t="n">
        <f aca="false">Data!A1690</f>
        <v>1689</v>
      </c>
      <c r="B1690" s="82" t="str">
        <f aca="false">IFERROR(INDEX(対訳マスタ!$C$2:$C$136,MATCH(Data!B1690,対訳マスタ!$B$2:$B$136,0)),Data!B1690)</f>
        <v>手話能力</v>
      </c>
      <c r="C1690" s="82" t="str">
        <f aca="false">IF(Data!C1690="—","—",IFERROR(INDEX(対訳マスタ!$C$2:$C$136,MATCH(Data!C1690,対訳マスタ!$B$2:$B$136,0)),Data!C1690))</f>
        <v>産出</v>
      </c>
      <c r="D1690" s="82" t="str">
        <f aca="false">IF(Data!D1690="—","—",IFERROR(INDEX(対訳マスタ!$C$2:$C$136,MATCH(Data!D1690,対訳マスタ!$B$2:$B$136,0)),Data!D1690))</f>
        <v>語用能力</v>
      </c>
      <c r="E1690" s="82" t="str">
        <f aca="false">IFERROR(INDEX(対訳マスタ!$C$2:$C$136,MATCH(Data!E1690,対訳マスタ!$B$2:$B$136,0)),Data!E1690)</f>
        <v>場面設定と視点</v>
      </c>
      <c r="F1690" s="82" t="str">
        <f aca="false">Data!F1690</f>
        <v>B2</v>
      </c>
      <c r="G1690" s="81" t="str">
        <f aca="false">Data!G1690</f>
        <v>Can depict a change of character perspective with body posture and/or the direction of vision.</v>
      </c>
      <c r="H1690" s="81"/>
      <c r="I1690" s="82" t="s">
        <v>3625</v>
      </c>
    </row>
    <row r="1691" customFormat="false" ht="21.75" hidden="false" customHeight="true" outlineLevel="0" collapsed="false">
      <c r="A1691" s="82" t="n">
        <f aca="false">Data!A1691</f>
        <v>1690</v>
      </c>
      <c r="B1691" s="82" t="str">
        <f aca="false">IFERROR(INDEX(対訳マスタ!$C$2:$C$136,MATCH(Data!B1691,対訳マスタ!$B$2:$B$136,0)),Data!B1691)</f>
        <v>手話能力</v>
      </c>
      <c r="C1691" s="82" t="str">
        <f aca="false">IF(Data!C1691="—","—",IFERROR(INDEX(対訳マスタ!$C$2:$C$136,MATCH(Data!C1691,対訳マスタ!$B$2:$B$136,0)),Data!C1691))</f>
        <v>産出</v>
      </c>
      <c r="D1691" s="82" t="str">
        <f aca="false">IF(Data!D1691="—","—",IFERROR(INDEX(対訳マスタ!$C$2:$C$136,MATCH(Data!D1691,対訳マスタ!$B$2:$B$136,0)),Data!D1691))</f>
        <v>語用能力</v>
      </c>
      <c r="E1691" s="82" t="str">
        <f aca="false">IFERROR(INDEX(対訳マスタ!$C$2:$C$136,MATCH(Data!E1691,対訳マスタ!$B$2:$B$136,0)),Data!E1691)</f>
        <v>場面設定と視点</v>
      </c>
      <c r="F1691" s="82" t="str">
        <f aca="false">Data!F1691</f>
        <v>B1+</v>
      </c>
      <c r="G1691" s="81" t="str">
        <f aca="false">Data!G1691</f>
        <v>Can construct a setting in the signing space for a text (e.g. landscape, family, situation) in a linguistically correct manner.</v>
      </c>
      <c r="H1691" s="81"/>
      <c r="I1691" s="82" t="s">
        <v>3625</v>
      </c>
    </row>
    <row r="1692" customFormat="false" ht="15" hidden="false" customHeight="true" outlineLevel="0" collapsed="false">
      <c r="A1692" s="82" t="n">
        <f aca="false">Data!A1692</f>
        <v>1691</v>
      </c>
      <c r="B1692" s="82" t="str">
        <f aca="false">IFERROR(INDEX(対訳マスタ!$C$2:$C$136,MATCH(Data!B1692,対訳マスタ!$B$2:$B$136,0)),Data!B1692)</f>
        <v>手話能力</v>
      </c>
      <c r="C1692" s="82" t="str">
        <f aca="false">IF(Data!C1692="—","—",IFERROR(INDEX(対訳マスタ!$C$2:$C$136,MATCH(Data!C1692,対訳マスタ!$B$2:$B$136,0)),Data!C1692))</f>
        <v>産出</v>
      </c>
      <c r="D1692" s="82" t="str">
        <f aca="false">IF(Data!D1692="—","—",IFERROR(INDEX(対訳マスタ!$C$2:$C$136,MATCH(Data!D1692,対訳マスタ!$B$2:$B$136,0)),Data!D1692))</f>
        <v>語用能力</v>
      </c>
      <c r="E1692" s="82" t="str">
        <f aca="false">IFERROR(INDEX(対訳マスタ!$C$2:$C$136,MATCH(Data!E1692,対訳マスタ!$B$2:$B$136,0)),Data!E1692)</f>
        <v>場面設定と視点</v>
      </c>
      <c r="F1692" s="82" t="str">
        <f aca="false">Data!F1692</f>
        <v>B1+</v>
      </c>
      <c r="G1692" s="81" t="str">
        <f aca="false">Data!G1692</f>
        <v>Can describe correctly the relative positions of entities with respect to each other.</v>
      </c>
      <c r="H1692" s="81"/>
      <c r="I1692" s="82" t="s">
        <v>3625</v>
      </c>
    </row>
    <row r="1693" customFormat="false" ht="21.75" hidden="false" customHeight="true" outlineLevel="0" collapsed="false">
      <c r="A1693" s="82" t="n">
        <f aca="false">Data!A1693</f>
        <v>1692</v>
      </c>
      <c r="B1693" s="82" t="str">
        <f aca="false">IFERROR(INDEX(対訳マスタ!$C$2:$C$136,MATCH(Data!B1693,対訳マスタ!$B$2:$B$136,0)),Data!B1693)</f>
        <v>手話能力</v>
      </c>
      <c r="C1693" s="82" t="str">
        <f aca="false">IF(Data!C1693="—","—",IFERROR(INDEX(対訳マスタ!$C$2:$C$136,MATCH(Data!C1693,対訳マスタ!$B$2:$B$136,0)),Data!C1693))</f>
        <v>産出</v>
      </c>
      <c r="D1693" s="82" t="str">
        <f aca="false">IF(Data!D1693="—","—",IFERROR(INDEX(対訳マスタ!$C$2:$C$136,MATCH(Data!D1693,対訳マスタ!$B$2:$B$136,0)),Data!D1693))</f>
        <v>語用能力</v>
      </c>
      <c r="E1693" s="82" t="str">
        <f aca="false">IFERROR(INDEX(対訳マスタ!$C$2:$C$136,MATCH(Data!E1693,対訳マスタ!$B$2:$B$136,0)),Data!E1693)</f>
        <v>場面設定と視点</v>
      </c>
      <c r="F1693" s="82" t="str">
        <f aca="false">Data!F1693</f>
        <v>B1+</v>
      </c>
      <c r="G1693" s="81" t="str">
        <f aca="false">Data!G1693</f>
        <v>Can demonstrate a change of character perspective through an alteration in upper body posture.</v>
      </c>
      <c r="H1693" s="81"/>
      <c r="I1693" s="82" t="s">
        <v>3625</v>
      </c>
    </row>
    <row r="1694" customFormat="false" ht="21.75" hidden="false" customHeight="true" outlineLevel="0" collapsed="false">
      <c r="A1694" s="82" t="n">
        <f aca="false">Data!A1694</f>
        <v>1693</v>
      </c>
      <c r="B1694" s="82" t="str">
        <f aca="false">IFERROR(INDEX(対訳マスタ!$C$2:$C$136,MATCH(Data!B1694,対訳マスタ!$B$2:$B$136,0)),Data!B1694)</f>
        <v>手話能力</v>
      </c>
      <c r="C1694" s="82" t="str">
        <f aca="false">IF(Data!C1694="—","—",IFERROR(INDEX(対訳マスタ!$C$2:$C$136,MATCH(Data!C1694,対訳マスタ!$B$2:$B$136,0)),Data!C1694))</f>
        <v>産出</v>
      </c>
      <c r="D1694" s="82" t="str">
        <f aca="false">IF(Data!D1694="—","—",IFERROR(INDEX(対訳マスタ!$C$2:$C$136,MATCH(Data!D1694,対訳マスタ!$B$2:$B$136,0)),Data!D1694))</f>
        <v>語用能力</v>
      </c>
      <c r="E1694" s="82" t="str">
        <f aca="false">IFERROR(INDEX(対訳マスタ!$C$2:$C$136,MATCH(Data!E1694,対訳マスタ!$B$2:$B$136,0)),Data!E1694)</f>
        <v>場面設定と視点</v>
      </c>
      <c r="F1694" s="82" t="str">
        <f aca="false">Data!F1694</f>
        <v>B1</v>
      </c>
      <c r="G1694" s="81" t="str">
        <f aca="false">Data!G1694</f>
        <v>Can represent the relative proportions and inter-relationships of e.g. a landscape in signing space.</v>
      </c>
      <c r="H1694" s="81"/>
      <c r="I1694" s="82" t="s">
        <v>3625</v>
      </c>
    </row>
    <row r="1695" customFormat="false" ht="15" hidden="false" customHeight="true" outlineLevel="0" collapsed="false">
      <c r="A1695" s="82" t="n">
        <f aca="false">Data!A1695</f>
        <v>1694</v>
      </c>
      <c r="B1695" s="82" t="str">
        <f aca="false">IFERROR(INDEX(対訳マスタ!$C$2:$C$136,MATCH(Data!B1695,対訳マスタ!$B$2:$B$136,0)),Data!B1695)</f>
        <v>手話能力</v>
      </c>
      <c r="C1695" s="82" t="str">
        <f aca="false">IF(Data!C1695="—","—",IFERROR(INDEX(対訳マスタ!$C$2:$C$136,MATCH(Data!C1695,対訳マスタ!$B$2:$B$136,0)),Data!C1695))</f>
        <v>産出</v>
      </c>
      <c r="D1695" s="82" t="str">
        <f aca="false">IF(Data!D1695="—","—",IFERROR(INDEX(対訳マスタ!$C$2:$C$136,MATCH(Data!D1695,対訳マスタ!$B$2:$B$136,0)),Data!D1695))</f>
        <v>語用能力</v>
      </c>
      <c r="E1695" s="82" t="str">
        <f aca="false">IFERROR(INDEX(対訳マスタ!$C$2:$C$136,MATCH(Data!E1695,対訳マスタ!$B$2:$B$136,0)),Data!E1695)</f>
        <v>場面設定と視点</v>
      </c>
      <c r="F1695" s="82" t="str">
        <f aca="false">Data!F1695</f>
        <v>B1</v>
      </c>
      <c r="G1695" s="81" t="str">
        <f aca="false">Data!G1695</f>
        <v>Can envisage and describe ideas spatially.</v>
      </c>
      <c r="H1695" s="81"/>
      <c r="I1695" s="82" t="s">
        <v>3625</v>
      </c>
    </row>
    <row r="1696" customFormat="false" ht="15" hidden="false" customHeight="true" outlineLevel="0" collapsed="false">
      <c r="A1696" s="82" t="n">
        <f aca="false">Data!A1696</f>
        <v>1695</v>
      </c>
      <c r="B1696" s="82" t="str">
        <f aca="false">IFERROR(INDEX(対訳マスタ!$C$2:$C$136,MATCH(Data!B1696,対訳マスタ!$B$2:$B$136,0)),Data!B1696)</f>
        <v>手話能力</v>
      </c>
      <c r="C1696" s="82" t="str">
        <f aca="false">IF(Data!C1696="—","—",IFERROR(INDEX(対訳マスタ!$C$2:$C$136,MATCH(Data!C1696,対訳マスタ!$B$2:$B$136,0)),Data!C1696))</f>
        <v>産出</v>
      </c>
      <c r="D1696" s="82" t="str">
        <f aca="false">IF(Data!D1696="—","—",IFERROR(INDEX(対訳マスタ!$C$2:$C$136,MATCH(Data!D1696,対訳マスタ!$B$2:$B$136,0)),Data!D1696))</f>
        <v>語用能力</v>
      </c>
      <c r="E1696" s="82" t="str">
        <f aca="false">IFERROR(INDEX(対訳マスタ!$C$2:$C$136,MATCH(Data!E1696,対訳マスタ!$B$2:$B$136,0)),Data!E1696)</f>
        <v>場面設定と視点</v>
      </c>
      <c r="F1696" s="82" t="str">
        <f aca="false">Data!F1696</f>
        <v>B1</v>
      </c>
      <c r="G1696" s="81" t="str">
        <f aca="false">Data!G1696</f>
        <v>Can develop a statement that maps ideas from near to far, and from small to big.</v>
      </c>
      <c r="H1696" s="81"/>
      <c r="I1696" s="82" t="s">
        <v>3625</v>
      </c>
    </row>
    <row r="1697" customFormat="false" ht="15" hidden="false" customHeight="true" outlineLevel="0" collapsed="false">
      <c r="A1697" s="82" t="n">
        <f aca="false">Data!A1697</f>
        <v>1696</v>
      </c>
      <c r="B1697" s="82" t="str">
        <f aca="false">IFERROR(INDEX(対訳マスタ!$C$2:$C$136,MATCH(Data!B1697,対訳マスタ!$B$2:$B$136,0)),Data!B1697)</f>
        <v>手話能力</v>
      </c>
      <c r="C1697" s="82" t="str">
        <f aca="false">IF(Data!C1697="—","—",IFERROR(INDEX(対訳マスタ!$C$2:$C$136,MATCH(Data!C1697,対訳マスタ!$B$2:$B$136,0)),Data!C1697))</f>
        <v>産出</v>
      </c>
      <c r="D1697" s="82" t="str">
        <f aca="false">IF(Data!D1697="—","—",IFERROR(INDEX(対訳マスタ!$C$2:$C$136,MATCH(Data!D1697,対訳マスタ!$B$2:$B$136,0)),Data!D1697))</f>
        <v>語用能力</v>
      </c>
      <c r="E1697" s="82" t="str">
        <f aca="false">IFERROR(INDEX(対訳マスタ!$C$2:$C$136,MATCH(Data!E1697,対訳マスタ!$B$2:$B$136,0)),Data!E1697)</f>
        <v>場面設定と視点</v>
      </c>
      <c r="F1697" s="82" t="str">
        <f aca="false">Data!F1697</f>
        <v>B1</v>
      </c>
      <c r="G1697" s="81" t="str">
        <f aca="false">Data!G1697</f>
        <v>Can create a clear image in the signing space.</v>
      </c>
      <c r="H1697" s="81"/>
      <c r="I1697" s="82" t="s">
        <v>3625</v>
      </c>
    </row>
    <row r="1698" customFormat="false" ht="15" hidden="false" customHeight="true" outlineLevel="0" collapsed="false">
      <c r="A1698" s="82" t="n">
        <f aca="false">Data!A1698</f>
        <v>1697</v>
      </c>
      <c r="B1698" s="82" t="str">
        <f aca="false">IFERROR(INDEX(対訳マスタ!$C$2:$C$136,MATCH(Data!B1698,対訳マスタ!$B$2:$B$136,0)),Data!B1698)</f>
        <v>手話能力</v>
      </c>
      <c r="C1698" s="82" t="str">
        <f aca="false">IF(Data!C1698="—","—",IFERROR(INDEX(対訳マスタ!$C$2:$C$136,MATCH(Data!C1698,対訳マスタ!$B$2:$B$136,0)),Data!C1698))</f>
        <v>産出</v>
      </c>
      <c r="D1698" s="82" t="str">
        <f aca="false">IF(Data!D1698="—","—",IFERROR(INDEX(対訳マスタ!$C$2:$C$136,MATCH(Data!D1698,対訳マスタ!$B$2:$B$136,0)),Data!D1698))</f>
        <v>語用能力</v>
      </c>
      <c r="E1698" s="82" t="str">
        <f aca="false">IFERROR(INDEX(対訳マスタ!$C$2:$C$136,MATCH(Data!E1698,対訳マスタ!$B$2:$B$136,0)),Data!E1698)</f>
        <v>場面設定と視点</v>
      </c>
      <c r="F1698" s="82" t="str">
        <f aca="false">Data!F1698</f>
        <v>B1</v>
      </c>
      <c r="G1698" s="81" t="str">
        <f aca="false">Data!G1698</f>
        <v>Can employ facial expressions appropriate to a character in a narrative.</v>
      </c>
      <c r="H1698" s="81"/>
      <c r="I1698" s="82" t="s">
        <v>3625</v>
      </c>
    </row>
    <row r="1699" customFormat="false" ht="15" hidden="false" customHeight="true" outlineLevel="0" collapsed="false">
      <c r="A1699" s="82" t="n">
        <f aca="false">Data!A1699</f>
        <v>1698</v>
      </c>
      <c r="B1699" s="82" t="str">
        <f aca="false">IFERROR(INDEX(対訳マスタ!$C$2:$C$136,MATCH(Data!B1699,対訳マスタ!$B$2:$B$136,0)),Data!B1699)</f>
        <v>手話能力</v>
      </c>
      <c r="C1699" s="82" t="str">
        <f aca="false">IF(Data!C1699="—","—",IFERROR(INDEX(対訳マスタ!$C$2:$C$136,MATCH(Data!C1699,対訳マスタ!$B$2:$B$136,0)),Data!C1699))</f>
        <v>産出</v>
      </c>
      <c r="D1699" s="82" t="str">
        <f aca="false">IF(Data!D1699="—","—",IFERROR(INDEX(対訳マスタ!$C$2:$C$136,MATCH(Data!D1699,対訳マスタ!$B$2:$B$136,0)),Data!D1699))</f>
        <v>語用能力</v>
      </c>
      <c r="E1699" s="82" t="str">
        <f aca="false">IFERROR(INDEX(対訳マスタ!$C$2:$C$136,MATCH(Data!E1699,対訳マスタ!$B$2:$B$136,0)),Data!E1699)</f>
        <v>場面設定と視点</v>
      </c>
      <c r="F1699" s="82" t="str">
        <f aca="false">Data!F1699</f>
        <v>B1</v>
      </c>
      <c r="G1699" s="81" t="str">
        <f aca="false">Data!G1699</f>
        <v>Can refer to characters in a narrative by using depiction.</v>
      </c>
      <c r="H1699" s="81"/>
      <c r="I1699" s="82" t="s">
        <v>3625</v>
      </c>
    </row>
    <row r="1700" customFormat="false" ht="32.25" hidden="false" customHeight="true" outlineLevel="0" collapsed="false">
      <c r="A1700" s="82" t="n">
        <f aca="false">Data!A1700</f>
        <v>1699</v>
      </c>
      <c r="B1700" s="82" t="str">
        <f aca="false">IFERROR(INDEX(対訳マスタ!$C$2:$C$136,MATCH(Data!B1700,対訳マスタ!$B$2:$B$136,0)),Data!B1700)</f>
        <v>手話能力</v>
      </c>
      <c r="C1700" s="82" t="str">
        <f aca="false">IF(Data!C1700="—","—",IFERROR(INDEX(対訳マスタ!$C$2:$C$136,MATCH(Data!C1700,対訳マスタ!$B$2:$B$136,0)),Data!C1700))</f>
        <v>産出</v>
      </c>
      <c r="D1700" s="82" t="str">
        <f aca="false">IF(Data!D1700="—","—",IFERROR(INDEX(対訳マスタ!$C$2:$C$136,MATCH(Data!D1700,対訳マスタ!$B$2:$B$136,0)),Data!D1700))</f>
        <v>語用能力</v>
      </c>
      <c r="E1700" s="82" t="str">
        <f aca="false">IFERROR(INDEX(対訳マスタ!$C$2:$C$136,MATCH(Data!E1700,対訳マスタ!$B$2:$B$136,0)),Data!E1700)</f>
        <v>場面設定と視点</v>
      </c>
      <c r="F1700" s="82" t="str">
        <f aca="false">Data!F1700</f>
        <v>A2+</v>
      </c>
      <c r="G1700" s="81" t="str">
        <f aca="false">Data!G1700</f>
        <v>Can use body posture to indicate different opinions in relation to an issue (e.g. by contrasting arguments for and against by a posture oriented to the right and to the left respectively).</v>
      </c>
      <c r="H1700" s="81"/>
      <c r="I1700" s="82" t="s">
        <v>3625</v>
      </c>
    </row>
    <row r="1701" customFormat="false" ht="21.75" hidden="false" customHeight="true" outlineLevel="0" collapsed="false">
      <c r="A1701" s="82" t="n">
        <f aca="false">Data!A1701</f>
        <v>1700</v>
      </c>
      <c r="B1701" s="82" t="str">
        <f aca="false">IFERROR(INDEX(対訳マスタ!$C$2:$C$136,MATCH(Data!B1701,対訳マスタ!$B$2:$B$136,0)),Data!B1701)</f>
        <v>手話能力</v>
      </c>
      <c r="C1701" s="82" t="str">
        <f aca="false">IF(Data!C1701="—","—",IFERROR(INDEX(対訳マスタ!$C$2:$C$136,MATCH(Data!C1701,対訳マスタ!$B$2:$B$136,0)),Data!C1701))</f>
        <v>産出</v>
      </c>
      <c r="D1701" s="82" t="str">
        <f aca="false">IF(Data!D1701="—","—",IFERROR(INDEX(対訳マスタ!$C$2:$C$136,MATCH(Data!D1701,対訳マスタ!$B$2:$B$136,0)),Data!D1701))</f>
        <v>語用能力</v>
      </c>
      <c r="E1701" s="82" t="str">
        <f aca="false">IFERROR(INDEX(対訳マスタ!$C$2:$C$136,MATCH(Data!E1701,対訳マスタ!$B$2:$B$136,0)),Data!E1701)</f>
        <v>場面設定と視点</v>
      </c>
      <c r="F1701" s="82" t="str">
        <f aca="false">Data!F1701</f>
        <v>A2+</v>
      </c>
      <c r="G1701" s="81" t="str">
        <f aca="false">Data!G1701</f>
        <v>Can adopt a facial expression appropriate to the character, person or object being described.</v>
      </c>
      <c r="H1701" s="81"/>
      <c r="I1701" s="82" t="s">
        <v>3625</v>
      </c>
    </row>
    <row r="1702" customFormat="false" ht="15" hidden="false" customHeight="true" outlineLevel="0" collapsed="false">
      <c r="A1702" s="82" t="n">
        <f aca="false">Data!A1702</f>
        <v>1701</v>
      </c>
      <c r="B1702" s="82" t="str">
        <f aca="false">IFERROR(INDEX(対訳マスタ!$C$2:$C$136,MATCH(Data!B1702,対訳マスタ!$B$2:$B$136,0)),Data!B1702)</f>
        <v>手話能力</v>
      </c>
      <c r="C1702" s="82" t="str">
        <f aca="false">IF(Data!C1702="—","—",IFERROR(INDEX(対訳マスタ!$C$2:$C$136,MATCH(Data!C1702,対訳マスタ!$B$2:$B$136,0)),Data!C1702))</f>
        <v>産出</v>
      </c>
      <c r="D1702" s="82" t="str">
        <f aca="false">IF(Data!D1702="—","—",IFERROR(INDEX(対訳マスタ!$C$2:$C$136,MATCH(Data!D1702,対訳マスタ!$B$2:$B$136,0)),Data!D1702))</f>
        <v>語用能力</v>
      </c>
      <c r="E1702" s="82" t="str">
        <f aca="false">IFERROR(INDEX(対訳マスタ!$C$2:$C$136,MATCH(Data!E1702,対訳マスタ!$B$2:$B$136,0)),Data!E1702)</f>
        <v>場面設定と視点</v>
      </c>
      <c r="F1702" s="82" t="str">
        <f aca="false">Data!F1702</f>
        <v>A2+</v>
      </c>
      <c r="G1702" s="81" t="str">
        <f aca="false">Data!G1702</f>
        <v>Can describe a person by using constructed action.</v>
      </c>
      <c r="H1702" s="81"/>
      <c r="I1702" s="82" t="s">
        <v>3625</v>
      </c>
    </row>
    <row r="1703" customFormat="false" ht="21.75" hidden="false" customHeight="true" outlineLevel="0" collapsed="false">
      <c r="A1703" s="82" t="n">
        <f aca="false">Data!A1703</f>
        <v>1702</v>
      </c>
      <c r="B1703" s="82" t="str">
        <f aca="false">IFERROR(INDEX(対訳マスタ!$C$2:$C$136,MATCH(Data!B1703,対訳マスタ!$B$2:$B$136,0)),Data!B1703)</f>
        <v>手話能力</v>
      </c>
      <c r="C1703" s="82" t="str">
        <f aca="false">IF(Data!C1703="—","—",IFERROR(INDEX(対訳マスタ!$C$2:$C$136,MATCH(Data!C1703,対訳マスタ!$B$2:$B$136,0)),Data!C1703))</f>
        <v>産出</v>
      </c>
      <c r="D1703" s="82" t="str">
        <f aca="false">IF(Data!D1703="—","—",IFERROR(INDEX(対訳マスタ!$C$2:$C$136,MATCH(Data!D1703,対訳マスタ!$B$2:$B$136,0)),Data!D1703))</f>
        <v>語用能力</v>
      </c>
      <c r="E1703" s="82" t="str">
        <f aca="false">IFERROR(INDEX(対訳マスタ!$C$2:$C$136,MATCH(Data!E1703,対訳マスタ!$B$2:$B$136,0)),Data!E1703)</f>
        <v>場面設定と視点</v>
      </c>
      <c r="F1703" s="82" t="str">
        <f aca="false">Data!F1703</f>
        <v>A2</v>
      </c>
      <c r="G1703" s="81" t="str">
        <f aca="false">Data!G1703</f>
        <v>Can consistently maintain the relative sizes and proportions of objects (e.g. when peeling a banana).</v>
      </c>
      <c r="H1703" s="81"/>
      <c r="I1703" s="82" t="s">
        <v>3625</v>
      </c>
    </row>
    <row r="1704" customFormat="false" ht="15" hidden="false" customHeight="true" outlineLevel="0" collapsed="false">
      <c r="A1704" s="82" t="n">
        <f aca="false">Data!A1704</f>
        <v>1703</v>
      </c>
      <c r="B1704" s="82" t="str">
        <f aca="false">IFERROR(INDEX(対訳マスタ!$C$2:$C$136,MATCH(Data!B1704,対訳マスタ!$B$2:$B$136,0)),Data!B1704)</f>
        <v>手話能力</v>
      </c>
      <c r="C1704" s="82" t="str">
        <f aca="false">IF(Data!C1704="—","—",IFERROR(INDEX(対訳マスタ!$C$2:$C$136,MATCH(Data!C1704,対訳マスタ!$B$2:$B$136,0)),Data!C1704))</f>
        <v>産出</v>
      </c>
      <c r="D1704" s="82" t="str">
        <f aca="false">IF(Data!D1704="—","—",IFERROR(INDEX(対訳マスタ!$C$2:$C$136,MATCH(Data!D1704,対訳マスタ!$B$2:$B$136,0)),Data!D1704))</f>
        <v>語用能力</v>
      </c>
      <c r="E1704" s="82" t="str">
        <f aca="false">IFERROR(INDEX(対訳マスタ!$C$2:$C$136,MATCH(Data!E1704,対訳マスタ!$B$2:$B$136,0)),Data!E1704)</f>
        <v>場面設定と視点</v>
      </c>
      <c r="F1704" s="82" t="str">
        <f aca="false">Data!F1704</f>
        <v>A1</v>
      </c>
      <c r="G1704" s="81" t="str">
        <f aca="false">Data!G1704</f>
        <v>No descriptors available</v>
      </c>
      <c r="H1704" s="81" t="s">
        <v>624</v>
      </c>
      <c r="I1704" s="80" t="s">
        <v>624</v>
      </c>
    </row>
    <row r="1705" customFormat="false" ht="15" hidden="false" customHeight="true" outlineLevel="0" collapsed="false">
      <c r="A1705" s="82" t="n">
        <f aca="false">Data!A1705</f>
        <v>1704</v>
      </c>
      <c r="B1705" s="82" t="str">
        <f aca="false">IFERROR(INDEX(対訳マスタ!$C$2:$C$136,MATCH(Data!B1705,対訳マスタ!$B$2:$B$136,0)),Data!B1705)</f>
        <v>手話能力</v>
      </c>
      <c r="C1705" s="82" t="str">
        <f aca="false">IF(Data!C1705="—","—",IFERROR(INDEX(対訳マスタ!$C$2:$C$136,MATCH(Data!C1705,対訳マスタ!$B$2:$B$136,0)),Data!C1705))</f>
        <v>—</v>
      </c>
      <c r="D1705" s="82" t="str">
        <f aca="false">IF(Data!D1705="—","—",IFERROR(INDEX(対訳マスタ!$C$2:$C$136,MATCH(Data!D1705,対訳マスタ!$B$2:$B$136,0)),Data!D1705))</f>
        <v>語用能力</v>
      </c>
      <c r="E1705" s="82" t="str">
        <f aca="false">IFERROR(INDEX(対訳マスタ!$C$2:$C$136,MATCH(Data!E1705,対訳マスタ!$B$2:$B$136,0)),Data!E1705)</f>
        <v>言語への気づきと解釈</v>
      </c>
      <c r="F1705" s="82" t="str">
        <f aca="false">Data!F1705</f>
        <v>C2</v>
      </c>
      <c r="G1705" s="81" t="str">
        <f aca="false">Data!G1705</f>
        <v>Can work out the main points of emphasis in sophisticated texts.</v>
      </c>
      <c r="H1705" s="81"/>
      <c r="I1705" s="82" t="s">
        <v>3625</v>
      </c>
    </row>
    <row r="1706" customFormat="false" ht="21.75" hidden="false" customHeight="true" outlineLevel="0" collapsed="false">
      <c r="A1706" s="82" t="n">
        <f aca="false">Data!A1706</f>
        <v>1705</v>
      </c>
      <c r="B1706" s="82" t="str">
        <f aca="false">IFERROR(INDEX(対訳マスタ!$C$2:$C$136,MATCH(Data!B1706,対訳マスタ!$B$2:$B$136,0)),Data!B1706)</f>
        <v>手話能力</v>
      </c>
      <c r="C1706" s="82" t="str">
        <f aca="false">IF(Data!C1706="—","—",IFERROR(INDEX(対訳マスタ!$C$2:$C$136,MATCH(Data!C1706,対訳マスタ!$B$2:$B$136,0)),Data!C1706))</f>
        <v>—</v>
      </c>
      <c r="D1706" s="82" t="str">
        <f aca="false">IF(Data!D1706="—","—",IFERROR(INDEX(対訳マスタ!$C$2:$C$136,MATCH(Data!D1706,対訳マスタ!$B$2:$B$136,0)),Data!D1706))</f>
        <v>語用能力</v>
      </c>
      <c r="E1706" s="82" t="str">
        <f aca="false">IFERROR(INDEX(対訳マスタ!$C$2:$C$136,MATCH(Data!E1706,対訳マスタ!$B$2:$B$136,0)),Data!E1706)</f>
        <v>言語への気づきと解釈</v>
      </c>
      <c r="F1706" s="82" t="str">
        <f aca="false">Data!F1706</f>
        <v>C2</v>
      </c>
      <c r="G1706" s="81" t="str">
        <f aca="false">Data!G1706</f>
        <v>Can understand aesthetic signing in the context of use, even if they are not familiar with it.</v>
      </c>
      <c r="H1706" s="81"/>
      <c r="I1706" s="82" t="s">
        <v>3625</v>
      </c>
    </row>
    <row r="1707" customFormat="false" ht="15" hidden="false" customHeight="true" outlineLevel="0" collapsed="false">
      <c r="A1707" s="82" t="n">
        <f aca="false">Data!A1707</f>
        <v>1706</v>
      </c>
      <c r="B1707" s="82" t="str">
        <f aca="false">IFERROR(INDEX(対訳マスタ!$C$2:$C$136,MATCH(Data!B1707,対訳マスタ!$B$2:$B$136,0)),Data!B1707)</f>
        <v>手話能力</v>
      </c>
      <c r="C1707" s="82" t="str">
        <f aca="false">IF(Data!C1707="—","—",IFERROR(INDEX(対訳マスタ!$C$2:$C$136,MATCH(Data!C1707,対訳マスタ!$B$2:$B$136,0)),Data!C1707))</f>
        <v>—</v>
      </c>
      <c r="D1707" s="82" t="str">
        <f aca="false">IF(Data!D1707="—","—",IFERROR(INDEX(対訳マスタ!$C$2:$C$136,MATCH(Data!D1707,対訳マスタ!$B$2:$B$136,0)),Data!D1707))</f>
        <v>語用能力</v>
      </c>
      <c r="E1707" s="82" t="str">
        <f aca="false">IFERROR(INDEX(対訳マスタ!$C$2:$C$136,MATCH(Data!E1707,対訳マスタ!$B$2:$B$136,0)),Data!E1707)</f>
        <v>言語への気づきと解釈</v>
      </c>
      <c r="F1707" s="82" t="str">
        <f aca="false">Data!F1707</f>
        <v>C2</v>
      </c>
      <c r="G1707" s="81" t="str">
        <f aca="false">Data!G1707</f>
        <v>Can interpret abstract poetic signs.</v>
      </c>
      <c r="H1707" s="81"/>
      <c r="I1707" s="82" t="s">
        <v>3625</v>
      </c>
    </row>
    <row r="1708" customFormat="false" ht="21.75" hidden="false" customHeight="true" outlineLevel="0" collapsed="false">
      <c r="A1708" s="82" t="n">
        <f aca="false">Data!A1708</f>
        <v>1707</v>
      </c>
      <c r="B1708" s="82" t="str">
        <f aca="false">IFERROR(INDEX(対訳マスタ!$C$2:$C$136,MATCH(Data!B1708,対訳マスタ!$B$2:$B$136,0)),Data!B1708)</f>
        <v>手話能力</v>
      </c>
      <c r="C1708" s="82" t="str">
        <f aca="false">IF(Data!C1708="—","—",IFERROR(INDEX(対訳マスタ!$C$2:$C$136,MATCH(Data!C1708,対訳マスタ!$B$2:$B$136,0)),Data!C1708))</f>
        <v>—</v>
      </c>
      <c r="D1708" s="82" t="str">
        <f aca="false">IF(Data!D1708="—","—",IFERROR(INDEX(対訳マスタ!$C$2:$C$136,MATCH(Data!D1708,対訳マスタ!$B$2:$B$136,0)),Data!D1708))</f>
        <v>語用能力</v>
      </c>
      <c r="E1708" s="82" t="str">
        <f aca="false">IFERROR(INDEX(対訳マスタ!$C$2:$C$136,MATCH(Data!E1708,対訳マスタ!$B$2:$B$136,0)),Data!E1708)</f>
        <v>言語への気づきと解釈</v>
      </c>
      <c r="F1708" s="82" t="str">
        <f aca="false">Data!F1708</f>
        <v>C2</v>
      </c>
      <c r="G1708" s="81" t="str">
        <f aca="false">Data!G1708</f>
        <v>Can recognise rhetorical and stylistic devices in a signed text and understand their functions (e.g., repetition, rhyme, metaphor, irony).</v>
      </c>
      <c r="H1708" s="81"/>
      <c r="I1708" s="82" t="s">
        <v>3625</v>
      </c>
    </row>
    <row r="1709" customFormat="false" ht="42.75" hidden="false" customHeight="true" outlineLevel="0" collapsed="false">
      <c r="A1709" s="82" t="n">
        <f aca="false">Data!A1709</f>
        <v>1708</v>
      </c>
      <c r="B1709" s="82" t="str">
        <f aca="false">IFERROR(INDEX(対訳マスタ!$C$2:$C$136,MATCH(Data!B1709,対訳マスタ!$B$2:$B$136,0)),Data!B1709)</f>
        <v>手話能力</v>
      </c>
      <c r="C1709" s="82" t="str">
        <f aca="false">IF(Data!C1709="—","—",IFERROR(INDEX(対訳マスタ!$C$2:$C$136,MATCH(Data!C1709,対訳マスタ!$B$2:$B$136,0)),Data!C1709))</f>
        <v>—</v>
      </c>
      <c r="D1709" s="82" t="str">
        <f aca="false">IF(Data!D1709="—","—",IFERROR(INDEX(対訳マスタ!$C$2:$C$136,MATCH(Data!D1709,対訳マスタ!$B$2:$B$136,0)),Data!D1709))</f>
        <v>語用能力</v>
      </c>
      <c r="E1709" s="82" t="str">
        <f aca="false">IFERROR(INDEX(対訳マスタ!$C$2:$C$136,MATCH(Data!E1709,対訳マスタ!$B$2:$B$136,0)),Data!E1709)</f>
        <v>言語への気づきと解釈</v>
      </c>
      <c r="F1709" s="82" t="str">
        <f aca="false">Data!F1709</f>
        <v>C2</v>
      </c>
      <c r="G1709" s="81" t="str">
        <f aca="false">Data!G1709</f>
        <v>Can understand signing in which the signer combines different stylistic devices simultaneously (e.g., non-dominant hand indicates a context, whereas dominant hand indicates an action from a different perspective, either being combined with non-manual expressions).</v>
      </c>
      <c r="H1709" s="81"/>
      <c r="I1709" s="82" t="s">
        <v>3625</v>
      </c>
    </row>
    <row r="1710" customFormat="false" ht="21.75" hidden="false" customHeight="true" outlineLevel="0" collapsed="false">
      <c r="A1710" s="82" t="n">
        <f aca="false">Data!A1710</f>
        <v>1709</v>
      </c>
      <c r="B1710" s="82" t="str">
        <f aca="false">IFERROR(INDEX(対訳マスタ!$C$2:$C$136,MATCH(Data!B1710,対訳マスタ!$B$2:$B$136,0)),Data!B1710)</f>
        <v>手話能力</v>
      </c>
      <c r="C1710" s="82" t="str">
        <f aca="false">IF(Data!C1710="—","—",IFERROR(INDEX(対訳マスタ!$C$2:$C$136,MATCH(Data!C1710,対訳マスタ!$B$2:$B$136,0)),Data!C1710))</f>
        <v>—</v>
      </c>
      <c r="D1710" s="82" t="str">
        <f aca="false">IF(Data!D1710="—","—",IFERROR(INDEX(対訳マスタ!$C$2:$C$136,MATCH(Data!D1710,対訳マスタ!$B$2:$B$136,0)),Data!D1710))</f>
        <v>語用能力</v>
      </c>
      <c r="E1710" s="82" t="str">
        <f aca="false">IFERROR(INDEX(対訳マスタ!$C$2:$C$136,MATCH(Data!E1710,対訳マスタ!$B$2:$B$136,0)),Data!E1710)</f>
        <v>言語への気づきと解釈</v>
      </c>
      <c r="F1710" s="82" t="str">
        <f aca="false">Data!F1710</f>
        <v>C2</v>
      </c>
      <c r="G1710" s="81" t="str">
        <f aca="false">Data!G1710</f>
        <v>Can recognise a variation in the word order and describe its rhetorical effect (e.g., emphasis).</v>
      </c>
      <c r="H1710" s="81"/>
      <c r="I1710" s="82" t="s">
        <v>3625</v>
      </c>
    </row>
    <row r="1711" customFormat="false" ht="21.75" hidden="false" customHeight="true" outlineLevel="0" collapsed="false">
      <c r="A1711" s="82" t="n">
        <f aca="false">Data!A1711</f>
        <v>1710</v>
      </c>
      <c r="B1711" s="82" t="str">
        <f aca="false">IFERROR(INDEX(対訳マスタ!$C$2:$C$136,MATCH(Data!B1711,対訳マスタ!$B$2:$B$136,0)),Data!B1711)</f>
        <v>手話能力</v>
      </c>
      <c r="C1711" s="82" t="str">
        <f aca="false">IF(Data!C1711="—","—",IFERROR(INDEX(対訳マスタ!$C$2:$C$136,MATCH(Data!C1711,対訳マスタ!$B$2:$B$136,0)),Data!C1711))</f>
        <v>—</v>
      </c>
      <c r="D1711" s="82" t="str">
        <f aca="false">IF(Data!D1711="—","—",IFERROR(INDEX(対訳マスタ!$C$2:$C$136,MATCH(Data!D1711,対訳マスタ!$B$2:$B$136,0)),Data!D1711))</f>
        <v>語用能力</v>
      </c>
      <c r="E1711" s="82" t="str">
        <f aca="false">IFERROR(INDEX(対訳マスタ!$C$2:$C$136,MATCH(Data!E1711,対訳マスタ!$B$2:$B$136,0)),Data!E1711)</f>
        <v>言語への気づきと解釈</v>
      </c>
      <c r="F1711" s="82" t="str">
        <f aca="false">Data!F1711</f>
        <v>C2</v>
      </c>
      <c r="G1711" s="81" t="str">
        <f aca="false">Data!G1711</f>
        <v>Can recognise when a signer employs the sustained hold of a sign as a prosodic or rhetorical device.</v>
      </c>
      <c r="H1711" s="81"/>
      <c r="I1711" s="82" t="s">
        <v>3625</v>
      </c>
    </row>
    <row r="1712" customFormat="false" ht="15" hidden="false" customHeight="true" outlineLevel="0" collapsed="false">
      <c r="A1712" s="82" t="n">
        <f aca="false">Data!A1712</f>
        <v>1711</v>
      </c>
      <c r="B1712" s="82" t="str">
        <f aca="false">IFERROR(INDEX(対訳マスタ!$C$2:$C$136,MATCH(Data!B1712,対訳マスタ!$B$2:$B$136,0)),Data!B1712)</f>
        <v>手話能力</v>
      </c>
      <c r="C1712" s="82" t="str">
        <f aca="false">IF(Data!C1712="—","—",IFERROR(INDEX(対訳マスタ!$C$2:$C$136,MATCH(Data!C1712,対訳マスタ!$B$2:$B$136,0)),Data!C1712))</f>
        <v>—</v>
      </c>
      <c r="D1712" s="82" t="str">
        <f aca="false">IF(Data!D1712="—","—",IFERROR(INDEX(対訳マスタ!$C$2:$C$136,MATCH(Data!D1712,対訳マスタ!$B$2:$B$136,0)),Data!D1712))</f>
        <v>語用能力</v>
      </c>
      <c r="E1712" s="82" t="str">
        <f aca="false">IFERROR(INDEX(対訳マスタ!$C$2:$C$136,MATCH(Data!E1712,対訳マスタ!$B$2:$B$136,0)),Data!E1712)</f>
        <v>言語への気づきと解釈</v>
      </c>
      <c r="F1712" s="82" t="str">
        <f aca="false">Data!F1712</f>
        <v>C1</v>
      </c>
      <c r="G1712" s="81" t="str">
        <f aca="false">Data!G1712</f>
        <v>Can extract key information on an unfamiliar subject from a lengthy signed text.</v>
      </c>
      <c r="H1712" s="81"/>
      <c r="I1712" s="82" t="s">
        <v>3625</v>
      </c>
    </row>
    <row r="1713" customFormat="false" ht="21.75" hidden="false" customHeight="true" outlineLevel="0" collapsed="false">
      <c r="A1713" s="82" t="n">
        <f aca="false">Data!A1713</f>
        <v>1712</v>
      </c>
      <c r="B1713" s="82" t="str">
        <f aca="false">IFERROR(INDEX(対訳マスタ!$C$2:$C$136,MATCH(Data!B1713,対訳マスタ!$B$2:$B$136,0)),Data!B1713)</f>
        <v>手話能力</v>
      </c>
      <c r="C1713" s="82" t="str">
        <f aca="false">IF(Data!C1713="—","—",IFERROR(INDEX(対訳マスタ!$C$2:$C$136,MATCH(Data!C1713,対訳マスタ!$B$2:$B$136,0)),Data!C1713))</f>
        <v>—</v>
      </c>
      <c r="D1713" s="82" t="str">
        <f aca="false">IF(Data!D1713="—","—",IFERROR(INDEX(対訳マスタ!$C$2:$C$136,MATCH(Data!D1713,対訳マスタ!$B$2:$B$136,0)),Data!D1713))</f>
        <v>語用能力</v>
      </c>
      <c r="E1713" s="82" t="str">
        <f aca="false">IFERROR(INDEX(対訳マスタ!$C$2:$C$136,MATCH(Data!E1713,対訳マスタ!$B$2:$B$136,0)),Data!E1713)</f>
        <v>言語への気づきと解釈</v>
      </c>
      <c r="F1713" s="82" t="str">
        <f aca="false">Data!F1713</f>
        <v>C1</v>
      </c>
      <c r="G1713" s="81" t="str">
        <f aca="false">Data!G1713</f>
        <v>Can decide whether or not a statement made about a text takes account of an implied meaning.</v>
      </c>
      <c r="H1713" s="81"/>
      <c r="I1713" s="82" t="s">
        <v>3625</v>
      </c>
    </row>
    <row r="1714" customFormat="false" ht="15" hidden="false" customHeight="true" outlineLevel="0" collapsed="false">
      <c r="A1714" s="82" t="n">
        <f aca="false">Data!A1714</f>
        <v>1713</v>
      </c>
      <c r="B1714" s="82" t="str">
        <f aca="false">IFERROR(INDEX(対訳マスタ!$C$2:$C$136,MATCH(Data!B1714,対訳マスタ!$B$2:$B$136,0)),Data!B1714)</f>
        <v>手話能力</v>
      </c>
      <c r="C1714" s="82" t="str">
        <f aca="false">IF(Data!C1714="—","—",IFERROR(INDEX(対訳マスタ!$C$2:$C$136,MATCH(Data!C1714,対訳マスタ!$B$2:$B$136,0)),Data!C1714))</f>
        <v>—</v>
      </c>
      <c r="D1714" s="82" t="str">
        <f aca="false">IF(Data!D1714="—","—",IFERROR(INDEX(対訳マスタ!$C$2:$C$136,MATCH(Data!D1714,対訳マスタ!$B$2:$B$136,0)),Data!D1714))</f>
        <v>語用能力</v>
      </c>
      <c r="E1714" s="82" t="str">
        <f aca="false">IFERROR(INDEX(対訳マスタ!$C$2:$C$136,MATCH(Data!E1714,対訳マスタ!$B$2:$B$136,0)),Data!E1714)</f>
        <v>言語への気づきと解釈</v>
      </c>
      <c r="F1714" s="82" t="str">
        <f aca="false">Data!F1714</f>
        <v>C1</v>
      </c>
      <c r="G1714" s="81" t="str">
        <f aca="false">Data!G1714</f>
        <v>Can correctly interpret metalinguistic references within a signed text.</v>
      </c>
      <c r="H1714" s="81"/>
      <c r="I1714" s="82" t="s">
        <v>3625</v>
      </c>
    </row>
    <row r="1715" customFormat="false" ht="15" hidden="false" customHeight="true" outlineLevel="0" collapsed="false">
      <c r="A1715" s="82" t="n">
        <f aca="false">Data!A1715</f>
        <v>1714</v>
      </c>
      <c r="B1715" s="82" t="str">
        <f aca="false">IFERROR(INDEX(対訳マスタ!$C$2:$C$136,MATCH(Data!B1715,対訳マスタ!$B$2:$B$136,0)),Data!B1715)</f>
        <v>手話能力</v>
      </c>
      <c r="C1715" s="82" t="str">
        <f aca="false">IF(Data!C1715="—","—",IFERROR(INDEX(対訳マスタ!$C$2:$C$136,MATCH(Data!C1715,対訳マスタ!$B$2:$B$136,0)),Data!C1715))</f>
        <v>—</v>
      </c>
      <c r="D1715" s="82" t="str">
        <f aca="false">IF(Data!D1715="—","—",IFERROR(INDEX(対訳マスタ!$C$2:$C$136,MATCH(Data!D1715,対訳マスタ!$B$2:$B$136,0)),Data!D1715))</f>
        <v>語用能力</v>
      </c>
      <c r="E1715" s="82" t="str">
        <f aca="false">IFERROR(INDEX(対訳マスタ!$C$2:$C$136,MATCH(Data!E1715,対訳マスタ!$B$2:$B$136,0)),Data!E1715)</f>
        <v>言語への気づきと解釈</v>
      </c>
      <c r="F1715" s="82" t="str">
        <f aca="false">Data!F1715</f>
        <v>C1</v>
      </c>
      <c r="G1715" s="81" t="str">
        <f aca="false">Data!G1715</f>
        <v>Can grasp unknown concepts by exploiting analogies explained in a text</v>
      </c>
      <c r="H1715" s="81"/>
      <c r="I1715" s="82" t="s">
        <v>3625</v>
      </c>
    </row>
    <row r="1716" customFormat="false" ht="32.25" hidden="false" customHeight="true" outlineLevel="0" collapsed="false">
      <c r="A1716" s="82" t="n">
        <f aca="false">Data!A1716</f>
        <v>1715</v>
      </c>
      <c r="B1716" s="82" t="str">
        <f aca="false">IFERROR(INDEX(対訳マスタ!$C$2:$C$136,MATCH(Data!B1716,対訳マスタ!$B$2:$B$136,0)),Data!B1716)</f>
        <v>手話能力</v>
      </c>
      <c r="C1716" s="82" t="str">
        <f aca="false">IF(Data!C1716="—","—",IFERROR(INDEX(対訳マスタ!$C$2:$C$136,MATCH(Data!C1716,対訳マスタ!$B$2:$B$136,0)),Data!C1716))</f>
        <v>—</v>
      </c>
      <c r="D1716" s="82" t="str">
        <f aca="false">IF(Data!D1716="—","—",IFERROR(INDEX(対訳マスタ!$C$2:$C$136,MATCH(Data!D1716,対訳マスタ!$B$2:$B$136,0)),Data!D1716))</f>
        <v>語用能力</v>
      </c>
      <c r="E1716" s="82" t="str">
        <f aca="false">IFERROR(INDEX(対訳マスタ!$C$2:$C$136,MATCH(Data!E1716,対訳マスタ!$B$2:$B$136,0)),Data!E1716)</f>
        <v>言語への気づきと解釈</v>
      </c>
      <c r="F1716" s="82" t="str">
        <f aca="false">Data!F1716</f>
        <v>C1</v>
      </c>
      <c r="G1716" s="81" t="str">
        <f aca="false">Data!G1716</f>
        <v>Can distinguish between the use of body posture as a means of structuring the text (e.g., to separate arguments for and against) or as a grammatical device (e.g., for relative clauses).</v>
      </c>
      <c r="H1716" s="81"/>
      <c r="I1716" s="82" t="s">
        <v>3625</v>
      </c>
    </row>
    <row r="1717" customFormat="false" ht="21.75" hidden="false" customHeight="true" outlineLevel="0" collapsed="false">
      <c r="A1717" s="82" t="n">
        <f aca="false">Data!A1717</f>
        <v>1716</v>
      </c>
      <c r="B1717" s="82" t="str">
        <f aca="false">IFERROR(INDEX(対訳マスタ!$C$2:$C$136,MATCH(Data!B1717,対訳マスタ!$B$2:$B$136,0)),Data!B1717)</f>
        <v>手話能力</v>
      </c>
      <c r="C1717" s="82" t="str">
        <f aca="false">IF(Data!C1717="—","—",IFERROR(INDEX(対訳マスタ!$C$2:$C$136,MATCH(Data!C1717,対訳マスタ!$B$2:$B$136,0)),Data!C1717))</f>
        <v>—</v>
      </c>
      <c r="D1717" s="82" t="str">
        <f aca="false">IF(Data!D1717="—","—",IFERROR(INDEX(対訳マスタ!$C$2:$C$136,MATCH(Data!D1717,対訳マスタ!$B$2:$B$136,0)),Data!D1717))</f>
        <v>語用能力</v>
      </c>
      <c r="E1717" s="82" t="str">
        <f aca="false">IFERROR(INDEX(対訳マスタ!$C$2:$C$136,MATCH(Data!E1717,対訳マスタ!$B$2:$B$136,0)),Data!E1717)</f>
        <v>言語への気づきと解釈</v>
      </c>
      <c r="F1717" s="82" t="str">
        <f aca="false">Data!F1717</f>
        <v>C1</v>
      </c>
      <c r="G1717" s="81" t="str">
        <f aca="false">Data!G1717</f>
        <v>Can understand complicated emotional states that the signer expresses non-manually and by constructed action.</v>
      </c>
      <c r="H1717" s="81"/>
      <c r="I1717" s="82" t="s">
        <v>3625</v>
      </c>
    </row>
    <row r="1718" customFormat="false" ht="15" hidden="false" customHeight="true" outlineLevel="0" collapsed="false">
      <c r="A1718" s="82" t="n">
        <f aca="false">Data!A1718</f>
        <v>1717</v>
      </c>
      <c r="B1718" s="82" t="str">
        <f aca="false">IFERROR(INDEX(対訳マスタ!$C$2:$C$136,MATCH(Data!B1718,対訳マスタ!$B$2:$B$136,0)),Data!B1718)</f>
        <v>手話能力</v>
      </c>
      <c r="C1718" s="82" t="str">
        <f aca="false">IF(Data!C1718="—","—",IFERROR(INDEX(対訳マスタ!$C$2:$C$136,MATCH(Data!C1718,対訳マスタ!$B$2:$B$136,0)),Data!C1718))</f>
        <v>—</v>
      </c>
      <c r="D1718" s="82" t="str">
        <f aca="false">IF(Data!D1718="—","—",IFERROR(INDEX(対訳マスタ!$C$2:$C$136,MATCH(Data!D1718,対訳マスタ!$B$2:$B$136,0)),Data!D1718))</f>
        <v>語用能力</v>
      </c>
      <c r="E1718" s="82" t="str">
        <f aca="false">IFERROR(INDEX(対訳マスタ!$C$2:$C$136,MATCH(Data!E1718,対訳マスタ!$B$2:$B$136,0)),Data!E1718)</f>
        <v>言語への気づきと解釈</v>
      </c>
      <c r="F1718" s="82" t="str">
        <f aca="false">Data!F1718</f>
        <v>C1</v>
      </c>
      <c r="G1718" s="81" t="str">
        <f aca="false">Data!G1718</f>
        <v>Can identify and outline content which is expressed in creative images.</v>
      </c>
      <c r="H1718" s="81"/>
      <c r="I1718" s="82" t="s">
        <v>3625</v>
      </c>
    </row>
    <row r="1719" customFormat="false" ht="21.75" hidden="false" customHeight="true" outlineLevel="0" collapsed="false">
      <c r="A1719" s="82" t="n">
        <f aca="false">Data!A1719</f>
        <v>1718</v>
      </c>
      <c r="B1719" s="82" t="str">
        <f aca="false">IFERROR(INDEX(対訳マスタ!$C$2:$C$136,MATCH(Data!B1719,対訳マスタ!$B$2:$B$136,0)),Data!B1719)</f>
        <v>手話能力</v>
      </c>
      <c r="C1719" s="82" t="str">
        <f aca="false">IF(Data!C1719="—","—",IFERROR(INDEX(対訳マスタ!$C$2:$C$136,MATCH(Data!C1719,対訳マスタ!$B$2:$B$136,0)),Data!C1719))</f>
        <v>—</v>
      </c>
      <c r="D1719" s="82" t="str">
        <f aca="false">IF(Data!D1719="—","—",IFERROR(INDEX(対訳マスタ!$C$2:$C$136,MATCH(Data!D1719,対訳マスタ!$B$2:$B$136,0)),Data!D1719))</f>
        <v>語用能力</v>
      </c>
      <c r="E1719" s="82" t="str">
        <f aca="false">IFERROR(INDEX(対訳マスタ!$C$2:$C$136,MATCH(Data!E1719,対訳マスタ!$B$2:$B$136,0)),Data!E1719)</f>
        <v>言語への気づきと解釈</v>
      </c>
      <c r="F1719" s="82" t="str">
        <f aca="false">Data!F1719</f>
        <v>C1</v>
      </c>
      <c r="G1719" s="81" t="str">
        <f aca="false">Data!G1719</f>
        <v>Can explain creative language games in which the signer uses, e.g. the handshape, as an aesthetic element.</v>
      </c>
      <c r="H1719" s="81"/>
      <c r="I1719" s="82" t="s">
        <v>3625</v>
      </c>
    </row>
    <row r="1720" customFormat="false" ht="21.75" hidden="false" customHeight="true" outlineLevel="0" collapsed="false">
      <c r="A1720" s="82" t="n">
        <f aca="false">Data!A1720</f>
        <v>1719</v>
      </c>
      <c r="B1720" s="82" t="str">
        <f aca="false">IFERROR(INDEX(対訳マスタ!$C$2:$C$136,MATCH(Data!B1720,対訳マスタ!$B$2:$B$136,0)),Data!B1720)</f>
        <v>手話能力</v>
      </c>
      <c r="C1720" s="82" t="str">
        <f aca="false">IF(Data!C1720="—","—",IFERROR(INDEX(対訳マスタ!$C$2:$C$136,MATCH(Data!C1720,対訳マスタ!$B$2:$B$136,0)),Data!C1720))</f>
        <v>—</v>
      </c>
      <c r="D1720" s="82" t="str">
        <f aca="false">IF(Data!D1720="—","—",IFERROR(INDEX(対訳マスタ!$C$2:$C$136,MATCH(Data!D1720,対訳マスタ!$B$2:$B$136,0)),Data!D1720))</f>
        <v>語用能力</v>
      </c>
      <c r="E1720" s="82" t="str">
        <f aca="false">IFERROR(INDEX(対訳マスタ!$C$2:$C$136,MATCH(Data!E1720,対訳マスタ!$B$2:$B$136,0)),Data!E1720)</f>
        <v>言語への気づきと解釈</v>
      </c>
      <c r="F1720" s="82" t="str">
        <f aca="false">Data!F1720</f>
        <v>B2+</v>
      </c>
      <c r="G1720" s="81" t="str">
        <f aca="false">Data!G1720</f>
        <v>Can understand conveyed information that is implied, but not explicitly stated in a text (e.g., he went skiing, and I’ll visit him in hospital).</v>
      </c>
      <c r="H1720" s="81"/>
      <c r="I1720" s="82" t="s">
        <v>3625</v>
      </c>
    </row>
    <row r="1721" customFormat="false" ht="15" hidden="false" customHeight="true" outlineLevel="0" collapsed="false">
      <c r="A1721" s="82" t="n">
        <f aca="false">Data!A1721</f>
        <v>1720</v>
      </c>
      <c r="B1721" s="82" t="str">
        <f aca="false">IFERROR(INDEX(対訳マスタ!$C$2:$C$136,MATCH(Data!B1721,対訳マスタ!$B$2:$B$136,0)),Data!B1721)</f>
        <v>手話能力</v>
      </c>
      <c r="C1721" s="82" t="str">
        <f aca="false">IF(Data!C1721="—","—",IFERROR(INDEX(対訳マスタ!$C$2:$C$136,MATCH(Data!C1721,対訳マスタ!$B$2:$B$136,0)),Data!C1721))</f>
        <v>—</v>
      </c>
      <c r="D1721" s="82" t="str">
        <f aca="false">IF(Data!D1721="—","—",IFERROR(INDEX(対訳マスタ!$C$2:$C$136,MATCH(Data!D1721,対訳マスタ!$B$2:$B$136,0)),Data!D1721))</f>
        <v>語用能力</v>
      </c>
      <c r="E1721" s="82" t="str">
        <f aca="false">IFERROR(INDEX(対訳マスタ!$C$2:$C$136,MATCH(Data!E1721,対訳マスタ!$B$2:$B$136,0)),Data!E1721)</f>
        <v>言語への気づきと解釈</v>
      </c>
      <c r="F1721" s="82" t="str">
        <f aca="false">Data!F1721</f>
        <v>B2+</v>
      </c>
      <c r="G1721" s="81" t="str">
        <f aca="false">Data!G1721</f>
        <v>Can follow the main points of a text even when the signer also makes digressions.</v>
      </c>
      <c r="H1721" s="81"/>
      <c r="I1721" s="82" t="s">
        <v>3625</v>
      </c>
    </row>
    <row r="1722" customFormat="false" ht="15" hidden="false" customHeight="true" outlineLevel="0" collapsed="false">
      <c r="A1722" s="82" t="n">
        <f aca="false">Data!A1722</f>
        <v>1721</v>
      </c>
      <c r="B1722" s="82" t="str">
        <f aca="false">IFERROR(INDEX(対訳マスタ!$C$2:$C$136,MATCH(Data!B1722,対訳マスタ!$B$2:$B$136,0)),Data!B1722)</f>
        <v>手話能力</v>
      </c>
      <c r="C1722" s="82" t="str">
        <f aca="false">IF(Data!C1722="—","—",IFERROR(INDEX(対訳マスタ!$C$2:$C$136,MATCH(Data!C1722,対訳マスタ!$B$2:$B$136,0)),Data!C1722))</f>
        <v>—</v>
      </c>
      <c r="D1722" s="82" t="str">
        <f aca="false">IF(Data!D1722="—","—",IFERROR(INDEX(対訳マスタ!$C$2:$C$136,MATCH(Data!D1722,対訳マスタ!$B$2:$B$136,0)),Data!D1722))</f>
        <v>語用能力</v>
      </c>
      <c r="E1722" s="82" t="str">
        <f aca="false">IFERROR(INDEX(対訳マスタ!$C$2:$C$136,MATCH(Data!E1722,対訳マスタ!$B$2:$B$136,0)),Data!E1722)</f>
        <v>言語への気づきと解釈</v>
      </c>
      <c r="F1722" s="82" t="str">
        <f aca="false">Data!F1722</f>
        <v>B2+</v>
      </c>
      <c r="G1722" s="81" t="str">
        <f aca="false">Data!G1722</f>
        <v>Can recognise whether a signer is delivering a complex text in a relaxed or a tense way.</v>
      </c>
      <c r="H1722" s="81"/>
      <c r="I1722" s="82" t="s">
        <v>3625</v>
      </c>
    </row>
    <row r="1723" customFormat="false" ht="21.75" hidden="false" customHeight="true" outlineLevel="0" collapsed="false">
      <c r="A1723" s="82" t="n">
        <f aca="false">Data!A1723</f>
        <v>1722</v>
      </c>
      <c r="B1723" s="82" t="str">
        <f aca="false">IFERROR(INDEX(対訳マスタ!$C$2:$C$136,MATCH(Data!B1723,対訳マスタ!$B$2:$B$136,0)),Data!B1723)</f>
        <v>手話能力</v>
      </c>
      <c r="C1723" s="82" t="str">
        <f aca="false">IF(Data!C1723="—","—",IFERROR(INDEX(対訳マスタ!$C$2:$C$136,MATCH(Data!C1723,対訳マスタ!$B$2:$B$136,0)),Data!C1723))</f>
        <v>—</v>
      </c>
      <c r="D1723" s="82" t="str">
        <f aca="false">IF(Data!D1723="—","—",IFERROR(INDEX(対訳マスタ!$C$2:$C$136,MATCH(Data!D1723,対訳マスタ!$B$2:$B$136,0)),Data!D1723))</f>
        <v>語用能力</v>
      </c>
      <c r="E1723" s="82" t="str">
        <f aca="false">IFERROR(INDEX(対訳マスタ!$C$2:$C$136,MATCH(Data!E1723,対訳マスタ!$B$2:$B$136,0)),Data!E1723)</f>
        <v>言語への気づきと解釈</v>
      </c>
      <c r="F1723" s="82" t="str">
        <f aca="false">Data!F1723</f>
        <v>B2+</v>
      </c>
      <c r="G1723" s="81" t="str">
        <f aca="false">Data!G1723</f>
        <v>Can recognise whether the signer produces a text in a specific rhythm and describe the effect of various rhythms.</v>
      </c>
      <c r="H1723" s="81"/>
      <c r="I1723" s="82" t="s">
        <v>3625</v>
      </c>
    </row>
    <row r="1724" customFormat="false" ht="21.75" hidden="false" customHeight="true" outlineLevel="0" collapsed="false">
      <c r="A1724" s="82" t="n">
        <f aca="false">Data!A1724</f>
        <v>1723</v>
      </c>
      <c r="B1724" s="82" t="str">
        <f aca="false">IFERROR(INDEX(対訳マスタ!$C$2:$C$136,MATCH(Data!B1724,対訳マスタ!$B$2:$B$136,0)),Data!B1724)</f>
        <v>手話能力</v>
      </c>
      <c r="C1724" s="82" t="str">
        <f aca="false">IF(Data!C1724="—","—",IFERROR(INDEX(対訳マスタ!$C$2:$C$136,MATCH(Data!C1724,対訳マスタ!$B$2:$B$136,0)),Data!C1724))</f>
        <v>—</v>
      </c>
      <c r="D1724" s="82" t="str">
        <f aca="false">IF(Data!D1724="—","—",IFERROR(INDEX(対訳マスタ!$C$2:$C$136,MATCH(Data!D1724,対訳マスタ!$B$2:$B$136,0)),Data!D1724))</f>
        <v>語用能力</v>
      </c>
      <c r="E1724" s="82" t="str">
        <f aca="false">IFERROR(INDEX(対訳マスタ!$C$2:$C$136,MATCH(Data!E1724,対訳マスタ!$B$2:$B$136,0)),Data!E1724)</f>
        <v>言語への気づきと解釈</v>
      </c>
      <c r="F1724" s="82" t="str">
        <f aca="false">Data!F1724</f>
        <v>B2+</v>
      </c>
      <c r="G1724" s="81" t="str">
        <f aca="false">Data!G1724</f>
        <v>Can give reasons why the signer inserts pauses in a text, e.g., because they make sense as a structural element or because the signer has to reflect.</v>
      </c>
      <c r="H1724" s="81"/>
      <c r="I1724" s="82" t="s">
        <v>3625</v>
      </c>
    </row>
    <row r="1725" customFormat="false" ht="15" hidden="false" customHeight="true" outlineLevel="0" collapsed="false">
      <c r="A1725" s="82" t="n">
        <f aca="false">Data!A1725</f>
        <v>1724</v>
      </c>
      <c r="B1725" s="82" t="str">
        <f aca="false">IFERROR(INDEX(対訳マスタ!$C$2:$C$136,MATCH(Data!B1725,対訳マスタ!$B$2:$B$136,0)),Data!B1725)</f>
        <v>手話能力</v>
      </c>
      <c r="C1725" s="82" t="str">
        <f aca="false">IF(Data!C1725="—","—",IFERROR(INDEX(対訳マスタ!$C$2:$C$136,MATCH(Data!C1725,対訳マスタ!$B$2:$B$136,0)),Data!C1725))</f>
        <v>—</v>
      </c>
      <c r="D1725" s="82" t="str">
        <f aca="false">IF(Data!D1725="—","—",IFERROR(INDEX(対訳マスタ!$C$2:$C$136,MATCH(Data!D1725,対訳マスタ!$B$2:$B$136,0)),Data!D1725))</f>
        <v>語用能力</v>
      </c>
      <c r="E1725" s="82" t="str">
        <f aca="false">IFERROR(INDEX(対訳マスタ!$C$2:$C$136,MATCH(Data!E1725,対訳マスタ!$B$2:$B$136,0)),Data!E1725)</f>
        <v>言語への気づきと解釈</v>
      </c>
      <c r="F1725" s="82" t="str">
        <f aca="false">Data!F1725</f>
        <v>B2+</v>
      </c>
      <c r="G1725" s="81" t="str">
        <f aca="false">Data!G1725</f>
        <v>Can understand who has what opinion and how these opinions relate to each other.</v>
      </c>
      <c r="H1725" s="81"/>
      <c r="I1725" s="82" t="s">
        <v>3625</v>
      </c>
    </row>
    <row r="1726" customFormat="false" ht="21.75" hidden="false" customHeight="true" outlineLevel="0" collapsed="false">
      <c r="A1726" s="82" t="n">
        <f aca="false">Data!A1726</f>
        <v>1725</v>
      </c>
      <c r="B1726" s="82" t="str">
        <f aca="false">IFERROR(INDEX(対訳マスタ!$C$2:$C$136,MATCH(Data!B1726,対訳マスタ!$B$2:$B$136,0)),Data!B1726)</f>
        <v>手話能力</v>
      </c>
      <c r="C1726" s="82" t="str">
        <f aca="false">IF(Data!C1726="—","—",IFERROR(INDEX(対訳マスタ!$C$2:$C$136,MATCH(Data!C1726,対訳マスタ!$B$2:$B$136,0)),Data!C1726))</f>
        <v>—</v>
      </c>
      <c r="D1726" s="82" t="str">
        <f aca="false">IF(Data!D1726="—","—",IFERROR(INDEX(対訳マスタ!$C$2:$C$136,MATCH(Data!D1726,対訳マスタ!$B$2:$B$136,0)),Data!D1726))</f>
        <v>語用能力</v>
      </c>
      <c r="E1726" s="82" t="str">
        <f aca="false">IFERROR(INDEX(対訳マスタ!$C$2:$C$136,MATCH(Data!E1726,対訳マスタ!$B$2:$B$136,0)),Data!E1726)</f>
        <v>言語への気づきと解釈</v>
      </c>
      <c r="F1726" s="82" t="str">
        <f aca="false">Data!F1726</f>
        <v>B2+</v>
      </c>
      <c r="G1726" s="81" t="str">
        <f aca="false">Data!G1726</f>
        <v>Can recognise when a signer’s personal experiences influence the argumentation and when they do not.</v>
      </c>
      <c r="H1726" s="81"/>
      <c r="I1726" s="82" t="s">
        <v>3625</v>
      </c>
    </row>
    <row r="1727" customFormat="false" ht="15" hidden="false" customHeight="true" outlineLevel="0" collapsed="false">
      <c r="A1727" s="82" t="n">
        <f aca="false">Data!A1727</f>
        <v>1726</v>
      </c>
      <c r="B1727" s="82" t="str">
        <f aca="false">IFERROR(INDEX(対訳マスタ!$C$2:$C$136,MATCH(Data!B1727,対訳マスタ!$B$2:$B$136,0)),Data!B1727)</f>
        <v>手話能力</v>
      </c>
      <c r="C1727" s="82" t="str">
        <f aca="false">IF(Data!C1727="—","—",IFERROR(INDEX(対訳マスタ!$C$2:$C$136,MATCH(Data!C1727,対訳マスタ!$B$2:$B$136,0)),Data!C1727))</f>
        <v>—</v>
      </c>
      <c r="D1727" s="82" t="str">
        <f aca="false">IF(Data!D1727="—","—",IFERROR(INDEX(対訳マスタ!$C$2:$C$136,MATCH(Data!D1727,対訳マスタ!$B$2:$B$136,0)),Data!D1727))</f>
        <v>語用能力</v>
      </c>
      <c r="E1727" s="82" t="str">
        <f aca="false">IFERROR(INDEX(対訳マスタ!$C$2:$C$136,MATCH(Data!E1727,対訳マスタ!$B$2:$B$136,0)),Data!E1727)</f>
        <v>言語への気づきと解釈</v>
      </c>
      <c r="F1727" s="82" t="str">
        <f aca="false">Data!F1727</f>
        <v>B2</v>
      </c>
      <c r="G1727" s="81" t="str">
        <f aca="false">Data!G1727</f>
        <v>Can determine whether the signing style used is in keeping with the content.</v>
      </c>
      <c r="H1727" s="81"/>
      <c r="I1727" s="82" t="s">
        <v>3625</v>
      </c>
    </row>
    <row r="1728" customFormat="false" ht="21.75" hidden="false" customHeight="true" outlineLevel="0" collapsed="false">
      <c r="A1728" s="82" t="n">
        <f aca="false">Data!A1728</f>
        <v>1727</v>
      </c>
      <c r="B1728" s="82" t="str">
        <f aca="false">IFERROR(INDEX(対訳マスタ!$C$2:$C$136,MATCH(Data!B1728,対訳マスタ!$B$2:$B$136,0)),Data!B1728)</f>
        <v>手話能力</v>
      </c>
      <c r="C1728" s="82" t="str">
        <f aca="false">IF(Data!C1728="—","—",IFERROR(INDEX(対訳マスタ!$C$2:$C$136,MATCH(Data!C1728,対訳マスタ!$B$2:$B$136,0)),Data!C1728))</f>
        <v>—</v>
      </c>
      <c r="D1728" s="82" t="str">
        <f aca="false">IF(Data!D1728="—","—",IFERROR(INDEX(対訳マスタ!$C$2:$C$136,MATCH(Data!D1728,対訳マスタ!$B$2:$B$136,0)),Data!D1728))</f>
        <v>語用能力</v>
      </c>
      <c r="E1728" s="82" t="str">
        <f aca="false">IFERROR(INDEX(対訳マスタ!$C$2:$C$136,MATCH(Data!E1728,対訳マスタ!$B$2:$B$136,0)),Data!E1728)</f>
        <v>言語への気づきと解釈</v>
      </c>
      <c r="F1728" s="82" t="str">
        <f aca="false">Data!F1728</f>
        <v>B2</v>
      </c>
      <c r="G1728" s="81" t="str">
        <f aca="false">Data!G1728</f>
        <v>Can decide on the basis of the interlocutor’s signs and non-manual cues how certain the signer is about what they are saying (e.g., &lt;undecided&gt; / &lt;uncertain&gt; / &lt;probable&gt;).</v>
      </c>
      <c r="H1728" s="81"/>
      <c r="I1728" s="82" t="s">
        <v>3625</v>
      </c>
    </row>
    <row r="1729" customFormat="false" ht="15" hidden="false" customHeight="true" outlineLevel="0" collapsed="false">
      <c r="A1729" s="82" t="n">
        <f aca="false">Data!A1729</f>
        <v>1728</v>
      </c>
      <c r="B1729" s="82" t="str">
        <f aca="false">IFERROR(INDEX(対訳マスタ!$C$2:$C$136,MATCH(Data!B1729,対訳マスタ!$B$2:$B$136,0)),Data!B1729)</f>
        <v>手話能力</v>
      </c>
      <c r="C1729" s="82" t="str">
        <f aca="false">IF(Data!C1729="—","—",IFERROR(INDEX(対訳マスタ!$C$2:$C$136,MATCH(Data!C1729,対訳マスタ!$B$2:$B$136,0)),Data!C1729))</f>
        <v>—</v>
      </c>
      <c r="D1729" s="82" t="str">
        <f aca="false">IF(Data!D1729="—","—",IFERROR(INDEX(対訳マスタ!$C$2:$C$136,MATCH(Data!D1729,対訳マスタ!$B$2:$B$136,0)),Data!D1729))</f>
        <v>語用能力</v>
      </c>
      <c r="E1729" s="82" t="str">
        <f aca="false">IFERROR(INDEX(対訳マスタ!$C$2:$C$136,MATCH(Data!E1729,対訳マスタ!$B$2:$B$136,0)),Data!E1729)</f>
        <v>言語への気づきと解釈</v>
      </c>
      <c r="F1729" s="82" t="str">
        <f aca="false">Data!F1729</f>
        <v>B2</v>
      </c>
      <c r="G1729" s="81" t="str">
        <f aca="false">Data!G1729</f>
        <v>Can distinguish productive signs with classifier constructions from imitative, iconic signs.</v>
      </c>
      <c r="H1729" s="81"/>
      <c r="I1729" s="82" t="s">
        <v>3625</v>
      </c>
    </row>
    <row r="1730" customFormat="false" ht="21.75" hidden="false" customHeight="true" outlineLevel="0" collapsed="false">
      <c r="A1730" s="82" t="n">
        <f aca="false">Data!A1730</f>
        <v>1729</v>
      </c>
      <c r="B1730" s="82" t="str">
        <f aca="false">IFERROR(INDEX(対訳マスタ!$C$2:$C$136,MATCH(Data!B1730,対訳マスタ!$B$2:$B$136,0)),Data!B1730)</f>
        <v>手話能力</v>
      </c>
      <c r="C1730" s="82" t="str">
        <f aca="false">IF(Data!C1730="—","—",IFERROR(INDEX(対訳マスタ!$C$2:$C$136,MATCH(Data!C1730,対訳マスタ!$B$2:$B$136,0)),Data!C1730))</f>
        <v>—</v>
      </c>
      <c r="D1730" s="82" t="str">
        <f aca="false">IF(Data!D1730="—","—",IFERROR(INDEX(対訳マスタ!$C$2:$C$136,MATCH(Data!D1730,対訳マスタ!$B$2:$B$136,0)),Data!D1730))</f>
        <v>語用能力</v>
      </c>
      <c r="E1730" s="82" t="str">
        <f aca="false">IFERROR(INDEX(対訳マスタ!$C$2:$C$136,MATCH(Data!E1730,対訳マスタ!$B$2:$B$136,0)),Data!E1730)</f>
        <v>言語への気づきと解釈</v>
      </c>
      <c r="F1730" s="82" t="str">
        <f aca="false">Data!F1730</f>
        <v>B2</v>
      </c>
      <c r="G1730" s="81" t="str">
        <f aca="false">Data!G1730</f>
        <v>Can follow the signs made by an interlocutor even when less use is made of non-manual means.</v>
      </c>
      <c r="H1730" s="81"/>
      <c r="I1730" s="82" t="s">
        <v>3625</v>
      </c>
    </row>
    <row r="1731" customFormat="false" ht="15" hidden="false" customHeight="true" outlineLevel="0" collapsed="false">
      <c r="A1731" s="82" t="n">
        <f aca="false">Data!A1731</f>
        <v>1730</v>
      </c>
      <c r="B1731" s="82" t="str">
        <f aca="false">IFERROR(INDEX(対訳マスタ!$C$2:$C$136,MATCH(Data!B1731,対訳マスタ!$B$2:$B$136,0)),Data!B1731)</f>
        <v>手話能力</v>
      </c>
      <c r="C1731" s="82" t="str">
        <f aca="false">IF(Data!C1731="—","—",IFERROR(INDEX(対訳マスタ!$C$2:$C$136,MATCH(Data!C1731,対訳マスタ!$B$2:$B$136,0)),Data!C1731))</f>
        <v>—</v>
      </c>
      <c r="D1731" s="82" t="str">
        <f aca="false">IF(Data!D1731="—","—",IFERROR(INDEX(対訳マスタ!$C$2:$C$136,MATCH(Data!D1731,対訳マスタ!$B$2:$B$136,0)),Data!D1731))</f>
        <v>語用能力</v>
      </c>
      <c r="E1731" s="82" t="str">
        <f aca="false">IFERROR(INDEX(対訳マスタ!$C$2:$C$136,MATCH(Data!E1731,対訳マスタ!$B$2:$B$136,0)),Data!E1731)</f>
        <v>言語への気づきと解釈</v>
      </c>
      <c r="F1731" s="82" t="str">
        <f aca="false">Data!F1731</f>
        <v>B2</v>
      </c>
      <c r="G1731" s="81" t="str">
        <f aca="false">Data!G1731</f>
        <v>Can describe the effect that the sign speed of a text has on them.</v>
      </c>
      <c r="H1731" s="81"/>
      <c r="I1731" s="82" t="s">
        <v>3625</v>
      </c>
    </row>
    <row r="1732" customFormat="false" ht="21.75" hidden="false" customHeight="true" outlineLevel="0" collapsed="false">
      <c r="A1732" s="82" t="n">
        <f aca="false">Data!A1732</f>
        <v>1731</v>
      </c>
      <c r="B1732" s="82" t="str">
        <f aca="false">IFERROR(INDEX(対訳マスタ!$C$2:$C$136,MATCH(Data!B1732,対訳マスタ!$B$2:$B$136,0)),Data!B1732)</f>
        <v>手話能力</v>
      </c>
      <c r="C1732" s="82" t="str">
        <f aca="false">IF(Data!C1732="—","—",IFERROR(INDEX(対訳マスタ!$C$2:$C$136,MATCH(Data!C1732,対訳マスタ!$B$2:$B$136,0)),Data!C1732))</f>
        <v>—</v>
      </c>
      <c r="D1732" s="82" t="str">
        <f aca="false">IF(Data!D1732="—","—",IFERROR(INDEX(対訳マスタ!$C$2:$C$136,MATCH(Data!D1732,対訳マスタ!$B$2:$B$136,0)),Data!D1732))</f>
        <v>語用能力</v>
      </c>
      <c r="E1732" s="82" t="str">
        <f aca="false">IFERROR(INDEX(対訳マスタ!$C$2:$C$136,MATCH(Data!E1732,対訳マスタ!$B$2:$B$136,0)),Data!E1732)</f>
        <v>言語への気づきと解釈</v>
      </c>
      <c r="F1732" s="82" t="str">
        <f aca="false">Data!F1732</f>
        <v>B2</v>
      </c>
      <c r="G1732" s="81" t="str">
        <f aca="false">Data!G1732</f>
        <v>Can judge whether a person presents themselves in a way that is in keeping with the context and the type of text concerned (clothing, aura, well-groomed appearance).</v>
      </c>
      <c r="H1732" s="81"/>
      <c r="I1732" s="82" t="s">
        <v>3625</v>
      </c>
    </row>
    <row r="1733" customFormat="false" ht="15" hidden="false" customHeight="true" outlineLevel="0" collapsed="false">
      <c r="A1733" s="82" t="n">
        <f aca="false">Data!A1733</f>
        <v>1732</v>
      </c>
      <c r="B1733" s="82" t="str">
        <f aca="false">IFERROR(INDEX(対訳マスタ!$C$2:$C$136,MATCH(Data!B1733,対訳マスタ!$B$2:$B$136,0)),Data!B1733)</f>
        <v>手話能力</v>
      </c>
      <c r="C1733" s="82" t="str">
        <f aca="false">IF(Data!C1733="—","—",IFERROR(INDEX(対訳マスタ!$C$2:$C$136,MATCH(Data!C1733,対訳マスタ!$B$2:$B$136,0)),Data!C1733))</f>
        <v>—</v>
      </c>
      <c r="D1733" s="82" t="str">
        <f aca="false">IF(Data!D1733="—","—",IFERROR(INDEX(対訳マスタ!$C$2:$C$136,MATCH(Data!D1733,対訳マスタ!$B$2:$B$136,0)),Data!D1733))</f>
        <v>語用能力</v>
      </c>
      <c r="E1733" s="82" t="str">
        <f aca="false">IFERROR(INDEX(対訳マスタ!$C$2:$C$136,MATCH(Data!E1733,対訳マスタ!$B$2:$B$136,0)),Data!E1733)</f>
        <v>言語への気づきと解釈</v>
      </c>
      <c r="F1733" s="82" t="str">
        <f aca="false">Data!F1733</f>
        <v>B2</v>
      </c>
      <c r="G1733" s="81" t="str">
        <f aca="false">Data!G1733</f>
        <v>Can deduce the meaning of unfamiliar signs using comparisons and analogies.</v>
      </c>
      <c r="H1733" s="81"/>
      <c r="I1733" s="82" t="s">
        <v>3625</v>
      </c>
    </row>
    <row r="1734" customFormat="false" ht="15" hidden="false" customHeight="true" outlineLevel="0" collapsed="false">
      <c r="A1734" s="82" t="n">
        <f aca="false">Data!A1734</f>
        <v>1733</v>
      </c>
      <c r="B1734" s="82" t="str">
        <f aca="false">IFERROR(INDEX(対訳マスタ!$C$2:$C$136,MATCH(Data!B1734,対訳マスタ!$B$2:$B$136,0)),Data!B1734)</f>
        <v>手話能力</v>
      </c>
      <c r="C1734" s="82" t="str">
        <f aca="false">IF(Data!C1734="—","—",IFERROR(INDEX(対訳マスタ!$C$2:$C$136,MATCH(Data!C1734,対訳マスタ!$B$2:$B$136,0)),Data!C1734))</f>
        <v>—</v>
      </c>
      <c r="D1734" s="82" t="str">
        <f aca="false">IF(Data!D1734="—","—",IFERROR(INDEX(対訳マスタ!$C$2:$C$136,MATCH(Data!D1734,対訳マスタ!$B$2:$B$136,0)),Data!D1734))</f>
        <v>語用能力</v>
      </c>
      <c r="E1734" s="82" t="str">
        <f aca="false">IFERROR(INDEX(対訳マスタ!$C$2:$C$136,MATCH(Data!E1734,対訳マスタ!$B$2:$B$136,0)),Data!E1734)</f>
        <v>言語への気づきと解釈</v>
      </c>
      <c r="F1734" s="82" t="str">
        <f aca="false">Data!F1734</f>
        <v>B1+</v>
      </c>
      <c r="G1734" s="81" t="str">
        <f aca="false">Data!G1734</f>
        <v>Can understand the sequence of events from the sequence of statements made.</v>
      </c>
      <c r="H1734" s="81"/>
      <c r="I1734" s="82" t="s">
        <v>3625</v>
      </c>
    </row>
    <row r="1735" customFormat="false" ht="15" hidden="false" customHeight="true" outlineLevel="0" collapsed="false">
      <c r="A1735" s="82" t="n">
        <f aca="false">Data!A1735</f>
        <v>1734</v>
      </c>
      <c r="B1735" s="82" t="str">
        <f aca="false">IFERROR(INDEX(対訳マスタ!$C$2:$C$136,MATCH(Data!B1735,対訳マスタ!$B$2:$B$136,0)),Data!B1735)</f>
        <v>手話能力</v>
      </c>
      <c r="C1735" s="82" t="str">
        <f aca="false">IF(Data!C1735="—","—",IFERROR(INDEX(対訳マスタ!$C$2:$C$136,MATCH(Data!C1735,対訳マスタ!$B$2:$B$136,0)),Data!C1735))</f>
        <v>—</v>
      </c>
      <c r="D1735" s="82" t="str">
        <f aca="false">IF(Data!D1735="—","—",IFERROR(INDEX(対訳マスタ!$C$2:$C$136,MATCH(Data!D1735,対訳マスタ!$B$2:$B$136,0)),Data!D1735))</f>
        <v>語用能力</v>
      </c>
      <c r="E1735" s="82" t="str">
        <f aca="false">IFERROR(INDEX(対訳マスタ!$C$2:$C$136,MATCH(Data!E1735,対訳マスタ!$B$2:$B$136,0)),Data!E1735)</f>
        <v>言語への気づきと解釈</v>
      </c>
      <c r="F1735" s="82" t="str">
        <f aca="false">Data!F1735</f>
        <v>B1+</v>
      </c>
      <c r="G1735" s="81" t="str">
        <f aca="false">Data!G1735</f>
        <v>Can understand simple “for” and “against” arguments on a particular issue.</v>
      </c>
      <c r="H1735" s="81"/>
      <c r="I1735" s="82" t="s">
        <v>3625</v>
      </c>
    </row>
    <row r="1736" customFormat="false" ht="15" hidden="false" customHeight="true" outlineLevel="0" collapsed="false">
      <c r="A1736" s="82" t="n">
        <f aca="false">Data!A1736</f>
        <v>1735</v>
      </c>
      <c r="B1736" s="82" t="str">
        <f aca="false">IFERROR(INDEX(対訳マスタ!$C$2:$C$136,MATCH(Data!B1736,対訳マスタ!$B$2:$B$136,0)),Data!B1736)</f>
        <v>手話能力</v>
      </c>
      <c r="C1736" s="82" t="str">
        <f aca="false">IF(Data!C1736="—","—",IFERROR(INDEX(対訳マスタ!$C$2:$C$136,MATCH(Data!C1736,対訳マスタ!$B$2:$B$136,0)),Data!C1736))</f>
        <v>—</v>
      </c>
      <c r="D1736" s="82" t="str">
        <f aca="false">IF(Data!D1736="—","—",IFERROR(INDEX(対訳マスタ!$C$2:$C$136,MATCH(Data!D1736,対訳マスタ!$B$2:$B$136,0)),Data!D1736))</f>
        <v>語用能力</v>
      </c>
      <c r="E1736" s="82" t="str">
        <f aca="false">IFERROR(INDEX(対訳マスタ!$C$2:$C$136,MATCH(Data!E1736,対訳マスタ!$B$2:$B$136,0)),Data!E1736)</f>
        <v>言語への気づきと解釈</v>
      </c>
      <c r="F1736" s="82" t="str">
        <f aca="false">Data!F1736</f>
        <v>B1+</v>
      </c>
      <c r="G1736" s="81" t="str">
        <f aca="false">Data!G1736</f>
        <v>Can understand what advantages and disadvantages a text mentions on a subject.</v>
      </c>
      <c r="H1736" s="81"/>
      <c r="I1736" s="82" t="s">
        <v>3625</v>
      </c>
    </row>
    <row r="1737" customFormat="false" ht="15" hidden="false" customHeight="true" outlineLevel="0" collapsed="false">
      <c r="A1737" s="82" t="n">
        <f aca="false">Data!A1737</f>
        <v>1736</v>
      </c>
      <c r="B1737" s="82" t="str">
        <f aca="false">IFERROR(INDEX(対訳マスタ!$C$2:$C$136,MATCH(Data!B1737,対訳マスタ!$B$2:$B$136,0)),Data!B1737)</f>
        <v>手話能力</v>
      </c>
      <c r="C1737" s="82" t="str">
        <f aca="false">IF(Data!C1737="—","—",IFERROR(INDEX(対訳マスタ!$C$2:$C$136,MATCH(Data!C1737,対訳マスタ!$B$2:$B$136,0)),Data!C1737))</f>
        <v>—</v>
      </c>
      <c r="D1737" s="82" t="str">
        <f aca="false">IF(Data!D1737="—","—",IFERROR(INDEX(対訳マスタ!$C$2:$C$136,MATCH(Data!D1737,対訳マスタ!$B$2:$B$136,0)),Data!D1737))</f>
        <v>語用能力</v>
      </c>
      <c r="E1737" s="82" t="str">
        <f aca="false">IFERROR(INDEX(対訳マスタ!$C$2:$C$136,MATCH(Data!E1737,対訳マスタ!$B$2:$B$136,0)),Data!E1737)</f>
        <v>言語への気づきと解釈</v>
      </c>
      <c r="F1737" s="82" t="str">
        <f aca="false">Data!F1737</f>
        <v>B1+</v>
      </c>
      <c r="G1737" s="81" t="str">
        <f aca="false">Data!G1737</f>
        <v>Can understand the key aspects of conclusions.</v>
      </c>
      <c r="H1737" s="81"/>
      <c r="I1737" s="82" t="s">
        <v>3625</v>
      </c>
    </row>
    <row r="1738" customFormat="false" ht="21.75" hidden="false" customHeight="true" outlineLevel="0" collapsed="false">
      <c r="A1738" s="82" t="n">
        <f aca="false">Data!A1738</f>
        <v>1737</v>
      </c>
      <c r="B1738" s="82" t="str">
        <f aca="false">IFERROR(INDEX(対訳マスタ!$C$2:$C$136,MATCH(Data!B1738,対訳マスタ!$B$2:$B$136,0)),Data!B1738)</f>
        <v>手話能力</v>
      </c>
      <c r="C1738" s="82" t="str">
        <f aca="false">IF(Data!C1738="—","—",IFERROR(INDEX(対訳マスタ!$C$2:$C$136,MATCH(Data!C1738,対訳マスタ!$B$2:$B$136,0)),Data!C1738))</f>
        <v>—</v>
      </c>
      <c r="D1738" s="82" t="str">
        <f aca="false">IF(Data!D1738="—","—",IFERROR(INDEX(対訳マスタ!$C$2:$C$136,MATCH(Data!D1738,対訳マスタ!$B$2:$B$136,0)),Data!D1738))</f>
        <v>語用能力</v>
      </c>
      <c r="E1738" s="82" t="str">
        <f aca="false">IFERROR(INDEX(対訳マスタ!$C$2:$C$136,MATCH(Data!E1738,対訳マスタ!$B$2:$B$136,0)),Data!E1738)</f>
        <v>言語への気づきと解釈</v>
      </c>
      <c r="F1738" s="82" t="str">
        <f aca="false">Data!F1738</f>
        <v>B1+</v>
      </c>
      <c r="G1738" s="81" t="str">
        <f aca="false">Data!G1738</f>
        <v>Can recognise and correctly interpret important elements on the basis of non-manual components used for emphasis (e.g., facial expression, size of movement).</v>
      </c>
      <c r="H1738" s="81"/>
      <c r="I1738" s="82" t="s">
        <v>3625</v>
      </c>
    </row>
    <row r="1739" customFormat="false" ht="21.75" hidden="false" customHeight="true" outlineLevel="0" collapsed="false">
      <c r="A1739" s="82" t="n">
        <f aca="false">Data!A1739</f>
        <v>1738</v>
      </c>
      <c r="B1739" s="82" t="str">
        <f aca="false">IFERROR(INDEX(対訳マスタ!$C$2:$C$136,MATCH(Data!B1739,対訳マスタ!$B$2:$B$136,0)),Data!B1739)</f>
        <v>手話能力</v>
      </c>
      <c r="C1739" s="82" t="str">
        <f aca="false">IF(Data!C1739="—","—",IFERROR(INDEX(対訳マスタ!$C$2:$C$136,MATCH(Data!C1739,対訳マスタ!$B$2:$B$136,0)),Data!C1739))</f>
        <v>—</v>
      </c>
      <c r="D1739" s="82" t="str">
        <f aca="false">IF(Data!D1739="—","—",IFERROR(INDEX(対訳マスタ!$C$2:$C$136,MATCH(Data!D1739,対訳マスタ!$B$2:$B$136,0)),Data!D1739))</f>
        <v>語用能力</v>
      </c>
      <c r="E1739" s="82" t="str">
        <f aca="false">IFERROR(INDEX(対訳マスタ!$C$2:$C$136,MATCH(Data!E1739,対訳マスタ!$B$2:$B$136,0)),Data!E1739)</f>
        <v>言語への気づきと解釈</v>
      </c>
      <c r="F1739" s="82" t="str">
        <f aca="false">Data!F1739</f>
        <v>B1+</v>
      </c>
      <c r="G1739" s="81" t="str">
        <f aca="false">Data!G1739</f>
        <v>Can infer from the classifiers used what general term is being talked about (e.g., “murder” from the handling of a murder weapon).</v>
      </c>
      <c r="H1739" s="81"/>
      <c r="I1739" s="82" t="s">
        <v>3625</v>
      </c>
    </row>
    <row r="1740" customFormat="false" ht="15" hidden="false" customHeight="true" outlineLevel="0" collapsed="false">
      <c r="A1740" s="82" t="n">
        <f aca="false">Data!A1740</f>
        <v>1739</v>
      </c>
      <c r="B1740" s="82" t="str">
        <f aca="false">IFERROR(INDEX(対訳マスタ!$C$2:$C$136,MATCH(Data!B1740,対訳マスタ!$B$2:$B$136,0)),Data!B1740)</f>
        <v>手話能力</v>
      </c>
      <c r="C1740" s="82" t="str">
        <f aca="false">IF(Data!C1740="—","—",IFERROR(INDEX(対訳マスタ!$C$2:$C$136,MATCH(Data!C1740,対訳マスタ!$B$2:$B$136,0)),Data!C1740))</f>
        <v>—</v>
      </c>
      <c r="D1740" s="82" t="str">
        <f aca="false">IF(Data!D1740="—","—",IFERROR(INDEX(対訳マスタ!$C$2:$C$136,MATCH(Data!D1740,対訳マスタ!$B$2:$B$136,0)),Data!D1740))</f>
        <v>語用能力</v>
      </c>
      <c r="E1740" s="82" t="str">
        <f aca="false">IFERROR(INDEX(対訳マスタ!$C$2:$C$136,MATCH(Data!E1740,対訳マスタ!$B$2:$B$136,0)),Data!E1740)</f>
        <v>言語への気づきと解釈</v>
      </c>
      <c r="F1740" s="82" t="str">
        <f aca="false">Data!F1740</f>
        <v>B1+</v>
      </c>
      <c r="G1740" s="81" t="str">
        <f aca="false">Data!G1740</f>
        <v>Can distinguish between important and unimportant content in a text.</v>
      </c>
      <c r="H1740" s="81"/>
      <c r="I1740" s="82" t="s">
        <v>3625</v>
      </c>
    </row>
    <row r="1741" customFormat="false" ht="15" hidden="false" customHeight="true" outlineLevel="0" collapsed="false">
      <c r="A1741" s="82" t="n">
        <f aca="false">Data!A1741</f>
        <v>1740</v>
      </c>
      <c r="B1741" s="82" t="str">
        <f aca="false">IFERROR(INDEX(対訳マスタ!$C$2:$C$136,MATCH(Data!B1741,対訳マスタ!$B$2:$B$136,0)),Data!B1741)</f>
        <v>手話能力</v>
      </c>
      <c r="C1741" s="82" t="str">
        <f aca="false">IF(Data!C1741="—","—",IFERROR(INDEX(対訳マスタ!$C$2:$C$136,MATCH(Data!C1741,対訳マスタ!$B$2:$B$136,0)),Data!C1741))</f>
        <v>—</v>
      </c>
      <c r="D1741" s="82" t="str">
        <f aca="false">IF(Data!D1741="—","—",IFERROR(INDEX(対訳マスタ!$C$2:$C$136,MATCH(Data!D1741,対訳マスタ!$B$2:$B$136,0)),Data!D1741))</f>
        <v>語用能力</v>
      </c>
      <c r="E1741" s="82" t="str">
        <f aca="false">IFERROR(INDEX(対訳マスタ!$C$2:$C$136,MATCH(Data!E1741,対訳マスタ!$B$2:$B$136,0)),Data!E1741)</f>
        <v>言語への気づきと解釈</v>
      </c>
      <c r="F1741" s="82" t="str">
        <f aca="false">Data!F1741</f>
        <v>B1</v>
      </c>
      <c r="G1741" s="81" t="str">
        <f aca="false">Data!G1741</f>
        <v>Can infer the temporal aspect from the movements of the upper body.</v>
      </c>
      <c r="H1741" s="81"/>
      <c r="I1741" s="82" t="s">
        <v>3625</v>
      </c>
    </row>
    <row r="1742" customFormat="false" ht="15" hidden="false" customHeight="true" outlineLevel="0" collapsed="false">
      <c r="A1742" s="82" t="n">
        <f aca="false">Data!A1742</f>
        <v>1741</v>
      </c>
      <c r="B1742" s="82" t="str">
        <f aca="false">IFERROR(INDEX(対訳マスタ!$C$2:$C$136,MATCH(Data!B1742,対訳マスタ!$B$2:$B$136,0)),Data!B1742)</f>
        <v>手話能力</v>
      </c>
      <c r="C1742" s="82" t="str">
        <f aca="false">IF(Data!C1742="—","—",IFERROR(INDEX(対訳マスタ!$C$2:$C$136,MATCH(Data!C1742,対訳マスタ!$B$2:$B$136,0)),Data!C1742))</f>
        <v>—</v>
      </c>
      <c r="D1742" s="82" t="str">
        <f aca="false">IF(Data!D1742="—","—",IFERROR(INDEX(対訳マスタ!$C$2:$C$136,MATCH(Data!D1742,対訳マスタ!$B$2:$B$136,0)),Data!D1742))</f>
        <v>語用能力</v>
      </c>
      <c r="E1742" s="82" t="str">
        <f aca="false">IFERROR(INDEX(対訳マスタ!$C$2:$C$136,MATCH(Data!E1742,対訳マスタ!$B$2:$B$136,0)),Data!E1742)</f>
        <v>言語への気づきと解釈</v>
      </c>
      <c r="F1742" s="82" t="str">
        <f aca="false">Data!F1742</f>
        <v>B1</v>
      </c>
      <c r="G1742" s="81" t="str">
        <f aca="false">Data!G1742</f>
        <v>Can understand a text so well that they are emotionally affected.</v>
      </c>
      <c r="H1742" s="81"/>
      <c r="I1742" s="82" t="s">
        <v>3625</v>
      </c>
    </row>
    <row r="1743" customFormat="false" ht="21.75" hidden="false" customHeight="true" outlineLevel="0" collapsed="false">
      <c r="A1743" s="82" t="n">
        <f aca="false">Data!A1743</f>
        <v>1742</v>
      </c>
      <c r="B1743" s="82" t="str">
        <f aca="false">IFERROR(INDEX(対訳マスタ!$C$2:$C$136,MATCH(Data!B1743,対訳マスタ!$B$2:$B$136,0)),Data!B1743)</f>
        <v>手話能力</v>
      </c>
      <c r="C1743" s="82" t="str">
        <f aca="false">IF(Data!C1743="—","—",IFERROR(INDEX(対訳マスタ!$C$2:$C$136,MATCH(Data!C1743,対訳マスタ!$B$2:$B$136,0)),Data!C1743))</f>
        <v>—</v>
      </c>
      <c r="D1743" s="82" t="str">
        <f aca="false">IF(Data!D1743="—","—",IFERROR(INDEX(対訳マスタ!$C$2:$C$136,MATCH(Data!D1743,対訳マスタ!$B$2:$B$136,0)),Data!D1743))</f>
        <v>語用能力</v>
      </c>
      <c r="E1743" s="82" t="str">
        <f aca="false">IFERROR(INDEX(対訳マスタ!$C$2:$C$136,MATCH(Data!E1743,対訳マスタ!$B$2:$B$136,0)),Data!E1743)</f>
        <v>言語への気づきと解釈</v>
      </c>
      <c r="F1743" s="82" t="str">
        <f aca="false">Data!F1743</f>
        <v>B1</v>
      </c>
      <c r="G1743" s="81" t="str">
        <f aca="false">Data!G1743</f>
        <v>Can recognise the non-manual elements employed by a signer to produce tension in the text.</v>
      </c>
      <c r="H1743" s="81"/>
      <c r="I1743" s="82" t="s">
        <v>3625</v>
      </c>
    </row>
    <row r="1744" customFormat="false" ht="15" hidden="false" customHeight="true" outlineLevel="0" collapsed="false">
      <c r="A1744" s="82" t="n">
        <f aca="false">Data!A1744</f>
        <v>1743</v>
      </c>
      <c r="B1744" s="82" t="str">
        <f aca="false">IFERROR(INDEX(対訳マスタ!$C$2:$C$136,MATCH(Data!B1744,対訳マスタ!$B$2:$B$136,0)),Data!B1744)</f>
        <v>手話能力</v>
      </c>
      <c r="C1744" s="82" t="str">
        <f aca="false">IF(Data!C1744="—","—",IFERROR(INDEX(対訳マスタ!$C$2:$C$136,MATCH(Data!C1744,対訳マスタ!$B$2:$B$136,0)),Data!C1744))</f>
        <v>—</v>
      </c>
      <c r="D1744" s="82" t="str">
        <f aca="false">IF(Data!D1744="—","—",IFERROR(INDEX(対訳マスタ!$C$2:$C$136,MATCH(Data!D1744,対訳マスタ!$B$2:$B$136,0)),Data!D1744))</f>
        <v>語用能力</v>
      </c>
      <c r="E1744" s="82" t="str">
        <f aca="false">IFERROR(INDEX(対訳マスタ!$C$2:$C$136,MATCH(Data!E1744,対訳マスタ!$B$2:$B$136,0)),Data!E1744)</f>
        <v>言語への気づきと解釈</v>
      </c>
      <c r="F1744" s="82" t="str">
        <f aca="false">Data!F1744</f>
        <v>B1</v>
      </c>
      <c r="G1744" s="81" t="str">
        <f aca="false">Data!G1744</f>
        <v>Can correctly interpret the &lt;palm-up&gt; sign (e.g., to indicate a pause).</v>
      </c>
      <c r="H1744" s="81"/>
      <c r="I1744" s="82" t="s">
        <v>3625</v>
      </c>
    </row>
    <row r="1745" customFormat="false" ht="15" hidden="false" customHeight="true" outlineLevel="0" collapsed="false">
      <c r="A1745" s="82" t="n">
        <f aca="false">Data!A1745</f>
        <v>1744</v>
      </c>
      <c r="B1745" s="82" t="str">
        <f aca="false">IFERROR(INDEX(対訳マスタ!$C$2:$C$136,MATCH(Data!B1745,対訳マスタ!$B$2:$B$136,0)),Data!B1745)</f>
        <v>手話能力</v>
      </c>
      <c r="C1745" s="82" t="str">
        <f aca="false">IF(Data!C1745="—","—",IFERROR(INDEX(対訳マスタ!$C$2:$C$136,MATCH(Data!C1745,対訳マスタ!$B$2:$B$136,0)),Data!C1745))</f>
        <v>—</v>
      </c>
      <c r="D1745" s="82" t="str">
        <f aca="false">IF(Data!D1745="—","—",IFERROR(INDEX(対訳マスタ!$C$2:$C$136,MATCH(Data!D1745,対訳マスタ!$B$2:$B$136,0)),Data!D1745))</f>
        <v>語用能力</v>
      </c>
      <c r="E1745" s="82" t="str">
        <f aca="false">IFERROR(INDEX(対訳マスタ!$C$2:$C$136,MATCH(Data!E1745,対訳マスタ!$B$2:$B$136,0)),Data!E1745)</f>
        <v>言語への気づきと解釈</v>
      </c>
      <c r="F1745" s="82" t="str">
        <f aca="false">Data!F1745</f>
        <v>B1</v>
      </c>
      <c r="G1745" s="81" t="str">
        <f aca="false">Data!G1745</f>
        <v>Can recognise and understand non-manual markers.</v>
      </c>
      <c r="H1745" s="81"/>
      <c r="I1745" s="82" t="s">
        <v>3625</v>
      </c>
    </row>
    <row r="1746" customFormat="false" ht="15" hidden="false" customHeight="true" outlineLevel="0" collapsed="false">
      <c r="A1746" s="82" t="n">
        <f aca="false">Data!A1746</f>
        <v>1745</v>
      </c>
      <c r="B1746" s="82" t="str">
        <f aca="false">IFERROR(INDEX(対訳マスタ!$C$2:$C$136,MATCH(Data!B1746,対訳マスタ!$B$2:$B$136,0)),Data!B1746)</f>
        <v>手話能力</v>
      </c>
      <c r="C1746" s="82" t="str">
        <f aca="false">IF(Data!C1746="—","—",IFERROR(INDEX(対訳マスタ!$C$2:$C$136,MATCH(Data!C1746,対訳マスタ!$B$2:$B$136,0)),Data!C1746))</f>
        <v>—</v>
      </c>
      <c r="D1746" s="82" t="str">
        <f aca="false">IF(Data!D1746="—","—",IFERROR(INDEX(対訳マスタ!$C$2:$C$136,MATCH(Data!D1746,対訳マスタ!$B$2:$B$136,0)),Data!D1746))</f>
        <v>語用能力</v>
      </c>
      <c r="E1746" s="82" t="str">
        <f aca="false">IFERROR(INDEX(対訳マスタ!$C$2:$C$136,MATCH(Data!E1746,対訳マスタ!$B$2:$B$136,0)),Data!E1746)</f>
        <v>言語への気づきと解釈</v>
      </c>
      <c r="F1746" s="82" t="str">
        <f aca="false">Data!F1746</f>
        <v>B1</v>
      </c>
      <c r="G1746" s="81" t="str">
        <f aca="false">Data!G1746</f>
        <v>Can understand explanations so that they can implement instructions.</v>
      </c>
      <c r="H1746" s="81"/>
      <c r="I1746" s="82" t="s">
        <v>3625</v>
      </c>
    </row>
    <row r="1747" customFormat="false" ht="15" hidden="false" customHeight="true" outlineLevel="0" collapsed="false">
      <c r="A1747" s="82" t="n">
        <f aca="false">Data!A1747</f>
        <v>1746</v>
      </c>
      <c r="B1747" s="82" t="str">
        <f aca="false">IFERROR(INDEX(対訳マスタ!$C$2:$C$136,MATCH(Data!B1747,対訳マスタ!$B$2:$B$136,0)),Data!B1747)</f>
        <v>手話能力</v>
      </c>
      <c r="C1747" s="82" t="str">
        <f aca="false">IF(Data!C1747="—","—",IFERROR(INDEX(対訳マスタ!$C$2:$C$136,MATCH(Data!C1747,対訳マスタ!$B$2:$B$136,0)),Data!C1747))</f>
        <v>—</v>
      </c>
      <c r="D1747" s="82" t="str">
        <f aca="false">IF(Data!D1747="—","—",IFERROR(INDEX(対訳マスタ!$C$2:$C$136,MATCH(Data!D1747,対訳マスタ!$B$2:$B$136,0)),Data!D1747))</f>
        <v>語用能力</v>
      </c>
      <c r="E1747" s="82" t="str">
        <f aca="false">IFERROR(INDEX(対訳マスタ!$C$2:$C$136,MATCH(Data!E1747,対訳マスタ!$B$2:$B$136,0)),Data!E1747)</f>
        <v>言語への気づきと解釈</v>
      </c>
      <c r="F1747" s="82" t="str">
        <f aca="false">Data!F1747</f>
        <v>A2+</v>
      </c>
      <c r="G1747" s="81" t="str">
        <f aca="false">Data!G1747</f>
        <v>Can understand an introduction to a subject and reproduce it in their own words.</v>
      </c>
      <c r="H1747" s="81"/>
      <c r="I1747" s="82" t="s">
        <v>3625</v>
      </c>
    </row>
    <row r="1748" customFormat="false" ht="15" hidden="false" customHeight="true" outlineLevel="0" collapsed="false">
      <c r="A1748" s="82" t="n">
        <f aca="false">Data!A1748</f>
        <v>1747</v>
      </c>
      <c r="B1748" s="82" t="str">
        <f aca="false">IFERROR(INDEX(対訳マスタ!$C$2:$C$136,MATCH(Data!B1748,対訳マスタ!$B$2:$B$136,0)),Data!B1748)</f>
        <v>手話能力</v>
      </c>
      <c r="C1748" s="82" t="str">
        <f aca="false">IF(Data!C1748="—","—",IFERROR(INDEX(対訳マスタ!$C$2:$C$136,MATCH(Data!C1748,対訳マスタ!$B$2:$B$136,0)),Data!C1748))</f>
        <v>—</v>
      </c>
      <c r="D1748" s="82" t="str">
        <f aca="false">IF(Data!D1748="—","—",IFERROR(INDEX(対訳マスタ!$C$2:$C$136,MATCH(Data!D1748,対訳マスタ!$B$2:$B$136,0)),Data!D1748))</f>
        <v>語用能力</v>
      </c>
      <c r="E1748" s="82" t="str">
        <f aca="false">IFERROR(INDEX(対訳マスタ!$C$2:$C$136,MATCH(Data!E1748,対訳マスタ!$B$2:$B$136,0)),Data!E1748)</f>
        <v>言語への気づきと解釈</v>
      </c>
      <c r="F1748" s="82" t="str">
        <f aca="false">Data!F1748</f>
        <v>A2+</v>
      </c>
      <c r="G1748" s="81" t="str">
        <f aca="false">Data!G1748</f>
        <v>Can grasp the signer’s opinion on a subject.</v>
      </c>
      <c r="H1748" s="81"/>
      <c r="I1748" s="82" t="s">
        <v>3625</v>
      </c>
    </row>
    <row r="1749" customFormat="false" ht="15" hidden="false" customHeight="true" outlineLevel="0" collapsed="false">
      <c r="A1749" s="82" t="n">
        <f aca="false">Data!A1749</f>
        <v>1748</v>
      </c>
      <c r="B1749" s="82" t="str">
        <f aca="false">IFERROR(INDEX(対訳マスタ!$C$2:$C$136,MATCH(Data!B1749,対訳マスタ!$B$2:$B$136,0)),Data!B1749)</f>
        <v>手話能力</v>
      </c>
      <c r="C1749" s="82" t="str">
        <f aca="false">IF(Data!C1749="—","—",IFERROR(INDEX(対訳マスタ!$C$2:$C$136,MATCH(Data!C1749,対訳マスタ!$B$2:$B$136,0)),Data!C1749))</f>
        <v>—</v>
      </c>
      <c r="D1749" s="82" t="str">
        <f aca="false">IF(Data!D1749="—","—",IFERROR(INDEX(対訳マスタ!$C$2:$C$136,MATCH(Data!D1749,対訳マスタ!$B$2:$B$136,0)),Data!D1749))</f>
        <v>語用能力</v>
      </c>
      <c r="E1749" s="82" t="str">
        <f aca="false">IFERROR(INDEX(対訳マスタ!$C$2:$C$136,MATCH(Data!E1749,対訳マスタ!$B$2:$B$136,0)),Data!E1749)</f>
        <v>言語への気づきと解釈</v>
      </c>
      <c r="F1749" s="82" t="str">
        <f aca="false">Data!F1749</f>
        <v>A2+</v>
      </c>
      <c r="G1749" s="81" t="str">
        <f aca="false">Data!G1749</f>
        <v>Can relate explanations and examples to one another.</v>
      </c>
      <c r="H1749" s="81"/>
      <c r="I1749" s="82" t="s">
        <v>3625</v>
      </c>
    </row>
    <row r="1750" customFormat="false" ht="21.75" hidden="false" customHeight="true" outlineLevel="0" collapsed="false">
      <c r="A1750" s="82" t="n">
        <f aca="false">Data!A1750</f>
        <v>1749</v>
      </c>
      <c r="B1750" s="82" t="str">
        <f aca="false">IFERROR(INDEX(対訳マスタ!$C$2:$C$136,MATCH(Data!B1750,対訳マスタ!$B$2:$B$136,0)),Data!B1750)</f>
        <v>手話能力</v>
      </c>
      <c r="C1750" s="82" t="str">
        <f aca="false">IF(Data!C1750="—","—",IFERROR(INDEX(対訳マスタ!$C$2:$C$136,MATCH(Data!C1750,対訳マスタ!$B$2:$B$136,0)),Data!C1750))</f>
        <v>—</v>
      </c>
      <c r="D1750" s="82" t="str">
        <f aca="false">IF(Data!D1750="—","—",IFERROR(INDEX(対訳マスタ!$C$2:$C$136,MATCH(Data!D1750,対訳マスタ!$B$2:$B$136,0)),Data!D1750))</f>
        <v>語用能力</v>
      </c>
      <c r="E1750" s="82" t="str">
        <f aca="false">IFERROR(INDEX(対訳マスタ!$C$2:$C$136,MATCH(Data!E1750,対訳マスタ!$B$2:$B$136,0)),Data!E1750)</f>
        <v>言語への気づきと解釈</v>
      </c>
      <c r="F1750" s="82" t="str">
        <f aca="false">Data!F1750</f>
        <v>A2+</v>
      </c>
      <c r="G1750" s="81" t="str">
        <f aca="false">Data!G1750</f>
        <v>Can interpret emotions when the signer communicates these by means of facial expressions.</v>
      </c>
      <c r="H1750" s="81"/>
      <c r="I1750" s="82" t="s">
        <v>3625</v>
      </c>
    </row>
    <row r="1751" customFormat="false" ht="15" hidden="false" customHeight="true" outlineLevel="0" collapsed="false">
      <c r="A1751" s="82" t="n">
        <f aca="false">Data!A1751</f>
        <v>1750</v>
      </c>
      <c r="B1751" s="82" t="str">
        <f aca="false">IFERROR(INDEX(対訳マスタ!$C$2:$C$136,MATCH(Data!B1751,対訳マスタ!$B$2:$B$136,0)),Data!B1751)</f>
        <v>手話能力</v>
      </c>
      <c r="C1751" s="82" t="str">
        <f aca="false">IF(Data!C1751="—","—",IFERROR(INDEX(対訳マスタ!$C$2:$C$136,MATCH(Data!C1751,対訳マスタ!$B$2:$B$136,0)),Data!C1751))</f>
        <v>—</v>
      </c>
      <c r="D1751" s="82" t="str">
        <f aca="false">IF(Data!D1751="—","—",IFERROR(INDEX(対訳マスタ!$C$2:$C$136,MATCH(Data!D1751,対訳マスタ!$B$2:$B$136,0)),Data!D1751))</f>
        <v>語用能力</v>
      </c>
      <c r="E1751" s="82" t="str">
        <f aca="false">IFERROR(INDEX(対訳マスタ!$C$2:$C$136,MATCH(Data!E1751,対訳マスタ!$B$2:$B$136,0)),Data!E1751)</f>
        <v>言語への気づきと解釈</v>
      </c>
      <c r="F1751" s="82" t="str">
        <f aca="false">Data!F1751</f>
        <v>A2</v>
      </c>
      <c r="G1751" s="81" t="str">
        <f aca="false">Data!G1751</f>
        <v>Can recognise whether or not they are addressed as the recipient.</v>
      </c>
      <c r="H1751" s="81"/>
      <c r="I1751" s="82" t="s">
        <v>3625</v>
      </c>
    </row>
    <row r="1752" customFormat="false" ht="15" hidden="false" customHeight="true" outlineLevel="0" collapsed="false">
      <c r="A1752" s="82" t="n">
        <f aca="false">Data!A1752</f>
        <v>1751</v>
      </c>
      <c r="B1752" s="82" t="str">
        <f aca="false">IFERROR(INDEX(対訳マスタ!$C$2:$C$136,MATCH(Data!B1752,対訳マスタ!$B$2:$B$136,0)),Data!B1752)</f>
        <v>手話能力</v>
      </c>
      <c r="C1752" s="82" t="str">
        <f aca="false">IF(Data!C1752="—","—",IFERROR(INDEX(対訳マスタ!$C$2:$C$136,MATCH(Data!C1752,対訳マスタ!$B$2:$B$136,0)),Data!C1752))</f>
        <v>—</v>
      </c>
      <c r="D1752" s="82" t="str">
        <f aca="false">IF(Data!D1752="—","—",IFERROR(INDEX(対訳マスタ!$C$2:$C$136,MATCH(Data!D1752,対訳マスタ!$B$2:$B$136,0)),Data!D1752))</f>
        <v>語用能力</v>
      </c>
      <c r="E1752" s="82" t="str">
        <f aca="false">IFERROR(INDEX(対訳マスタ!$C$2:$C$136,MATCH(Data!E1752,対訳マスタ!$B$2:$B$136,0)),Data!E1752)</f>
        <v>言語への気づきと解釈</v>
      </c>
      <c r="F1752" s="82" t="str">
        <f aca="false">Data!F1752</f>
        <v>A2</v>
      </c>
      <c r="G1752" s="81" t="str">
        <f aca="false">Data!G1752</f>
        <v>Can understand the main points of signed texts on everyday topics</v>
      </c>
      <c r="H1752" s="81"/>
      <c r="I1752" s="82" t="s">
        <v>3625</v>
      </c>
    </row>
    <row r="1753" customFormat="false" ht="15" hidden="false" customHeight="true" outlineLevel="0" collapsed="false">
      <c r="A1753" s="82" t="n">
        <f aca="false">Data!A1753</f>
        <v>1752</v>
      </c>
      <c r="B1753" s="82" t="str">
        <f aca="false">IFERROR(INDEX(対訳マスタ!$C$2:$C$136,MATCH(Data!B1753,対訳マスタ!$B$2:$B$136,0)),Data!B1753)</f>
        <v>手話能力</v>
      </c>
      <c r="C1753" s="82" t="str">
        <f aca="false">IF(Data!C1753="—","—",IFERROR(INDEX(対訳マスタ!$C$2:$C$136,MATCH(Data!C1753,対訳マスタ!$B$2:$B$136,0)),Data!C1753))</f>
        <v>—</v>
      </c>
      <c r="D1753" s="82" t="str">
        <f aca="false">IF(Data!D1753="—","—",IFERROR(INDEX(対訳マスタ!$C$2:$C$136,MATCH(Data!D1753,対訳マスタ!$B$2:$B$136,0)),Data!D1753))</f>
        <v>語用能力</v>
      </c>
      <c r="E1753" s="82" t="str">
        <f aca="false">IFERROR(INDEX(対訳マスタ!$C$2:$C$136,MATCH(Data!E1753,対訳マスタ!$B$2:$B$136,0)),Data!E1753)</f>
        <v>言語への気づきと解釈</v>
      </c>
      <c r="F1753" s="82" t="str">
        <f aca="false">Data!F1753</f>
        <v>A2</v>
      </c>
      <c r="G1753" s="81" t="str">
        <f aca="false">Data!G1753</f>
        <v>Can grasp and indicate the differences between things.</v>
      </c>
      <c r="H1753" s="81"/>
      <c r="I1753" s="82" t="s">
        <v>3625</v>
      </c>
    </row>
    <row r="1754" customFormat="false" ht="21.75" hidden="false" customHeight="true" outlineLevel="0" collapsed="false">
      <c r="A1754" s="82" t="n">
        <f aca="false">Data!A1754</f>
        <v>1753</v>
      </c>
      <c r="B1754" s="82" t="str">
        <f aca="false">IFERROR(INDEX(対訳マスタ!$C$2:$C$136,MATCH(Data!B1754,対訳マスタ!$B$2:$B$136,0)),Data!B1754)</f>
        <v>手話能力</v>
      </c>
      <c r="C1754" s="82" t="str">
        <f aca="false">IF(Data!C1754="—","—",IFERROR(INDEX(対訳マスタ!$C$2:$C$136,MATCH(Data!C1754,対訳マスタ!$B$2:$B$136,0)),Data!C1754))</f>
        <v>—</v>
      </c>
      <c r="D1754" s="82" t="str">
        <f aca="false">IF(Data!D1754="—","—",IFERROR(INDEX(対訳マスタ!$C$2:$C$136,MATCH(Data!D1754,対訳マスタ!$B$2:$B$136,0)),Data!D1754))</f>
        <v>語用能力</v>
      </c>
      <c r="E1754" s="82" t="str">
        <f aca="false">IFERROR(INDEX(対訳マスタ!$C$2:$C$136,MATCH(Data!E1754,対訳マスタ!$B$2:$B$136,0)),Data!E1754)</f>
        <v>言語への気づきと解釈</v>
      </c>
      <c r="F1754" s="82" t="str">
        <f aca="false">Data!F1754</f>
        <v>A2</v>
      </c>
      <c r="G1754" s="81" t="str">
        <f aca="false">Data!G1754</f>
        <v>Can identify identical references even if these are expressed in different linguistic ways, e.g., by a lexical sign or by constructed action.</v>
      </c>
      <c r="H1754" s="81"/>
      <c r="I1754" s="82" t="s">
        <v>3625</v>
      </c>
    </row>
    <row r="1755" customFormat="false" ht="15" hidden="false" customHeight="true" outlineLevel="0" collapsed="false">
      <c r="A1755" s="82" t="n">
        <f aca="false">Data!A1755</f>
        <v>1754</v>
      </c>
      <c r="B1755" s="82" t="str">
        <f aca="false">IFERROR(INDEX(対訳マスタ!$C$2:$C$136,MATCH(Data!B1755,対訳マスタ!$B$2:$B$136,0)),Data!B1755)</f>
        <v>手話能力</v>
      </c>
      <c r="C1755" s="82" t="str">
        <f aca="false">IF(Data!C1755="—","—",IFERROR(INDEX(対訳マスタ!$C$2:$C$136,MATCH(Data!C1755,対訳マスタ!$B$2:$B$136,0)),Data!C1755))</f>
        <v>—</v>
      </c>
      <c r="D1755" s="82" t="str">
        <f aca="false">IF(Data!D1755="—","—",IFERROR(INDEX(対訳マスタ!$C$2:$C$136,MATCH(Data!D1755,対訳マスタ!$B$2:$B$136,0)),Data!D1755))</f>
        <v>語用能力</v>
      </c>
      <c r="E1755" s="82" t="str">
        <f aca="false">IFERROR(INDEX(対訳マスタ!$C$2:$C$136,MATCH(Data!E1755,対訳マスタ!$B$2:$B$136,0)),Data!E1755)</f>
        <v>言語への気づきと解釈</v>
      </c>
      <c r="F1755" s="82" t="str">
        <f aca="false">Data!F1755</f>
        <v>A2</v>
      </c>
      <c r="G1755" s="81" t="str">
        <f aca="false">Data!G1755</f>
        <v>Can recognise unfamiliar signs in the continuous flow and ask what they mean.</v>
      </c>
      <c r="H1755" s="81"/>
      <c r="I1755" s="82" t="s">
        <v>3625</v>
      </c>
    </row>
    <row r="1756" customFormat="false" ht="21.75" hidden="false" customHeight="true" outlineLevel="0" collapsed="false">
      <c r="A1756" s="82" t="n">
        <f aca="false">Data!A1756</f>
        <v>1755</v>
      </c>
      <c r="B1756" s="82" t="str">
        <f aca="false">IFERROR(INDEX(対訳マスタ!$C$2:$C$136,MATCH(Data!B1756,対訳マスタ!$B$2:$B$136,0)),Data!B1756)</f>
        <v>手話能力</v>
      </c>
      <c r="C1756" s="82" t="str">
        <f aca="false">IF(Data!C1756="—","—",IFERROR(INDEX(対訳マスタ!$C$2:$C$136,MATCH(Data!C1756,対訳マスタ!$B$2:$B$136,0)),Data!C1756))</f>
        <v>—</v>
      </c>
      <c r="D1756" s="82" t="str">
        <f aca="false">IF(Data!D1756="—","—",IFERROR(INDEX(対訳マスタ!$C$2:$C$136,MATCH(Data!D1756,対訳マスタ!$B$2:$B$136,0)),Data!D1756))</f>
        <v>語用能力</v>
      </c>
      <c r="E1756" s="82" t="str">
        <f aca="false">IFERROR(INDEX(対訳マスタ!$C$2:$C$136,MATCH(Data!E1756,対訳マスタ!$B$2:$B$136,0)),Data!E1756)</f>
        <v>言語への気づきと解釈</v>
      </c>
      <c r="F1756" s="82" t="str">
        <f aca="false">Data!F1756</f>
        <v>A1</v>
      </c>
      <c r="G1756" s="81" t="str">
        <f aca="false">Data!G1756</f>
        <v>Can distinguish between positive and negative attitudes on the basis of non-manual cues (e.g., eyebrows together v. high eyebrows).</v>
      </c>
      <c r="H1756" s="81"/>
      <c r="I1756" s="82" t="s">
        <v>3625</v>
      </c>
    </row>
    <row r="1757" customFormat="false" ht="15" hidden="false" customHeight="true" outlineLevel="0" collapsed="false">
      <c r="A1757" s="82" t="n">
        <f aca="false">Data!A1757</f>
        <v>1756</v>
      </c>
      <c r="B1757" s="82" t="str">
        <f aca="false">IFERROR(INDEX(対訳マスタ!$C$2:$C$136,MATCH(Data!B1757,対訳マスタ!$B$2:$B$136,0)),Data!B1757)</f>
        <v>手話能力</v>
      </c>
      <c r="C1757" s="82" t="str">
        <f aca="false">IF(Data!C1757="—","—",IFERROR(INDEX(対訳マスタ!$C$2:$C$136,MATCH(Data!C1757,対訳マスタ!$B$2:$B$136,0)),Data!C1757))</f>
        <v>—</v>
      </c>
      <c r="D1757" s="82" t="str">
        <f aca="false">IF(Data!D1757="—","—",IFERROR(INDEX(対訳マスタ!$C$2:$C$136,MATCH(Data!D1757,対訳マスタ!$B$2:$B$136,0)),Data!D1757))</f>
        <v>語用能力</v>
      </c>
      <c r="E1757" s="82" t="str">
        <f aca="false">IFERROR(INDEX(対訳マスタ!$C$2:$C$136,MATCH(Data!E1757,対訳マスタ!$B$2:$B$136,0)),Data!E1757)</f>
        <v>言語への気づきと解釈</v>
      </c>
      <c r="F1757" s="82" t="str">
        <f aca="false">Data!F1757</f>
        <v>A1</v>
      </c>
      <c r="G1757" s="81" t="str">
        <f aca="false">Data!G1757</f>
        <v>Can understand the direct acceptance or rejection of requests/demands.</v>
      </c>
      <c r="H1757" s="81"/>
      <c r="I1757" s="82" t="s">
        <v>3625</v>
      </c>
    </row>
    <row r="1758" customFormat="false" ht="15" hidden="false" customHeight="true" outlineLevel="0" collapsed="false">
      <c r="A1758" s="82" t="n">
        <f aca="false">Data!A1758</f>
        <v>1757</v>
      </c>
      <c r="B1758" s="82" t="str">
        <f aca="false">IFERROR(INDEX(対訳マスタ!$C$2:$C$136,MATCH(Data!B1758,対訳マスタ!$B$2:$B$136,0)),Data!B1758)</f>
        <v>手話能力</v>
      </c>
      <c r="C1758" s="82" t="str">
        <f aca="false">IF(Data!C1758="—","—",IFERROR(INDEX(対訳マスタ!$C$2:$C$136,MATCH(Data!C1758,対訳マスタ!$B$2:$B$136,0)),Data!C1758))</f>
        <v>—</v>
      </c>
      <c r="D1758" s="82" t="str">
        <f aca="false">IF(Data!D1758="—","—",IFERROR(INDEX(対訳マスタ!$C$2:$C$136,MATCH(Data!D1758,対訳マスタ!$B$2:$B$136,0)),Data!D1758))</f>
        <v>語用能力</v>
      </c>
      <c r="E1758" s="82" t="str">
        <f aca="false">IFERROR(INDEX(対訳マスタ!$C$2:$C$136,MATCH(Data!E1758,対訳マスタ!$B$2:$B$136,0)),Data!E1758)</f>
        <v>存在感と効果</v>
      </c>
      <c r="F1758" s="82" t="str">
        <f aca="false">Data!F1758</f>
        <v>C2</v>
      </c>
      <c r="G1758" s="81" t="str">
        <f aca="false">Data!G1758</f>
        <v>Can be creative, without losing their train of thought.</v>
      </c>
      <c r="H1758" s="81"/>
      <c r="I1758" s="82" t="s">
        <v>3625</v>
      </c>
    </row>
    <row r="1759" customFormat="false" ht="21.75" hidden="false" customHeight="true" outlineLevel="0" collapsed="false">
      <c r="A1759" s="82" t="n">
        <f aca="false">Data!A1759</f>
        <v>1758</v>
      </c>
      <c r="B1759" s="82" t="str">
        <f aca="false">IFERROR(INDEX(対訳マスタ!$C$2:$C$136,MATCH(Data!B1759,対訳マスタ!$B$2:$B$136,0)),Data!B1759)</f>
        <v>手話能力</v>
      </c>
      <c r="C1759" s="82" t="str">
        <f aca="false">IF(Data!C1759="—","—",IFERROR(INDEX(対訳マスタ!$C$2:$C$136,MATCH(Data!C1759,対訳マスタ!$B$2:$B$136,0)),Data!C1759))</f>
        <v>—</v>
      </c>
      <c r="D1759" s="82" t="str">
        <f aca="false">IF(Data!D1759="—","—",IFERROR(INDEX(対訳マスタ!$C$2:$C$136,MATCH(Data!D1759,対訳マスタ!$B$2:$B$136,0)),Data!D1759))</f>
        <v>語用能力</v>
      </c>
      <c r="E1759" s="82" t="str">
        <f aca="false">IFERROR(INDEX(対訳マスタ!$C$2:$C$136,MATCH(Data!E1759,対訳マスタ!$B$2:$B$136,0)),Data!E1759)</f>
        <v>存在感と効果</v>
      </c>
      <c r="F1759" s="82" t="str">
        <f aca="false">Data!F1759</f>
        <v>C2</v>
      </c>
      <c r="G1759" s="81" t="str">
        <f aca="false">Data!G1759</f>
        <v>Can use a wide range of different ways to build up suspense and excitement (e.g. constructed action, rhetorical questions, varying rhythm).</v>
      </c>
      <c r="H1759" s="81"/>
      <c r="I1759" s="82" t="s">
        <v>3625</v>
      </c>
    </row>
    <row r="1760" customFormat="false" ht="21.75" hidden="false" customHeight="true" outlineLevel="0" collapsed="false">
      <c r="A1760" s="82" t="n">
        <f aca="false">Data!A1760</f>
        <v>1759</v>
      </c>
      <c r="B1760" s="82" t="str">
        <f aca="false">IFERROR(INDEX(対訳マスタ!$C$2:$C$136,MATCH(Data!B1760,対訳マスタ!$B$2:$B$136,0)),Data!B1760)</f>
        <v>手話能力</v>
      </c>
      <c r="C1760" s="82" t="str">
        <f aca="false">IF(Data!C1760="—","—",IFERROR(INDEX(対訳マスタ!$C$2:$C$136,MATCH(Data!C1760,対訳マスタ!$B$2:$B$136,0)),Data!C1760))</f>
        <v>—</v>
      </c>
      <c r="D1760" s="82" t="str">
        <f aca="false">IF(Data!D1760="—","—",IFERROR(INDEX(対訳マスタ!$C$2:$C$136,MATCH(Data!D1760,対訳マスタ!$B$2:$B$136,0)),Data!D1760))</f>
        <v>語用能力</v>
      </c>
      <c r="E1760" s="82" t="str">
        <f aca="false">IFERROR(INDEX(対訳マスタ!$C$2:$C$136,MATCH(Data!E1760,対訳マスタ!$B$2:$B$136,0)),Data!E1760)</f>
        <v>存在感と効果</v>
      </c>
      <c r="F1760" s="82" t="str">
        <f aca="false">Data!F1760</f>
        <v>C2</v>
      </c>
      <c r="G1760" s="81" t="str">
        <f aca="false">Data!G1760</f>
        <v>Can effortlessly and playfully employ handshapes as an aesthetic element, so that creative forms of language emerge.</v>
      </c>
      <c r="H1760" s="81"/>
      <c r="I1760" s="82" t="s">
        <v>3625</v>
      </c>
    </row>
    <row r="1761" customFormat="false" ht="21.75" hidden="false" customHeight="true" outlineLevel="0" collapsed="false">
      <c r="A1761" s="82" t="n">
        <f aca="false">Data!A1761</f>
        <v>1760</v>
      </c>
      <c r="B1761" s="82" t="str">
        <f aca="false">IFERROR(INDEX(対訳マスタ!$C$2:$C$136,MATCH(Data!B1761,対訳マスタ!$B$2:$B$136,0)),Data!B1761)</f>
        <v>手話能力</v>
      </c>
      <c r="C1761" s="82" t="str">
        <f aca="false">IF(Data!C1761="—","—",IFERROR(INDEX(対訳マスタ!$C$2:$C$136,MATCH(Data!C1761,対訳マスタ!$B$2:$B$136,0)),Data!C1761))</f>
        <v>—</v>
      </c>
      <c r="D1761" s="82" t="str">
        <f aca="false">IF(Data!D1761="—","—",IFERROR(INDEX(対訳マスタ!$C$2:$C$136,MATCH(Data!D1761,対訳マスタ!$B$2:$B$136,0)),Data!D1761))</f>
        <v>語用能力</v>
      </c>
      <c r="E1761" s="82" t="str">
        <f aca="false">IFERROR(INDEX(対訳マスタ!$C$2:$C$136,MATCH(Data!E1761,対訳マスタ!$B$2:$B$136,0)),Data!E1761)</f>
        <v>存在感と効果</v>
      </c>
      <c r="F1761" s="82" t="str">
        <f aca="false">Data!F1761</f>
        <v>C2</v>
      </c>
      <c r="G1761" s="81" t="str">
        <f aca="false">Data!G1761</f>
        <v>Can present thoughts and feelings in an artistic way by using a selection of signs and depiction, as appropriate.</v>
      </c>
      <c r="H1761" s="81"/>
      <c r="I1761" s="82" t="s">
        <v>3625</v>
      </c>
    </row>
    <row r="1762" customFormat="false" ht="15" hidden="false" customHeight="true" outlineLevel="0" collapsed="false">
      <c r="A1762" s="82" t="n">
        <f aca="false">Data!A1762</f>
        <v>1761</v>
      </c>
      <c r="B1762" s="82" t="str">
        <f aca="false">IFERROR(INDEX(対訳マスタ!$C$2:$C$136,MATCH(Data!B1762,対訳マスタ!$B$2:$B$136,0)),Data!B1762)</f>
        <v>手話能力</v>
      </c>
      <c r="C1762" s="82" t="str">
        <f aca="false">IF(Data!C1762="—","—",IFERROR(INDEX(対訳マスタ!$C$2:$C$136,MATCH(Data!C1762,対訳マスタ!$B$2:$B$136,0)),Data!C1762))</f>
        <v>—</v>
      </c>
      <c r="D1762" s="82" t="str">
        <f aca="false">IF(Data!D1762="—","—",IFERROR(INDEX(対訳マスタ!$C$2:$C$136,MATCH(Data!D1762,対訳マスタ!$B$2:$B$136,0)),Data!D1762))</f>
        <v>語用能力</v>
      </c>
      <c r="E1762" s="82" t="str">
        <f aca="false">IFERROR(INDEX(対訳マスタ!$C$2:$C$136,MATCH(Data!E1762,対訳マスタ!$B$2:$B$136,0)),Data!E1762)</f>
        <v>存在感と効果</v>
      </c>
      <c r="F1762" s="82" t="str">
        <f aca="false">Data!F1762</f>
        <v>C1</v>
      </c>
      <c r="G1762" s="81" t="str">
        <f aca="false">Data!G1762</f>
        <v>Can prepare well, so that while signing they do not need to think about content.</v>
      </c>
      <c r="H1762" s="81"/>
      <c r="I1762" s="82" t="s">
        <v>3625</v>
      </c>
    </row>
    <row r="1763" customFormat="false" ht="21.75" hidden="false" customHeight="true" outlineLevel="0" collapsed="false">
      <c r="A1763" s="82" t="n">
        <f aca="false">Data!A1763</f>
        <v>1762</v>
      </c>
      <c r="B1763" s="82" t="str">
        <f aca="false">IFERROR(INDEX(対訳マスタ!$C$2:$C$136,MATCH(Data!B1763,対訳マスタ!$B$2:$B$136,0)),Data!B1763)</f>
        <v>手話能力</v>
      </c>
      <c r="C1763" s="82" t="str">
        <f aca="false">IF(Data!C1763="—","—",IFERROR(INDEX(対訳マスタ!$C$2:$C$136,MATCH(Data!C1763,対訳マスタ!$B$2:$B$136,0)),Data!C1763))</f>
        <v>—</v>
      </c>
      <c r="D1763" s="82" t="str">
        <f aca="false">IF(Data!D1763="—","—",IFERROR(INDEX(対訳マスタ!$C$2:$C$136,MATCH(Data!D1763,対訳マスタ!$B$2:$B$136,0)),Data!D1763))</f>
        <v>語用能力</v>
      </c>
      <c r="E1763" s="82" t="str">
        <f aca="false">IFERROR(INDEX(対訳マスタ!$C$2:$C$136,MATCH(Data!E1763,対訳マスタ!$B$2:$B$136,0)),Data!E1763)</f>
        <v>存在感と効果</v>
      </c>
      <c r="F1763" s="82" t="str">
        <f aca="false">Data!F1763</f>
        <v>C1</v>
      </c>
      <c r="G1763" s="81" t="str">
        <f aca="false">Data!G1763</f>
        <v>Appears calm and relaxed when signing, even when a high degree of concentration is required.</v>
      </c>
      <c r="H1763" s="81"/>
      <c r="I1763" s="82" t="s">
        <v>3625</v>
      </c>
    </row>
    <row r="1764" customFormat="false" ht="21.75" hidden="false" customHeight="true" outlineLevel="0" collapsed="false">
      <c r="A1764" s="82" t="n">
        <f aca="false">Data!A1764</f>
        <v>1763</v>
      </c>
      <c r="B1764" s="82" t="str">
        <f aca="false">IFERROR(INDEX(対訳マスタ!$C$2:$C$136,MATCH(Data!B1764,対訳マスタ!$B$2:$B$136,0)),Data!B1764)</f>
        <v>手話能力</v>
      </c>
      <c r="C1764" s="82" t="str">
        <f aca="false">IF(Data!C1764="—","—",IFERROR(INDEX(対訳マスタ!$C$2:$C$136,MATCH(Data!C1764,対訳マスタ!$B$2:$B$136,0)),Data!C1764))</f>
        <v>—</v>
      </c>
      <c r="D1764" s="82" t="str">
        <f aca="false">IF(Data!D1764="—","—",IFERROR(INDEX(対訳マスタ!$C$2:$C$136,MATCH(Data!D1764,対訳マスタ!$B$2:$B$136,0)),Data!D1764))</f>
        <v>語用能力</v>
      </c>
      <c r="E1764" s="82" t="str">
        <f aca="false">IFERROR(INDEX(対訳マスタ!$C$2:$C$136,MATCH(Data!E1764,対訳マスタ!$B$2:$B$136,0)),Data!E1764)</f>
        <v>存在感と効果</v>
      </c>
      <c r="F1764" s="82" t="str">
        <f aca="false">Data!F1764</f>
        <v>C1</v>
      </c>
      <c r="G1764" s="81" t="str">
        <f aca="false">Data!G1764</f>
        <v>Can give the characters in a story their own individual linguistic profile (style, tone, register, etc.).</v>
      </c>
      <c r="H1764" s="81"/>
      <c r="I1764" s="82" t="s">
        <v>3625</v>
      </c>
    </row>
    <row r="1765" customFormat="false" ht="21.75" hidden="false" customHeight="true" outlineLevel="0" collapsed="false">
      <c r="A1765" s="82" t="n">
        <f aca="false">Data!A1765</f>
        <v>1764</v>
      </c>
      <c r="B1765" s="82" t="str">
        <f aca="false">IFERROR(INDEX(対訳マスタ!$C$2:$C$136,MATCH(Data!B1765,対訳マスタ!$B$2:$B$136,0)),Data!B1765)</f>
        <v>手話能力</v>
      </c>
      <c r="C1765" s="82" t="str">
        <f aca="false">IF(Data!C1765="—","—",IFERROR(INDEX(対訳マスタ!$C$2:$C$136,MATCH(Data!C1765,対訳マスタ!$B$2:$B$136,0)),Data!C1765))</f>
        <v>—</v>
      </c>
      <c r="D1765" s="82" t="str">
        <f aca="false">IF(Data!D1765="—","—",IFERROR(INDEX(対訳マスタ!$C$2:$C$136,MATCH(Data!D1765,対訳マスタ!$B$2:$B$136,0)),Data!D1765))</f>
        <v>語用能力</v>
      </c>
      <c r="E1765" s="82" t="str">
        <f aca="false">IFERROR(INDEX(対訳マスタ!$C$2:$C$136,MATCH(Data!E1765,対訳マスタ!$B$2:$B$136,0)),Data!E1765)</f>
        <v>存在感と効果</v>
      </c>
      <c r="F1765" s="82" t="str">
        <f aca="false">Data!F1765</f>
        <v>C1</v>
      </c>
      <c r="G1765" s="81" t="str">
        <f aca="false">Data!G1765</f>
        <v>Can use language to develop a narrative in such a way that the recipient can become immersed in what is happening in the story.</v>
      </c>
      <c r="H1765" s="81"/>
      <c r="I1765" s="82" t="s">
        <v>3625</v>
      </c>
    </row>
    <row r="1766" customFormat="false" ht="15" hidden="false" customHeight="true" outlineLevel="0" collapsed="false">
      <c r="A1766" s="82" t="n">
        <f aca="false">Data!A1766</f>
        <v>1765</v>
      </c>
      <c r="B1766" s="82" t="str">
        <f aca="false">IFERROR(INDEX(対訳マスタ!$C$2:$C$136,MATCH(Data!B1766,対訳マスタ!$B$2:$B$136,0)),Data!B1766)</f>
        <v>手話能力</v>
      </c>
      <c r="C1766" s="82" t="str">
        <f aca="false">IF(Data!C1766="—","—",IFERROR(INDEX(対訳マスタ!$C$2:$C$136,MATCH(Data!C1766,対訳マスタ!$B$2:$B$136,0)),Data!C1766))</f>
        <v>—</v>
      </c>
      <c r="D1766" s="82" t="str">
        <f aca="false">IF(Data!D1766="—","—",IFERROR(INDEX(対訳マスタ!$C$2:$C$136,MATCH(Data!D1766,対訳マスタ!$B$2:$B$136,0)),Data!D1766))</f>
        <v>語用能力</v>
      </c>
      <c r="E1766" s="82" t="str">
        <f aca="false">IFERROR(INDEX(対訳マスタ!$C$2:$C$136,MATCH(Data!E1766,対訳マスタ!$B$2:$B$136,0)),Data!E1766)</f>
        <v>存在感と効果</v>
      </c>
      <c r="F1766" s="82" t="str">
        <f aca="false">Data!F1766</f>
        <v>C1</v>
      </c>
      <c r="G1766" s="81" t="str">
        <f aca="false">Data!G1766</f>
        <v>Can alter the pace of signing (from slow to fast) in order to build up suspense.</v>
      </c>
      <c r="H1766" s="81"/>
      <c r="I1766" s="82" t="s">
        <v>3625</v>
      </c>
    </row>
    <row r="1767" customFormat="false" ht="15" hidden="false" customHeight="true" outlineLevel="0" collapsed="false">
      <c r="A1767" s="82" t="n">
        <f aca="false">Data!A1767</f>
        <v>1766</v>
      </c>
      <c r="B1767" s="82" t="str">
        <f aca="false">IFERROR(INDEX(対訳マスタ!$C$2:$C$136,MATCH(Data!B1767,対訳マスタ!$B$2:$B$136,0)),Data!B1767)</f>
        <v>手話能力</v>
      </c>
      <c r="C1767" s="82" t="str">
        <f aca="false">IF(Data!C1767="—","—",IFERROR(INDEX(対訳マスタ!$C$2:$C$136,MATCH(Data!C1767,対訳マスタ!$B$2:$B$136,0)),Data!C1767))</f>
        <v>—</v>
      </c>
      <c r="D1767" s="82" t="str">
        <f aca="false">IF(Data!D1767="—","—",IFERROR(INDEX(対訳マスタ!$C$2:$C$136,MATCH(Data!D1767,対訳マスタ!$B$2:$B$136,0)),Data!D1767))</f>
        <v>語用能力</v>
      </c>
      <c r="E1767" s="82" t="str">
        <f aca="false">IFERROR(INDEX(対訳マスタ!$C$2:$C$136,MATCH(Data!E1767,対訳マスタ!$B$2:$B$136,0)),Data!E1767)</f>
        <v>存在感と効果</v>
      </c>
      <c r="F1767" s="82" t="str">
        <f aca="false">Data!F1767</f>
        <v>C1</v>
      </c>
      <c r="G1767" s="81" t="str">
        <f aca="false">Data!G1767</f>
        <v>Can cause the recipients to be carried away by enthusiasm.</v>
      </c>
      <c r="H1767" s="81"/>
      <c r="I1767" s="82" t="s">
        <v>3625</v>
      </c>
    </row>
    <row r="1768" customFormat="false" ht="15" hidden="false" customHeight="true" outlineLevel="0" collapsed="false">
      <c r="A1768" s="82" t="n">
        <f aca="false">Data!A1768</f>
        <v>1767</v>
      </c>
      <c r="B1768" s="82" t="str">
        <f aca="false">IFERROR(INDEX(対訳マスタ!$C$2:$C$136,MATCH(Data!B1768,対訳マスタ!$B$2:$B$136,0)),Data!B1768)</f>
        <v>手話能力</v>
      </c>
      <c r="C1768" s="82" t="str">
        <f aca="false">IF(Data!C1768="—","—",IFERROR(INDEX(対訳マスタ!$C$2:$C$136,MATCH(Data!C1768,対訳マスタ!$B$2:$B$136,0)),Data!C1768))</f>
        <v>—</v>
      </c>
      <c r="D1768" s="82" t="str">
        <f aca="false">IF(Data!D1768="—","—",IFERROR(INDEX(対訳マスタ!$C$2:$C$136,MATCH(Data!D1768,対訳マスタ!$B$2:$B$136,0)),Data!D1768))</f>
        <v>語用能力</v>
      </c>
      <c r="E1768" s="82" t="str">
        <f aca="false">IFERROR(INDEX(対訳マスタ!$C$2:$C$136,MATCH(Data!E1768,対訳マスタ!$B$2:$B$136,0)),Data!E1768)</f>
        <v>存在感と効果</v>
      </c>
      <c r="F1768" s="82" t="str">
        <f aca="false">Data!F1768</f>
        <v>C1</v>
      </c>
      <c r="G1768" s="81" t="str">
        <f aca="false">Data!G1768</f>
        <v>Can employ exaggeration appropriately and effectively.</v>
      </c>
      <c r="H1768" s="81"/>
      <c r="I1768" s="82" t="s">
        <v>3625</v>
      </c>
    </row>
    <row r="1769" customFormat="false" ht="21.75" hidden="false" customHeight="true" outlineLevel="0" collapsed="false">
      <c r="A1769" s="82" t="n">
        <f aca="false">Data!A1769</f>
        <v>1768</v>
      </c>
      <c r="B1769" s="82" t="str">
        <f aca="false">IFERROR(INDEX(対訳マスタ!$C$2:$C$136,MATCH(Data!B1769,対訳マスタ!$B$2:$B$136,0)),Data!B1769)</f>
        <v>手話能力</v>
      </c>
      <c r="C1769" s="82" t="str">
        <f aca="false">IF(Data!C1769="—","—",IFERROR(INDEX(対訳マスタ!$C$2:$C$136,MATCH(Data!C1769,対訳マスタ!$B$2:$B$136,0)),Data!C1769))</f>
        <v>—</v>
      </c>
      <c r="D1769" s="82" t="str">
        <f aca="false">IF(Data!D1769="—","—",IFERROR(INDEX(対訳マスタ!$C$2:$C$136,MATCH(Data!D1769,対訳マスタ!$B$2:$B$136,0)),Data!D1769))</f>
        <v>語用能力</v>
      </c>
      <c r="E1769" s="82" t="str">
        <f aca="false">IFERROR(INDEX(対訳マスタ!$C$2:$C$136,MATCH(Data!E1769,対訳マスタ!$B$2:$B$136,0)),Data!E1769)</f>
        <v>存在感と効果</v>
      </c>
      <c r="F1769" s="82" t="str">
        <f aca="false">Data!F1769</f>
        <v>B2+</v>
      </c>
      <c r="G1769" s="81" t="str">
        <f aca="false">Data!G1769</f>
        <v>Can contribute unconventional and original reflections on the topic concerned in a linguistically skilful manner.</v>
      </c>
      <c r="H1769" s="81"/>
      <c r="I1769" s="82" t="s">
        <v>3625</v>
      </c>
    </row>
    <row r="1770" customFormat="false" ht="15" hidden="false" customHeight="true" outlineLevel="0" collapsed="false">
      <c r="A1770" s="82" t="n">
        <f aca="false">Data!A1770</f>
        <v>1769</v>
      </c>
      <c r="B1770" s="82" t="str">
        <f aca="false">IFERROR(INDEX(対訳マスタ!$C$2:$C$136,MATCH(Data!B1770,対訳マスタ!$B$2:$B$136,0)),Data!B1770)</f>
        <v>手話能力</v>
      </c>
      <c r="C1770" s="82" t="str">
        <f aca="false">IF(Data!C1770="—","—",IFERROR(INDEX(対訳マスタ!$C$2:$C$136,MATCH(Data!C1770,対訳マスタ!$B$2:$B$136,0)),Data!C1770))</f>
        <v>—</v>
      </c>
      <c r="D1770" s="82" t="str">
        <f aca="false">IF(Data!D1770="—","—",IFERROR(INDEX(対訳マスタ!$C$2:$C$136,MATCH(Data!D1770,対訳マスタ!$B$2:$B$136,0)),Data!D1770))</f>
        <v>語用能力</v>
      </c>
      <c r="E1770" s="82" t="str">
        <f aca="false">IFERROR(INDEX(対訳マスタ!$C$2:$C$136,MATCH(Data!E1770,対訳マスタ!$B$2:$B$136,0)),Data!E1770)</f>
        <v>存在感と効果</v>
      </c>
      <c r="F1770" s="82" t="str">
        <f aca="false">Data!F1770</f>
        <v>B2+</v>
      </c>
      <c r="G1770" s="81" t="str">
        <f aca="false">Data!G1770</f>
        <v>Can express their imagination and concepts creatively.</v>
      </c>
      <c r="H1770" s="81"/>
      <c r="I1770" s="82" t="s">
        <v>3625</v>
      </c>
    </row>
    <row r="1771" customFormat="false" ht="21.75" hidden="false" customHeight="true" outlineLevel="0" collapsed="false">
      <c r="A1771" s="82" t="n">
        <f aca="false">Data!A1771</f>
        <v>1770</v>
      </c>
      <c r="B1771" s="82" t="str">
        <f aca="false">IFERROR(INDEX(対訳マスタ!$C$2:$C$136,MATCH(Data!B1771,対訳マスタ!$B$2:$B$136,0)),Data!B1771)</f>
        <v>手話能力</v>
      </c>
      <c r="C1771" s="82" t="str">
        <f aca="false">IF(Data!C1771="—","—",IFERROR(INDEX(対訳マスタ!$C$2:$C$136,MATCH(Data!C1771,対訳マスタ!$B$2:$B$136,0)),Data!C1771))</f>
        <v>—</v>
      </c>
      <c r="D1771" s="82" t="str">
        <f aca="false">IF(Data!D1771="—","—",IFERROR(INDEX(対訳マスタ!$C$2:$C$136,MATCH(Data!D1771,対訳マスタ!$B$2:$B$136,0)),Data!D1771))</f>
        <v>語用能力</v>
      </c>
      <c r="E1771" s="82" t="str">
        <f aca="false">IFERROR(INDEX(対訳マスタ!$C$2:$C$136,MATCH(Data!E1771,対訳マスタ!$B$2:$B$136,0)),Data!E1771)</f>
        <v>存在感と効果</v>
      </c>
      <c r="F1771" s="82" t="str">
        <f aca="false">Data!F1771</f>
        <v>B2+</v>
      </c>
      <c r="G1771" s="81" t="str">
        <f aca="false">Data!G1771</f>
        <v>Can choose from a broad variety of non-manual means to build up suspense and excitement.</v>
      </c>
      <c r="H1771" s="81"/>
      <c r="I1771" s="82" t="s">
        <v>3625</v>
      </c>
    </row>
    <row r="1772" customFormat="false" ht="15" hidden="false" customHeight="true" outlineLevel="0" collapsed="false">
      <c r="A1772" s="82" t="n">
        <f aca="false">Data!A1772</f>
        <v>1771</v>
      </c>
      <c r="B1772" s="82" t="str">
        <f aca="false">IFERROR(INDEX(対訳マスタ!$C$2:$C$136,MATCH(Data!B1772,対訳マスタ!$B$2:$B$136,0)),Data!B1772)</f>
        <v>手話能力</v>
      </c>
      <c r="C1772" s="82" t="str">
        <f aca="false">IF(Data!C1772="—","—",IFERROR(INDEX(対訳マスタ!$C$2:$C$136,MATCH(Data!C1772,対訳マスタ!$B$2:$B$136,0)),Data!C1772))</f>
        <v>—</v>
      </c>
      <c r="D1772" s="82" t="str">
        <f aca="false">IF(Data!D1772="—","—",IFERROR(INDEX(対訳マスタ!$C$2:$C$136,MATCH(Data!D1772,対訳マスタ!$B$2:$B$136,0)),Data!D1772))</f>
        <v>語用能力</v>
      </c>
      <c r="E1772" s="82" t="str">
        <f aca="false">IFERROR(INDEX(対訳マスタ!$C$2:$C$136,MATCH(Data!E1772,対訳マスタ!$B$2:$B$136,0)),Data!E1772)</f>
        <v>存在感と効果</v>
      </c>
      <c r="F1772" s="82" t="str">
        <f aca="false">Data!F1772</f>
        <v>B2+</v>
      </c>
      <c r="G1772" s="81" t="str">
        <f aca="false">Data!G1772</f>
        <v>Can cause an audience to experience strong emotions (e.g. laughing, crying).</v>
      </c>
      <c r="H1772" s="81"/>
      <c r="I1772" s="82" t="s">
        <v>3625</v>
      </c>
    </row>
    <row r="1773" customFormat="false" ht="15" hidden="false" customHeight="true" outlineLevel="0" collapsed="false">
      <c r="A1773" s="82" t="n">
        <f aca="false">Data!A1773</f>
        <v>1772</v>
      </c>
      <c r="B1773" s="82" t="str">
        <f aca="false">IFERROR(INDEX(対訳マスタ!$C$2:$C$136,MATCH(Data!B1773,対訳マスタ!$B$2:$B$136,0)),Data!B1773)</f>
        <v>手話能力</v>
      </c>
      <c r="C1773" s="82" t="str">
        <f aca="false">IF(Data!C1773="—","—",IFERROR(INDEX(対訳マスタ!$C$2:$C$136,MATCH(Data!C1773,対訳マスタ!$B$2:$B$136,0)),Data!C1773))</f>
        <v>—</v>
      </c>
      <c r="D1773" s="82" t="str">
        <f aca="false">IF(Data!D1773="—","—",IFERROR(INDEX(対訳マスタ!$C$2:$C$136,MATCH(Data!D1773,対訳マスタ!$B$2:$B$136,0)),Data!D1773))</f>
        <v>語用能力</v>
      </c>
      <c r="E1773" s="82" t="str">
        <f aca="false">IFERROR(INDEX(対訳マスタ!$C$2:$C$136,MATCH(Data!E1773,対訳マスタ!$B$2:$B$136,0)),Data!E1773)</f>
        <v>存在感と効果</v>
      </c>
      <c r="F1773" s="82" t="str">
        <f aca="false">Data!F1773</f>
        <v>B2</v>
      </c>
      <c r="G1773" s="81" t="str">
        <f aca="false">Data!G1773</f>
        <v>Can describe an event in an exciting way.</v>
      </c>
      <c r="H1773" s="81"/>
      <c r="I1773" s="82" t="s">
        <v>3625</v>
      </c>
    </row>
    <row r="1774" customFormat="false" ht="15" hidden="false" customHeight="true" outlineLevel="0" collapsed="false">
      <c r="A1774" s="82" t="n">
        <f aca="false">Data!A1774</f>
        <v>1773</v>
      </c>
      <c r="B1774" s="82" t="str">
        <f aca="false">IFERROR(INDEX(対訳マスタ!$C$2:$C$136,MATCH(Data!B1774,対訳マスタ!$B$2:$B$136,0)),Data!B1774)</f>
        <v>手話能力</v>
      </c>
      <c r="C1774" s="82" t="str">
        <f aca="false">IF(Data!C1774="—","—",IFERROR(INDEX(対訳マスタ!$C$2:$C$136,MATCH(Data!C1774,対訳マスタ!$B$2:$B$136,0)),Data!C1774))</f>
        <v>—</v>
      </c>
      <c r="D1774" s="82" t="str">
        <f aca="false">IF(Data!D1774="—","—",IFERROR(INDEX(対訳マスタ!$C$2:$C$136,MATCH(Data!D1774,対訳マスタ!$B$2:$B$136,0)),Data!D1774))</f>
        <v>語用能力</v>
      </c>
      <c r="E1774" s="82" t="str">
        <f aca="false">IFERROR(INDEX(対訳マスタ!$C$2:$C$136,MATCH(Data!E1774,対訳マスタ!$B$2:$B$136,0)),Data!E1774)</f>
        <v>存在感と効果</v>
      </c>
      <c r="F1774" s="82" t="str">
        <f aca="false">Data!F1774</f>
        <v>B2</v>
      </c>
      <c r="G1774" s="81" t="str">
        <f aca="false">Data!G1774</f>
        <v>Can express complicated emotional states through constructed action and gesture.</v>
      </c>
      <c r="H1774" s="81"/>
      <c r="I1774" s="82" t="s">
        <v>3625</v>
      </c>
    </row>
    <row r="1775" customFormat="false" ht="21.75" hidden="false" customHeight="true" outlineLevel="0" collapsed="false">
      <c r="A1775" s="82" t="n">
        <f aca="false">Data!A1775</f>
        <v>1774</v>
      </c>
      <c r="B1775" s="82" t="str">
        <f aca="false">IFERROR(INDEX(対訳マスタ!$C$2:$C$136,MATCH(Data!B1775,対訳マスタ!$B$2:$B$136,0)),Data!B1775)</f>
        <v>手話能力</v>
      </c>
      <c r="C1775" s="82" t="str">
        <f aca="false">IF(Data!C1775="—","—",IFERROR(INDEX(対訳マスタ!$C$2:$C$136,MATCH(Data!C1775,対訳マスタ!$B$2:$B$136,0)),Data!C1775))</f>
        <v>—</v>
      </c>
      <c r="D1775" s="82" t="str">
        <f aca="false">IF(Data!D1775="—","—",IFERROR(INDEX(対訳マスタ!$C$2:$C$136,MATCH(Data!D1775,対訳マスタ!$B$2:$B$136,0)),Data!D1775))</f>
        <v>語用能力</v>
      </c>
      <c r="E1775" s="82" t="str">
        <f aca="false">IFERROR(INDEX(対訳マスタ!$C$2:$C$136,MATCH(Data!E1775,対訳マスタ!$B$2:$B$136,0)),Data!E1775)</f>
        <v>存在感と効果</v>
      </c>
      <c r="F1775" s="82" t="str">
        <f aca="false">Data!F1775</f>
        <v>B2</v>
      </c>
      <c r="G1775" s="81" t="str">
        <f aca="false">Data!G1775</f>
        <v>Can make relevant comparisons that help the recipient better grasp the information concerned.</v>
      </c>
      <c r="H1775" s="81"/>
      <c r="I1775" s="82" t="s">
        <v>3625</v>
      </c>
    </row>
    <row r="1776" customFormat="false" ht="21.75" hidden="false" customHeight="true" outlineLevel="0" collapsed="false">
      <c r="A1776" s="82" t="n">
        <f aca="false">Data!A1776</f>
        <v>1775</v>
      </c>
      <c r="B1776" s="82" t="str">
        <f aca="false">IFERROR(INDEX(対訳マスタ!$C$2:$C$136,MATCH(Data!B1776,対訳マスタ!$B$2:$B$136,0)),Data!B1776)</f>
        <v>手話能力</v>
      </c>
      <c r="C1776" s="82" t="str">
        <f aca="false">IF(Data!C1776="—","—",IFERROR(INDEX(対訳マスタ!$C$2:$C$136,MATCH(Data!C1776,対訳マスタ!$B$2:$B$136,0)),Data!C1776))</f>
        <v>—</v>
      </c>
      <c r="D1776" s="82" t="str">
        <f aca="false">IF(Data!D1776="—","—",IFERROR(INDEX(対訳マスタ!$C$2:$C$136,MATCH(Data!D1776,対訳マスタ!$B$2:$B$136,0)),Data!D1776))</f>
        <v>語用能力</v>
      </c>
      <c r="E1776" s="82" t="str">
        <f aca="false">IFERROR(INDEX(対訳マスタ!$C$2:$C$136,MATCH(Data!E1776,対訳マスタ!$B$2:$B$136,0)),Data!E1776)</f>
        <v>存在感と効果</v>
      </c>
      <c r="F1776" s="82" t="str">
        <f aca="false">Data!F1776</f>
        <v>B2</v>
      </c>
      <c r="G1776" s="81" t="str">
        <f aca="false">Data!G1776</f>
        <v>Can stimulate/awaken curiosity on the part of the recipient with regard to the ending to a text.</v>
      </c>
      <c r="H1776" s="81"/>
      <c r="I1776" s="82" t="s">
        <v>3625</v>
      </c>
    </row>
    <row r="1777" customFormat="false" ht="15" hidden="false" customHeight="true" outlineLevel="0" collapsed="false">
      <c r="A1777" s="82" t="n">
        <f aca="false">Data!A1777</f>
        <v>1776</v>
      </c>
      <c r="B1777" s="82" t="str">
        <f aca="false">IFERROR(INDEX(対訳マスタ!$C$2:$C$136,MATCH(Data!B1777,対訳マスタ!$B$2:$B$136,0)),Data!B1777)</f>
        <v>手話能力</v>
      </c>
      <c r="C1777" s="82" t="str">
        <f aca="false">IF(Data!C1777="—","—",IFERROR(INDEX(対訳マスタ!$C$2:$C$136,MATCH(Data!C1777,対訳マスタ!$B$2:$B$136,0)),Data!C1777))</f>
        <v>—</v>
      </c>
      <c r="D1777" s="82" t="str">
        <f aca="false">IF(Data!D1777="—","—",IFERROR(INDEX(対訳マスタ!$C$2:$C$136,MATCH(Data!D1777,対訳マスタ!$B$2:$B$136,0)),Data!D1777))</f>
        <v>語用能力</v>
      </c>
      <c r="E1777" s="82" t="str">
        <f aca="false">IFERROR(INDEX(対訳マスタ!$C$2:$C$136,MATCH(Data!E1777,対訳マスタ!$B$2:$B$136,0)),Data!E1777)</f>
        <v>存在感と効果</v>
      </c>
      <c r="F1777" s="82" t="str">
        <f aca="false">Data!F1777</f>
        <v>B1+</v>
      </c>
      <c r="G1777" s="81" t="str">
        <f aca="false">Data!G1777</f>
        <v>Can convey a new point of view in a way that makes the recipients think.</v>
      </c>
      <c r="H1777" s="81"/>
      <c r="I1777" s="82" t="s">
        <v>3625</v>
      </c>
    </row>
    <row r="1778" customFormat="false" ht="15" hidden="false" customHeight="true" outlineLevel="0" collapsed="false">
      <c r="A1778" s="82" t="n">
        <f aca="false">Data!A1778</f>
        <v>1777</v>
      </c>
      <c r="B1778" s="82" t="str">
        <f aca="false">IFERROR(INDEX(対訳マスタ!$C$2:$C$136,MATCH(Data!B1778,対訳マスタ!$B$2:$B$136,0)),Data!B1778)</f>
        <v>手話能力</v>
      </c>
      <c r="C1778" s="82" t="str">
        <f aca="false">IF(Data!C1778="—","—",IFERROR(INDEX(対訳マスタ!$C$2:$C$136,MATCH(Data!C1778,対訳マスタ!$B$2:$B$136,0)),Data!C1778))</f>
        <v>—</v>
      </c>
      <c r="D1778" s="82" t="str">
        <f aca="false">IF(Data!D1778="—","—",IFERROR(INDEX(対訳マスタ!$C$2:$C$136,MATCH(Data!D1778,対訳マスタ!$B$2:$B$136,0)),Data!D1778))</f>
        <v>語用能力</v>
      </c>
      <c r="E1778" s="82" t="str">
        <f aca="false">IFERROR(INDEX(対訳マスタ!$C$2:$C$136,MATCH(Data!E1778,対訳マスタ!$B$2:$B$136,0)),Data!E1778)</f>
        <v>存在感と効果</v>
      </c>
      <c r="F1778" s="82" t="str">
        <f aca="false">Data!F1778</f>
        <v>B1+</v>
      </c>
      <c r="G1778" s="81" t="str">
        <f aca="false">Data!G1778</f>
        <v>Can express the feelings of a person who is close to them.</v>
      </c>
      <c r="H1778" s="81"/>
      <c r="I1778" s="82" t="s">
        <v>3625</v>
      </c>
    </row>
    <row r="1779" customFormat="false" ht="15" hidden="false" customHeight="true" outlineLevel="0" collapsed="false">
      <c r="A1779" s="82" t="n">
        <f aca="false">Data!A1779</f>
        <v>1778</v>
      </c>
      <c r="B1779" s="82" t="str">
        <f aca="false">IFERROR(INDEX(対訳マスタ!$C$2:$C$136,MATCH(Data!B1779,対訳マスタ!$B$2:$B$136,0)),Data!B1779)</f>
        <v>手話能力</v>
      </c>
      <c r="C1779" s="82" t="str">
        <f aca="false">IF(Data!C1779="—","—",IFERROR(INDEX(対訳マスタ!$C$2:$C$136,MATCH(Data!C1779,対訳マスタ!$B$2:$B$136,0)),Data!C1779))</f>
        <v>—</v>
      </c>
      <c r="D1779" s="82" t="str">
        <f aca="false">IF(Data!D1779="—","—",IFERROR(INDEX(対訳マスタ!$C$2:$C$136,MATCH(Data!D1779,対訳マスタ!$B$2:$B$136,0)),Data!D1779))</f>
        <v>語用能力</v>
      </c>
      <c r="E1779" s="82" t="str">
        <f aca="false">IFERROR(INDEX(対訳マスタ!$C$2:$C$136,MATCH(Data!E1779,対訳マスタ!$B$2:$B$136,0)),Data!E1779)</f>
        <v>存在感と効果</v>
      </c>
      <c r="F1779" s="82" t="str">
        <f aca="false">Data!F1779</f>
        <v>B1+</v>
      </c>
      <c r="G1779" s="81" t="str">
        <f aca="false">Data!G1779</f>
        <v>Can use body language and facial expression to convey meaning.</v>
      </c>
      <c r="H1779" s="81"/>
      <c r="I1779" s="82" t="s">
        <v>3625</v>
      </c>
    </row>
    <row r="1780" customFormat="false" ht="21.75" hidden="false" customHeight="true" outlineLevel="0" collapsed="false">
      <c r="A1780" s="82" t="n">
        <f aca="false">Data!A1780</f>
        <v>1779</v>
      </c>
      <c r="B1780" s="82" t="str">
        <f aca="false">IFERROR(INDEX(対訳マスタ!$C$2:$C$136,MATCH(Data!B1780,対訳マスタ!$B$2:$B$136,0)),Data!B1780)</f>
        <v>手話能力</v>
      </c>
      <c r="C1780" s="82" t="str">
        <f aca="false">IF(Data!C1780="—","—",IFERROR(INDEX(対訳マスタ!$C$2:$C$136,MATCH(Data!C1780,対訳マスタ!$B$2:$B$136,0)),Data!C1780))</f>
        <v>—</v>
      </c>
      <c r="D1780" s="82" t="str">
        <f aca="false">IF(Data!D1780="—","—",IFERROR(INDEX(対訳マスタ!$C$2:$C$136,MATCH(Data!D1780,対訳マスタ!$B$2:$B$136,0)),Data!D1780))</f>
        <v>語用能力</v>
      </c>
      <c r="E1780" s="82" t="str">
        <f aca="false">IFERROR(INDEX(対訳マスタ!$C$2:$C$136,MATCH(Data!E1780,対訳マスタ!$B$2:$B$136,0)),Data!E1780)</f>
        <v>存在感と効果</v>
      </c>
      <c r="F1780" s="82" t="str">
        <f aca="false">Data!F1780</f>
        <v>B1+</v>
      </c>
      <c r="G1780" s="81" t="str">
        <f aca="false">Data!G1780</f>
        <v>Can emphasise what is important by using non-manual means and the extent of movements.</v>
      </c>
      <c r="H1780" s="81"/>
      <c r="I1780" s="82" t="s">
        <v>3625</v>
      </c>
    </row>
    <row r="1781" customFormat="false" ht="21.75" hidden="false" customHeight="true" outlineLevel="0" collapsed="false">
      <c r="A1781" s="82" t="n">
        <f aca="false">Data!A1781</f>
        <v>1780</v>
      </c>
      <c r="B1781" s="82" t="str">
        <f aca="false">IFERROR(INDEX(対訳マスタ!$C$2:$C$136,MATCH(Data!B1781,対訳マスタ!$B$2:$B$136,0)),Data!B1781)</f>
        <v>手話能力</v>
      </c>
      <c r="C1781" s="82" t="str">
        <f aca="false">IF(Data!C1781="—","—",IFERROR(INDEX(対訳マスタ!$C$2:$C$136,MATCH(Data!C1781,対訳マスタ!$B$2:$B$136,0)),Data!C1781))</f>
        <v>—</v>
      </c>
      <c r="D1781" s="82" t="str">
        <f aca="false">IF(Data!D1781="—","—",IFERROR(INDEX(対訳マスタ!$C$2:$C$136,MATCH(Data!D1781,対訳マスタ!$B$2:$B$136,0)),Data!D1781))</f>
        <v>語用能力</v>
      </c>
      <c r="E1781" s="82" t="str">
        <f aca="false">IFERROR(INDEX(対訳マスタ!$C$2:$C$136,MATCH(Data!E1781,対訳マスタ!$B$2:$B$136,0)),Data!E1781)</f>
        <v>存在感と効果</v>
      </c>
      <c r="F1781" s="82" t="str">
        <f aca="false">Data!F1781</f>
        <v>B1</v>
      </c>
      <c r="G1781" s="81" t="str">
        <f aca="false">Data!G1781</f>
        <v>Can hold the attention of the recipients by employing various means (e.g. rhetorical questions).</v>
      </c>
      <c r="H1781" s="81"/>
      <c r="I1781" s="82" t="s">
        <v>3625</v>
      </c>
    </row>
    <row r="1782" customFormat="false" ht="15" hidden="false" customHeight="true" outlineLevel="0" collapsed="false">
      <c r="A1782" s="82" t="n">
        <f aca="false">Data!A1782</f>
        <v>1781</v>
      </c>
      <c r="B1782" s="82" t="str">
        <f aca="false">IFERROR(INDEX(対訳マスタ!$C$2:$C$136,MATCH(Data!B1782,対訳マスタ!$B$2:$B$136,0)),Data!B1782)</f>
        <v>手話能力</v>
      </c>
      <c r="C1782" s="82" t="str">
        <f aca="false">IF(Data!C1782="—","—",IFERROR(INDEX(対訳マスタ!$C$2:$C$136,MATCH(Data!C1782,対訳マスタ!$B$2:$B$136,0)),Data!C1782))</f>
        <v>—</v>
      </c>
      <c r="D1782" s="82" t="str">
        <f aca="false">IF(Data!D1782="—","—",IFERROR(INDEX(対訳マスタ!$C$2:$C$136,MATCH(Data!D1782,対訳マスタ!$B$2:$B$136,0)),Data!D1782))</f>
        <v>語用能力</v>
      </c>
      <c r="E1782" s="82" t="str">
        <f aca="false">IFERROR(INDEX(対訳マスタ!$C$2:$C$136,MATCH(Data!E1782,対訳マスタ!$B$2:$B$136,0)),Data!E1782)</f>
        <v>存在感と効果</v>
      </c>
      <c r="F1782" s="82" t="str">
        <f aca="false">Data!F1782</f>
        <v>B1</v>
      </c>
      <c r="G1782" s="81" t="str">
        <f aca="false">Data!G1782</f>
        <v>Can tell a story in a credible way.</v>
      </c>
      <c r="H1782" s="81"/>
      <c r="I1782" s="82" t="s">
        <v>3625</v>
      </c>
    </row>
    <row r="1783" customFormat="false" ht="15" hidden="false" customHeight="true" outlineLevel="0" collapsed="false">
      <c r="A1783" s="82" t="n">
        <f aca="false">Data!A1783</f>
        <v>1782</v>
      </c>
      <c r="B1783" s="82" t="str">
        <f aca="false">IFERROR(INDEX(対訳マスタ!$C$2:$C$136,MATCH(Data!B1783,対訳マスタ!$B$2:$B$136,0)),Data!B1783)</f>
        <v>手話能力</v>
      </c>
      <c r="C1783" s="82" t="str">
        <f aca="false">IF(Data!C1783="—","—",IFERROR(INDEX(対訳マスタ!$C$2:$C$136,MATCH(Data!C1783,対訳マスタ!$B$2:$B$136,0)),Data!C1783))</f>
        <v>—</v>
      </c>
      <c r="D1783" s="82" t="str">
        <f aca="false">IF(Data!D1783="—","—",IFERROR(INDEX(対訳マスタ!$C$2:$C$136,MATCH(Data!D1783,対訳マスタ!$B$2:$B$136,0)),Data!D1783))</f>
        <v>語用能力</v>
      </c>
      <c r="E1783" s="82" t="str">
        <f aca="false">IFERROR(INDEX(対訳マスタ!$C$2:$C$136,MATCH(Data!E1783,対訳マスタ!$B$2:$B$136,0)),Data!E1783)</f>
        <v>存在感と効果</v>
      </c>
      <c r="F1783" s="82" t="str">
        <f aca="false">Data!F1783</f>
        <v>B1</v>
      </c>
      <c r="G1783" s="81" t="str">
        <f aca="false">Data!G1783</f>
        <v>Can express personal traits of a character.</v>
      </c>
      <c r="H1783" s="81"/>
      <c r="I1783" s="82" t="s">
        <v>3625</v>
      </c>
    </row>
    <row r="1784" customFormat="false" ht="15" hidden="false" customHeight="true" outlineLevel="0" collapsed="false">
      <c r="A1784" s="82" t="n">
        <f aca="false">Data!A1784</f>
        <v>1783</v>
      </c>
      <c r="B1784" s="82" t="str">
        <f aca="false">IFERROR(INDEX(対訳マスタ!$C$2:$C$136,MATCH(Data!B1784,対訳マスタ!$B$2:$B$136,0)),Data!B1784)</f>
        <v>手話能力</v>
      </c>
      <c r="C1784" s="82" t="str">
        <f aca="false">IF(Data!C1784="—","—",IFERROR(INDEX(対訳マスタ!$C$2:$C$136,MATCH(Data!C1784,対訳マスタ!$B$2:$B$136,0)),Data!C1784))</f>
        <v>—</v>
      </c>
      <c r="D1784" s="82" t="str">
        <f aca="false">IF(Data!D1784="—","—",IFERROR(INDEX(対訳マスタ!$C$2:$C$136,MATCH(Data!D1784,対訳マスタ!$B$2:$B$136,0)),Data!D1784))</f>
        <v>語用能力</v>
      </c>
      <c r="E1784" s="82" t="str">
        <f aca="false">IFERROR(INDEX(対訳マスタ!$C$2:$C$136,MATCH(Data!E1784,対訳マスタ!$B$2:$B$136,0)),Data!E1784)</f>
        <v>存在感と効果</v>
      </c>
      <c r="F1784" s="82" t="str">
        <f aca="false">Data!F1784</f>
        <v>A2+</v>
      </c>
      <c r="G1784" s="81" t="str">
        <f aca="false">Data!G1784</f>
        <v>Can present themselves in a polite and appropriate way.</v>
      </c>
      <c r="H1784" s="81"/>
      <c r="I1784" s="82" t="s">
        <v>3625</v>
      </c>
    </row>
    <row r="1785" customFormat="false" ht="15" hidden="false" customHeight="true" outlineLevel="0" collapsed="false">
      <c r="A1785" s="82" t="n">
        <f aca="false">Data!A1785</f>
        <v>1784</v>
      </c>
      <c r="B1785" s="82" t="str">
        <f aca="false">IFERROR(INDEX(対訳マスタ!$C$2:$C$136,MATCH(Data!B1785,対訳マスタ!$B$2:$B$136,0)),Data!B1785)</f>
        <v>手話能力</v>
      </c>
      <c r="C1785" s="82" t="str">
        <f aca="false">IF(Data!C1785="—","—",IFERROR(INDEX(対訳マスタ!$C$2:$C$136,MATCH(Data!C1785,対訳マスタ!$B$2:$B$136,0)),Data!C1785))</f>
        <v>—</v>
      </c>
      <c r="D1785" s="82" t="str">
        <f aca="false">IF(Data!D1785="—","—",IFERROR(INDEX(対訳マスタ!$C$2:$C$136,MATCH(Data!D1785,対訳マスタ!$B$2:$B$136,0)),Data!D1785))</f>
        <v>語用能力</v>
      </c>
      <c r="E1785" s="82" t="str">
        <f aca="false">IFERROR(INDEX(対訳マスタ!$C$2:$C$136,MATCH(Data!E1785,対訳マスタ!$B$2:$B$136,0)),Data!E1785)</f>
        <v>存在感と効果</v>
      </c>
      <c r="F1785" s="82" t="str">
        <f aca="false">Data!F1785</f>
        <v>A2+</v>
      </c>
      <c r="G1785" s="81" t="str">
        <f aca="false">Data!G1785</f>
        <v>Can state facts in a neutral manner, excluding emotional affectedness.</v>
      </c>
      <c r="H1785" s="81"/>
      <c r="I1785" s="82" t="s">
        <v>3625</v>
      </c>
    </row>
    <row r="1786" customFormat="false" ht="15" hidden="false" customHeight="true" outlineLevel="0" collapsed="false">
      <c r="A1786" s="82" t="n">
        <f aca="false">Data!A1786</f>
        <v>1785</v>
      </c>
      <c r="B1786" s="82" t="str">
        <f aca="false">IFERROR(INDEX(対訳マスタ!$C$2:$C$136,MATCH(Data!B1786,対訳マスタ!$B$2:$B$136,0)),Data!B1786)</f>
        <v>手話能力</v>
      </c>
      <c r="C1786" s="82" t="str">
        <f aca="false">IF(Data!C1786="—","—",IFERROR(INDEX(対訳マスタ!$C$2:$C$136,MATCH(Data!C1786,対訳マスタ!$B$2:$B$136,0)),Data!C1786))</f>
        <v>—</v>
      </c>
      <c r="D1786" s="82" t="str">
        <f aca="false">IF(Data!D1786="—","—",IFERROR(INDEX(対訳マスタ!$C$2:$C$136,MATCH(Data!D1786,対訳マスタ!$B$2:$B$136,0)),Data!D1786))</f>
        <v>語用能力</v>
      </c>
      <c r="E1786" s="82" t="str">
        <f aca="false">IFERROR(INDEX(対訳マスタ!$C$2:$C$136,MATCH(Data!E1786,対訳マスタ!$B$2:$B$136,0)),Data!E1786)</f>
        <v>存在感と効果</v>
      </c>
      <c r="F1786" s="82" t="str">
        <f aca="false">Data!F1786</f>
        <v>A2+</v>
      </c>
      <c r="G1786" s="81" t="str">
        <f aca="false">Data!G1786</f>
        <v>Can convey and stimulate feelings (e.g. joy, sadness).</v>
      </c>
      <c r="H1786" s="81"/>
      <c r="I1786" s="82" t="s">
        <v>3625</v>
      </c>
    </row>
    <row r="1787" customFormat="false" ht="15" hidden="false" customHeight="true" outlineLevel="0" collapsed="false">
      <c r="A1787" s="82" t="n">
        <f aca="false">Data!A1787</f>
        <v>1786</v>
      </c>
      <c r="B1787" s="82" t="str">
        <f aca="false">IFERROR(INDEX(対訳マスタ!$C$2:$C$136,MATCH(Data!B1787,対訳マスタ!$B$2:$B$136,0)),Data!B1787)</f>
        <v>手話能力</v>
      </c>
      <c r="C1787" s="82" t="str">
        <f aca="false">IF(Data!C1787="—","—",IFERROR(INDEX(対訳マスタ!$C$2:$C$136,MATCH(Data!C1787,対訳マスタ!$B$2:$B$136,0)),Data!C1787))</f>
        <v>—</v>
      </c>
      <c r="D1787" s="82" t="str">
        <f aca="false">IF(Data!D1787="—","—",IFERROR(INDEX(対訳マスタ!$C$2:$C$136,MATCH(Data!D1787,対訳マスタ!$B$2:$B$136,0)),Data!D1787))</f>
        <v>語用能力</v>
      </c>
      <c r="E1787" s="82" t="str">
        <f aca="false">IFERROR(INDEX(対訳マスタ!$C$2:$C$136,MATCH(Data!E1787,対訳マスタ!$B$2:$B$136,0)),Data!E1787)</f>
        <v>存在感と効果</v>
      </c>
      <c r="F1787" s="82" t="str">
        <f aca="false">Data!F1787</f>
        <v>A2</v>
      </c>
      <c r="G1787" s="81" t="str">
        <f aca="false">Data!G1787</f>
        <v>Can convey emotions through facial expression.</v>
      </c>
      <c r="H1787" s="81"/>
      <c r="I1787" s="82" t="s">
        <v>3625</v>
      </c>
    </row>
    <row r="1788" customFormat="false" ht="21.75" hidden="false" customHeight="true" outlineLevel="0" collapsed="false">
      <c r="A1788" s="82" t="n">
        <f aca="false">Data!A1788</f>
        <v>1787</v>
      </c>
      <c r="B1788" s="82" t="str">
        <f aca="false">IFERROR(INDEX(対訳マスタ!$C$2:$C$136,MATCH(Data!B1788,対訳マスタ!$B$2:$B$136,0)),Data!B1788)</f>
        <v>手話能力</v>
      </c>
      <c r="C1788" s="82" t="str">
        <f aca="false">IF(Data!C1788="—","—",IFERROR(INDEX(対訳マスタ!$C$2:$C$136,MATCH(Data!C1788,対訳マスタ!$B$2:$B$136,0)),Data!C1788))</f>
        <v>—</v>
      </c>
      <c r="D1788" s="82" t="str">
        <f aca="false">IF(Data!D1788="—","—",IFERROR(INDEX(対訳マスタ!$C$2:$C$136,MATCH(Data!D1788,対訳マスタ!$B$2:$B$136,0)),Data!D1788))</f>
        <v>語用能力</v>
      </c>
      <c r="E1788" s="82" t="str">
        <f aca="false">IFERROR(INDEX(対訳マスタ!$C$2:$C$136,MATCH(Data!E1788,対訳マスタ!$B$2:$B$136,0)),Data!E1788)</f>
        <v>存在感と効果</v>
      </c>
      <c r="F1788" s="82" t="str">
        <f aca="false">Data!F1788</f>
        <v>A2</v>
      </c>
      <c r="G1788" s="81" t="str">
        <f aca="false">Data!G1788</f>
        <v>Can employ depiction appropriately to express negative and positive feelings (e.g. eyebrows together: negative; eyebrows raised: positive).</v>
      </c>
      <c r="H1788" s="81"/>
      <c r="I1788" s="82" t="s">
        <v>3625</v>
      </c>
    </row>
    <row r="1789" customFormat="false" ht="15" hidden="false" customHeight="true" outlineLevel="0" collapsed="false">
      <c r="A1789" s="82" t="n">
        <f aca="false">Data!A1789</f>
        <v>1788</v>
      </c>
      <c r="B1789" s="82" t="str">
        <f aca="false">IFERROR(INDEX(対訳マスタ!$C$2:$C$136,MATCH(Data!B1789,対訳マスタ!$B$2:$B$136,0)),Data!B1789)</f>
        <v>手話能力</v>
      </c>
      <c r="C1789" s="82" t="str">
        <f aca="false">IF(Data!C1789="—","—",IFERROR(INDEX(対訳マスタ!$C$2:$C$136,MATCH(Data!C1789,対訳マスタ!$B$2:$B$136,0)),Data!C1789))</f>
        <v>—</v>
      </c>
      <c r="D1789" s="82" t="str">
        <f aca="false">IF(Data!D1789="—","—",IFERROR(INDEX(対訳マスタ!$C$2:$C$136,MATCH(Data!D1789,対訳マスタ!$B$2:$B$136,0)),Data!D1789))</f>
        <v>語用能力</v>
      </c>
      <c r="E1789" s="82" t="str">
        <f aca="false">IFERROR(INDEX(対訳マスタ!$C$2:$C$136,MATCH(Data!E1789,対訳マスタ!$B$2:$B$136,0)),Data!E1789)</f>
        <v>存在感と効果</v>
      </c>
      <c r="F1789" s="82" t="str">
        <f aca="false">Data!F1789</f>
        <v>A1</v>
      </c>
      <c r="G1789" s="81" t="str">
        <f aca="false">Data!G1789</f>
        <v>Can position themselves so that the signing is easily visible to the recipients.</v>
      </c>
      <c r="H1789" s="81"/>
      <c r="I1789" s="82" t="s">
        <v>3625</v>
      </c>
    </row>
    <row r="1790" customFormat="false" ht="15" hidden="false" customHeight="true" outlineLevel="0" collapsed="false">
      <c r="A1790" s="82" t="n">
        <f aca="false">Data!A1790</f>
        <v>1789</v>
      </c>
      <c r="B1790" s="82" t="str">
        <f aca="false">IFERROR(INDEX(対訳マスタ!$C$2:$C$136,MATCH(Data!B1790,対訳マスタ!$B$2:$B$136,0)),Data!B1790)</f>
        <v>手話能力</v>
      </c>
      <c r="C1790" s="82" t="str">
        <f aca="false">IF(Data!C1790="—","—",IFERROR(INDEX(対訳マスタ!$C$2:$C$136,MATCH(Data!C1790,対訳マスタ!$B$2:$B$136,0)),Data!C1790))</f>
        <v>—</v>
      </c>
      <c r="D1790" s="82" t="str">
        <f aca="false">IF(Data!D1790="—","—",IFERROR(INDEX(対訳マスタ!$C$2:$C$136,MATCH(Data!D1790,対訳マスタ!$B$2:$B$136,0)),Data!D1790))</f>
        <v>語用能力</v>
      </c>
      <c r="E1790" s="82" t="str">
        <f aca="false">IFERROR(INDEX(対訳マスタ!$C$2:$C$136,MATCH(Data!E1790,対訳マスタ!$B$2:$B$136,0)),Data!E1790)</f>
        <v>存在感と効果</v>
      </c>
      <c r="F1790" s="82" t="str">
        <f aca="false">Data!F1790</f>
        <v>A1</v>
      </c>
      <c r="G1790" s="81" t="str">
        <f aca="false">Data!G1790</f>
        <v>Can express emotional states through depiction only (without the need for lexical signs).</v>
      </c>
      <c r="H1790" s="81"/>
      <c r="I1790" s="82" t="s">
        <v>3625</v>
      </c>
    </row>
    <row r="1791" customFormat="false" ht="15" hidden="false" customHeight="true" outlineLevel="0" collapsed="false">
      <c r="A1791" s="82" t="n">
        <f aca="false">Data!A1791</f>
        <v>1790</v>
      </c>
      <c r="B1791" s="82" t="str">
        <f aca="false">IFERROR(INDEX(対訳マスタ!$C$2:$C$136,MATCH(Data!B1791,対訳マスタ!$B$2:$B$136,0)),Data!B1791)</f>
        <v>手話能力</v>
      </c>
      <c r="C1791" s="82" t="str">
        <f aca="false">IF(Data!C1791="—","—",IFERROR(INDEX(対訳マスタ!$C$2:$C$136,MATCH(Data!C1791,対訳マスタ!$B$2:$B$136,0)),Data!C1791))</f>
        <v>—</v>
      </c>
      <c r="D1791" s="82" t="str">
        <f aca="false">IF(Data!D1791="—","—",IFERROR(INDEX(対訳マスタ!$C$2:$C$136,MATCH(Data!D1791,対訳マスタ!$B$2:$B$136,0)),Data!D1791))</f>
        <v>語用能力</v>
      </c>
      <c r="E1791" s="82" t="str">
        <f aca="false">IFERROR(INDEX(対訳マスタ!$C$2:$C$136,MATCH(Data!E1791,対訳マスタ!$B$2:$B$136,0)),Data!E1791)</f>
        <v>処理速度</v>
      </c>
      <c r="F1791" s="82" t="str">
        <f aca="false">Data!F1791</f>
        <v>C2</v>
      </c>
      <c r="G1791" s="81" t="str">
        <f aca="false">Data!G1791</f>
        <v>Can follow texts that are enacted in parallel (e.g., with two signers).</v>
      </c>
      <c r="H1791" s="81"/>
      <c r="I1791" s="82" t="s">
        <v>3625</v>
      </c>
    </row>
    <row r="1792" customFormat="false" ht="21.75" hidden="false" customHeight="true" outlineLevel="0" collapsed="false">
      <c r="A1792" s="82" t="n">
        <f aca="false">Data!A1792</f>
        <v>1791</v>
      </c>
      <c r="B1792" s="82" t="str">
        <f aca="false">IFERROR(INDEX(対訳マスタ!$C$2:$C$136,MATCH(Data!B1792,対訳マスタ!$B$2:$B$136,0)),Data!B1792)</f>
        <v>手話能力</v>
      </c>
      <c r="C1792" s="82" t="str">
        <f aca="false">IF(Data!C1792="—","—",IFERROR(INDEX(対訳マスタ!$C$2:$C$136,MATCH(Data!C1792,対訳マスタ!$B$2:$B$136,0)),Data!C1792))</f>
        <v>—</v>
      </c>
      <c r="D1792" s="82" t="str">
        <f aca="false">IF(Data!D1792="—","—",IFERROR(INDEX(対訳マスタ!$C$2:$C$136,MATCH(Data!D1792,対訳マスタ!$B$2:$B$136,0)),Data!D1792))</f>
        <v>語用能力</v>
      </c>
      <c r="E1792" s="82" t="str">
        <f aca="false">IFERROR(INDEX(対訳マスタ!$C$2:$C$136,MATCH(Data!E1792,対訳マスタ!$B$2:$B$136,0)),Data!E1792)</f>
        <v>処理速度</v>
      </c>
      <c r="F1792" s="82" t="str">
        <f aca="false">Data!F1792</f>
        <v>C2</v>
      </c>
      <c r="G1792" s="81" t="str">
        <f aca="false">Data!G1792</f>
        <v>Can keep track of who is to take the next turn when several signers are involved, for example, in a panel discussion, by monitoring requests for a turn.</v>
      </c>
      <c r="H1792" s="81"/>
      <c r="I1792" s="82" t="s">
        <v>3625</v>
      </c>
    </row>
    <row r="1793" customFormat="false" ht="21.75" hidden="false" customHeight="true" outlineLevel="0" collapsed="false">
      <c r="A1793" s="82" t="n">
        <f aca="false">Data!A1793</f>
        <v>1792</v>
      </c>
      <c r="B1793" s="82" t="str">
        <f aca="false">IFERROR(INDEX(対訳マスタ!$C$2:$C$136,MATCH(Data!B1793,対訳マスタ!$B$2:$B$136,0)),Data!B1793)</f>
        <v>手話能力</v>
      </c>
      <c r="C1793" s="82" t="str">
        <f aca="false">IF(Data!C1793="—","—",IFERROR(INDEX(対訳マスタ!$C$2:$C$136,MATCH(Data!C1793,対訳マスタ!$B$2:$B$136,0)),Data!C1793))</f>
        <v>—</v>
      </c>
      <c r="D1793" s="82" t="str">
        <f aca="false">IF(Data!D1793="—","—",IFERROR(INDEX(対訳マスタ!$C$2:$C$136,MATCH(Data!D1793,対訳マスタ!$B$2:$B$136,0)),Data!D1793))</f>
        <v>語用能力</v>
      </c>
      <c r="E1793" s="82" t="str">
        <f aca="false">IFERROR(INDEX(対訳マスタ!$C$2:$C$136,MATCH(Data!E1793,対訳マスタ!$B$2:$B$136,0)),Data!E1793)</f>
        <v>処理速度</v>
      </c>
      <c r="F1793" s="82" t="str">
        <f aca="false">Data!F1793</f>
        <v>C2</v>
      </c>
      <c r="G1793" s="81" t="str">
        <f aca="false">Data!G1793</f>
        <v>Can list the various aspects mentioned in a text even if the signer mentions them quickly one after the other.</v>
      </c>
      <c r="H1793" s="81"/>
      <c r="I1793" s="82" t="s">
        <v>3625</v>
      </c>
    </row>
    <row r="1794" customFormat="false" ht="21.75" hidden="false" customHeight="true" outlineLevel="0" collapsed="false">
      <c r="A1794" s="82" t="n">
        <f aca="false">Data!A1794</f>
        <v>1793</v>
      </c>
      <c r="B1794" s="82" t="str">
        <f aca="false">IFERROR(INDEX(対訳マスタ!$C$2:$C$136,MATCH(Data!B1794,対訳マスタ!$B$2:$B$136,0)),Data!B1794)</f>
        <v>手話能力</v>
      </c>
      <c r="C1794" s="82" t="str">
        <f aca="false">IF(Data!C1794="—","—",IFERROR(INDEX(対訳マスタ!$C$2:$C$136,MATCH(Data!C1794,対訳マスタ!$B$2:$B$136,0)),Data!C1794))</f>
        <v>—</v>
      </c>
      <c r="D1794" s="82" t="str">
        <f aca="false">IF(Data!D1794="—","—",IFERROR(INDEX(対訳マスタ!$C$2:$C$136,MATCH(Data!D1794,対訳マスタ!$B$2:$B$136,0)),Data!D1794))</f>
        <v>語用能力</v>
      </c>
      <c r="E1794" s="82" t="str">
        <f aca="false">IFERROR(INDEX(対訳マスタ!$C$2:$C$136,MATCH(Data!E1794,対訳マスタ!$B$2:$B$136,0)),Data!E1794)</f>
        <v>処理速度</v>
      </c>
      <c r="F1794" s="82" t="str">
        <f aca="false">Data!F1794</f>
        <v>C2</v>
      </c>
      <c r="G1794" s="81" t="str">
        <f aca="false">Data!G1794</f>
        <v>Can easily understand fluently fingerspelled signs, even if they do not see every letter but perhaps only ergonomic word shapes.</v>
      </c>
      <c r="H1794" s="81"/>
      <c r="I1794" s="82" t="s">
        <v>3625</v>
      </c>
    </row>
    <row r="1795" customFormat="false" ht="15" hidden="false" customHeight="true" outlineLevel="0" collapsed="false">
      <c r="A1795" s="82" t="n">
        <f aca="false">Data!A1795</f>
        <v>1794</v>
      </c>
      <c r="B1795" s="82" t="str">
        <f aca="false">IFERROR(INDEX(対訳マスタ!$C$2:$C$136,MATCH(Data!B1795,対訳マスタ!$B$2:$B$136,0)),Data!B1795)</f>
        <v>手話能力</v>
      </c>
      <c r="C1795" s="82" t="str">
        <f aca="false">IF(Data!C1795="—","—",IFERROR(INDEX(対訳マスタ!$C$2:$C$136,MATCH(Data!C1795,対訳マスタ!$B$2:$B$136,0)),Data!C1795))</f>
        <v>—</v>
      </c>
      <c r="D1795" s="82" t="str">
        <f aca="false">IF(Data!D1795="—","—",IFERROR(INDEX(対訳マスタ!$C$2:$C$136,MATCH(Data!D1795,対訳マスタ!$B$2:$B$136,0)),Data!D1795))</f>
        <v>語用能力</v>
      </c>
      <c r="E1795" s="82" t="str">
        <f aca="false">IFERROR(INDEX(対訳マスタ!$C$2:$C$136,MATCH(Data!E1795,対訳マスタ!$B$2:$B$136,0)),Data!E1795)</f>
        <v>処理速度</v>
      </c>
      <c r="F1795" s="82" t="str">
        <f aca="false">Data!F1795</f>
        <v>C1</v>
      </c>
      <c r="G1795" s="81" t="str">
        <f aca="false">Data!G1795</f>
        <v>Can follow a long fluidly signed text.</v>
      </c>
      <c r="H1795" s="81"/>
      <c r="I1795" s="82" t="s">
        <v>3625</v>
      </c>
    </row>
    <row r="1796" customFormat="false" ht="15" hidden="false" customHeight="true" outlineLevel="0" collapsed="false">
      <c r="A1796" s="82" t="n">
        <f aca="false">Data!A1796</f>
        <v>1795</v>
      </c>
      <c r="B1796" s="82" t="str">
        <f aca="false">IFERROR(INDEX(対訳マスタ!$C$2:$C$136,MATCH(Data!B1796,対訳マスタ!$B$2:$B$136,0)),Data!B1796)</f>
        <v>手話能力</v>
      </c>
      <c r="C1796" s="82" t="str">
        <f aca="false">IF(Data!C1796="—","—",IFERROR(INDEX(対訳マスタ!$C$2:$C$136,MATCH(Data!C1796,対訳マスタ!$B$2:$B$136,0)),Data!C1796))</f>
        <v>—</v>
      </c>
      <c r="D1796" s="82" t="str">
        <f aca="false">IF(Data!D1796="—","—",IFERROR(INDEX(対訳マスタ!$C$2:$C$136,MATCH(Data!D1796,対訳マスタ!$B$2:$B$136,0)),Data!D1796))</f>
        <v>語用能力</v>
      </c>
      <c r="E1796" s="82" t="str">
        <f aca="false">IFERROR(INDEX(対訳マスタ!$C$2:$C$136,MATCH(Data!E1796,対訳マスタ!$B$2:$B$136,0)),Data!E1796)</f>
        <v>処理速度</v>
      </c>
      <c r="F1796" s="82" t="str">
        <f aca="false">Data!F1796</f>
        <v>C1</v>
      </c>
      <c r="G1796" s="81" t="str">
        <f aca="false">Data!G1796</f>
        <v>Can follow complicated reports without difficulty.</v>
      </c>
      <c r="H1796" s="81"/>
      <c r="I1796" s="82" t="s">
        <v>3625</v>
      </c>
    </row>
    <row r="1797" customFormat="false" ht="21.75" hidden="false" customHeight="true" outlineLevel="0" collapsed="false">
      <c r="A1797" s="82" t="n">
        <f aca="false">Data!A1797</f>
        <v>1796</v>
      </c>
      <c r="B1797" s="82" t="str">
        <f aca="false">IFERROR(INDEX(対訳マスタ!$C$2:$C$136,MATCH(Data!B1797,対訳マスタ!$B$2:$B$136,0)),Data!B1797)</f>
        <v>手話能力</v>
      </c>
      <c r="C1797" s="82" t="str">
        <f aca="false">IF(Data!C1797="—","—",IFERROR(INDEX(対訳マスタ!$C$2:$C$136,MATCH(Data!C1797,対訳マスタ!$B$2:$B$136,0)),Data!C1797))</f>
        <v>—</v>
      </c>
      <c r="D1797" s="82" t="str">
        <f aca="false">IF(Data!D1797="—","—",IFERROR(INDEX(対訳マスタ!$C$2:$C$136,MATCH(Data!D1797,対訳マスタ!$B$2:$B$136,0)),Data!D1797))</f>
        <v>語用能力</v>
      </c>
      <c r="E1797" s="82" t="str">
        <f aca="false">IFERROR(INDEX(対訳マスタ!$C$2:$C$136,MATCH(Data!E1797,対訳マスタ!$B$2:$B$136,0)),Data!E1797)</f>
        <v>処理速度</v>
      </c>
      <c r="F1797" s="82" t="str">
        <f aca="false">Data!F1797</f>
        <v>C1</v>
      </c>
      <c r="G1797" s="81" t="str">
        <f aca="false">Data!G1797</f>
        <v>Can easily understand complex actions and relationships between objects/persons/places that are described using various classifier constructions.</v>
      </c>
      <c r="H1797" s="81"/>
      <c r="I1797" s="82" t="s">
        <v>3625</v>
      </c>
    </row>
    <row r="1798" customFormat="false" ht="21.75" hidden="false" customHeight="true" outlineLevel="0" collapsed="false">
      <c r="A1798" s="82" t="n">
        <f aca="false">Data!A1798</f>
        <v>1797</v>
      </c>
      <c r="B1798" s="82" t="str">
        <f aca="false">IFERROR(INDEX(対訳マスタ!$C$2:$C$136,MATCH(Data!B1798,対訳マスタ!$B$2:$B$136,0)),Data!B1798)</f>
        <v>手話能力</v>
      </c>
      <c r="C1798" s="82" t="str">
        <f aca="false">IF(Data!C1798="—","—",IFERROR(INDEX(対訳マスタ!$C$2:$C$136,MATCH(Data!C1798,対訳マスタ!$B$2:$B$136,0)),Data!C1798))</f>
        <v>—</v>
      </c>
      <c r="D1798" s="82" t="str">
        <f aca="false">IF(Data!D1798="—","—",IFERROR(INDEX(対訳マスタ!$C$2:$C$136,MATCH(Data!D1798,対訳マスタ!$B$2:$B$136,0)),Data!D1798))</f>
        <v>語用能力</v>
      </c>
      <c r="E1798" s="82" t="str">
        <f aca="false">IFERROR(INDEX(対訳マスタ!$C$2:$C$136,MATCH(Data!E1798,対訳マスタ!$B$2:$B$136,0)),Data!E1798)</f>
        <v>処理速度</v>
      </c>
      <c r="F1798" s="82" t="str">
        <f aca="false">Data!F1798</f>
        <v>C1</v>
      </c>
      <c r="G1798" s="81" t="str">
        <f aca="false">Data!G1798</f>
        <v>Can follow how people react to one another’s communication behaviour even when several signers are involved, for example in a panel discussion.</v>
      </c>
      <c r="H1798" s="81"/>
      <c r="I1798" s="82" t="s">
        <v>3625</v>
      </c>
    </row>
    <row r="1799" customFormat="false" ht="15" hidden="false" customHeight="true" outlineLevel="0" collapsed="false">
      <c r="A1799" s="82" t="n">
        <f aca="false">Data!A1799</f>
        <v>1798</v>
      </c>
      <c r="B1799" s="82" t="str">
        <f aca="false">IFERROR(INDEX(対訳マスタ!$C$2:$C$136,MATCH(Data!B1799,対訳マスタ!$B$2:$B$136,0)),Data!B1799)</f>
        <v>手話能力</v>
      </c>
      <c r="C1799" s="82" t="str">
        <f aca="false">IF(Data!C1799="—","—",IFERROR(INDEX(対訳マスタ!$C$2:$C$136,MATCH(Data!C1799,対訳マスタ!$B$2:$B$136,0)),Data!C1799))</f>
        <v>—</v>
      </c>
      <c r="D1799" s="82" t="str">
        <f aca="false">IF(Data!D1799="—","—",IFERROR(INDEX(対訳マスタ!$C$2:$C$136,MATCH(Data!D1799,対訳マスタ!$B$2:$B$136,0)),Data!D1799))</f>
        <v>語用能力</v>
      </c>
      <c r="E1799" s="82" t="str">
        <f aca="false">IFERROR(INDEX(対訳マスタ!$C$2:$C$136,MATCH(Data!E1799,対訳マスタ!$B$2:$B$136,0)),Data!E1799)</f>
        <v>処理速度</v>
      </c>
      <c r="F1799" s="82" t="str">
        <f aca="false">Data!F1799</f>
        <v>C1</v>
      </c>
      <c r="G1799" s="81" t="str">
        <f aca="false">Data!G1799</f>
        <v>Can understand a signed text even if the signer uses only one hand.</v>
      </c>
      <c r="H1799" s="81"/>
      <c r="I1799" s="82" t="s">
        <v>3625</v>
      </c>
    </row>
    <row r="1800" customFormat="false" ht="15" hidden="false" customHeight="true" outlineLevel="0" collapsed="false">
      <c r="A1800" s="82" t="n">
        <f aca="false">Data!A1800</f>
        <v>1799</v>
      </c>
      <c r="B1800" s="82" t="str">
        <f aca="false">IFERROR(INDEX(対訳マスタ!$C$2:$C$136,MATCH(Data!B1800,対訳マスタ!$B$2:$B$136,0)),Data!B1800)</f>
        <v>手話能力</v>
      </c>
      <c r="C1800" s="82" t="str">
        <f aca="false">IF(Data!C1800="—","—",IFERROR(INDEX(対訳マスタ!$C$2:$C$136,MATCH(Data!C1800,対訳マスタ!$B$2:$B$136,0)),Data!C1800))</f>
        <v>—</v>
      </c>
      <c r="D1800" s="82" t="str">
        <f aca="false">IF(Data!D1800="—","—",IFERROR(INDEX(対訳マスタ!$C$2:$C$136,MATCH(Data!D1800,対訳マスタ!$B$2:$B$136,0)),Data!D1800))</f>
        <v>語用能力</v>
      </c>
      <c r="E1800" s="82" t="str">
        <f aca="false">IFERROR(INDEX(対訳マスタ!$C$2:$C$136,MATCH(Data!E1800,対訳マスタ!$B$2:$B$136,0)),Data!E1800)</f>
        <v>処理速度</v>
      </c>
      <c r="F1800" s="82" t="str">
        <f aca="false">Data!F1800</f>
        <v>C1</v>
      </c>
      <c r="G1800" s="81" t="str">
        <f aca="false">Data!G1800</f>
        <v>Can follow a text even when it contains several unknown signs.</v>
      </c>
      <c r="H1800" s="81"/>
      <c r="I1800" s="82" t="s">
        <v>3625</v>
      </c>
    </row>
    <row r="1801" customFormat="false" ht="21.75" hidden="false" customHeight="true" outlineLevel="0" collapsed="false">
      <c r="A1801" s="82" t="n">
        <f aca="false">Data!A1801</f>
        <v>1800</v>
      </c>
      <c r="B1801" s="82" t="str">
        <f aca="false">IFERROR(INDEX(対訳マスタ!$C$2:$C$136,MATCH(Data!B1801,対訳マスタ!$B$2:$B$136,0)),Data!B1801)</f>
        <v>手話能力</v>
      </c>
      <c r="C1801" s="82" t="str">
        <f aca="false">IF(Data!C1801="—","—",IFERROR(INDEX(対訳マスタ!$C$2:$C$136,MATCH(Data!C1801,対訳マスタ!$B$2:$B$136,0)),Data!C1801))</f>
        <v>—</v>
      </c>
      <c r="D1801" s="82" t="str">
        <f aca="false">IF(Data!D1801="—","—",IFERROR(INDEX(対訳マスタ!$C$2:$C$136,MATCH(Data!D1801,対訳マスタ!$B$2:$B$136,0)),Data!D1801))</f>
        <v>語用能力</v>
      </c>
      <c r="E1801" s="82" t="str">
        <f aca="false">IFERROR(INDEX(対訳マスタ!$C$2:$C$136,MATCH(Data!E1801,対訳マスタ!$B$2:$B$136,0)),Data!E1801)</f>
        <v>処理速度</v>
      </c>
      <c r="F1801" s="82" t="str">
        <f aca="false">Data!F1801</f>
        <v>C1</v>
      </c>
      <c r="G1801" s="81" t="str">
        <f aca="false">Data!G1801</f>
        <v>Can understand a text even when certain signs or sentences are incomplete or not visible.</v>
      </c>
      <c r="H1801" s="81"/>
      <c r="I1801" s="82" t="s">
        <v>3625</v>
      </c>
    </row>
    <row r="1802" customFormat="false" ht="15" hidden="false" customHeight="true" outlineLevel="0" collapsed="false">
      <c r="A1802" s="82" t="n">
        <f aca="false">Data!A1802</f>
        <v>1801</v>
      </c>
      <c r="B1802" s="82" t="str">
        <f aca="false">IFERROR(INDEX(対訳マスタ!$C$2:$C$136,MATCH(Data!B1802,対訳マスタ!$B$2:$B$136,0)),Data!B1802)</f>
        <v>手話能力</v>
      </c>
      <c r="C1802" s="82" t="str">
        <f aca="false">IF(Data!C1802="—","—",IFERROR(INDEX(対訳マスタ!$C$2:$C$136,MATCH(Data!C1802,対訳マスタ!$B$2:$B$136,0)),Data!C1802))</f>
        <v>—</v>
      </c>
      <c r="D1802" s="82" t="str">
        <f aca="false">IF(Data!D1802="—","—",IFERROR(INDEX(対訳マスタ!$C$2:$C$136,MATCH(Data!D1802,対訳マスタ!$B$2:$B$136,0)),Data!D1802))</f>
        <v>語用能力</v>
      </c>
      <c r="E1802" s="82" t="str">
        <f aca="false">IFERROR(INDEX(対訳マスタ!$C$2:$C$136,MATCH(Data!E1802,対訳マスタ!$B$2:$B$136,0)),Data!E1802)</f>
        <v>処理速度</v>
      </c>
      <c r="F1802" s="82" t="str">
        <f aca="false">Data!F1802</f>
        <v>C1</v>
      </c>
      <c r="G1802" s="81" t="str">
        <f aca="false">Data!G1802</f>
        <v>Can spot signing errors and correct them for themselves without query.</v>
      </c>
      <c r="H1802" s="81"/>
      <c r="I1802" s="82" t="s">
        <v>3625</v>
      </c>
    </row>
    <row r="1803" customFormat="false" ht="15" hidden="false" customHeight="true" outlineLevel="0" collapsed="false">
      <c r="A1803" s="82" t="n">
        <f aca="false">Data!A1803</f>
        <v>1802</v>
      </c>
      <c r="B1803" s="82" t="str">
        <f aca="false">IFERROR(INDEX(対訳マスタ!$C$2:$C$136,MATCH(Data!B1803,対訳マスタ!$B$2:$B$136,0)),Data!B1803)</f>
        <v>手話能力</v>
      </c>
      <c r="C1803" s="82" t="str">
        <f aca="false">IF(Data!C1803="—","—",IFERROR(INDEX(対訳マスタ!$C$2:$C$136,MATCH(Data!C1803,対訳マスタ!$B$2:$B$136,0)),Data!C1803))</f>
        <v>—</v>
      </c>
      <c r="D1803" s="82" t="str">
        <f aca="false">IF(Data!D1803="—","—",IFERROR(INDEX(対訳マスタ!$C$2:$C$136,MATCH(Data!D1803,対訳マスタ!$B$2:$B$136,0)),Data!D1803))</f>
        <v>語用能力</v>
      </c>
      <c r="E1803" s="82" t="str">
        <f aca="false">IFERROR(INDEX(対訳マスタ!$C$2:$C$136,MATCH(Data!E1803,対訳マスタ!$B$2:$B$136,0)),Data!E1803)</f>
        <v>処理速度</v>
      </c>
      <c r="F1803" s="82" t="str">
        <f aca="false">Data!F1803</f>
        <v>B2+</v>
      </c>
      <c r="G1803" s="81" t="str">
        <f aca="false">Data!G1803</f>
        <v>Can follow unexpected news or video messages without preparation.</v>
      </c>
      <c r="H1803" s="81"/>
      <c r="I1803" s="82" t="s">
        <v>3625</v>
      </c>
    </row>
    <row r="1804" customFormat="false" ht="21.75" hidden="false" customHeight="true" outlineLevel="0" collapsed="false">
      <c r="A1804" s="82" t="n">
        <f aca="false">Data!A1804</f>
        <v>1803</v>
      </c>
      <c r="B1804" s="82" t="str">
        <f aca="false">IFERROR(INDEX(対訳マスタ!$C$2:$C$136,MATCH(Data!B1804,対訳マスタ!$B$2:$B$136,0)),Data!B1804)</f>
        <v>手話能力</v>
      </c>
      <c r="C1804" s="82" t="str">
        <f aca="false">IF(Data!C1804="—","—",IFERROR(INDEX(対訳マスタ!$C$2:$C$136,MATCH(Data!C1804,対訳マスタ!$B$2:$B$136,0)),Data!C1804))</f>
        <v>—</v>
      </c>
      <c r="D1804" s="82" t="str">
        <f aca="false">IF(Data!D1804="—","—",IFERROR(INDEX(対訳マスタ!$C$2:$C$136,MATCH(Data!D1804,対訳マスタ!$B$2:$B$136,0)),Data!D1804))</f>
        <v>語用能力</v>
      </c>
      <c r="E1804" s="82" t="str">
        <f aca="false">IFERROR(INDEX(対訳マスタ!$C$2:$C$136,MATCH(Data!E1804,対訳マスタ!$B$2:$B$136,0)),Data!E1804)</f>
        <v>処理速度</v>
      </c>
      <c r="F1804" s="82" t="str">
        <f aca="false">Data!F1804</f>
        <v>B2</v>
      </c>
      <c r="G1804" s="81" t="str">
        <f aca="false">Data!G1804</f>
        <v>Can easily understand descriptions of actions even if the signer uses different classifier constructions (e.g., manipulators, substitutors).</v>
      </c>
      <c r="H1804" s="81"/>
      <c r="I1804" s="82" t="s">
        <v>3625</v>
      </c>
    </row>
    <row r="1805" customFormat="false" ht="15" hidden="false" customHeight="true" outlineLevel="0" collapsed="false">
      <c r="A1805" s="82" t="n">
        <f aca="false">Data!A1805</f>
        <v>1804</v>
      </c>
      <c r="B1805" s="82" t="str">
        <f aca="false">IFERROR(INDEX(対訳マスタ!$C$2:$C$136,MATCH(Data!B1805,対訳マスタ!$B$2:$B$136,0)),Data!B1805)</f>
        <v>手話能力</v>
      </c>
      <c r="C1805" s="82" t="str">
        <f aca="false">IF(Data!C1805="—","—",IFERROR(INDEX(対訳マスタ!$C$2:$C$136,MATCH(Data!C1805,対訳マスタ!$B$2:$B$136,0)),Data!C1805))</f>
        <v>—</v>
      </c>
      <c r="D1805" s="82" t="str">
        <f aca="false">IF(Data!D1805="—","—",IFERROR(INDEX(対訳マスタ!$C$2:$C$136,MATCH(Data!D1805,対訳マスタ!$B$2:$B$136,0)),Data!D1805))</f>
        <v>語用能力</v>
      </c>
      <c r="E1805" s="82" t="str">
        <f aca="false">IFERROR(INDEX(対訳マスタ!$C$2:$C$136,MATCH(Data!E1805,対訳マスタ!$B$2:$B$136,0)),Data!E1805)</f>
        <v>処理速度</v>
      </c>
      <c r="F1805" s="82" t="str">
        <f aca="false">Data!F1805</f>
        <v>B2</v>
      </c>
      <c r="G1805" s="81" t="str">
        <f aca="false">Data!G1805</f>
        <v>Can follow even unexpected twists in a text.</v>
      </c>
      <c r="H1805" s="81"/>
      <c r="I1805" s="82" t="s">
        <v>3625</v>
      </c>
    </row>
    <row r="1806" customFormat="false" ht="21.75" hidden="false" customHeight="true" outlineLevel="0" collapsed="false">
      <c r="A1806" s="82" t="n">
        <f aca="false">Data!A1806</f>
        <v>1805</v>
      </c>
      <c r="B1806" s="82" t="str">
        <f aca="false">IFERROR(INDEX(対訳マスタ!$C$2:$C$136,MATCH(Data!B1806,対訳マスタ!$B$2:$B$136,0)),Data!B1806)</f>
        <v>手話能力</v>
      </c>
      <c r="C1806" s="82" t="str">
        <f aca="false">IF(Data!C1806="—","—",IFERROR(INDEX(対訳マスタ!$C$2:$C$136,MATCH(Data!C1806,対訳マスタ!$B$2:$B$136,0)),Data!C1806))</f>
        <v>—</v>
      </c>
      <c r="D1806" s="82" t="str">
        <f aca="false">IF(Data!D1806="—","—",IFERROR(INDEX(対訳マスタ!$C$2:$C$136,MATCH(Data!D1806,対訳マスタ!$B$2:$B$136,0)),Data!D1806))</f>
        <v>語用能力</v>
      </c>
      <c r="E1806" s="82" t="str">
        <f aca="false">IFERROR(INDEX(対訳マスタ!$C$2:$C$136,MATCH(Data!E1806,対訳マスタ!$B$2:$B$136,0)),Data!E1806)</f>
        <v>処理速度</v>
      </c>
      <c r="F1806" s="82" t="str">
        <f aca="false">Data!F1806</f>
        <v>B2</v>
      </c>
      <c r="G1806" s="81" t="str">
        <f aca="false">Data!G1806</f>
        <v>Can understand rhythmically presented movement sequences and actions, and recognise their aesthetic quality.</v>
      </c>
      <c r="H1806" s="81"/>
      <c r="I1806" s="82" t="s">
        <v>3625</v>
      </c>
    </row>
    <row r="1807" customFormat="false" ht="15" hidden="false" customHeight="true" outlineLevel="0" collapsed="false">
      <c r="A1807" s="82" t="n">
        <f aca="false">Data!A1807</f>
        <v>1806</v>
      </c>
      <c r="B1807" s="82" t="str">
        <f aca="false">IFERROR(INDEX(対訳マスタ!$C$2:$C$136,MATCH(Data!B1807,対訳マスタ!$B$2:$B$136,0)),Data!B1807)</f>
        <v>手話能力</v>
      </c>
      <c r="C1807" s="82" t="str">
        <f aca="false">IF(Data!C1807="—","—",IFERROR(INDEX(対訳マスタ!$C$2:$C$136,MATCH(Data!C1807,対訳マスタ!$B$2:$B$136,0)),Data!C1807))</f>
        <v>—</v>
      </c>
      <c r="D1807" s="82" t="str">
        <f aca="false">IF(Data!D1807="—","—",IFERROR(INDEX(対訳マスタ!$C$2:$C$136,MATCH(Data!D1807,対訳マスタ!$B$2:$B$136,0)),Data!D1807))</f>
        <v>語用能力</v>
      </c>
      <c r="E1807" s="82" t="str">
        <f aca="false">IFERROR(INDEX(対訳マスタ!$C$2:$C$136,MATCH(Data!E1807,対訳マスタ!$B$2:$B$136,0)),Data!E1807)</f>
        <v>処理速度</v>
      </c>
      <c r="F1807" s="82" t="str">
        <f aca="false">Data!F1807</f>
        <v>B1+</v>
      </c>
      <c r="G1807" s="81" t="str">
        <f aca="false">Data!G1807</f>
        <v>Can follow a long and slowly signed text, provided it is shown several times.</v>
      </c>
      <c r="H1807" s="81"/>
      <c r="I1807" s="82" t="s">
        <v>3625</v>
      </c>
    </row>
    <row r="1808" customFormat="false" ht="15" hidden="false" customHeight="true" outlineLevel="0" collapsed="false">
      <c r="A1808" s="82" t="n">
        <f aca="false">Data!A1808</f>
        <v>1807</v>
      </c>
      <c r="B1808" s="82" t="str">
        <f aca="false">IFERROR(INDEX(対訳マスタ!$C$2:$C$136,MATCH(Data!B1808,対訳マスタ!$B$2:$B$136,0)),Data!B1808)</f>
        <v>手話能力</v>
      </c>
      <c r="C1808" s="82" t="str">
        <f aca="false">IF(Data!C1808="—","—",IFERROR(INDEX(対訳マスタ!$C$2:$C$136,MATCH(Data!C1808,対訳マスタ!$B$2:$B$136,0)),Data!C1808))</f>
        <v>—</v>
      </c>
      <c r="D1808" s="82" t="str">
        <f aca="false">IF(Data!D1808="—","—",IFERROR(INDEX(対訳マスタ!$C$2:$C$136,MATCH(Data!D1808,対訳マスタ!$B$2:$B$136,0)),Data!D1808))</f>
        <v>語用能力</v>
      </c>
      <c r="E1808" s="82" t="str">
        <f aca="false">IFERROR(INDEX(対訳マスタ!$C$2:$C$136,MATCH(Data!E1808,対訳マスタ!$B$2:$B$136,0)),Data!E1808)</f>
        <v>処理速度</v>
      </c>
      <c r="F1808" s="82" t="str">
        <f aca="false">Data!F1808</f>
        <v>B1+</v>
      </c>
      <c r="G1808" s="81" t="str">
        <f aca="false">Data!G1808</f>
        <v>Can follow the narration of a well-known story without difficulty.</v>
      </c>
      <c r="H1808" s="81"/>
      <c r="I1808" s="82" t="s">
        <v>3625</v>
      </c>
    </row>
    <row r="1809" customFormat="false" ht="21.75" hidden="false" customHeight="true" outlineLevel="0" collapsed="false">
      <c r="A1809" s="82" t="n">
        <f aca="false">Data!A1809</f>
        <v>1808</v>
      </c>
      <c r="B1809" s="82" t="str">
        <f aca="false">IFERROR(INDEX(対訳マスタ!$C$2:$C$136,MATCH(Data!B1809,対訳マスタ!$B$2:$B$136,0)),Data!B1809)</f>
        <v>手話能力</v>
      </c>
      <c r="C1809" s="82" t="str">
        <f aca="false">IF(Data!C1809="—","—",IFERROR(INDEX(対訳マスタ!$C$2:$C$136,MATCH(Data!C1809,対訳マスタ!$B$2:$B$136,0)),Data!C1809))</f>
        <v>—</v>
      </c>
      <c r="D1809" s="82" t="str">
        <f aca="false">IF(Data!D1809="—","—",IFERROR(INDEX(対訳マスタ!$C$2:$C$136,MATCH(Data!D1809,対訳マスタ!$B$2:$B$136,0)),Data!D1809))</f>
        <v>語用能力</v>
      </c>
      <c r="E1809" s="82" t="str">
        <f aca="false">IFERROR(INDEX(対訳マスタ!$C$2:$C$136,MATCH(Data!E1809,対訳マスタ!$B$2:$B$136,0)),Data!E1809)</f>
        <v>処理速度</v>
      </c>
      <c r="F1809" s="82" t="str">
        <f aca="false">Data!F1809</f>
        <v>B1+</v>
      </c>
      <c r="G1809" s="81" t="str">
        <f aca="false">Data!G1809</f>
        <v>Can recognise and imitate various handshapes, even when the signer uses them in rapid succession.</v>
      </c>
      <c r="H1809" s="81"/>
      <c r="I1809" s="82" t="s">
        <v>3625</v>
      </c>
    </row>
    <row r="1810" customFormat="false" ht="15" hidden="false" customHeight="true" outlineLevel="0" collapsed="false">
      <c r="A1810" s="82" t="n">
        <f aca="false">Data!A1810</f>
        <v>1809</v>
      </c>
      <c r="B1810" s="82" t="str">
        <f aca="false">IFERROR(INDEX(対訳マスタ!$C$2:$C$136,MATCH(Data!B1810,対訳マスタ!$B$2:$B$136,0)),Data!B1810)</f>
        <v>手話能力</v>
      </c>
      <c r="C1810" s="82" t="str">
        <f aca="false">IF(Data!C1810="—","—",IFERROR(INDEX(対訳マスタ!$C$2:$C$136,MATCH(Data!C1810,対訳マスタ!$B$2:$B$136,0)),Data!C1810))</f>
        <v>—</v>
      </c>
      <c r="D1810" s="82" t="str">
        <f aca="false">IF(Data!D1810="—","—",IFERROR(INDEX(対訳マスタ!$C$2:$C$136,MATCH(Data!D1810,対訳マスタ!$B$2:$B$136,0)),Data!D1810))</f>
        <v>語用能力</v>
      </c>
      <c r="E1810" s="82" t="str">
        <f aca="false">IFERROR(INDEX(対訳マスタ!$C$2:$C$136,MATCH(Data!E1810,対訳マスタ!$B$2:$B$136,0)),Data!E1810)</f>
        <v>処理速度</v>
      </c>
      <c r="F1810" s="82" t="str">
        <f aca="false">Data!F1810</f>
        <v>B1+</v>
      </c>
      <c r="G1810" s="81" t="str">
        <f aca="false">Data!G1810</f>
        <v>Can spot signing errors and ask for more precision or clarification.</v>
      </c>
      <c r="H1810" s="81"/>
      <c r="I1810" s="82" t="s">
        <v>3625</v>
      </c>
    </row>
    <row r="1811" customFormat="false" ht="15" hidden="false" customHeight="true" outlineLevel="0" collapsed="false">
      <c r="A1811" s="82" t="n">
        <f aca="false">Data!A1811</f>
        <v>1810</v>
      </c>
      <c r="B1811" s="82" t="str">
        <f aca="false">IFERROR(INDEX(対訳マスタ!$C$2:$C$136,MATCH(Data!B1811,対訳マスタ!$B$2:$B$136,0)),Data!B1811)</f>
        <v>手話能力</v>
      </c>
      <c r="C1811" s="82" t="str">
        <f aca="false">IF(Data!C1811="—","—",IFERROR(INDEX(対訳マスタ!$C$2:$C$136,MATCH(Data!C1811,対訳マスタ!$B$2:$B$136,0)),Data!C1811))</f>
        <v>—</v>
      </c>
      <c r="D1811" s="82" t="str">
        <f aca="false">IF(Data!D1811="—","—",IFERROR(INDEX(対訳マスタ!$C$2:$C$136,MATCH(Data!D1811,対訳マスタ!$B$2:$B$136,0)),Data!D1811))</f>
        <v>語用能力</v>
      </c>
      <c r="E1811" s="82" t="str">
        <f aca="false">IFERROR(INDEX(対訳マスタ!$C$2:$C$136,MATCH(Data!E1811,対訳マスタ!$B$2:$B$136,0)),Data!E1811)</f>
        <v>処理速度</v>
      </c>
      <c r="F1811" s="82" t="str">
        <f aca="false">Data!F1811</f>
        <v>B1</v>
      </c>
      <c r="G1811" s="81" t="str">
        <f aca="false">Data!G1811</f>
        <v>Can follow a longer, fluidly signed text, provided it is repeated.</v>
      </c>
      <c r="H1811" s="81"/>
      <c r="I1811" s="82" t="s">
        <v>3625</v>
      </c>
    </row>
    <row r="1812" customFormat="false" ht="15" hidden="false" customHeight="true" outlineLevel="0" collapsed="false">
      <c r="A1812" s="82" t="n">
        <f aca="false">Data!A1812</f>
        <v>1811</v>
      </c>
      <c r="B1812" s="82" t="str">
        <f aca="false">IFERROR(INDEX(対訳マスタ!$C$2:$C$136,MATCH(Data!B1812,対訳マスタ!$B$2:$B$136,0)),Data!B1812)</f>
        <v>手話能力</v>
      </c>
      <c r="C1812" s="82" t="str">
        <f aca="false">IF(Data!C1812="—","—",IFERROR(INDEX(対訳マスタ!$C$2:$C$136,MATCH(Data!C1812,対訳マスタ!$B$2:$B$136,0)),Data!C1812))</f>
        <v>—</v>
      </c>
      <c r="D1812" s="82" t="str">
        <f aca="false">IF(Data!D1812="—","—",IFERROR(INDEX(対訳マスタ!$C$2:$C$136,MATCH(Data!D1812,対訳マスタ!$B$2:$B$136,0)),Data!D1812))</f>
        <v>語用能力</v>
      </c>
      <c r="E1812" s="82" t="str">
        <f aca="false">IFERROR(INDEX(対訳マスタ!$C$2:$C$136,MATCH(Data!E1812,対訳マスタ!$B$2:$B$136,0)),Data!E1812)</f>
        <v>処理速度</v>
      </c>
      <c r="F1812" s="82" t="str">
        <f aca="false">Data!F1812</f>
        <v>B1</v>
      </c>
      <c r="G1812" s="81" t="str">
        <f aca="false">Data!G1812</f>
        <v>Can understand a relatively long text in one go, provided it is signed slowly.</v>
      </c>
      <c r="H1812" s="81"/>
      <c r="I1812" s="82" t="s">
        <v>3625</v>
      </c>
    </row>
    <row r="1813" customFormat="false" ht="21.75" hidden="false" customHeight="true" outlineLevel="0" collapsed="false">
      <c r="A1813" s="82" t="n">
        <f aca="false">Data!A1813</f>
        <v>1812</v>
      </c>
      <c r="B1813" s="82" t="str">
        <f aca="false">IFERROR(INDEX(対訳マスタ!$C$2:$C$136,MATCH(Data!B1813,対訳マスタ!$B$2:$B$136,0)),Data!B1813)</f>
        <v>手話能力</v>
      </c>
      <c r="C1813" s="82" t="str">
        <f aca="false">IF(Data!C1813="—","—",IFERROR(INDEX(対訳マスタ!$C$2:$C$136,MATCH(Data!C1813,対訳マスタ!$B$2:$B$136,0)),Data!C1813))</f>
        <v>—</v>
      </c>
      <c r="D1813" s="82" t="str">
        <f aca="false">IF(Data!D1813="—","—",IFERROR(INDEX(対訳マスタ!$C$2:$C$136,MATCH(Data!D1813,対訳マスタ!$B$2:$B$136,0)),Data!D1813))</f>
        <v>語用能力</v>
      </c>
      <c r="E1813" s="82" t="str">
        <f aca="false">IFERROR(INDEX(対訳マスタ!$C$2:$C$136,MATCH(Data!E1813,対訳マスタ!$B$2:$B$136,0)),Data!E1813)</f>
        <v>処理速度</v>
      </c>
      <c r="F1813" s="82" t="str">
        <f aca="false">Data!F1813</f>
        <v>B1</v>
      </c>
      <c r="G1813" s="81" t="str">
        <f aca="false">Data!G1813</f>
        <v>Can understand designations (name, fingerspelled items, functions) for persons in a text and subsequent reference to them.</v>
      </c>
      <c r="H1813" s="81"/>
      <c r="I1813" s="82" t="s">
        <v>3625</v>
      </c>
    </row>
    <row r="1814" customFormat="false" ht="15" hidden="false" customHeight="true" outlineLevel="0" collapsed="false">
      <c r="A1814" s="82" t="n">
        <f aca="false">Data!A1814</f>
        <v>1813</v>
      </c>
      <c r="B1814" s="82" t="str">
        <f aca="false">IFERROR(INDEX(対訳マスタ!$C$2:$C$136,MATCH(Data!B1814,対訳マスタ!$B$2:$B$136,0)),Data!B1814)</f>
        <v>手話能力</v>
      </c>
      <c r="C1814" s="82" t="str">
        <f aca="false">IF(Data!C1814="—","—",IFERROR(INDEX(対訳マスタ!$C$2:$C$136,MATCH(Data!C1814,対訳マスタ!$B$2:$B$136,0)),Data!C1814))</f>
        <v>—</v>
      </c>
      <c r="D1814" s="82" t="str">
        <f aca="false">IF(Data!D1814="—","—",IFERROR(INDEX(対訳マスタ!$C$2:$C$136,MATCH(Data!D1814,対訳マスタ!$B$2:$B$136,0)),Data!D1814))</f>
        <v>語用能力</v>
      </c>
      <c r="E1814" s="82" t="str">
        <f aca="false">IFERROR(INDEX(対訳マスタ!$C$2:$C$136,MATCH(Data!E1814,対訳マスタ!$B$2:$B$136,0)),Data!E1814)</f>
        <v>処理速度</v>
      </c>
      <c r="F1814" s="82" t="str">
        <f aca="false">Data!F1814</f>
        <v>A2+</v>
      </c>
      <c r="G1814" s="81" t="str">
        <f aca="false">Data!G1814</f>
        <v>Can follow the interlocutor’s signs, provided they are clearly visible.</v>
      </c>
      <c r="H1814" s="81"/>
      <c r="I1814" s="82" t="s">
        <v>3625</v>
      </c>
    </row>
    <row r="1815" customFormat="false" ht="21.75" hidden="false" customHeight="true" outlineLevel="0" collapsed="false">
      <c r="A1815" s="82" t="n">
        <f aca="false">Data!A1815</f>
        <v>1814</v>
      </c>
      <c r="B1815" s="82" t="str">
        <f aca="false">IFERROR(INDEX(対訳マスタ!$C$2:$C$136,MATCH(Data!B1815,対訳マスタ!$B$2:$B$136,0)),Data!B1815)</f>
        <v>手話能力</v>
      </c>
      <c r="C1815" s="82" t="str">
        <f aca="false">IF(Data!C1815="—","—",IFERROR(INDEX(対訳マスタ!$C$2:$C$136,MATCH(Data!C1815,対訳マスタ!$B$2:$B$136,0)),Data!C1815))</f>
        <v>—</v>
      </c>
      <c r="D1815" s="82" t="str">
        <f aca="false">IF(Data!D1815="—","—",IFERROR(INDEX(対訳マスタ!$C$2:$C$136,MATCH(Data!D1815,対訳マスタ!$B$2:$B$136,0)),Data!D1815))</f>
        <v>語用能力</v>
      </c>
      <c r="E1815" s="82" t="str">
        <f aca="false">IFERROR(INDEX(対訳マスタ!$C$2:$C$136,MATCH(Data!E1815,対訳マスタ!$B$2:$B$136,0)),Data!E1815)</f>
        <v>処理速度</v>
      </c>
      <c r="F1815" s="82" t="str">
        <f aca="false">Data!F1815</f>
        <v>A2</v>
      </c>
      <c r="G1815" s="81" t="str">
        <f aca="false">Data!G1815</f>
        <v>Can understand fluent fingerspelling of letters, provided the producer repeats it, if necessary.</v>
      </c>
      <c r="H1815" s="81"/>
      <c r="I1815" s="82" t="s">
        <v>3625</v>
      </c>
    </row>
    <row r="1816" customFormat="false" ht="15" hidden="false" customHeight="true" outlineLevel="0" collapsed="false">
      <c r="A1816" s="82" t="n">
        <f aca="false">Data!A1816</f>
        <v>1815</v>
      </c>
      <c r="B1816" s="82" t="str">
        <f aca="false">IFERROR(INDEX(対訳マスタ!$C$2:$C$136,MATCH(Data!B1816,対訳マスタ!$B$2:$B$136,0)),Data!B1816)</f>
        <v>手話能力</v>
      </c>
      <c r="C1816" s="82" t="str">
        <f aca="false">IF(Data!C1816="—","—",IFERROR(INDEX(対訳マスタ!$C$2:$C$136,MATCH(Data!C1816,対訳マスタ!$B$2:$B$136,0)),Data!C1816))</f>
        <v>—</v>
      </c>
      <c r="D1816" s="82" t="str">
        <f aca="false">IF(Data!D1816="—","—",IFERROR(INDEX(対訳マスタ!$C$2:$C$136,MATCH(Data!D1816,対訳マスタ!$B$2:$B$136,0)),Data!D1816))</f>
        <v>語用能力</v>
      </c>
      <c r="E1816" s="82" t="str">
        <f aca="false">IFERROR(INDEX(対訳マスタ!$C$2:$C$136,MATCH(Data!E1816,対訳マスタ!$B$2:$B$136,0)),Data!E1816)</f>
        <v>処理速度</v>
      </c>
      <c r="F1816" s="82" t="str">
        <f aca="false">Data!F1816</f>
        <v>A1</v>
      </c>
      <c r="G1816" s="81" t="str">
        <f aca="false">Data!G1816</f>
        <v>Can understand short, slowly and clearly signed texts in one go.</v>
      </c>
      <c r="H1816" s="81"/>
      <c r="I1816" s="82" t="s">
        <v>3625</v>
      </c>
    </row>
    <row r="1817" customFormat="false" ht="15" hidden="false" customHeight="true" outlineLevel="0" collapsed="false">
      <c r="A1817" s="82" t="n">
        <f aca="false">Data!A1817</f>
        <v>1816</v>
      </c>
      <c r="B1817" s="82" t="str">
        <f aca="false">IFERROR(INDEX(対訳マスタ!$C$2:$C$136,MATCH(Data!B1817,対訳マスタ!$B$2:$B$136,0)),Data!B1817)</f>
        <v>手話能力</v>
      </c>
      <c r="C1817" s="82" t="str">
        <f aca="false">IF(Data!C1817="—","—",IFERROR(INDEX(対訳マスタ!$C$2:$C$136,MATCH(Data!C1817,対訳マスタ!$B$2:$B$136,0)),Data!C1817))</f>
        <v>—</v>
      </c>
      <c r="D1817" s="82" t="str">
        <f aca="false">IF(Data!D1817="—","—",IFERROR(INDEX(対訳マスタ!$C$2:$C$136,MATCH(Data!D1817,対訳マスタ!$B$2:$B$136,0)),Data!D1817))</f>
        <v>語用能力</v>
      </c>
      <c r="E1817" s="82" t="str">
        <f aca="false">IFERROR(INDEX(対訳マスタ!$C$2:$C$136,MATCH(Data!E1817,対訳マスタ!$B$2:$B$136,0)),Data!E1817)</f>
        <v>手話の流暢さ</v>
      </c>
      <c r="F1817" s="82" t="str">
        <f aca="false">Data!F1817</f>
        <v>C2</v>
      </c>
      <c r="G1817" s="81" t="str">
        <f aca="false">Data!G1817</f>
        <v>No descriptors available; see C1</v>
      </c>
      <c r="H1817" s="81" t="s">
        <v>624</v>
      </c>
      <c r="I1817" s="80" t="s">
        <v>624</v>
      </c>
    </row>
    <row r="1818" customFormat="false" ht="15" hidden="false" customHeight="true" outlineLevel="0" collapsed="false">
      <c r="A1818" s="82" t="n">
        <f aca="false">Data!A1818</f>
        <v>1817</v>
      </c>
      <c r="B1818" s="82" t="str">
        <f aca="false">IFERROR(INDEX(対訳マスタ!$C$2:$C$136,MATCH(Data!B1818,対訳マスタ!$B$2:$B$136,0)),Data!B1818)</f>
        <v>手話能力</v>
      </c>
      <c r="C1818" s="82" t="str">
        <f aca="false">IF(Data!C1818="—","—",IFERROR(INDEX(対訳マスタ!$C$2:$C$136,MATCH(Data!C1818,対訳マスタ!$B$2:$B$136,0)),Data!C1818))</f>
        <v>—</v>
      </c>
      <c r="D1818" s="82" t="str">
        <f aca="false">IF(Data!D1818="—","—",IFERROR(INDEX(対訳マスタ!$C$2:$C$136,MATCH(Data!D1818,対訳マスタ!$B$2:$B$136,0)),Data!D1818))</f>
        <v>語用能力</v>
      </c>
      <c r="E1818" s="82" t="str">
        <f aca="false">IFERROR(INDEX(対訳マスタ!$C$2:$C$136,MATCH(Data!E1818,対訳マスタ!$B$2:$B$136,0)),Data!E1818)</f>
        <v>手話の流暢さ</v>
      </c>
      <c r="F1818" s="82" t="str">
        <f aca="false">Data!F1818</f>
        <v>C1</v>
      </c>
      <c r="G1818" s="81" t="str">
        <f aca="false">Data!G1818</f>
        <v>Can sign rapidly in a steady rhythm.</v>
      </c>
      <c r="H1818" s="81"/>
      <c r="I1818" s="82" t="s">
        <v>3625</v>
      </c>
    </row>
    <row r="1819" customFormat="false" ht="15" hidden="false" customHeight="true" outlineLevel="0" collapsed="false">
      <c r="A1819" s="82" t="n">
        <f aca="false">Data!A1819</f>
        <v>1818</v>
      </c>
      <c r="B1819" s="82" t="str">
        <f aca="false">IFERROR(INDEX(対訳マスタ!$C$2:$C$136,MATCH(Data!B1819,対訳マスタ!$B$2:$B$136,0)),Data!B1819)</f>
        <v>手話能力</v>
      </c>
      <c r="C1819" s="82" t="str">
        <f aca="false">IF(Data!C1819="—","—",IFERROR(INDEX(対訳マスタ!$C$2:$C$136,MATCH(Data!C1819,対訳マスタ!$B$2:$B$136,0)),Data!C1819))</f>
        <v>—</v>
      </c>
      <c r="D1819" s="82" t="str">
        <f aca="false">IF(Data!D1819="—","—",IFERROR(INDEX(対訳マスタ!$C$2:$C$136,MATCH(Data!D1819,対訳マスタ!$B$2:$B$136,0)),Data!D1819))</f>
        <v>語用能力</v>
      </c>
      <c r="E1819" s="82" t="str">
        <f aca="false">IFERROR(INDEX(対訳マスタ!$C$2:$C$136,MATCH(Data!E1819,対訳マスタ!$B$2:$B$136,0)),Data!E1819)</f>
        <v>手話の流暢さ</v>
      </c>
      <c r="F1819" s="82" t="str">
        <f aca="false">Data!F1819</f>
        <v>C1</v>
      </c>
      <c r="G1819" s="81" t="str">
        <f aca="false">Data!G1819</f>
        <v>Can sign a longer text fluently and rhythmically.</v>
      </c>
      <c r="H1819" s="81"/>
      <c r="I1819" s="82" t="s">
        <v>3625</v>
      </c>
    </row>
    <row r="1820" customFormat="false" ht="15" hidden="false" customHeight="true" outlineLevel="0" collapsed="false">
      <c r="A1820" s="82" t="n">
        <f aca="false">Data!A1820</f>
        <v>1819</v>
      </c>
      <c r="B1820" s="82" t="str">
        <f aca="false">IFERROR(INDEX(対訳マスタ!$C$2:$C$136,MATCH(Data!B1820,対訳マスタ!$B$2:$B$136,0)),Data!B1820)</f>
        <v>手話能力</v>
      </c>
      <c r="C1820" s="82" t="str">
        <f aca="false">IF(Data!C1820="—","—",IFERROR(INDEX(対訳マスタ!$C$2:$C$136,MATCH(Data!C1820,対訳マスタ!$B$2:$B$136,0)),Data!C1820))</f>
        <v>—</v>
      </c>
      <c r="D1820" s="82" t="str">
        <f aca="false">IF(Data!D1820="—","—",IFERROR(INDEX(対訳マスタ!$C$2:$C$136,MATCH(Data!D1820,対訳マスタ!$B$2:$B$136,0)),Data!D1820))</f>
        <v>語用能力</v>
      </c>
      <c r="E1820" s="82" t="str">
        <f aca="false">IFERROR(INDEX(対訳マスタ!$C$2:$C$136,MATCH(Data!E1820,対訳マスタ!$B$2:$B$136,0)),Data!E1820)</f>
        <v>手話の流暢さ</v>
      </c>
      <c r="F1820" s="82" t="str">
        <f aca="false">Data!F1820</f>
        <v>C1</v>
      </c>
      <c r="G1820" s="81" t="str">
        <f aca="false">Data!G1820</f>
        <v>Can employ an extended hold of a sign (hold) as a rhetorical or prosodic feature.</v>
      </c>
      <c r="H1820" s="81"/>
      <c r="I1820" s="82" t="s">
        <v>3625</v>
      </c>
    </row>
    <row r="1821" customFormat="false" ht="15" hidden="false" customHeight="true" outlineLevel="0" collapsed="false">
      <c r="A1821" s="82" t="n">
        <f aca="false">Data!A1821</f>
        <v>1820</v>
      </c>
      <c r="B1821" s="82" t="str">
        <f aca="false">IFERROR(INDEX(対訳マスタ!$C$2:$C$136,MATCH(Data!B1821,対訳マスタ!$B$2:$B$136,0)),Data!B1821)</f>
        <v>手話能力</v>
      </c>
      <c r="C1821" s="82" t="str">
        <f aca="false">IF(Data!C1821="—","—",IFERROR(INDEX(対訳マスタ!$C$2:$C$136,MATCH(Data!C1821,対訳マスタ!$B$2:$B$136,0)),Data!C1821))</f>
        <v>—</v>
      </c>
      <c r="D1821" s="82" t="str">
        <f aca="false">IF(Data!D1821="—","—",IFERROR(INDEX(対訳マスタ!$C$2:$C$136,MATCH(Data!D1821,対訳マスタ!$B$2:$B$136,0)),Data!D1821))</f>
        <v>語用能力</v>
      </c>
      <c r="E1821" s="82" t="str">
        <f aca="false">IFERROR(INDEX(対訳マスタ!$C$2:$C$136,MATCH(Data!E1821,対訳マスタ!$B$2:$B$136,0)),Data!E1821)</f>
        <v>手話の流暢さ</v>
      </c>
      <c r="F1821" s="82" t="str">
        <f aca="false">Data!F1821</f>
        <v>B2+</v>
      </c>
      <c r="G1821" s="81" t="str">
        <f aca="false">Data!G1821</f>
        <v>Can sign at a fluent pace, even though some pauses for planning are still necessary.</v>
      </c>
      <c r="H1821" s="81"/>
      <c r="I1821" s="82" t="s">
        <v>3625</v>
      </c>
    </row>
    <row r="1822" customFormat="false" ht="15" hidden="false" customHeight="true" outlineLevel="0" collapsed="false">
      <c r="A1822" s="82" t="n">
        <f aca="false">Data!A1822</f>
        <v>1821</v>
      </c>
      <c r="B1822" s="82" t="str">
        <f aca="false">IFERROR(INDEX(対訳マスタ!$C$2:$C$136,MATCH(Data!B1822,対訳マスタ!$B$2:$B$136,0)),Data!B1822)</f>
        <v>手話能力</v>
      </c>
      <c r="C1822" s="82" t="str">
        <f aca="false">IF(Data!C1822="—","—",IFERROR(INDEX(対訳マスタ!$C$2:$C$136,MATCH(Data!C1822,対訳マスタ!$B$2:$B$136,0)),Data!C1822))</f>
        <v>—</v>
      </c>
      <c r="D1822" s="82" t="str">
        <f aca="false">IF(Data!D1822="—","—",IFERROR(INDEX(対訳マスタ!$C$2:$C$136,MATCH(Data!D1822,対訳マスタ!$B$2:$B$136,0)),Data!D1822))</f>
        <v>語用能力</v>
      </c>
      <c r="E1822" s="82" t="str">
        <f aca="false">IFERROR(INDEX(対訳マスタ!$C$2:$C$136,MATCH(Data!E1822,対訳マスタ!$B$2:$B$136,0)),Data!E1822)</f>
        <v>手話の流暢さ</v>
      </c>
      <c r="F1822" s="82" t="str">
        <f aca="false">Data!F1822</f>
        <v>B2+</v>
      </c>
      <c r="G1822" s="81" t="str">
        <f aca="false">Data!G1822</f>
        <v>Can relate fluently in a sign language a story that they know.</v>
      </c>
      <c r="H1822" s="81"/>
      <c r="I1822" s="82" t="s">
        <v>3625</v>
      </c>
    </row>
    <row r="1823" customFormat="false" ht="21.75" hidden="false" customHeight="true" outlineLevel="0" collapsed="false">
      <c r="A1823" s="82" t="n">
        <f aca="false">Data!A1823</f>
        <v>1822</v>
      </c>
      <c r="B1823" s="82" t="str">
        <f aca="false">IFERROR(INDEX(対訳マスタ!$C$2:$C$136,MATCH(Data!B1823,対訳マスタ!$B$2:$B$136,0)),Data!B1823)</f>
        <v>手話能力</v>
      </c>
      <c r="C1823" s="82" t="str">
        <f aca="false">IF(Data!C1823="—","—",IFERROR(INDEX(対訳マスタ!$C$2:$C$136,MATCH(Data!C1823,対訳マスタ!$B$2:$B$136,0)),Data!C1823))</f>
        <v>—</v>
      </c>
      <c r="D1823" s="82" t="str">
        <f aca="false">IF(Data!D1823="—","—",IFERROR(INDEX(対訳マスタ!$C$2:$C$136,MATCH(Data!D1823,対訳マスタ!$B$2:$B$136,0)),Data!D1823))</f>
        <v>語用能力</v>
      </c>
      <c r="E1823" s="82" t="str">
        <f aca="false">IFERROR(INDEX(対訳マスタ!$C$2:$C$136,MATCH(Data!E1823,対訳マスタ!$B$2:$B$136,0)),Data!E1823)</f>
        <v>手話の流暢さ</v>
      </c>
      <c r="F1823" s="82" t="str">
        <f aca="false">Data!F1823</f>
        <v>B2+</v>
      </c>
      <c r="G1823" s="81" t="str">
        <f aca="false">Data!G1823</f>
        <v>Can hold a sign with one hand in order to demonstrate something static (hold), while simultaneously using the other hand to continue signing.[1]</v>
      </c>
      <c r="H1823" s="81"/>
      <c r="I1823" s="82" t="s">
        <v>3625</v>
      </c>
    </row>
    <row r="1824" customFormat="false" ht="15" hidden="false" customHeight="true" outlineLevel="0" collapsed="false">
      <c r="A1824" s="82" t="n">
        <f aca="false">Data!A1824</f>
        <v>1823</v>
      </c>
      <c r="B1824" s="82" t="str">
        <f aca="false">IFERROR(INDEX(対訳マスタ!$C$2:$C$136,MATCH(Data!B1824,対訳マスタ!$B$2:$B$136,0)),Data!B1824)</f>
        <v>手話能力</v>
      </c>
      <c r="C1824" s="82" t="str">
        <f aca="false">IF(Data!C1824="—","—",IFERROR(INDEX(対訳マスタ!$C$2:$C$136,MATCH(Data!C1824,対訳マスタ!$B$2:$B$136,0)),Data!C1824))</f>
        <v>—</v>
      </c>
      <c r="D1824" s="82" t="str">
        <f aca="false">IF(Data!D1824="—","—",IFERROR(INDEX(対訳マスタ!$C$2:$C$136,MATCH(Data!D1824,対訳マスタ!$B$2:$B$136,0)),Data!D1824))</f>
        <v>語用能力</v>
      </c>
      <c r="E1824" s="82" t="str">
        <f aca="false">IFERROR(INDEX(対訳マスタ!$C$2:$C$136,MATCH(Data!E1824,対訳マスタ!$B$2:$B$136,0)),Data!E1824)</f>
        <v>手話の流暢さ</v>
      </c>
      <c r="F1824" s="82" t="str">
        <f aca="false">Data!F1824</f>
        <v>B2</v>
      </c>
      <c r="G1824" s="81" t="str">
        <f aca="false">Data!G1824</f>
        <v>Can sign at a comfortable pace, without needing to think about the individual signs.</v>
      </c>
      <c r="H1824" s="81"/>
      <c r="I1824" s="82" t="s">
        <v>3625</v>
      </c>
    </row>
    <row r="1825" customFormat="false" ht="15" hidden="false" customHeight="true" outlineLevel="0" collapsed="false">
      <c r="A1825" s="82" t="n">
        <f aca="false">Data!A1825</f>
        <v>1824</v>
      </c>
      <c r="B1825" s="82" t="str">
        <f aca="false">IFERROR(INDEX(対訳マスタ!$C$2:$C$136,MATCH(Data!B1825,対訳マスタ!$B$2:$B$136,0)),Data!B1825)</f>
        <v>手話能力</v>
      </c>
      <c r="C1825" s="82" t="str">
        <f aca="false">IF(Data!C1825="—","—",IFERROR(INDEX(対訳マスタ!$C$2:$C$136,MATCH(Data!C1825,対訳マスタ!$B$2:$B$136,0)),Data!C1825))</f>
        <v>—</v>
      </c>
      <c r="D1825" s="82" t="str">
        <f aca="false">IF(Data!D1825="—","—",IFERROR(INDEX(対訳マスタ!$C$2:$C$136,MATCH(Data!D1825,対訳マスタ!$B$2:$B$136,0)),Data!D1825))</f>
        <v>語用能力</v>
      </c>
      <c r="E1825" s="82" t="str">
        <f aca="false">IFERROR(INDEX(対訳マスタ!$C$2:$C$136,MATCH(Data!E1825,対訳マスタ!$B$2:$B$136,0)),Data!E1825)</f>
        <v>手話の流暢さ</v>
      </c>
      <c r="F1825" s="82" t="str">
        <f aca="false">Data!F1825</f>
        <v>B2</v>
      </c>
      <c r="G1825" s="81" t="str">
        <f aca="false">Data!G1825</f>
        <v>Can use pauses for effect at appropriate points.</v>
      </c>
      <c r="H1825" s="81"/>
      <c r="I1825" s="82" t="s">
        <v>3625</v>
      </c>
    </row>
    <row r="1826" customFormat="false" ht="21.75" hidden="false" customHeight="true" outlineLevel="0" collapsed="false">
      <c r="A1826" s="82" t="n">
        <f aca="false">Data!A1826</f>
        <v>1825</v>
      </c>
      <c r="B1826" s="82" t="str">
        <f aca="false">IFERROR(INDEX(対訳マスタ!$C$2:$C$136,MATCH(Data!B1826,対訳マスタ!$B$2:$B$136,0)),Data!B1826)</f>
        <v>手話能力</v>
      </c>
      <c r="C1826" s="82" t="str">
        <f aca="false">IF(Data!C1826="—","—",IFERROR(INDEX(対訳マスタ!$C$2:$C$136,MATCH(Data!C1826,対訳マスタ!$B$2:$B$136,0)),Data!C1826))</f>
        <v>—</v>
      </c>
      <c r="D1826" s="82" t="str">
        <f aca="false">IF(Data!D1826="—","—",IFERROR(INDEX(対訳マスタ!$C$2:$C$136,MATCH(Data!D1826,対訳マスタ!$B$2:$B$136,0)),Data!D1826))</f>
        <v>語用能力</v>
      </c>
      <c r="E1826" s="82" t="str">
        <f aca="false">IFERROR(INDEX(対訳マスタ!$C$2:$C$136,MATCH(Data!E1826,対訳マスタ!$B$2:$B$136,0)),Data!E1826)</f>
        <v>手話の流暢さ</v>
      </c>
      <c r="F1826" s="82" t="str">
        <f aca="false">Data!F1826</f>
        <v>B2</v>
      </c>
      <c r="G1826" s="81" t="str">
        <f aca="false">Data!G1826</f>
        <v>Can rhythmically represent the stages of a movement or activity (e.g. leaves falling down, hail).</v>
      </c>
      <c r="H1826" s="81"/>
      <c r="I1826" s="82" t="s">
        <v>3625</v>
      </c>
    </row>
    <row r="1827" customFormat="false" ht="15" hidden="false" customHeight="true" outlineLevel="0" collapsed="false">
      <c r="A1827" s="82" t="n">
        <f aca="false">Data!A1827</f>
        <v>1826</v>
      </c>
      <c r="B1827" s="82" t="str">
        <f aca="false">IFERROR(INDEX(対訳マスタ!$C$2:$C$136,MATCH(Data!B1827,対訳マスタ!$B$2:$B$136,0)),Data!B1827)</f>
        <v>手話能力</v>
      </c>
      <c r="C1827" s="82" t="str">
        <f aca="false">IF(Data!C1827="—","—",IFERROR(INDEX(対訳マスタ!$C$2:$C$136,MATCH(Data!C1827,対訳マスタ!$B$2:$B$136,0)),Data!C1827))</f>
        <v>—</v>
      </c>
      <c r="D1827" s="82" t="str">
        <f aca="false">IF(Data!D1827="—","—",IFERROR(INDEX(対訳マスタ!$C$2:$C$136,MATCH(Data!D1827,対訳マスタ!$B$2:$B$136,0)),Data!D1827))</f>
        <v>語用能力</v>
      </c>
      <c r="E1827" s="82" t="str">
        <f aca="false">IFERROR(INDEX(対訳マスタ!$C$2:$C$136,MATCH(Data!E1827,対訳マスタ!$B$2:$B$136,0)),Data!E1827)</f>
        <v>手話の流暢さ</v>
      </c>
      <c r="F1827" s="82" t="str">
        <f aca="false">Data!F1827</f>
        <v>B2</v>
      </c>
      <c r="G1827" s="81" t="str">
        <f aca="false">Data!G1827</f>
        <v>Can fingerspell fluently, connecting or blending elements smoothly.</v>
      </c>
      <c r="H1827" s="81"/>
      <c r="I1827" s="82" t="s">
        <v>3625</v>
      </c>
    </row>
    <row r="1828" customFormat="false" ht="15" hidden="false" customHeight="true" outlineLevel="0" collapsed="false">
      <c r="A1828" s="82" t="n">
        <f aca="false">Data!A1828</f>
        <v>1827</v>
      </c>
      <c r="B1828" s="82" t="str">
        <f aca="false">IFERROR(INDEX(対訳マスタ!$C$2:$C$136,MATCH(Data!B1828,対訳マスタ!$B$2:$B$136,0)),Data!B1828)</f>
        <v>手話能力</v>
      </c>
      <c r="C1828" s="82" t="str">
        <f aca="false">IF(Data!C1828="—","—",IFERROR(INDEX(対訳マスタ!$C$2:$C$136,MATCH(Data!C1828,対訳マスタ!$B$2:$B$136,0)),Data!C1828))</f>
        <v>—</v>
      </c>
      <c r="D1828" s="82" t="str">
        <f aca="false">IF(Data!D1828="—","—",IFERROR(INDEX(対訳マスタ!$C$2:$C$136,MATCH(Data!D1828,対訳マスタ!$B$2:$B$136,0)),Data!D1828))</f>
        <v>語用能力</v>
      </c>
      <c r="E1828" s="82" t="str">
        <f aca="false">IFERROR(INDEX(対訳マスタ!$C$2:$C$136,MATCH(Data!E1828,対訳マスタ!$B$2:$B$136,0)),Data!E1828)</f>
        <v>手話の流暢さ</v>
      </c>
      <c r="F1828" s="82" t="str">
        <f aca="false">Data!F1828</f>
        <v>B1+</v>
      </c>
      <c r="G1828" s="81" t="str">
        <f aca="false">Data!G1828</f>
        <v>Can sign a fluent transition between related points.</v>
      </c>
      <c r="H1828" s="81"/>
      <c r="I1828" s="82" t="s">
        <v>3625</v>
      </c>
    </row>
    <row r="1829" customFormat="false" ht="15" hidden="false" customHeight="true" outlineLevel="0" collapsed="false">
      <c r="A1829" s="82" t="n">
        <f aca="false">Data!A1829</f>
        <v>1828</v>
      </c>
      <c r="B1829" s="82" t="str">
        <f aca="false">IFERROR(INDEX(対訳マスタ!$C$2:$C$136,MATCH(Data!B1829,対訳マスタ!$B$2:$B$136,0)),Data!B1829)</f>
        <v>手話能力</v>
      </c>
      <c r="C1829" s="82" t="str">
        <f aca="false">IF(Data!C1829="—","—",IFERROR(INDEX(対訳マスタ!$C$2:$C$136,MATCH(Data!C1829,対訳マスタ!$B$2:$B$136,0)),Data!C1829))</f>
        <v>—</v>
      </c>
      <c r="D1829" s="82" t="str">
        <f aca="false">IF(Data!D1829="—","—",IFERROR(INDEX(対訳マスタ!$C$2:$C$136,MATCH(Data!D1829,対訳マスタ!$B$2:$B$136,0)),Data!D1829))</f>
        <v>語用能力</v>
      </c>
      <c r="E1829" s="82" t="str">
        <f aca="false">IFERROR(INDEX(対訳マスタ!$C$2:$C$136,MATCH(Data!E1829,対訳マスタ!$B$2:$B$136,0)),Data!E1829)</f>
        <v>手話の流暢さ</v>
      </c>
      <c r="F1829" s="82" t="str">
        <f aca="false">Data!F1829</f>
        <v>B1</v>
      </c>
      <c r="G1829" s="81" t="str">
        <f aca="false">Data!G1829</f>
        <v>Can sign a short text rhythmically.</v>
      </c>
      <c r="H1829" s="81"/>
      <c r="I1829" s="82" t="s">
        <v>3625</v>
      </c>
    </row>
    <row r="1830" customFormat="false" ht="15" hidden="false" customHeight="true" outlineLevel="0" collapsed="false">
      <c r="A1830" s="82" t="n">
        <f aca="false">Data!A1830</f>
        <v>1829</v>
      </c>
      <c r="B1830" s="82" t="str">
        <f aca="false">IFERROR(INDEX(対訳マスタ!$C$2:$C$136,MATCH(Data!B1830,対訳マスタ!$B$2:$B$136,0)),Data!B1830)</f>
        <v>手話能力</v>
      </c>
      <c r="C1830" s="82" t="str">
        <f aca="false">IF(Data!C1830="—","—",IFERROR(INDEX(対訳マスタ!$C$2:$C$136,MATCH(Data!C1830,対訳マスタ!$B$2:$B$136,0)),Data!C1830))</f>
        <v>—</v>
      </c>
      <c r="D1830" s="82" t="str">
        <f aca="false">IF(Data!D1830="—","—",IFERROR(INDEX(対訳マスタ!$C$2:$C$136,MATCH(Data!D1830,対訳マスタ!$B$2:$B$136,0)),Data!D1830))</f>
        <v>語用能力</v>
      </c>
      <c r="E1830" s="82" t="str">
        <f aca="false">IFERROR(INDEX(対訳マスタ!$C$2:$C$136,MATCH(Data!E1830,対訳マスタ!$B$2:$B$136,0)),Data!E1830)</f>
        <v>手話の流暢さ</v>
      </c>
      <c r="F1830" s="82" t="str">
        <f aca="false">Data!F1830</f>
        <v>B1</v>
      </c>
      <c r="G1830" s="81" t="str">
        <f aca="false">Data!G1830</f>
        <v>Can employ sequences of handshapes and/or the handshapes for fingerspelling fluently.</v>
      </c>
      <c r="H1830" s="81"/>
      <c r="I1830" s="82" t="s">
        <v>3625</v>
      </c>
    </row>
    <row r="1831" customFormat="false" ht="15" hidden="false" customHeight="true" outlineLevel="0" collapsed="false">
      <c r="A1831" s="82" t="n">
        <f aca="false">Data!A1831</f>
        <v>1830</v>
      </c>
      <c r="B1831" s="82" t="str">
        <f aca="false">IFERROR(INDEX(対訳マスタ!$C$2:$C$136,MATCH(Data!B1831,対訳マスタ!$B$2:$B$136,0)),Data!B1831)</f>
        <v>手話能力</v>
      </c>
      <c r="C1831" s="82" t="str">
        <f aca="false">IF(Data!C1831="—","—",IFERROR(INDEX(対訳マスタ!$C$2:$C$136,MATCH(Data!C1831,対訳マスタ!$B$2:$B$136,0)),Data!C1831))</f>
        <v>—</v>
      </c>
      <c r="D1831" s="82" t="str">
        <f aca="false">IF(Data!D1831="—","—",IFERROR(INDEX(対訳マスタ!$C$2:$C$136,MATCH(Data!D1831,対訳マスタ!$B$2:$B$136,0)),Data!D1831))</f>
        <v>語用能力</v>
      </c>
      <c r="E1831" s="82" t="str">
        <f aca="false">IFERROR(INDEX(対訳マスタ!$C$2:$C$136,MATCH(Data!E1831,対訳マスタ!$B$2:$B$136,0)),Data!E1831)</f>
        <v>手話の流暢さ</v>
      </c>
      <c r="F1831" s="82" t="str">
        <f aca="false">Data!F1831</f>
        <v>A2+</v>
      </c>
      <c r="G1831" s="81" t="str">
        <f aca="false">Data!G1831</f>
        <v>Can sign a simple sentence rhythmically.</v>
      </c>
      <c r="H1831" s="81"/>
      <c r="I1831" s="82" t="s">
        <v>3625</v>
      </c>
    </row>
    <row r="1832" customFormat="false" ht="15" hidden="false" customHeight="true" outlineLevel="0" collapsed="false">
      <c r="A1832" s="82" t="n">
        <f aca="false">Data!A1832</f>
        <v>1831</v>
      </c>
      <c r="B1832" s="82" t="str">
        <f aca="false">IFERROR(INDEX(対訳マスタ!$C$2:$C$136,MATCH(Data!B1832,対訳マスタ!$B$2:$B$136,0)),Data!B1832)</f>
        <v>手話能力</v>
      </c>
      <c r="C1832" s="82" t="str">
        <f aca="false">IF(Data!C1832="—","—",IFERROR(INDEX(対訳マスタ!$C$2:$C$136,MATCH(Data!C1832,対訳マスタ!$B$2:$B$136,0)),Data!C1832))</f>
        <v>—</v>
      </c>
      <c r="D1832" s="82" t="str">
        <f aca="false">IF(Data!D1832="—","—",IFERROR(INDEX(対訳マスタ!$C$2:$C$136,MATCH(Data!D1832,対訳マスタ!$B$2:$B$136,0)),Data!D1832))</f>
        <v>語用能力</v>
      </c>
      <c r="E1832" s="82" t="str">
        <f aca="false">IFERROR(INDEX(対訳マスタ!$C$2:$C$136,MATCH(Data!E1832,対訳マスタ!$B$2:$B$136,0)),Data!E1832)</f>
        <v>手話の流暢さ</v>
      </c>
      <c r="F1832" s="82" t="str">
        <f aca="false">Data!F1832</f>
        <v>A2</v>
      </c>
      <c r="G1832" s="81" t="str">
        <f aca="false">Data!G1832</f>
        <v>Can indicate the end of a sentence clearly by leaving a pause.</v>
      </c>
      <c r="H1832" s="81"/>
      <c r="I1832" s="82" t="s">
        <v>3625</v>
      </c>
    </row>
    <row r="1833" customFormat="false" ht="15" hidden="false" customHeight="true" outlineLevel="0" collapsed="false">
      <c r="A1833" s="82" t="n">
        <f aca="false">Data!A1833</f>
        <v>1832</v>
      </c>
      <c r="B1833" s="82" t="str">
        <f aca="false">IFERROR(INDEX(対訳マスタ!$C$2:$C$136,MATCH(Data!B1833,対訳マスタ!$B$2:$B$136,0)),Data!B1833)</f>
        <v>手話能力</v>
      </c>
      <c r="C1833" s="82" t="str">
        <f aca="false">IF(Data!C1833="—","—",IFERROR(INDEX(対訳マスタ!$C$2:$C$136,MATCH(Data!C1833,対訳マスタ!$B$2:$B$136,0)),Data!C1833))</f>
        <v>—</v>
      </c>
      <c r="D1833" s="82" t="str">
        <f aca="false">IF(Data!D1833="—","—",IFERROR(INDEX(対訳マスタ!$C$2:$C$136,MATCH(Data!D1833,対訳マスタ!$B$2:$B$136,0)),Data!D1833))</f>
        <v>語用能力</v>
      </c>
      <c r="E1833" s="82" t="str">
        <f aca="false">IFERROR(INDEX(対訳マスタ!$C$2:$C$136,MATCH(Data!E1833,対訳マスタ!$B$2:$B$136,0)),Data!E1833)</f>
        <v>手話の流暢さ</v>
      </c>
      <c r="F1833" s="82" t="str">
        <f aca="false">Data!F1833</f>
        <v>A1</v>
      </c>
      <c r="G1833" s="81" t="str">
        <f aca="false">Data!G1833</f>
        <v>No descriptors available</v>
      </c>
      <c r="H1833" s="81" t="s">
        <v>624</v>
      </c>
      <c r="I1833" s="80" t="s">
        <v>624</v>
      </c>
    </row>
    <row r="1835" customFormat="false" ht="15" hidden="false" customHeight="true" outlineLevel="0" collapsed="false">
      <c r="A1835" s="43" t="s">
        <v>3626</v>
      </c>
    </row>
  </sheetData>
  <autoFilter ref="A1:I18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2026-07-10T09:01:27Z</dcterms:created>
  <dc:creator>openpyxl</dc:creator>
  <dc:description/>
  <dc:language>en-US</dc:language>
  <cp:lastModifiedBy/>
  <dcterms:modified xsi:type="dcterms:W3CDTF">2026-07-13T07:16:37Z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